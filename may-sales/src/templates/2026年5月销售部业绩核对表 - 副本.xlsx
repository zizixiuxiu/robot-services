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95"/>
  </bookViews>
  <sheets>
    <sheet name="Sheet1 (2)" sheetId="4" r:id="rId1"/>
    <sheet name="Sheet1" sheetId="3" r:id="rId2"/>
  </sheets>
  <definedNames>
    <definedName name="_xlnm._FilterDatabase" localSheetId="0" hidden="1">'Sheet1 (2)'!$A$2:$K$116</definedName>
    <definedName name="_xlnm._FilterDatabase" localSheetId="1" hidden="1">Sheet1!$A$2:$K$116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<sst xmlns="http://schemas.openxmlformats.org/spreadsheetml/2006/main" count="957" uniqueCount="264">
  <si>
    <t>2026年5月销售部业绩数据表核对</t>
  </si>
  <si>
    <t>序号</t>
  </si>
  <si>
    <t>区域</t>
  </si>
  <si>
    <t>省份</t>
  </si>
  <si>
    <t>城市</t>
  </si>
  <si>
    <t>经销商</t>
  </si>
  <si>
    <t>正单</t>
  </si>
  <si>
    <t>样品
(新商+老商)</t>
  </si>
  <si>
    <t>业绩合计</t>
  </si>
  <si>
    <t>样品折后金额</t>
  </si>
  <si>
    <t>隐迹系列销量(工程款花色）</t>
  </si>
  <si>
    <t>核对正单</t>
  </si>
  <si>
    <t>黑.吉.辽.蒙</t>
  </si>
  <si>
    <t>辽宁</t>
  </si>
  <si>
    <t>大连</t>
  </si>
  <si>
    <t>张守芹</t>
  </si>
  <si>
    <t>内蒙</t>
  </si>
  <si>
    <t>呼和浩特</t>
  </si>
  <si>
    <t>张鹏飞</t>
  </si>
  <si>
    <t>巴彦淖尔</t>
  </si>
  <si>
    <t>张春海</t>
  </si>
  <si>
    <t>锡林浩特</t>
  </si>
  <si>
    <t>文静</t>
  </si>
  <si>
    <t>包头</t>
  </si>
  <si>
    <t>冯海东</t>
  </si>
  <si>
    <t>乌海</t>
  </si>
  <si>
    <t>苏苏</t>
  </si>
  <si>
    <t>依金霍洛旗</t>
  </si>
  <si>
    <t>奇敖日其楞</t>
  </si>
  <si>
    <t>准格尔旗</t>
  </si>
  <si>
    <t>全星</t>
  </si>
  <si>
    <t>鄂尔多斯</t>
  </si>
  <si>
    <t>韩阳</t>
  </si>
  <si>
    <t>新商</t>
  </si>
  <si>
    <t>晋.京.津.冀</t>
  </si>
  <si>
    <t>山西</t>
  </si>
  <si>
    <t>大同</t>
  </si>
  <si>
    <t>黄金娥</t>
  </si>
  <si>
    <t>曲沃</t>
  </si>
  <si>
    <t>李再清</t>
  </si>
  <si>
    <t>坤泽</t>
  </si>
  <si>
    <t>王俊丽</t>
  </si>
  <si>
    <t>晋城</t>
  </si>
  <si>
    <t>张晋芳</t>
  </si>
  <si>
    <t>芮城</t>
  </si>
  <si>
    <t>李亚荣</t>
  </si>
  <si>
    <t>永济</t>
  </si>
  <si>
    <t>时迷鹏</t>
  </si>
  <si>
    <t>孝义</t>
  </si>
  <si>
    <t>赵德刚</t>
  </si>
  <si>
    <t>太原</t>
  </si>
  <si>
    <t>宋末琴</t>
  </si>
  <si>
    <t>河津</t>
  </si>
  <si>
    <t>杨海奇</t>
  </si>
  <si>
    <t>汾阳</t>
  </si>
  <si>
    <t>杨晓慧</t>
  </si>
  <si>
    <t>长治</t>
  </si>
  <si>
    <t>冯月琴</t>
  </si>
  <si>
    <t>襄垣</t>
  </si>
  <si>
    <t>陈时伟</t>
  </si>
  <si>
    <t>尖草坪</t>
  </si>
  <si>
    <t>张姝媛</t>
  </si>
  <si>
    <t>张天耀</t>
  </si>
  <si>
    <t>晋中</t>
  </si>
  <si>
    <t>何洋</t>
  </si>
  <si>
    <t>临汾</t>
  </si>
  <si>
    <t>陈军伟</t>
  </si>
  <si>
    <t>薛晓刚</t>
  </si>
  <si>
    <t>天津</t>
  </si>
  <si>
    <t>蓟州</t>
  </si>
  <si>
    <t>吕会华</t>
  </si>
  <si>
    <t>河北</t>
  </si>
  <si>
    <t>迁安</t>
  </si>
  <si>
    <t>郑月</t>
  </si>
  <si>
    <t>石家庄</t>
  </si>
  <si>
    <t>靳新义</t>
  </si>
  <si>
    <t>柏乡</t>
  </si>
  <si>
    <t>李晓辉</t>
  </si>
  <si>
    <t>献县</t>
  </si>
  <si>
    <t>张永丰</t>
  </si>
  <si>
    <t>定州</t>
  </si>
  <si>
    <t>李孟</t>
  </si>
  <si>
    <t>藏.甘.青.宁.新.陕.豫</t>
  </si>
  <si>
    <t>甘肃</t>
  </si>
  <si>
    <t>平凉</t>
  </si>
  <si>
    <t>朱鸿</t>
  </si>
  <si>
    <t>清水</t>
  </si>
  <si>
    <t>高志杰</t>
  </si>
  <si>
    <t>酒泉</t>
  </si>
  <si>
    <t>吴永奇</t>
  </si>
  <si>
    <t>成县</t>
  </si>
  <si>
    <t>马斌星</t>
  </si>
  <si>
    <t>陇南</t>
  </si>
  <si>
    <t>王明</t>
  </si>
  <si>
    <t>临洮</t>
  </si>
  <si>
    <t>李恩</t>
  </si>
  <si>
    <t>天水</t>
  </si>
  <si>
    <t>董孝军</t>
  </si>
  <si>
    <t>庆阳</t>
  </si>
  <si>
    <t>佟广会</t>
  </si>
  <si>
    <t>兰州</t>
  </si>
  <si>
    <t>廖敏江</t>
  </si>
  <si>
    <t>临夏</t>
  </si>
  <si>
    <t>马忠义</t>
  </si>
  <si>
    <t>宁夏</t>
  </si>
  <si>
    <t>海原</t>
  </si>
  <si>
    <t>邱鑫</t>
  </si>
  <si>
    <t>大武</t>
  </si>
  <si>
    <t>朱贵荣</t>
  </si>
  <si>
    <t>固原</t>
  </si>
  <si>
    <t>夏瑞</t>
  </si>
  <si>
    <t>吴忠</t>
  </si>
  <si>
    <t>杨学林</t>
  </si>
  <si>
    <t>同心</t>
  </si>
  <si>
    <t>马成龙</t>
  </si>
  <si>
    <t>新疆</t>
  </si>
  <si>
    <t>石河子</t>
  </si>
  <si>
    <t>韩彦平</t>
  </si>
  <si>
    <t>乌鲁木齐</t>
  </si>
  <si>
    <t>吕海</t>
  </si>
  <si>
    <t>陕西</t>
  </si>
  <si>
    <t>渭南</t>
  </si>
  <si>
    <t>郭亮</t>
  </si>
  <si>
    <t>泾阳</t>
  </si>
  <si>
    <t>艾伟朝</t>
  </si>
  <si>
    <t>西安周至</t>
  </si>
  <si>
    <t>刘建峰</t>
  </si>
  <si>
    <t>靖边</t>
  </si>
  <si>
    <t>伊兵</t>
  </si>
  <si>
    <t>吴起</t>
  </si>
  <si>
    <t>王建</t>
  </si>
  <si>
    <t>阎良</t>
  </si>
  <si>
    <t>张东</t>
  </si>
  <si>
    <t>富平</t>
  </si>
  <si>
    <t>郝时时</t>
  </si>
  <si>
    <t>西安</t>
  </si>
  <si>
    <t>何小祎</t>
  </si>
  <si>
    <t>河南</t>
  </si>
  <si>
    <t>固始</t>
  </si>
  <si>
    <t>杨宽超</t>
  </si>
  <si>
    <t>南阳</t>
  </si>
  <si>
    <t>朱建想</t>
  </si>
  <si>
    <t>云.贵.川.渝</t>
  </si>
  <si>
    <t>云南</t>
  </si>
  <si>
    <t>镇雄</t>
  </si>
  <si>
    <t>叶丽昆</t>
  </si>
  <si>
    <t>昆明盘龙</t>
  </si>
  <si>
    <t>杨惠凤</t>
  </si>
  <si>
    <t>临沧</t>
  </si>
  <si>
    <t>蒋兴红</t>
  </si>
  <si>
    <t>贵州</t>
  </si>
  <si>
    <t>铜仁</t>
  </si>
  <si>
    <t>倪浩博</t>
  </si>
  <si>
    <t>德江</t>
  </si>
  <si>
    <t>张旭</t>
  </si>
  <si>
    <t>遵义</t>
  </si>
  <si>
    <t>浩紫燕</t>
  </si>
  <si>
    <t>开阳</t>
  </si>
  <si>
    <t>翟爱东</t>
  </si>
  <si>
    <t>桐梓</t>
  </si>
  <si>
    <t>熊安斌</t>
  </si>
  <si>
    <t>张洪</t>
  </si>
  <si>
    <t>四川</t>
  </si>
  <si>
    <t>仁寿</t>
  </si>
  <si>
    <t>姜燕</t>
  </si>
  <si>
    <t>西充</t>
  </si>
  <si>
    <t>杜元志</t>
  </si>
  <si>
    <t>安岳</t>
  </si>
  <si>
    <t>侯小均</t>
  </si>
  <si>
    <t>都江堰</t>
  </si>
  <si>
    <t>董旭强</t>
  </si>
  <si>
    <t>广元</t>
  </si>
  <si>
    <t>吴强</t>
  </si>
  <si>
    <t>简阳</t>
  </si>
  <si>
    <t>晋军</t>
  </si>
  <si>
    <t>邻水</t>
  </si>
  <si>
    <t>杨平</t>
  </si>
  <si>
    <t>绵阳</t>
  </si>
  <si>
    <t>袁憬</t>
  </si>
  <si>
    <t>南部</t>
  </si>
  <si>
    <t>胥席均</t>
  </si>
  <si>
    <t>宜宾翠屏县</t>
  </si>
  <si>
    <t>吴安兵</t>
  </si>
  <si>
    <t>开江</t>
  </si>
  <si>
    <t>乔进</t>
  </si>
  <si>
    <t>重庆</t>
  </si>
  <si>
    <t>九龙坡</t>
  </si>
  <si>
    <t>伍迎春</t>
  </si>
  <si>
    <t>巴南</t>
  </si>
  <si>
    <t>谭金民</t>
  </si>
  <si>
    <t>城口</t>
  </si>
  <si>
    <t>刘和西</t>
  </si>
  <si>
    <t>大足</t>
  </si>
  <si>
    <t>彭川</t>
  </si>
  <si>
    <t>丰都</t>
  </si>
  <si>
    <t>王亚林</t>
  </si>
  <si>
    <t>西永</t>
  </si>
  <si>
    <t>王桃红</t>
  </si>
  <si>
    <t>酉阳</t>
  </si>
  <si>
    <t>陈大勇</t>
  </si>
  <si>
    <t>南岸</t>
  </si>
  <si>
    <t>代欢</t>
  </si>
  <si>
    <t>黔江</t>
  </si>
  <si>
    <t>王超</t>
  </si>
  <si>
    <t>渝北</t>
  </si>
  <si>
    <t>苗厚康</t>
  </si>
  <si>
    <t>苏.沪.皖.鲁.闽.粤.桂.琼.浙.湘.鄂.赣</t>
  </si>
  <si>
    <t>江苏</t>
  </si>
  <si>
    <t>海安</t>
  </si>
  <si>
    <t>何海华</t>
  </si>
  <si>
    <t>南京</t>
  </si>
  <si>
    <t>周恩军</t>
  </si>
  <si>
    <t>张家港</t>
  </si>
  <si>
    <t>周柏明</t>
  </si>
  <si>
    <t>江阴</t>
  </si>
  <si>
    <t>蒋红锡</t>
  </si>
  <si>
    <t>常熟</t>
  </si>
  <si>
    <t>施金金</t>
  </si>
  <si>
    <t>丹阳</t>
  </si>
  <si>
    <t>陈煜</t>
  </si>
  <si>
    <t>扬中</t>
  </si>
  <si>
    <t>陈鑫</t>
  </si>
  <si>
    <t>句容</t>
  </si>
  <si>
    <t>李丽</t>
  </si>
  <si>
    <t>扬州</t>
  </si>
  <si>
    <t>孙素芳</t>
  </si>
  <si>
    <t>兴化</t>
  </si>
  <si>
    <t>尹太洋</t>
  </si>
  <si>
    <t>安徽</t>
  </si>
  <si>
    <t>六安</t>
  </si>
  <si>
    <t>陈军</t>
  </si>
  <si>
    <t>山东</t>
  </si>
  <si>
    <t>青岛市</t>
  </si>
  <si>
    <t>纪鹏</t>
  </si>
  <si>
    <t>广东</t>
  </si>
  <si>
    <t>深圳</t>
  </si>
  <si>
    <t>钟家明</t>
  </si>
  <si>
    <t>广西</t>
  </si>
  <si>
    <t>全州</t>
  </si>
  <si>
    <t>谢领权</t>
  </si>
  <si>
    <t>海南</t>
  </si>
  <si>
    <t>三亚</t>
  </si>
  <si>
    <t>黄种艺</t>
  </si>
  <si>
    <t>湖南</t>
  </si>
  <si>
    <t>郴州</t>
  </si>
  <si>
    <t>曹明香</t>
  </si>
  <si>
    <t>长沙</t>
  </si>
  <si>
    <t>金琳</t>
  </si>
  <si>
    <t>娄底</t>
  </si>
  <si>
    <t>黄华</t>
  </si>
  <si>
    <t>怀化</t>
  </si>
  <si>
    <t>王红色</t>
  </si>
  <si>
    <t>罗德志</t>
  </si>
  <si>
    <t>岳阳汨罗</t>
  </si>
  <si>
    <t>徐平维</t>
  </si>
  <si>
    <t>湖北</t>
  </si>
  <si>
    <t>随州</t>
  </si>
  <si>
    <t>宋伟伟</t>
  </si>
  <si>
    <t>利川</t>
  </si>
  <si>
    <t>温一超</t>
  </si>
  <si>
    <t>江西</t>
  </si>
  <si>
    <t>共青城</t>
  </si>
  <si>
    <t>蔡超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</si>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</sst>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16"/>
  <sheetViews>
    <sheetView tabSelected="1" workbookViewId="0">
      <pane xSplit="11" ySplit="2" topLeftCell="L3" activePane="bottomRight" state="frozen"/>
      <selection/>
      <selection pane="topRight"/>
      <selection pane="bottomLeft"/>
      <selection pane="bottomRight" activeCell="H15" sqref="H15"/>
    </sheetView>
  </sheetViews>
  <sheetFormatPr defaultColWidth="9" defaultRowHeight="13.5"/>
  <cols>
    <col min="1" max="1" width="5.125" customWidth="1"/>
    <col min="2" max="2" width="15.9583333333333" customWidth="1"/>
    <col min="3" max="3" width="7.94166666666667" customWidth="1"/>
    <col min="4" max="5" width="9.775" customWidth="1"/>
    <col min="6" max="6" width="10.375" customWidth="1"/>
    <col min="7" max="7" width="10.725" customWidth="1"/>
    <col min="8" max="8" width="9.79166666666667" customWidth="1"/>
    <col min="9" max="9" width="10.875" customWidth="1"/>
    <col min="10" max="10" width="11.375" customWidth="1"/>
    <col min="12" max="12" width="10.375" customWidth="1"/>
    <col min="13" max="13" width="10.725" customWidth="1"/>
    <col min="14" max="14" width="9.79166666666667" customWidth="1"/>
    <col min="15" max="15" width="10.875" customWidth="1"/>
    <col min="16" max="16" width="11.375" customWidth="1"/>
  </cols>
  <sheetData>
    <row r="1" ht="33" customHeight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1"/>
      <c r="M1" s="1"/>
      <c r="N1" s="1"/>
      <c r="O1" s="1"/>
      <c r="P1" s="1"/>
    </row>
    <row r="2" ht="33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L2" s="12" t="s">
        <v>11</v>
      </c>
      <c r="M2" s="12" t="s">
        <v>7</v>
      </c>
      <c r="N2" s="12" t="s">
        <v>8</v>
      </c>
      <c r="O2" s="12" t="s">
        <v>9</v>
      </c>
      <c r="P2" s="12" t="s">
        <v>10</v>
      </c>
    </row>
    <row r="3" ht="16.5" spans="1:16">
      <c r="A3" s="4">
        <v>1</v>
      </c>
      <c r="B3" s="5" t="s">
        <v>12</v>
      </c>
      <c r="C3" s="5" t="s">
        <v>13</v>
      </c>
      <c r="D3" s="4" t="s">
        <v>14</v>
      </c>
      <c r="E3" s="4" t="s">
        <v>15</v>
      </c>
      <c r="F3" s="6">
        <v>131389.67</v>
      </c>
      <c r="G3" s="6">
        <v>0</v>
      </c>
      <c r="H3" s="6">
        <f t="shared" ref="H3:H66" si="0">SUM(F3:G3)</f>
        <v>131389.67</v>
      </c>
      <c r="I3" s="6">
        <v>0</v>
      </c>
      <c r="J3" s="4"/>
      <c r="L3" s="6"/>
      <c r="M3" s="6"/>
      <c r="N3" s="6">
        <f t="shared" ref="N3:N66" si="1">SUM(L3:M3)</f>
        <v>0</v>
      </c>
      <c r="O3" s="6"/>
      <c r="P3" s="4"/>
    </row>
    <row r="4" ht="16.5" spans="1:16">
      <c r="A4" s="4">
        <v>2</v>
      </c>
      <c r="B4" s="5" t="s">
        <v>12</v>
      </c>
      <c r="C4" s="5" t="s">
        <v>16</v>
      </c>
      <c r="D4" s="4" t="s">
        <v>17</v>
      </c>
      <c r="E4" s="4" t="s">
        <v>18</v>
      </c>
      <c r="F4" s="6">
        <v>369112.85</v>
      </c>
      <c r="G4" s="6">
        <v>342</v>
      </c>
      <c r="H4" s="6">
        <f t="shared" si="0"/>
        <v>369454.85</v>
      </c>
      <c r="I4" s="6">
        <v>342</v>
      </c>
      <c r="J4" s="4"/>
      <c r="L4" s="6"/>
      <c r="M4" s="6"/>
      <c r="N4" s="6">
        <f t="shared" si="1"/>
        <v>0</v>
      </c>
      <c r="O4" s="6"/>
      <c r="P4" s="4"/>
    </row>
    <row r="5" ht="16.5" spans="1:16">
      <c r="A5" s="4">
        <v>3</v>
      </c>
      <c r="B5" s="5" t="s">
        <v>12</v>
      </c>
      <c r="C5" s="5" t="s">
        <v>16</v>
      </c>
      <c r="D5" s="4" t="s">
        <v>19</v>
      </c>
      <c r="E5" s="4" t="s">
        <v>20</v>
      </c>
      <c r="F5" s="6">
        <v>8727.61</v>
      </c>
      <c r="G5" s="6">
        <v>135</v>
      </c>
      <c r="H5" s="6">
        <f t="shared" si="0"/>
        <v>8862.61</v>
      </c>
      <c r="I5" s="6">
        <v>135</v>
      </c>
      <c r="J5" s="4"/>
      <c r="L5" s="6"/>
      <c r="M5" s="6"/>
      <c r="N5" s="6">
        <f t="shared" si="1"/>
        <v>0</v>
      </c>
      <c r="O5" s="6"/>
      <c r="P5" s="4"/>
    </row>
    <row r="6" ht="16.5" spans="1:16">
      <c r="A6" s="4">
        <v>4</v>
      </c>
      <c r="B6" s="5" t="s">
        <v>12</v>
      </c>
      <c r="C6" s="5" t="s">
        <v>16</v>
      </c>
      <c r="D6" s="4" t="s">
        <v>21</v>
      </c>
      <c r="E6" s="4" t="s">
        <v>22</v>
      </c>
      <c r="F6" s="6">
        <v>66205.29</v>
      </c>
      <c r="G6" s="6">
        <v>0</v>
      </c>
      <c r="H6" s="6">
        <f t="shared" si="0"/>
        <v>66205.29</v>
      </c>
      <c r="I6" s="6">
        <v>0</v>
      </c>
      <c r="J6" s="4"/>
      <c r="L6" s="6"/>
      <c r="M6" s="6"/>
      <c r="N6" s="6">
        <f t="shared" si="1"/>
        <v>0</v>
      </c>
      <c r="O6" s="6"/>
      <c r="P6" s="4"/>
    </row>
    <row r="7" ht="16.5" spans="1:16">
      <c r="A7" s="4">
        <v>5</v>
      </c>
      <c r="B7" s="5" t="s">
        <v>12</v>
      </c>
      <c r="C7" s="5" t="s">
        <v>16</v>
      </c>
      <c r="D7" s="4" t="s">
        <v>23</v>
      </c>
      <c r="E7" s="4" t="s">
        <v>24</v>
      </c>
      <c r="F7" s="6">
        <v>22263.17</v>
      </c>
      <c r="G7" s="6">
        <v>0</v>
      </c>
      <c r="H7" s="6">
        <f t="shared" si="0"/>
        <v>22263.17</v>
      </c>
      <c r="I7" s="6">
        <v>0</v>
      </c>
      <c r="J7" s="4"/>
      <c r="L7" s="6"/>
      <c r="M7" s="6"/>
      <c r="N7" s="6">
        <f t="shared" si="1"/>
        <v>0</v>
      </c>
      <c r="O7" s="6"/>
      <c r="P7" s="4"/>
    </row>
    <row r="8" ht="16.5" spans="1:16">
      <c r="A8" s="4">
        <v>6</v>
      </c>
      <c r="B8" s="5" t="s">
        <v>12</v>
      </c>
      <c r="C8" s="5" t="s">
        <v>16</v>
      </c>
      <c r="D8" s="4" t="s">
        <v>25</v>
      </c>
      <c r="E8" s="4" t="s">
        <v>26</v>
      </c>
      <c r="F8" s="6">
        <v>35114.73</v>
      </c>
      <c r="G8" s="6">
        <v>0</v>
      </c>
      <c r="H8" s="6">
        <f t="shared" si="0"/>
        <v>35114.73</v>
      </c>
      <c r="I8" s="6">
        <v>0</v>
      </c>
      <c r="J8" s="4"/>
      <c r="L8" s="6"/>
      <c r="M8" s="6"/>
      <c r="N8" s="6">
        <f t="shared" si="1"/>
        <v>0</v>
      </c>
      <c r="O8" s="6"/>
      <c r="P8" s="4"/>
    </row>
    <row r="9" ht="16.5" spans="1:16">
      <c r="A9" s="4">
        <v>7</v>
      </c>
      <c r="B9" s="5" t="s">
        <v>12</v>
      </c>
      <c r="C9" s="5" t="s">
        <v>16</v>
      </c>
      <c r="D9" s="4" t="s">
        <v>27</v>
      </c>
      <c r="E9" s="4" t="s">
        <v>28</v>
      </c>
      <c r="F9" s="6">
        <v>190915.45</v>
      </c>
      <c r="G9" s="6">
        <v>0</v>
      </c>
      <c r="H9" s="6">
        <f t="shared" si="0"/>
        <v>190915.45</v>
      </c>
      <c r="I9" s="6">
        <v>0</v>
      </c>
      <c r="J9" s="4"/>
      <c r="L9" s="6"/>
      <c r="M9" s="6"/>
      <c r="N9" s="6">
        <f t="shared" si="1"/>
        <v>0</v>
      </c>
      <c r="O9" s="6"/>
      <c r="P9" s="4"/>
    </row>
    <row r="10" ht="16.5" spans="1:16">
      <c r="A10" s="4">
        <v>8</v>
      </c>
      <c r="B10" s="5" t="s">
        <v>12</v>
      </c>
      <c r="C10" s="5" t="s">
        <v>16</v>
      </c>
      <c r="D10" s="4" t="s">
        <v>29</v>
      </c>
      <c r="E10" s="4" t="s">
        <v>30</v>
      </c>
      <c r="F10" s="6">
        <v>4938.66</v>
      </c>
      <c r="G10" s="6">
        <v>0</v>
      </c>
      <c r="H10" s="6">
        <f t="shared" si="0"/>
        <v>4938.66</v>
      </c>
      <c r="I10" s="6">
        <v>0</v>
      </c>
      <c r="J10" s="4"/>
      <c r="L10" s="6"/>
      <c r="M10" s="6"/>
      <c r="N10" s="6">
        <f t="shared" si="1"/>
        <v>0</v>
      </c>
      <c r="O10" s="6"/>
      <c r="P10" s="4"/>
    </row>
    <row r="11" ht="16.5" spans="1:16">
      <c r="A11" s="4">
        <v>9</v>
      </c>
      <c r="B11" s="5" t="s">
        <v>12</v>
      </c>
      <c r="C11" s="5" t="s">
        <v>16</v>
      </c>
      <c r="D11" s="4" t="s">
        <v>31</v>
      </c>
      <c r="E11" s="4" t="s">
        <v>32</v>
      </c>
      <c r="F11" s="6">
        <v>0</v>
      </c>
      <c r="G11" s="6">
        <v>131552.47</v>
      </c>
      <c r="H11" s="6">
        <f t="shared" si="0"/>
        <v>131552.47</v>
      </c>
      <c r="I11" s="6">
        <v>101327.53</v>
      </c>
      <c r="J11" s="4"/>
      <c r="K11" t="s">
        <v>33</v>
      </c>
      <c r="L11" s="6"/>
      <c r="M11" s="6"/>
      <c r="N11" s="6">
        <f t="shared" si="1"/>
        <v>0</v>
      </c>
      <c r="O11" s="6"/>
      <c r="P11" s="4"/>
    </row>
    <row r="12" ht="16.5" spans="1:16">
      <c r="A12" s="4">
        <v>10</v>
      </c>
      <c r="B12" s="5" t="s">
        <v>34</v>
      </c>
      <c r="C12" s="5" t="s">
        <v>35</v>
      </c>
      <c r="D12" s="4" t="s">
        <v>36</v>
      </c>
      <c r="E12" s="4" t="s">
        <v>37</v>
      </c>
      <c r="F12" s="6">
        <v>15227.45</v>
      </c>
      <c r="G12" s="6">
        <v>0</v>
      </c>
      <c r="H12" s="6">
        <f t="shared" si="0"/>
        <v>15227.45</v>
      </c>
      <c r="I12" s="6">
        <v>0</v>
      </c>
      <c r="J12" s="4"/>
      <c r="L12" s="6"/>
      <c r="M12" s="6"/>
      <c r="N12" s="6">
        <f t="shared" si="1"/>
        <v>0</v>
      </c>
      <c r="O12" s="6"/>
      <c r="P12" s="4"/>
    </row>
    <row r="13" ht="16.5" spans="1:16">
      <c r="A13" s="4">
        <v>11</v>
      </c>
      <c r="B13" s="5" t="s">
        <v>34</v>
      </c>
      <c r="C13" s="5" t="s">
        <v>35</v>
      </c>
      <c r="D13" s="4" t="s">
        <v>38</v>
      </c>
      <c r="E13" s="4" t="s">
        <v>39</v>
      </c>
      <c r="F13" s="6">
        <v>28767.68</v>
      </c>
      <c r="G13" s="6">
        <v>0</v>
      </c>
      <c r="H13" s="6">
        <f t="shared" si="0"/>
        <v>28767.68</v>
      </c>
      <c r="I13" s="6">
        <v>0</v>
      </c>
      <c r="J13" s="4"/>
      <c r="L13" s="6"/>
      <c r="M13" s="6"/>
      <c r="N13" s="6">
        <f t="shared" si="1"/>
        <v>0</v>
      </c>
      <c r="O13" s="6"/>
      <c r="P13" s="4"/>
    </row>
    <row r="14" ht="16.5" spans="1:16">
      <c r="A14" s="4">
        <v>12</v>
      </c>
      <c r="B14" s="5" t="s">
        <v>34</v>
      </c>
      <c r="C14" s="5" t="s">
        <v>35</v>
      </c>
      <c r="D14" s="4" t="s">
        <v>40</v>
      </c>
      <c r="E14" s="4" t="s">
        <v>41</v>
      </c>
      <c r="F14" s="6">
        <v>56878.61</v>
      </c>
      <c r="G14" s="6">
        <v>2822</v>
      </c>
      <c r="H14" s="6">
        <f t="shared" si="0"/>
        <v>59700.61</v>
      </c>
      <c r="I14" s="6">
        <v>2822</v>
      </c>
      <c r="J14" s="4"/>
      <c r="L14" s="6"/>
      <c r="M14" s="6"/>
      <c r="N14" s="6">
        <f t="shared" si="1"/>
        <v>0</v>
      </c>
      <c r="O14" s="6"/>
      <c r="P14" s="4"/>
    </row>
    <row r="15" ht="16.5" spans="1:16">
      <c r="A15" s="4">
        <v>13</v>
      </c>
      <c r="B15" s="5" t="s">
        <v>34</v>
      </c>
      <c r="C15" s="5" t="s">
        <v>35</v>
      </c>
      <c r="D15" s="4" t="s">
        <v>42</v>
      </c>
      <c r="E15" s="4" t="s">
        <v>43</v>
      </c>
      <c r="F15" s="6">
        <v>2426</v>
      </c>
      <c r="G15" s="6">
        <v>0</v>
      </c>
      <c r="H15" s="6">
        <f t="shared" si="0"/>
        <v>2426</v>
      </c>
      <c r="I15" s="6">
        <v>0</v>
      </c>
      <c r="J15" s="4"/>
      <c r="L15" s="6"/>
      <c r="M15" s="6"/>
      <c r="N15" s="6">
        <f t="shared" si="1"/>
        <v>0</v>
      </c>
      <c r="O15" s="6"/>
      <c r="P15" s="4"/>
    </row>
    <row r="16" ht="16.5" spans="1:16">
      <c r="A16" s="4">
        <v>14</v>
      </c>
      <c r="B16" s="5" t="s">
        <v>34</v>
      </c>
      <c r="C16" s="5" t="s">
        <v>35</v>
      </c>
      <c r="D16" s="4" t="s">
        <v>44</v>
      </c>
      <c r="E16" s="4" t="s">
        <v>45</v>
      </c>
      <c r="F16" s="6">
        <v>68.29</v>
      </c>
      <c r="G16" s="6">
        <v>0</v>
      </c>
      <c r="H16" s="6">
        <f t="shared" si="0"/>
        <v>68.29</v>
      </c>
      <c r="I16" s="6">
        <v>0</v>
      </c>
      <c r="J16" s="4"/>
      <c r="L16" s="6"/>
      <c r="M16" s="6"/>
      <c r="N16" s="6">
        <f t="shared" si="1"/>
        <v>0</v>
      </c>
      <c r="O16" s="6"/>
      <c r="P16" s="4"/>
    </row>
    <row r="17" ht="16.5" spans="1:16">
      <c r="A17" s="4">
        <v>15</v>
      </c>
      <c r="B17" s="5" t="s">
        <v>34</v>
      </c>
      <c r="C17" s="5" t="s">
        <v>35</v>
      </c>
      <c r="D17" s="4" t="s">
        <v>46</v>
      </c>
      <c r="E17" s="4" t="s">
        <v>47</v>
      </c>
      <c r="F17" s="6">
        <v>15909.01</v>
      </c>
      <c r="G17" s="6">
        <v>0</v>
      </c>
      <c r="H17" s="6">
        <f t="shared" si="0"/>
        <v>15909.01</v>
      </c>
      <c r="I17" s="6">
        <v>0</v>
      </c>
      <c r="J17" s="4"/>
      <c r="L17" s="6"/>
      <c r="M17" s="6"/>
      <c r="N17" s="6">
        <f t="shared" si="1"/>
        <v>0</v>
      </c>
      <c r="O17" s="6"/>
      <c r="P17" s="4"/>
    </row>
    <row r="18" ht="16.5" spans="1:16">
      <c r="A18" s="4">
        <v>16</v>
      </c>
      <c r="B18" s="5" t="s">
        <v>34</v>
      </c>
      <c r="C18" s="5" t="s">
        <v>35</v>
      </c>
      <c r="D18" s="4" t="s">
        <v>48</v>
      </c>
      <c r="E18" s="4" t="s">
        <v>49</v>
      </c>
      <c r="F18" s="6">
        <v>0</v>
      </c>
      <c r="G18" s="6">
        <v>2318.18</v>
      </c>
      <c r="H18" s="6">
        <f t="shared" si="0"/>
        <v>2318.18</v>
      </c>
      <c r="I18" s="6">
        <v>1622.93</v>
      </c>
      <c r="J18" s="4"/>
      <c r="L18" s="6"/>
      <c r="M18" s="6"/>
      <c r="N18" s="6">
        <f t="shared" si="1"/>
        <v>0</v>
      </c>
      <c r="O18" s="6"/>
      <c r="P18" s="4"/>
    </row>
    <row r="19" ht="16.5" spans="1:16">
      <c r="A19" s="4">
        <v>17</v>
      </c>
      <c r="B19" s="5" t="s">
        <v>34</v>
      </c>
      <c r="C19" s="5" t="s">
        <v>35</v>
      </c>
      <c r="D19" s="4" t="s">
        <v>50</v>
      </c>
      <c r="E19" s="4" t="s">
        <v>51</v>
      </c>
      <c r="F19" s="6">
        <v>80139.39</v>
      </c>
      <c r="G19" s="6">
        <v>0</v>
      </c>
      <c r="H19" s="6">
        <f t="shared" si="0"/>
        <v>80139.39</v>
      </c>
      <c r="I19" s="6">
        <v>0</v>
      </c>
      <c r="J19" s="4"/>
      <c r="L19" s="6"/>
      <c r="M19" s="6"/>
      <c r="N19" s="6">
        <f t="shared" si="1"/>
        <v>0</v>
      </c>
      <c r="O19" s="6"/>
      <c r="P19" s="4"/>
    </row>
    <row r="20" ht="16.5" spans="1:16">
      <c r="A20" s="4">
        <v>18</v>
      </c>
      <c r="B20" s="5" t="s">
        <v>34</v>
      </c>
      <c r="C20" s="5" t="s">
        <v>35</v>
      </c>
      <c r="D20" s="4" t="s">
        <v>52</v>
      </c>
      <c r="E20" s="4" t="s">
        <v>53</v>
      </c>
      <c r="F20" s="6">
        <v>4162.93</v>
      </c>
      <c r="G20" s="6">
        <v>0</v>
      </c>
      <c r="H20" s="6">
        <f t="shared" si="0"/>
        <v>4162.93</v>
      </c>
      <c r="I20" s="6">
        <v>0</v>
      </c>
      <c r="J20" s="4"/>
      <c r="L20" s="6"/>
      <c r="M20" s="6"/>
      <c r="N20" s="6">
        <f t="shared" si="1"/>
        <v>0</v>
      </c>
      <c r="O20" s="6"/>
      <c r="P20" s="4"/>
    </row>
    <row r="21" ht="16.5" spans="1:16">
      <c r="A21" s="4">
        <v>19</v>
      </c>
      <c r="B21" s="5" t="s">
        <v>34</v>
      </c>
      <c r="C21" s="5" t="s">
        <v>35</v>
      </c>
      <c r="D21" s="4" t="s">
        <v>54</v>
      </c>
      <c r="E21" s="4" t="s">
        <v>55</v>
      </c>
      <c r="F21" s="6">
        <v>43400.54</v>
      </c>
      <c r="G21" s="6">
        <v>651</v>
      </c>
      <c r="H21" s="6">
        <f t="shared" si="0"/>
        <v>44051.54</v>
      </c>
      <c r="I21" s="6">
        <v>651</v>
      </c>
      <c r="J21" s="4"/>
      <c r="L21" s="6"/>
      <c r="M21" s="6"/>
      <c r="N21" s="6">
        <f t="shared" si="1"/>
        <v>0</v>
      </c>
      <c r="O21" s="6"/>
      <c r="P21" s="4"/>
    </row>
    <row r="22" ht="16.5" spans="1:16">
      <c r="A22" s="4">
        <v>20</v>
      </c>
      <c r="B22" s="5" t="s">
        <v>34</v>
      </c>
      <c r="C22" s="5" t="s">
        <v>35</v>
      </c>
      <c r="D22" s="4" t="s">
        <v>56</v>
      </c>
      <c r="E22" s="4" t="s">
        <v>57</v>
      </c>
      <c r="F22" s="6">
        <v>13</v>
      </c>
      <c r="G22" s="6">
        <v>0</v>
      </c>
      <c r="H22" s="6">
        <f t="shared" si="0"/>
        <v>13</v>
      </c>
      <c r="I22" s="6">
        <v>0</v>
      </c>
      <c r="J22" s="4"/>
      <c r="L22" s="6"/>
      <c r="M22" s="6"/>
      <c r="N22" s="6">
        <f t="shared" si="1"/>
        <v>0</v>
      </c>
      <c r="O22" s="6"/>
      <c r="P22" s="4"/>
    </row>
    <row r="23" customFormat="1" ht="16.5" spans="1:16">
      <c r="A23" s="4">
        <v>21</v>
      </c>
      <c r="B23" s="5" t="s">
        <v>34</v>
      </c>
      <c r="C23" s="5" t="s">
        <v>35</v>
      </c>
      <c r="D23" s="4" t="s">
        <v>58</v>
      </c>
      <c r="E23" s="4" t="s">
        <v>59</v>
      </c>
      <c r="F23" s="6">
        <v>210834</v>
      </c>
      <c r="G23" s="6">
        <v>0</v>
      </c>
      <c r="H23" s="6">
        <f t="shared" si="0"/>
        <v>210834</v>
      </c>
      <c r="I23" s="6">
        <v>0</v>
      </c>
      <c r="J23" s="4"/>
      <c r="L23" s="6"/>
      <c r="M23" s="6"/>
      <c r="N23" s="6">
        <f t="shared" si="1"/>
        <v>0</v>
      </c>
      <c r="O23" s="6"/>
      <c r="P23" s="4"/>
    </row>
    <row r="24" customFormat="1" ht="16.5" spans="1:16">
      <c r="A24" s="4">
        <v>22</v>
      </c>
      <c r="B24" s="5" t="s">
        <v>34</v>
      </c>
      <c r="C24" s="5" t="s">
        <v>35</v>
      </c>
      <c r="D24" s="4" t="s">
        <v>60</v>
      </c>
      <c r="E24" s="4" t="s">
        <v>61</v>
      </c>
      <c r="F24" s="6">
        <v>10150</v>
      </c>
      <c r="G24" s="6">
        <v>1108</v>
      </c>
      <c r="H24" s="6">
        <f t="shared" si="0"/>
        <v>11258</v>
      </c>
      <c r="I24" s="6">
        <v>1108</v>
      </c>
      <c r="J24" s="4"/>
      <c r="L24" s="6"/>
      <c r="M24" s="6"/>
      <c r="N24" s="6">
        <f t="shared" si="1"/>
        <v>0</v>
      </c>
      <c r="O24" s="6"/>
      <c r="P24" s="4"/>
    </row>
    <row r="25" customFormat="1" ht="16.5" spans="1:16">
      <c r="A25" s="4">
        <v>23</v>
      </c>
      <c r="B25" s="5" t="s">
        <v>34</v>
      </c>
      <c r="C25" s="5" t="s">
        <v>35</v>
      </c>
      <c r="D25" s="4" t="s">
        <v>48</v>
      </c>
      <c r="E25" s="4" t="s">
        <v>62</v>
      </c>
      <c r="F25" s="6">
        <v>22084</v>
      </c>
      <c r="G25" s="6">
        <v>0</v>
      </c>
      <c r="H25" s="6">
        <f t="shared" si="0"/>
        <v>22084</v>
      </c>
      <c r="I25" s="6">
        <v>0</v>
      </c>
      <c r="J25" s="4"/>
      <c r="L25" s="6"/>
      <c r="M25" s="6"/>
      <c r="N25" s="6">
        <f t="shared" si="1"/>
        <v>0</v>
      </c>
      <c r="O25" s="6"/>
      <c r="P25" s="4"/>
    </row>
    <row r="26" customFormat="1" ht="16.5" spans="1:16">
      <c r="A26" s="4">
        <v>24</v>
      </c>
      <c r="B26" s="5" t="s">
        <v>34</v>
      </c>
      <c r="C26" s="5" t="s">
        <v>35</v>
      </c>
      <c r="D26" s="4" t="s">
        <v>63</v>
      </c>
      <c r="E26" s="4" t="s">
        <v>64</v>
      </c>
      <c r="F26" s="6">
        <v>104531.74</v>
      </c>
      <c r="G26" s="6">
        <v>0</v>
      </c>
      <c r="H26" s="6">
        <f t="shared" si="0"/>
        <v>104531.74</v>
      </c>
      <c r="I26" s="6">
        <v>0</v>
      </c>
      <c r="J26" s="4"/>
      <c r="L26" s="6"/>
      <c r="M26" s="6"/>
      <c r="N26" s="6">
        <f t="shared" si="1"/>
        <v>0</v>
      </c>
      <c r="O26" s="6"/>
      <c r="P26" s="4"/>
    </row>
    <row r="27" customFormat="1" ht="16.5" spans="1:16">
      <c r="A27" s="4">
        <v>25</v>
      </c>
      <c r="B27" s="5" t="s">
        <v>34</v>
      </c>
      <c r="C27" s="5" t="s">
        <v>35</v>
      </c>
      <c r="D27" s="4" t="s">
        <v>65</v>
      </c>
      <c r="E27" s="4" t="s">
        <v>66</v>
      </c>
      <c r="F27" s="6">
        <v>10939.84</v>
      </c>
      <c r="G27" s="6">
        <v>0</v>
      </c>
      <c r="H27" s="6">
        <f t="shared" si="0"/>
        <v>10939.84</v>
      </c>
      <c r="I27" s="6">
        <v>0</v>
      </c>
      <c r="J27" s="4"/>
      <c r="K27" t="s">
        <v>33</v>
      </c>
      <c r="L27" s="6"/>
      <c r="M27" s="6"/>
      <c r="N27" s="6">
        <f t="shared" si="1"/>
        <v>0</v>
      </c>
      <c r="O27" s="6"/>
      <c r="P27" s="4"/>
    </row>
    <row r="28" customFormat="1" ht="16.5" spans="1:16">
      <c r="A28" s="4">
        <v>26</v>
      </c>
      <c r="B28" s="5" t="s">
        <v>34</v>
      </c>
      <c r="C28" s="5" t="s">
        <v>35</v>
      </c>
      <c r="D28" s="4" t="s">
        <v>50</v>
      </c>
      <c r="E28" s="4" t="s">
        <v>67</v>
      </c>
      <c r="F28" s="6">
        <v>10187.1</v>
      </c>
      <c r="G28" s="6">
        <v>224369.44</v>
      </c>
      <c r="H28" s="6">
        <f t="shared" si="0"/>
        <v>234556.54</v>
      </c>
      <c r="I28" s="6">
        <v>169218.74</v>
      </c>
      <c r="J28" s="4"/>
      <c r="K28" t="s">
        <v>33</v>
      </c>
      <c r="L28" s="6"/>
      <c r="M28" s="6"/>
      <c r="N28" s="6">
        <f t="shared" si="1"/>
        <v>0</v>
      </c>
      <c r="O28" s="6"/>
      <c r="P28" s="4"/>
    </row>
    <row r="29" customFormat="1" ht="16.5" spans="1:16">
      <c r="A29" s="4">
        <v>27</v>
      </c>
      <c r="B29" s="5" t="s">
        <v>34</v>
      </c>
      <c r="C29" s="5" t="s">
        <v>68</v>
      </c>
      <c r="D29" s="4" t="s">
        <v>69</v>
      </c>
      <c r="E29" s="4" t="s">
        <v>70</v>
      </c>
      <c r="F29" s="6">
        <v>28372.29</v>
      </c>
      <c r="G29" s="6">
        <v>0</v>
      </c>
      <c r="H29" s="6">
        <f t="shared" si="0"/>
        <v>28372.29</v>
      </c>
      <c r="I29" s="6">
        <v>0</v>
      </c>
      <c r="J29" s="4"/>
      <c r="L29" s="6"/>
      <c r="M29" s="6"/>
      <c r="N29" s="6">
        <f t="shared" si="1"/>
        <v>0</v>
      </c>
      <c r="O29" s="6"/>
      <c r="P29" s="4"/>
    </row>
    <row r="30" customFormat="1" ht="16.5" spans="1:16">
      <c r="A30" s="4">
        <v>28</v>
      </c>
      <c r="B30" s="5" t="s">
        <v>34</v>
      </c>
      <c r="C30" s="5" t="s">
        <v>71</v>
      </c>
      <c r="D30" s="4" t="s">
        <v>72</v>
      </c>
      <c r="E30" s="4" t="s">
        <v>73</v>
      </c>
      <c r="F30" s="6">
        <v>3416.93</v>
      </c>
      <c r="G30" s="6">
        <v>0</v>
      </c>
      <c r="H30" s="6">
        <f t="shared" si="0"/>
        <v>3416.93</v>
      </c>
      <c r="I30" s="6">
        <v>0</v>
      </c>
      <c r="J30" s="4"/>
      <c r="L30" s="6"/>
      <c r="M30" s="6"/>
      <c r="N30" s="6">
        <f t="shared" si="1"/>
        <v>0</v>
      </c>
      <c r="O30" s="6"/>
      <c r="P30" s="4"/>
    </row>
    <row r="31" customFormat="1" ht="16.5" spans="1:16">
      <c r="A31" s="4">
        <v>29</v>
      </c>
      <c r="B31" s="5" t="s">
        <v>34</v>
      </c>
      <c r="C31" s="5" t="s">
        <v>71</v>
      </c>
      <c r="D31" s="4" t="s">
        <v>74</v>
      </c>
      <c r="E31" s="4" t="s">
        <v>75</v>
      </c>
      <c r="F31" s="6">
        <v>83274.94</v>
      </c>
      <c r="G31" s="6">
        <v>0</v>
      </c>
      <c r="H31" s="6">
        <f t="shared" si="0"/>
        <v>83274.94</v>
      </c>
      <c r="I31" s="6">
        <v>0</v>
      </c>
      <c r="J31" s="4"/>
      <c r="L31" s="6"/>
      <c r="M31" s="6"/>
      <c r="N31" s="6">
        <f t="shared" si="1"/>
        <v>0</v>
      </c>
      <c r="O31" s="6"/>
      <c r="P31" s="4"/>
    </row>
    <row r="32" customFormat="1" ht="16.5" spans="1:16">
      <c r="A32" s="4">
        <v>30</v>
      </c>
      <c r="B32" s="5" t="s">
        <v>34</v>
      </c>
      <c r="C32" s="5" t="s">
        <v>71</v>
      </c>
      <c r="D32" s="4" t="s">
        <v>76</v>
      </c>
      <c r="E32" s="4" t="s">
        <v>77</v>
      </c>
      <c r="F32" s="6">
        <v>30</v>
      </c>
      <c r="G32" s="6">
        <v>0</v>
      </c>
      <c r="H32" s="6">
        <f t="shared" si="0"/>
        <v>30</v>
      </c>
      <c r="I32" s="6">
        <v>0</v>
      </c>
      <c r="J32" s="4"/>
      <c r="L32" s="6"/>
      <c r="M32" s="6"/>
      <c r="N32" s="6">
        <f t="shared" si="1"/>
        <v>0</v>
      </c>
      <c r="O32" s="6"/>
      <c r="P32" s="4"/>
    </row>
    <row r="33" customFormat="1" ht="16.5" spans="1:16">
      <c r="A33" s="4">
        <v>31</v>
      </c>
      <c r="B33" s="5" t="s">
        <v>34</v>
      </c>
      <c r="C33" s="5" t="s">
        <v>71</v>
      </c>
      <c r="D33" s="4" t="s">
        <v>78</v>
      </c>
      <c r="E33" s="4" t="s">
        <v>79</v>
      </c>
      <c r="F33" s="6">
        <v>73238.53</v>
      </c>
      <c r="G33" s="6">
        <v>0</v>
      </c>
      <c r="H33" s="6">
        <f t="shared" si="0"/>
        <v>73238.53</v>
      </c>
      <c r="I33" s="6">
        <v>0</v>
      </c>
      <c r="J33" s="4"/>
      <c r="L33" s="6"/>
      <c r="M33" s="6"/>
      <c r="N33" s="6">
        <f t="shared" si="1"/>
        <v>0</v>
      </c>
      <c r="O33" s="6"/>
      <c r="P33" s="4"/>
    </row>
    <row r="34" customFormat="1" ht="16.5" spans="1:16">
      <c r="A34" s="4">
        <v>32</v>
      </c>
      <c r="B34" s="5" t="s">
        <v>34</v>
      </c>
      <c r="C34" s="5" t="s">
        <v>71</v>
      </c>
      <c r="D34" s="4" t="s">
        <v>80</v>
      </c>
      <c r="E34" s="4" t="s">
        <v>81</v>
      </c>
      <c r="F34" s="6">
        <v>85025.43</v>
      </c>
      <c r="G34" s="6">
        <v>0</v>
      </c>
      <c r="H34" s="6">
        <f t="shared" si="0"/>
        <v>85025.43</v>
      </c>
      <c r="I34" s="6">
        <v>0</v>
      </c>
      <c r="J34" s="4"/>
      <c r="L34" s="6"/>
      <c r="M34" s="6"/>
      <c r="N34" s="6">
        <f t="shared" si="1"/>
        <v>0</v>
      </c>
      <c r="O34" s="6"/>
      <c r="P34" s="4"/>
    </row>
    <row r="35" customFormat="1" ht="16.5" spans="1:16">
      <c r="A35" s="4">
        <v>33</v>
      </c>
      <c r="B35" s="5" t="s">
        <v>82</v>
      </c>
      <c r="C35" s="5" t="s">
        <v>83</v>
      </c>
      <c r="D35" s="4" t="s">
        <v>84</v>
      </c>
      <c r="E35" s="4" t="s">
        <v>85</v>
      </c>
      <c r="F35" s="6">
        <v>39621.68</v>
      </c>
      <c r="G35" s="6">
        <v>0</v>
      </c>
      <c r="H35" s="6">
        <f t="shared" si="0"/>
        <v>39621.68</v>
      </c>
      <c r="I35" s="6">
        <v>0</v>
      </c>
      <c r="J35" s="4"/>
      <c r="L35" s="6"/>
      <c r="M35" s="6"/>
      <c r="N35" s="6">
        <f t="shared" si="1"/>
        <v>0</v>
      </c>
      <c r="O35" s="6"/>
      <c r="P35" s="4"/>
    </row>
    <row r="36" customFormat="1" ht="16.5" spans="1:16">
      <c r="A36" s="4">
        <v>34</v>
      </c>
      <c r="B36" s="5" t="s">
        <v>82</v>
      </c>
      <c r="C36" s="5" t="s">
        <v>83</v>
      </c>
      <c r="D36" s="4" t="s">
        <v>86</v>
      </c>
      <c r="E36" s="4" t="s">
        <v>87</v>
      </c>
      <c r="F36" s="6">
        <v>163116.29</v>
      </c>
      <c r="G36" s="6">
        <v>0</v>
      </c>
      <c r="H36" s="6">
        <f t="shared" si="0"/>
        <v>163116.29</v>
      </c>
      <c r="I36" s="6">
        <v>0</v>
      </c>
      <c r="J36" s="4"/>
      <c r="L36" s="6"/>
      <c r="M36" s="6"/>
      <c r="N36" s="6">
        <f t="shared" si="1"/>
        <v>0</v>
      </c>
      <c r="O36" s="6"/>
      <c r="P36" s="4"/>
    </row>
    <row r="37" customFormat="1" ht="16.5" spans="1:16">
      <c r="A37" s="4">
        <v>35</v>
      </c>
      <c r="B37" s="5" t="s">
        <v>82</v>
      </c>
      <c r="C37" s="5" t="s">
        <v>83</v>
      </c>
      <c r="D37" s="4" t="s">
        <v>88</v>
      </c>
      <c r="E37" s="4" t="s">
        <v>89</v>
      </c>
      <c r="F37" s="6">
        <v>54</v>
      </c>
      <c r="G37" s="6">
        <v>0</v>
      </c>
      <c r="H37" s="6">
        <f t="shared" si="0"/>
        <v>54</v>
      </c>
      <c r="I37" s="6">
        <v>0</v>
      </c>
      <c r="J37" s="4"/>
      <c r="L37" s="6"/>
      <c r="M37" s="6"/>
      <c r="N37" s="6">
        <f t="shared" si="1"/>
        <v>0</v>
      </c>
      <c r="O37" s="6"/>
      <c r="P37" s="4"/>
    </row>
    <row r="38" customFormat="1" ht="16.5" spans="1:16">
      <c r="A38" s="4">
        <v>36</v>
      </c>
      <c r="B38" s="5" t="s">
        <v>82</v>
      </c>
      <c r="C38" s="5" t="s">
        <v>83</v>
      </c>
      <c r="D38" s="4" t="s">
        <v>90</v>
      </c>
      <c r="E38" s="4" t="s">
        <v>91</v>
      </c>
      <c r="F38" s="6">
        <v>2798</v>
      </c>
      <c r="G38" s="6">
        <v>0</v>
      </c>
      <c r="H38" s="6">
        <f t="shared" si="0"/>
        <v>2798</v>
      </c>
      <c r="I38" s="6">
        <v>0</v>
      </c>
      <c r="J38" s="4"/>
      <c r="L38" s="6"/>
      <c r="M38" s="6"/>
      <c r="N38" s="6">
        <f t="shared" si="1"/>
        <v>0</v>
      </c>
      <c r="O38" s="6"/>
      <c r="P38" s="4"/>
    </row>
    <row r="39" customFormat="1" ht="16.5" spans="1:16">
      <c r="A39" s="4">
        <v>37</v>
      </c>
      <c r="B39" s="5" t="s">
        <v>82</v>
      </c>
      <c r="C39" s="5" t="s">
        <v>83</v>
      </c>
      <c r="D39" s="4" t="s">
        <v>92</v>
      </c>
      <c r="E39" s="4" t="s">
        <v>93</v>
      </c>
      <c r="F39" s="6">
        <v>123</v>
      </c>
      <c r="G39" s="6">
        <v>0</v>
      </c>
      <c r="H39" s="6">
        <f t="shared" si="0"/>
        <v>123</v>
      </c>
      <c r="I39" s="6">
        <v>0</v>
      </c>
      <c r="J39" s="4"/>
      <c r="L39" s="6"/>
      <c r="M39" s="6"/>
      <c r="N39" s="6">
        <f t="shared" si="1"/>
        <v>0</v>
      </c>
      <c r="O39" s="6"/>
      <c r="P39" s="4"/>
    </row>
    <row r="40" customFormat="1" ht="16.5" spans="1:16">
      <c r="A40" s="4">
        <v>38</v>
      </c>
      <c r="B40" s="5" t="s">
        <v>82</v>
      </c>
      <c r="C40" s="5" t="s">
        <v>83</v>
      </c>
      <c r="D40" s="4" t="s">
        <v>94</v>
      </c>
      <c r="E40" s="4" t="s">
        <v>95</v>
      </c>
      <c r="F40" s="6">
        <v>32470.47</v>
      </c>
      <c r="G40" s="6">
        <v>0</v>
      </c>
      <c r="H40" s="6">
        <f t="shared" si="0"/>
        <v>32470.47</v>
      </c>
      <c r="I40" s="6">
        <v>0</v>
      </c>
      <c r="J40" s="4"/>
      <c r="L40" s="6"/>
      <c r="M40" s="6"/>
      <c r="N40" s="6">
        <f t="shared" si="1"/>
        <v>0</v>
      </c>
      <c r="O40" s="6"/>
      <c r="P40" s="4"/>
    </row>
    <row r="41" customFormat="1" ht="16.5" spans="1:16">
      <c r="A41" s="4">
        <v>39</v>
      </c>
      <c r="B41" s="5" t="s">
        <v>82</v>
      </c>
      <c r="C41" s="5" t="s">
        <v>83</v>
      </c>
      <c r="D41" s="4" t="s">
        <v>96</v>
      </c>
      <c r="E41" s="4" t="s">
        <v>97</v>
      </c>
      <c r="F41" s="6">
        <v>5648.5</v>
      </c>
      <c r="G41" s="6">
        <v>0</v>
      </c>
      <c r="H41" s="6">
        <f t="shared" si="0"/>
        <v>5648.5</v>
      </c>
      <c r="I41" s="6">
        <v>0</v>
      </c>
      <c r="J41" s="4"/>
      <c r="L41" s="6"/>
      <c r="M41" s="6"/>
      <c r="N41" s="6">
        <f t="shared" si="1"/>
        <v>0</v>
      </c>
      <c r="O41" s="6"/>
      <c r="P41" s="4"/>
    </row>
    <row r="42" customFormat="1" ht="16.5" spans="1:16">
      <c r="A42" s="4">
        <v>40</v>
      </c>
      <c r="B42" s="5" t="s">
        <v>82</v>
      </c>
      <c r="C42" s="5" t="s">
        <v>83</v>
      </c>
      <c r="D42" s="4" t="s">
        <v>98</v>
      </c>
      <c r="E42" s="4" t="s">
        <v>99</v>
      </c>
      <c r="F42" s="6">
        <v>59</v>
      </c>
      <c r="G42" s="6">
        <v>1996</v>
      </c>
      <c r="H42" s="6">
        <f t="shared" si="0"/>
        <v>2055</v>
      </c>
      <c r="I42" s="6">
        <v>1996</v>
      </c>
      <c r="J42" s="4"/>
      <c r="K42" t="s">
        <v>33</v>
      </c>
      <c r="L42" s="6"/>
      <c r="M42" s="6"/>
      <c r="N42" s="6">
        <f t="shared" si="1"/>
        <v>0</v>
      </c>
      <c r="O42" s="6"/>
      <c r="P42" s="4"/>
    </row>
    <row r="43" customFormat="1" ht="16.5" spans="1:16">
      <c r="A43" s="4">
        <v>41</v>
      </c>
      <c r="B43" s="5" t="s">
        <v>82</v>
      </c>
      <c r="C43" s="5" t="s">
        <v>83</v>
      </c>
      <c r="D43" s="4" t="s">
        <v>100</v>
      </c>
      <c r="E43" s="4" t="s">
        <v>101</v>
      </c>
      <c r="F43" s="6">
        <v>828</v>
      </c>
      <c r="G43" s="6">
        <v>0</v>
      </c>
      <c r="H43" s="6">
        <f t="shared" si="0"/>
        <v>828</v>
      </c>
      <c r="I43" s="6">
        <v>0</v>
      </c>
      <c r="J43" s="4"/>
      <c r="K43" t="s">
        <v>33</v>
      </c>
      <c r="L43" s="6"/>
      <c r="M43" s="6"/>
      <c r="N43" s="6">
        <f t="shared" si="1"/>
        <v>0</v>
      </c>
      <c r="O43" s="6"/>
      <c r="P43" s="4"/>
    </row>
    <row r="44" customFormat="1" ht="16.5" spans="1:16">
      <c r="A44" s="4">
        <v>42</v>
      </c>
      <c r="B44" s="5" t="s">
        <v>82</v>
      </c>
      <c r="C44" s="5" t="s">
        <v>83</v>
      </c>
      <c r="D44" s="4" t="s">
        <v>102</v>
      </c>
      <c r="E44" s="4" t="s">
        <v>103</v>
      </c>
      <c r="F44" s="6">
        <v>0</v>
      </c>
      <c r="G44" s="6">
        <v>3685</v>
      </c>
      <c r="H44" s="6">
        <f t="shared" si="0"/>
        <v>3685</v>
      </c>
      <c r="I44" s="6">
        <v>2948</v>
      </c>
      <c r="J44" s="4"/>
      <c r="K44" t="s">
        <v>33</v>
      </c>
      <c r="L44" s="6"/>
      <c r="M44" s="6"/>
      <c r="N44" s="6">
        <f t="shared" si="1"/>
        <v>0</v>
      </c>
      <c r="O44" s="6"/>
      <c r="P44" s="4"/>
    </row>
    <row r="45" customFormat="1" ht="16.5" spans="1:16">
      <c r="A45" s="4">
        <v>43</v>
      </c>
      <c r="B45" s="5" t="s">
        <v>82</v>
      </c>
      <c r="C45" s="5" t="s">
        <v>104</v>
      </c>
      <c r="D45" s="4" t="s">
        <v>105</v>
      </c>
      <c r="E45" s="4" t="s">
        <v>106</v>
      </c>
      <c r="F45" s="6">
        <v>64223</v>
      </c>
      <c r="G45" s="6">
        <v>0</v>
      </c>
      <c r="H45" s="6">
        <f t="shared" si="0"/>
        <v>64223</v>
      </c>
      <c r="I45" s="6">
        <v>0</v>
      </c>
      <c r="J45" s="4"/>
      <c r="L45" s="6"/>
      <c r="M45" s="6"/>
      <c r="N45" s="6">
        <f t="shared" si="1"/>
        <v>0</v>
      </c>
      <c r="O45" s="6"/>
      <c r="P45" s="4"/>
    </row>
    <row r="46" customFormat="1" ht="16.5" spans="1:16">
      <c r="A46" s="4">
        <v>44</v>
      </c>
      <c r="B46" s="5" t="s">
        <v>82</v>
      </c>
      <c r="C46" s="5" t="s">
        <v>104</v>
      </c>
      <c r="D46" s="4" t="s">
        <v>107</v>
      </c>
      <c r="E46" s="4" t="s">
        <v>108</v>
      </c>
      <c r="F46" s="6">
        <v>60</v>
      </c>
      <c r="G46" s="6">
        <v>0</v>
      </c>
      <c r="H46" s="6">
        <f t="shared" si="0"/>
        <v>60</v>
      </c>
      <c r="I46" s="6">
        <v>0</v>
      </c>
      <c r="J46" s="4"/>
      <c r="L46" s="6"/>
      <c r="M46" s="6"/>
      <c r="N46" s="6">
        <f t="shared" si="1"/>
        <v>0</v>
      </c>
      <c r="O46" s="6"/>
      <c r="P46" s="4"/>
    </row>
    <row r="47" customFormat="1" ht="16.5" spans="1:16">
      <c r="A47" s="4">
        <v>45</v>
      </c>
      <c r="B47" s="5" t="s">
        <v>82</v>
      </c>
      <c r="C47" s="5" t="s">
        <v>104</v>
      </c>
      <c r="D47" s="4" t="s">
        <v>109</v>
      </c>
      <c r="E47" s="4" t="s">
        <v>110</v>
      </c>
      <c r="F47" s="6">
        <v>130160.02</v>
      </c>
      <c r="G47" s="6">
        <v>0</v>
      </c>
      <c r="H47" s="6">
        <f t="shared" si="0"/>
        <v>130160.02</v>
      </c>
      <c r="I47" s="6">
        <v>0</v>
      </c>
      <c r="J47" s="4"/>
      <c r="L47" s="6"/>
      <c r="M47" s="6"/>
      <c r="N47" s="6">
        <f t="shared" si="1"/>
        <v>0</v>
      </c>
      <c r="O47" s="6"/>
      <c r="P47" s="4"/>
    </row>
    <row r="48" customFormat="1" ht="16.5" spans="1:16">
      <c r="A48" s="4">
        <v>46</v>
      </c>
      <c r="B48" s="5" t="s">
        <v>82</v>
      </c>
      <c r="C48" s="5" t="s">
        <v>104</v>
      </c>
      <c r="D48" s="4" t="s">
        <v>111</v>
      </c>
      <c r="E48" s="4" t="s">
        <v>112</v>
      </c>
      <c r="F48" s="6">
        <v>101706.45</v>
      </c>
      <c r="G48" s="6">
        <v>0</v>
      </c>
      <c r="H48" s="6">
        <f t="shared" si="0"/>
        <v>101706.45</v>
      </c>
      <c r="I48" s="6">
        <v>0</v>
      </c>
      <c r="J48" s="4"/>
      <c r="L48" s="6"/>
      <c r="M48" s="6"/>
      <c r="N48" s="6">
        <f t="shared" si="1"/>
        <v>0</v>
      </c>
      <c r="O48" s="6"/>
      <c r="P48" s="4"/>
    </row>
    <row r="49" customFormat="1" ht="16.5" spans="1:16">
      <c r="A49" s="4">
        <v>47</v>
      </c>
      <c r="B49" s="5" t="s">
        <v>82</v>
      </c>
      <c r="C49" s="5" t="s">
        <v>104</v>
      </c>
      <c r="D49" s="4" t="s">
        <v>113</v>
      </c>
      <c r="E49" s="4" t="s">
        <v>114</v>
      </c>
      <c r="F49" s="6">
        <v>0</v>
      </c>
      <c r="G49" s="6">
        <v>95.2</v>
      </c>
      <c r="H49" s="6">
        <f t="shared" si="0"/>
        <v>95.2</v>
      </c>
      <c r="I49" s="6">
        <v>95.2</v>
      </c>
      <c r="J49" s="4"/>
      <c r="L49" s="6"/>
      <c r="M49" s="6"/>
      <c r="N49" s="6">
        <f t="shared" si="1"/>
        <v>0</v>
      </c>
      <c r="O49" s="6"/>
      <c r="P49" s="4"/>
    </row>
    <row r="50" customFormat="1" ht="16.5" spans="1:16">
      <c r="A50" s="4">
        <v>48</v>
      </c>
      <c r="B50" s="5" t="s">
        <v>82</v>
      </c>
      <c r="C50" s="5" t="s">
        <v>115</v>
      </c>
      <c r="D50" s="4" t="s">
        <v>116</v>
      </c>
      <c r="E50" s="4" t="s">
        <v>117</v>
      </c>
      <c r="F50" s="6">
        <v>6230</v>
      </c>
      <c r="G50" s="6">
        <v>0</v>
      </c>
      <c r="H50" s="6">
        <f t="shared" si="0"/>
        <v>6230</v>
      </c>
      <c r="I50" s="6">
        <v>0</v>
      </c>
      <c r="J50" s="4"/>
      <c r="L50" s="6"/>
      <c r="M50" s="6"/>
      <c r="N50" s="6">
        <f t="shared" si="1"/>
        <v>0</v>
      </c>
      <c r="O50" s="6"/>
      <c r="P50" s="4"/>
    </row>
    <row r="51" customFormat="1" ht="16.5" spans="1:16">
      <c r="A51" s="4">
        <v>49</v>
      </c>
      <c r="B51" s="5" t="s">
        <v>82</v>
      </c>
      <c r="C51" s="5" t="s">
        <v>115</v>
      </c>
      <c r="D51" s="4" t="s">
        <v>118</v>
      </c>
      <c r="E51" s="4" t="s">
        <v>119</v>
      </c>
      <c r="F51" s="6">
        <v>30081.09</v>
      </c>
      <c r="G51" s="6">
        <v>0</v>
      </c>
      <c r="H51" s="6">
        <f t="shared" si="0"/>
        <v>30081.09</v>
      </c>
      <c r="I51" s="6">
        <v>0</v>
      </c>
      <c r="J51" s="4"/>
      <c r="L51" s="6"/>
      <c r="M51" s="6"/>
      <c r="N51" s="6">
        <f t="shared" si="1"/>
        <v>0</v>
      </c>
      <c r="O51" s="6"/>
      <c r="P51" s="4"/>
    </row>
    <row r="52" customFormat="1" ht="16.5" spans="1:16">
      <c r="A52" s="4">
        <v>50</v>
      </c>
      <c r="B52" s="5" t="s">
        <v>82</v>
      </c>
      <c r="C52" s="5" t="s">
        <v>120</v>
      </c>
      <c r="D52" s="4" t="s">
        <v>121</v>
      </c>
      <c r="E52" s="4" t="s">
        <v>122</v>
      </c>
      <c r="F52" s="6">
        <v>103998.79</v>
      </c>
      <c r="G52" s="6">
        <v>0</v>
      </c>
      <c r="H52" s="6">
        <f t="shared" si="0"/>
        <v>103998.79</v>
      </c>
      <c r="I52" s="6">
        <v>0</v>
      </c>
      <c r="J52" s="4"/>
      <c r="L52" s="6"/>
      <c r="M52" s="6"/>
      <c r="N52" s="6">
        <f t="shared" si="1"/>
        <v>0</v>
      </c>
      <c r="O52" s="6"/>
      <c r="P52" s="4"/>
    </row>
    <row r="53" customFormat="1" ht="16.5" spans="1:16">
      <c r="A53" s="4">
        <v>51</v>
      </c>
      <c r="B53" s="5" t="s">
        <v>82</v>
      </c>
      <c r="C53" s="5" t="s">
        <v>120</v>
      </c>
      <c r="D53" s="4" t="s">
        <v>123</v>
      </c>
      <c r="E53" s="4" t="s">
        <v>124</v>
      </c>
      <c r="F53" s="6">
        <v>39631</v>
      </c>
      <c r="G53" s="6">
        <v>0</v>
      </c>
      <c r="H53" s="6">
        <f t="shared" si="0"/>
        <v>39631</v>
      </c>
      <c r="I53" s="6">
        <v>0</v>
      </c>
      <c r="J53" s="4"/>
      <c r="L53" s="6"/>
      <c r="M53" s="6"/>
      <c r="N53" s="6">
        <f t="shared" si="1"/>
        <v>0</v>
      </c>
      <c r="O53" s="6"/>
      <c r="P53" s="4"/>
    </row>
    <row r="54" customFormat="1" ht="16.5" spans="1:16">
      <c r="A54" s="4">
        <v>52</v>
      </c>
      <c r="B54" s="5" t="s">
        <v>82</v>
      </c>
      <c r="C54" s="5" t="s">
        <v>120</v>
      </c>
      <c r="D54" s="4" t="s">
        <v>125</v>
      </c>
      <c r="E54" s="4" t="s">
        <v>126</v>
      </c>
      <c r="F54" s="6">
        <v>160057.81</v>
      </c>
      <c r="G54" s="6">
        <v>640</v>
      </c>
      <c r="H54" s="6">
        <f t="shared" si="0"/>
        <v>160697.81</v>
      </c>
      <c r="I54" s="6">
        <v>544</v>
      </c>
      <c r="J54" s="4"/>
      <c r="L54" s="6"/>
      <c r="M54" s="6"/>
      <c r="N54" s="6">
        <f t="shared" si="1"/>
        <v>0</v>
      </c>
      <c r="O54" s="6"/>
      <c r="P54" s="4"/>
    </row>
    <row r="55" customFormat="1" ht="16.5" spans="1:16">
      <c r="A55" s="4">
        <v>53</v>
      </c>
      <c r="B55" s="5" t="s">
        <v>82</v>
      </c>
      <c r="C55" s="5" t="s">
        <v>120</v>
      </c>
      <c r="D55" s="4" t="s">
        <v>127</v>
      </c>
      <c r="E55" s="4" t="s">
        <v>128</v>
      </c>
      <c r="F55" s="6">
        <v>599.22</v>
      </c>
      <c r="G55" s="6">
        <v>0</v>
      </c>
      <c r="H55" s="6">
        <f t="shared" si="0"/>
        <v>599.22</v>
      </c>
      <c r="I55" s="6">
        <v>0</v>
      </c>
      <c r="J55" s="4"/>
      <c r="L55" s="6"/>
      <c r="M55" s="6"/>
      <c r="N55" s="6">
        <f t="shared" si="1"/>
        <v>0</v>
      </c>
      <c r="O55" s="6"/>
      <c r="P55" s="4"/>
    </row>
    <row r="56" customFormat="1" ht="16.5" spans="1:16">
      <c r="A56" s="4">
        <v>54</v>
      </c>
      <c r="B56" s="5" t="s">
        <v>82</v>
      </c>
      <c r="C56" s="5" t="s">
        <v>120</v>
      </c>
      <c r="D56" s="4" t="s">
        <v>129</v>
      </c>
      <c r="E56" s="4" t="s">
        <v>130</v>
      </c>
      <c r="F56" s="6">
        <v>93237.29</v>
      </c>
      <c r="G56" s="6">
        <v>0</v>
      </c>
      <c r="H56" s="6">
        <f t="shared" si="0"/>
        <v>93237.29</v>
      </c>
      <c r="I56" s="6">
        <v>0</v>
      </c>
      <c r="J56" s="4"/>
      <c r="L56" s="6"/>
      <c r="M56" s="6"/>
      <c r="N56" s="6">
        <f t="shared" si="1"/>
        <v>0</v>
      </c>
      <c r="O56" s="6"/>
      <c r="P56" s="4"/>
    </row>
    <row r="57" customFormat="1" ht="16.5" spans="1:16">
      <c r="A57" s="4">
        <v>55</v>
      </c>
      <c r="B57" s="5" t="s">
        <v>82</v>
      </c>
      <c r="C57" s="5" t="s">
        <v>120</v>
      </c>
      <c r="D57" s="4" t="s">
        <v>131</v>
      </c>
      <c r="E57" s="4" t="s">
        <v>132</v>
      </c>
      <c r="F57" s="6">
        <v>11822.7</v>
      </c>
      <c r="G57" s="6">
        <v>0</v>
      </c>
      <c r="H57" s="6">
        <f t="shared" si="0"/>
        <v>11822.7</v>
      </c>
      <c r="I57" s="6">
        <v>0</v>
      </c>
      <c r="J57" s="4"/>
      <c r="L57" s="6"/>
      <c r="M57" s="6"/>
      <c r="N57" s="6">
        <f t="shared" si="1"/>
        <v>0</v>
      </c>
      <c r="O57" s="6"/>
      <c r="P57" s="4"/>
    </row>
    <row r="58" customFormat="1" ht="16.5" spans="1:16">
      <c r="A58" s="4">
        <v>56</v>
      </c>
      <c r="B58" s="5" t="s">
        <v>82</v>
      </c>
      <c r="C58" s="5" t="s">
        <v>120</v>
      </c>
      <c r="D58" s="4" t="s">
        <v>133</v>
      </c>
      <c r="E58" s="4" t="s">
        <v>134</v>
      </c>
      <c r="F58" s="6">
        <v>66314.47</v>
      </c>
      <c r="G58" s="6">
        <v>0</v>
      </c>
      <c r="H58" s="6">
        <f t="shared" si="0"/>
        <v>66314.47</v>
      </c>
      <c r="I58" s="6">
        <v>0</v>
      </c>
      <c r="J58" s="4"/>
      <c r="L58" s="6"/>
      <c r="M58" s="6"/>
      <c r="N58" s="6">
        <f t="shared" si="1"/>
        <v>0</v>
      </c>
      <c r="O58" s="6"/>
      <c r="P58" s="4"/>
    </row>
    <row r="59" customFormat="1" ht="16.5" spans="1:16">
      <c r="A59" s="4">
        <v>57</v>
      </c>
      <c r="B59" s="5" t="s">
        <v>82</v>
      </c>
      <c r="C59" s="5" t="s">
        <v>120</v>
      </c>
      <c r="D59" s="4" t="s">
        <v>135</v>
      </c>
      <c r="E59" s="4" t="s">
        <v>136</v>
      </c>
      <c r="F59" s="6">
        <v>218</v>
      </c>
      <c r="G59" s="6">
        <v>0</v>
      </c>
      <c r="H59" s="6">
        <f t="shared" si="0"/>
        <v>218</v>
      </c>
      <c r="I59" s="6">
        <v>0</v>
      </c>
      <c r="J59" s="4"/>
      <c r="K59" t="s">
        <v>33</v>
      </c>
      <c r="L59" s="6"/>
      <c r="M59" s="6"/>
      <c r="N59" s="6">
        <f t="shared" si="1"/>
        <v>0</v>
      </c>
      <c r="O59" s="6"/>
      <c r="P59" s="4"/>
    </row>
    <row r="60" customFormat="1" ht="16.5" spans="1:16">
      <c r="A60" s="4">
        <v>58</v>
      </c>
      <c r="B60" s="5" t="s">
        <v>82</v>
      </c>
      <c r="C60" s="5" t="s">
        <v>137</v>
      </c>
      <c r="D60" s="4" t="s">
        <v>138</v>
      </c>
      <c r="E60" s="4" t="s">
        <v>139</v>
      </c>
      <c r="F60" s="6">
        <v>14</v>
      </c>
      <c r="G60" s="6">
        <v>0</v>
      </c>
      <c r="H60" s="6">
        <f t="shared" si="0"/>
        <v>14</v>
      </c>
      <c r="I60" s="6">
        <v>0</v>
      </c>
      <c r="J60" s="4"/>
      <c r="L60" s="6"/>
      <c r="M60" s="6"/>
      <c r="N60" s="6">
        <f t="shared" si="1"/>
        <v>0</v>
      </c>
      <c r="O60" s="6"/>
      <c r="P60" s="4"/>
    </row>
    <row r="61" customFormat="1" ht="16.5" spans="1:16">
      <c r="A61" s="4">
        <v>59</v>
      </c>
      <c r="B61" s="5" t="s">
        <v>82</v>
      </c>
      <c r="C61" s="5" t="s">
        <v>137</v>
      </c>
      <c r="D61" s="4" t="s">
        <v>140</v>
      </c>
      <c r="E61" s="4" t="s">
        <v>141</v>
      </c>
      <c r="F61" s="6">
        <v>239</v>
      </c>
      <c r="G61" s="6">
        <v>0</v>
      </c>
      <c r="H61" s="6">
        <f t="shared" si="0"/>
        <v>239</v>
      </c>
      <c r="I61" s="6">
        <v>0</v>
      </c>
      <c r="J61" s="4"/>
      <c r="L61" s="6"/>
      <c r="M61" s="6"/>
      <c r="N61" s="6">
        <f t="shared" si="1"/>
        <v>0</v>
      </c>
      <c r="O61" s="6"/>
      <c r="P61" s="4"/>
    </row>
    <row r="62" customFormat="1" ht="16.5" spans="1:16">
      <c r="A62" s="4">
        <v>60</v>
      </c>
      <c r="B62" s="5" t="s">
        <v>142</v>
      </c>
      <c r="C62" s="5" t="s">
        <v>143</v>
      </c>
      <c r="D62" s="4" t="s">
        <v>144</v>
      </c>
      <c r="E62" s="4" t="s">
        <v>145</v>
      </c>
      <c r="F62" s="6">
        <v>36676.96</v>
      </c>
      <c r="G62" s="6">
        <v>0</v>
      </c>
      <c r="H62" s="6">
        <f t="shared" si="0"/>
        <v>36676.96</v>
      </c>
      <c r="I62" s="6">
        <v>0</v>
      </c>
      <c r="J62" s="4"/>
      <c r="L62" s="6"/>
      <c r="M62" s="6"/>
      <c r="N62" s="6">
        <f t="shared" si="1"/>
        <v>0</v>
      </c>
      <c r="O62" s="6"/>
      <c r="P62" s="4"/>
    </row>
    <row r="63" customFormat="1" ht="16.5" spans="1:16">
      <c r="A63" s="4">
        <v>61</v>
      </c>
      <c r="B63" s="5" t="s">
        <v>142</v>
      </c>
      <c r="C63" s="5" t="s">
        <v>143</v>
      </c>
      <c r="D63" s="4" t="s">
        <v>146</v>
      </c>
      <c r="E63" s="4" t="s">
        <v>147</v>
      </c>
      <c r="F63" s="6">
        <v>23727.83</v>
      </c>
      <c r="G63" s="6">
        <v>0</v>
      </c>
      <c r="H63" s="6">
        <f t="shared" si="0"/>
        <v>23727.83</v>
      </c>
      <c r="I63" s="6">
        <v>0</v>
      </c>
      <c r="J63" s="4"/>
      <c r="L63" s="6"/>
      <c r="M63" s="6"/>
      <c r="N63" s="6">
        <f t="shared" si="1"/>
        <v>0</v>
      </c>
      <c r="O63" s="6"/>
      <c r="P63" s="4"/>
    </row>
    <row r="64" customFormat="1" ht="16.5" spans="1:16">
      <c r="A64" s="4">
        <v>62</v>
      </c>
      <c r="B64" s="5" t="s">
        <v>142</v>
      </c>
      <c r="C64" s="5" t="s">
        <v>143</v>
      </c>
      <c r="D64" s="4" t="s">
        <v>148</v>
      </c>
      <c r="E64" s="4" t="s">
        <v>149</v>
      </c>
      <c r="F64" s="6">
        <v>24</v>
      </c>
      <c r="G64" s="6">
        <v>0</v>
      </c>
      <c r="H64" s="6">
        <f t="shared" si="0"/>
        <v>24</v>
      </c>
      <c r="I64" s="6">
        <v>0</v>
      </c>
      <c r="J64" s="4"/>
      <c r="L64" s="6"/>
      <c r="M64" s="6"/>
      <c r="N64" s="6">
        <f t="shared" si="1"/>
        <v>0</v>
      </c>
      <c r="O64" s="6"/>
      <c r="P64" s="4"/>
    </row>
    <row r="65" customFormat="1" ht="16.5" spans="1:16">
      <c r="A65" s="4">
        <v>63</v>
      </c>
      <c r="B65" s="5" t="s">
        <v>142</v>
      </c>
      <c r="C65" s="5" t="s">
        <v>150</v>
      </c>
      <c r="D65" s="4" t="s">
        <v>151</v>
      </c>
      <c r="E65" s="4" t="s">
        <v>152</v>
      </c>
      <c r="F65" s="6">
        <v>2693</v>
      </c>
      <c r="G65" s="6">
        <v>0</v>
      </c>
      <c r="H65" s="6">
        <f t="shared" si="0"/>
        <v>2693</v>
      </c>
      <c r="I65" s="6">
        <v>0</v>
      </c>
      <c r="J65" s="4"/>
      <c r="L65" s="6"/>
      <c r="M65" s="6"/>
      <c r="N65" s="6">
        <f t="shared" si="1"/>
        <v>0</v>
      </c>
      <c r="O65" s="6"/>
      <c r="P65" s="4"/>
    </row>
    <row r="66" customFormat="1" ht="16.5" spans="1:16">
      <c r="A66" s="4">
        <v>64</v>
      </c>
      <c r="B66" s="5" t="s">
        <v>142</v>
      </c>
      <c r="C66" s="5" t="s">
        <v>150</v>
      </c>
      <c r="D66" s="4" t="s">
        <v>153</v>
      </c>
      <c r="E66" s="4" t="s">
        <v>154</v>
      </c>
      <c r="F66" s="6">
        <v>56002.89</v>
      </c>
      <c r="G66" s="6">
        <v>0</v>
      </c>
      <c r="H66" s="6">
        <f t="shared" si="0"/>
        <v>56002.89</v>
      </c>
      <c r="I66" s="6">
        <v>0</v>
      </c>
      <c r="J66" s="4"/>
      <c r="L66" s="6"/>
      <c r="M66" s="6"/>
      <c r="N66" s="6">
        <f t="shared" si="1"/>
        <v>0</v>
      </c>
      <c r="O66" s="6"/>
      <c r="P66" s="4"/>
    </row>
    <row r="67" customFormat="1" ht="16.5" spans="1:16">
      <c r="A67" s="4">
        <v>65</v>
      </c>
      <c r="B67" s="5" t="s">
        <v>142</v>
      </c>
      <c r="C67" s="5" t="s">
        <v>150</v>
      </c>
      <c r="D67" s="4" t="s">
        <v>155</v>
      </c>
      <c r="E67" s="4" t="s">
        <v>156</v>
      </c>
      <c r="F67" s="6">
        <v>0</v>
      </c>
      <c r="G67" s="6">
        <v>135</v>
      </c>
      <c r="H67" s="6">
        <f t="shared" ref="H67:H116" si="2">SUM(F67:G67)</f>
        <v>135</v>
      </c>
      <c r="I67" s="6">
        <v>135</v>
      </c>
      <c r="J67" s="4"/>
      <c r="L67" s="6"/>
      <c r="M67" s="6"/>
      <c r="N67" s="6">
        <f t="shared" ref="N67:N116" si="3">SUM(L67:M67)</f>
        <v>0</v>
      </c>
      <c r="O67" s="6"/>
      <c r="P67" s="4"/>
    </row>
    <row r="68" customFormat="1" ht="16.5" spans="1:16">
      <c r="A68" s="4">
        <v>66</v>
      </c>
      <c r="B68" s="5" t="s">
        <v>142</v>
      </c>
      <c r="C68" s="5" t="s">
        <v>150</v>
      </c>
      <c r="D68" s="4" t="s">
        <v>157</v>
      </c>
      <c r="E68" s="4" t="s">
        <v>158</v>
      </c>
      <c r="F68" s="6">
        <v>4416.34</v>
      </c>
      <c r="G68" s="6">
        <v>0</v>
      </c>
      <c r="H68" s="6">
        <f t="shared" si="2"/>
        <v>4416.34</v>
      </c>
      <c r="I68" s="6">
        <v>0</v>
      </c>
      <c r="J68" s="4"/>
      <c r="L68" s="6"/>
      <c r="M68" s="6"/>
      <c r="N68" s="6">
        <f t="shared" si="3"/>
        <v>0</v>
      </c>
      <c r="O68" s="6"/>
      <c r="P68" s="4"/>
    </row>
    <row r="69" customFormat="1" ht="16.5" spans="1:16">
      <c r="A69" s="4">
        <v>67</v>
      </c>
      <c r="B69" s="5" t="s">
        <v>142</v>
      </c>
      <c r="C69" s="5" t="s">
        <v>150</v>
      </c>
      <c r="D69" s="4" t="s">
        <v>159</v>
      </c>
      <c r="E69" s="4" t="s">
        <v>160</v>
      </c>
      <c r="F69" s="6">
        <v>86443.5</v>
      </c>
      <c r="G69" s="6">
        <v>85</v>
      </c>
      <c r="H69" s="6">
        <f t="shared" si="2"/>
        <v>86528.5</v>
      </c>
      <c r="I69" s="6">
        <v>85</v>
      </c>
      <c r="J69" s="4"/>
      <c r="L69" s="6"/>
      <c r="M69" s="6"/>
      <c r="N69" s="6">
        <f t="shared" si="3"/>
        <v>0</v>
      </c>
      <c r="O69" s="6"/>
      <c r="P69" s="4"/>
    </row>
    <row r="70" customFormat="1" ht="16.5" spans="1:16">
      <c r="A70" s="4">
        <v>68</v>
      </c>
      <c r="B70" s="5" t="s">
        <v>142</v>
      </c>
      <c r="C70" s="5" t="s">
        <v>150</v>
      </c>
      <c r="D70" s="4" t="s">
        <v>155</v>
      </c>
      <c r="E70" s="4" t="s">
        <v>161</v>
      </c>
      <c r="F70" s="6">
        <v>39916</v>
      </c>
      <c r="G70" s="6">
        <v>0</v>
      </c>
      <c r="H70" s="6">
        <f t="shared" si="2"/>
        <v>39916</v>
      </c>
      <c r="I70" s="6">
        <v>0</v>
      </c>
      <c r="J70" s="4"/>
      <c r="K70" t="s">
        <v>33</v>
      </c>
      <c r="L70" s="6"/>
      <c r="M70" s="6"/>
      <c r="N70" s="6">
        <f t="shared" si="3"/>
        <v>0</v>
      </c>
      <c r="O70" s="6"/>
      <c r="P70" s="4"/>
    </row>
    <row r="71" customFormat="1" ht="16.5" spans="1:16">
      <c r="A71" s="4">
        <v>69</v>
      </c>
      <c r="B71" s="5" t="s">
        <v>142</v>
      </c>
      <c r="C71" s="5" t="s">
        <v>162</v>
      </c>
      <c r="D71" s="4" t="s">
        <v>163</v>
      </c>
      <c r="E71" s="4" t="s">
        <v>164</v>
      </c>
      <c r="F71" s="6">
        <v>11994</v>
      </c>
      <c r="G71" s="6">
        <v>0</v>
      </c>
      <c r="H71" s="6">
        <f t="shared" si="2"/>
        <v>11994</v>
      </c>
      <c r="I71" s="6">
        <v>0</v>
      </c>
      <c r="J71" s="4"/>
      <c r="L71" s="6"/>
      <c r="M71" s="6"/>
      <c r="N71" s="6">
        <f t="shared" si="3"/>
        <v>0</v>
      </c>
      <c r="O71" s="6"/>
      <c r="P71" s="4"/>
    </row>
    <row r="72" customFormat="1" ht="16.5" spans="1:16">
      <c r="A72" s="4">
        <v>70</v>
      </c>
      <c r="B72" s="5" t="s">
        <v>142</v>
      </c>
      <c r="C72" s="5" t="s">
        <v>162</v>
      </c>
      <c r="D72" s="4" t="s">
        <v>165</v>
      </c>
      <c r="E72" s="4" t="s">
        <v>166</v>
      </c>
      <c r="F72" s="6">
        <v>119</v>
      </c>
      <c r="G72" s="6">
        <v>0</v>
      </c>
      <c r="H72" s="6">
        <f t="shared" si="2"/>
        <v>119</v>
      </c>
      <c r="I72" s="6">
        <v>0</v>
      </c>
      <c r="J72" s="4"/>
      <c r="L72" s="6"/>
      <c r="M72" s="6"/>
      <c r="N72" s="6">
        <f t="shared" si="3"/>
        <v>0</v>
      </c>
      <c r="O72" s="6"/>
      <c r="P72" s="4"/>
    </row>
    <row r="73" customFormat="1" ht="16.5" spans="1:16">
      <c r="A73" s="4">
        <v>71</v>
      </c>
      <c r="B73" s="5" t="s">
        <v>142</v>
      </c>
      <c r="C73" s="5" t="s">
        <v>162</v>
      </c>
      <c r="D73" s="4" t="s">
        <v>167</v>
      </c>
      <c r="E73" s="4" t="s">
        <v>168</v>
      </c>
      <c r="F73" s="6">
        <v>447</v>
      </c>
      <c r="G73" s="6">
        <v>0</v>
      </c>
      <c r="H73" s="6">
        <f t="shared" si="2"/>
        <v>447</v>
      </c>
      <c r="I73" s="6">
        <v>0</v>
      </c>
      <c r="J73" s="4"/>
      <c r="L73" s="6"/>
      <c r="M73" s="6"/>
      <c r="N73" s="6">
        <f t="shared" si="3"/>
        <v>0</v>
      </c>
      <c r="O73" s="6"/>
      <c r="P73" s="4"/>
    </row>
    <row r="74" customFormat="1" ht="16.5" spans="1:16">
      <c r="A74" s="4">
        <v>72</v>
      </c>
      <c r="B74" s="5" t="s">
        <v>142</v>
      </c>
      <c r="C74" s="5" t="s">
        <v>162</v>
      </c>
      <c r="D74" s="4" t="s">
        <v>169</v>
      </c>
      <c r="E74" s="4" t="s">
        <v>170</v>
      </c>
      <c r="F74" s="6">
        <v>0</v>
      </c>
      <c r="G74" s="6">
        <v>198</v>
      </c>
      <c r="H74" s="6">
        <f t="shared" si="2"/>
        <v>198</v>
      </c>
      <c r="I74" s="6">
        <v>198</v>
      </c>
      <c r="J74" s="4"/>
      <c r="L74" s="6"/>
      <c r="M74" s="6"/>
      <c r="N74" s="6">
        <f t="shared" si="3"/>
        <v>0</v>
      </c>
      <c r="O74" s="6"/>
      <c r="P74" s="4"/>
    </row>
    <row r="75" customFormat="1" ht="16.5" spans="1:16">
      <c r="A75" s="4">
        <v>73</v>
      </c>
      <c r="B75" s="5" t="s">
        <v>142</v>
      </c>
      <c r="C75" s="5" t="s">
        <v>162</v>
      </c>
      <c r="D75" s="4" t="s">
        <v>171</v>
      </c>
      <c r="E75" s="4" t="s">
        <v>172</v>
      </c>
      <c r="F75" s="6">
        <v>1670</v>
      </c>
      <c r="G75" s="6">
        <v>0</v>
      </c>
      <c r="H75" s="6">
        <f t="shared" si="2"/>
        <v>1670</v>
      </c>
      <c r="I75" s="6">
        <v>0</v>
      </c>
      <c r="J75" s="4"/>
      <c r="L75" s="6"/>
      <c r="M75" s="6"/>
      <c r="N75" s="6">
        <f t="shared" si="3"/>
        <v>0</v>
      </c>
      <c r="O75" s="6"/>
      <c r="P75" s="4"/>
    </row>
    <row r="76" customFormat="1" ht="16.5" spans="1:16">
      <c r="A76" s="4">
        <v>74</v>
      </c>
      <c r="B76" s="5" t="s">
        <v>142</v>
      </c>
      <c r="C76" s="5" t="s">
        <v>162</v>
      </c>
      <c r="D76" s="4" t="s">
        <v>173</v>
      </c>
      <c r="E76" s="4" t="s">
        <v>174</v>
      </c>
      <c r="F76" s="6">
        <v>8907.21</v>
      </c>
      <c r="G76" s="6">
        <v>0</v>
      </c>
      <c r="H76" s="6">
        <f t="shared" si="2"/>
        <v>8907.21</v>
      </c>
      <c r="I76" s="6">
        <v>0</v>
      </c>
      <c r="J76" s="4"/>
      <c r="L76" s="6"/>
      <c r="M76" s="6"/>
      <c r="N76" s="6">
        <f t="shared" si="3"/>
        <v>0</v>
      </c>
      <c r="O76" s="6"/>
      <c r="P76" s="4"/>
    </row>
    <row r="77" customFormat="1" ht="16.5" spans="1:16">
      <c r="A77" s="4">
        <v>75</v>
      </c>
      <c r="B77" s="5" t="s">
        <v>142</v>
      </c>
      <c r="C77" s="5" t="s">
        <v>162</v>
      </c>
      <c r="D77" s="4" t="s">
        <v>175</v>
      </c>
      <c r="E77" s="4" t="s">
        <v>176</v>
      </c>
      <c r="F77" s="6">
        <v>36731</v>
      </c>
      <c r="G77" s="6">
        <v>0</v>
      </c>
      <c r="H77" s="6">
        <f t="shared" si="2"/>
        <v>36731</v>
      </c>
      <c r="I77" s="6">
        <v>0</v>
      </c>
      <c r="J77" s="4"/>
      <c r="L77" s="6"/>
      <c r="M77" s="6"/>
      <c r="N77" s="6">
        <f t="shared" si="3"/>
        <v>0</v>
      </c>
      <c r="O77" s="6"/>
      <c r="P77" s="4"/>
    </row>
    <row r="78" customFormat="1" ht="16.5" spans="1:16">
      <c r="A78" s="4">
        <v>76</v>
      </c>
      <c r="B78" s="5" t="s">
        <v>142</v>
      </c>
      <c r="C78" s="5" t="s">
        <v>162</v>
      </c>
      <c r="D78" s="4" t="s">
        <v>177</v>
      </c>
      <c r="E78" s="4" t="s">
        <v>178</v>
      </c>
      <c r="F78" s="6">
        <v>9178.79</v>
      </c>
      <c r="G78" s="6">
        <v>0</v>
      </c>
      <c r="H78" s="6">
        <f t="shared" si="2"/>
        <v>9178.79</v>
      </c>
      <c r="I78" s="6">
        <v>0</v>
      </c>
      <c r="J78" s="4"/>
      <c r="L78" s="6"/>
      <c r="M78" s="6"/>
      <c r="N78" s="6">
        <f t="shared" si="3"/>
        <v>0</v>
      </c>
      <c r="O78" s="6"/>
      <c r="P78" s="4"/>
    </row>
    <row r="79" customFormat="1" ht="16.5" spans="1:16">
      <c r="A79" s="4">
        <v>77</v>
      </c>
      <c r="B79" s="5" t="s">
        <v>142</v>
      </c>
      <c r="C79" s="5" t="s">
        <v>162</v>
      </c>
      <c r="D79" s="4" t="s">
        <v>179</v>
      </c>
      <c r="E79" s="4" t="s">
        <v>180</v>
      </c>
      <c r="F79" s="6">
        <v>6995</v>
      </c>
      <c r="G79" s="6">
        <v>0</v>
      </c>
      <c r="H79" s="6">
        <f t="shared" si="2"/>
        <v>6995</v>
      </c>
      <c r="I79" s="6">
        <v>0</v>
      </c>
      <c r="J79" s="4"/>
      <c r="L79" s="6"/>
      <c r="M79" s="6"/>
      <c r="N79" s="6">
        <f t="shared" si="3"/>
        <v>0</v>
      </c>
      <c r="O79" s="6"/>
      <c r="P79" s="4"/>
    </row>
    <row r="80" customFormat="1" ht="16.5" spans="1:16">
      <c r="A80" s="4">
        <v>78</v>
      </c>
      <c r="B80" s="5" t="s">
        <v>142</v>
      </c>
      <c r="C80" s="5" t="s">
        <v>162</v>
      </c>
      <c r="D80" s="4" t="s">
        <v>181</v>
      </c>
      <c r="E80" s="4" t="s">
        <v>182</v>
      </c>
      <c r="F80" s="6">
        <v>29694</v>
      </c>
      <c r="G80" s="6">
        <v>0</v>
      </c>
      <c r="H80" s="6">
        <f t="shared" si="2"/>
        <v>29694</v>
      </c>
      <c r="I80" s="6">
        <v>0</v>
      </c>
      <c r="J80" s="4"/>
      <c r="L80" s="6"/>
      <c r="M80" s="6"/>
      <c r="N80" s="6">
        <f t="shared" si="3"/>
        <v>0</v>
      </c>
      <c r="O80" s="6"/>
      <c r="P80" s="4"/>
    </row>
    <row r="81" customFormat="1" ht="16.5" spans="1:16">
      <c r="A81" s="4">
        <v>79</v>
      </c>
      <c r="B81" s="5" t="s">
        <v>142</v>
      </c>
      <c r="C81" s="5" t="s">
        <v>162</v>
      </c>
      <c r="D81" s="4" t="s">
        <v>183</v>
      </c>
      <c r="E81" s="4" t="s">
        <v>184</v>
      </c>
      <c r="F81" s="6">
        <v>857</v>
      </c>
      <c r="G81" s="6">
        <v>0</v>
      </c>
      <c r="H81" s="6">
        <f t="shared" si="2"/>
        <v>857</v>
      </c>
      <c r="I81" s="6">
        <v>0</v>
      </c>
      <c r="J81" s="4"/>
      <c r="L81" s="6"/>
      <c r="M81" s="6"/>
      <c r="N81" s="6">
        <f t="shared" si="3"/>
        <v>0</v>
      </c>
      <c r="O81" s="6"/>
      <c r="P81" s="4"/>
    </row>
    <row r="82" customFormat="1" ht="16.5" spans="1:16">
      <c r="A82" s="4">
        <v>80</v>
      </c>
      <c r="B82" s="5" t="s">
        <v>142</v>
      </c>
      <c r="C82" s="5" t="s">
        <v>185</v>
      </c>
      <c r="D82" s="4" t="s">
        <v>186</v>
      </c>
      <c r="E82" s="4" t="s">
        <v>187</v>
      </c>
      <c r="F82" s="6">
        <v>360</v>
      </c>
      <c r="G82" s="6">
        <v>0</v>
      </c>
      <c r="H82" s="6">
        <f t="shared" si="2"/>
        <v>360</v>
      </c>
      <c r="I82" s="6">
        <v>0</v>
      </c>
      <c r="J82" s="4"/>
      <c r="L82" s="6"/>
      <c r="M82" s="6"/>
      <c r="N82" s="6">
        <f t="shared" si="3"/>
        <v>0</v>
      </c>
      <c r="O82" s="6"/>
      <c r="P82" s="4"/>
    </row>
    <row r="83" customFormat="1" ht="16.5" spans="1:16">
      <c r="A83" s="4">
        <v>81</v>
      </c>
      <c r="B83" s="5" t="s">
        <v>142</v>
      </c>
      <c r="C83" s="5" t="s">
        <v>185</v>
      </c>
      <c r="D83" s="4" t="s">
        <v>188</v>
      </c>
      <c r="E83" s="4" t="s">
        <v>189</v>
      </c>
      <c r="F83" s="6">
        <v>216914.81</v>
      </c>
      <c r="G83" s="6">
        <v>3120.98</v>
      </c>
      <c r="H83" s="6">
        <f t="shared" si="2"/>
        <v>220035.79</v>
      </c>
      <c r="I83" s="6">
        <v>1924.12</v>
      </c>
      <c r="J83" s="4"/>
      <c r="L83" s="6"/>
      <c r="M83" s="6"/>
      <c r="N83" s="6">
        <f t="shared" si="3"/>
        <v>0</v>
      </c>
      <c r="O83" s="6"/>
      <c r="P83" s="4"/>
    </row>
    <row r="84" customFormat="1" ht="16.5" spans="1:16">
      <c r="A84" s="4">
        <v>82</v>
      </c>
      <c r="B84" s="5" t="s">
        <v>142</v>
      </c>
      <c r="C84" s="5" t="s">
        <v>185</v>
      </c>
      <c r="D84" s="4" t="s">
        <v>190</v>
      </c>
      <c r="E84" s="4" t="s">
        <v>191</v>
      </c>
      <c r="F84" s="6">
        <v>48</v>
      </c>
      <c r="G84" s="6">
        <v>0</v>
      </c>
      <c r="H84" s="6">
        <f t="shared" si="2"/>
        <v>48</v>
      </c>
      <c r="I84" s="6">
        <v>0</v>
      </c>
      <c r="J84" s="4"/>
      <c r="L84" s="6"/>
      <c r="M84" s="6"/>
      <c r="N84" s="6">
        <f t="shared" si="3"/>
        <v>0</v>
      </c>
      <c r="O84" s="6"/>
      <c r="P84" s="4"/>
    </row>
    <row r="85" customFormat="1" ht="16.5" spans="1:16">
      <c r="A85" s="4">
        <v>83</v>
      </c>
      <c r="B85" s="5" t="s">
        <v>142</v>
      </c>
      <c r="C85" s="5" t="s">
        <v>185</v>
      </c>
      <c r="D85" s="4" t="s">
        <v>192</v>
      </c>
      <c r="E85" s="4" t="s">
        <v>193</v>
      </c>
      <c r="F85" s="6">
        <v>46</v>
      </c>
      <c r="G85" s="6">
        <v>0</v>
      </c>
      <c r="H85" s="6">
        <f t="shared" si="2"/>
        <v>46</v>
      </c>
      <c r="I85" s="6">
        <v>0</v>
      </c>
      <c r="J85" s="4"/>
      <c r="L85" s="6"/>
      <c r="M85" s="6"/>
      <c r="N85" s="6">
        <f t="shared" si="3"/>
        <v>0</v>
      </c>
      <c r="O85" s="6"/>
      <c r="P85" s="4"/>
    </row>
    <row r="86" customFormat="1" ht="16.5" spans="1:16">
      <c r="A86" s="4">
        <v>84</v>
      </c>
      <c r="B86" s="5" t="s">
        <v>142</v>
      </c>
      <c r="C86" s="5" t="s">
        <v>185</v>
      </c>
      <c r="D86" s="4" t="s">
        <v>194</v>
      </c>
      <c r="E86" s="4" t="s">
        <v>195</v>
      </c>
      <c r="F86" s="6">
        <v>35939.01</v>
      </c>
      <c r="G86" s="6">
        <v>0</v>
      </c>
      <c r="H86" s="6">
        <f t="shared" si="2"/>
        <v>35939.01</v>
      </c>
      <c r="I86" s="6">
        <v>0</v>
      </c>
      <c r="J86" s="4"/>
      <c r="L86" s="6"/>
      <c r="M86" s="6"/>
      <c r="N86" s="6">
        <f t="shared" si="3"/>
        <v>0</v>
      </c>
      <c r="O86" s="6"/>
      <c r="P86" s="4"/>
    </row>
    <row r="87" customFormat="1" ht="16.5" spans="1:16">
      <c r="A87" s="4">
        <v>85</v>
      </c>
      <c r="B87" s="5" t="s">
        <v>142</v>
      </c>
      <c r="C87" s="5" t="s">
        <v>185</v>
      </c>
      <c r="D87" s="4" t="s">
        <v>196</v>
      </c>
      <c r="E87" s="4" t="s">
        <v>197</v>
      </c>
      <c r="F87" s="6">
        <v>54498.29</v>
      </c>
      <c r="G87" s="6">
        <v>0</v>
      </c>
      <c r="H87" s="6">
        <f t="shared" si="2"/>
        <v>54498.29</v>
      </c>
      <c r="I87" s="6">
        <v>0</v>
      </c>
      <c r="J87" s="4"/>
      <c r="L87" s="6"/>
      <c r="M87" s="6"/>
      <c r="N87" s="6">
        <f t="shared" si="3"/>
        <v>0</v>
      </c>
      <c r="O87" s="6"/>
      <c r="P87" s="4"/>
    </row>
    <row r="88" customFormat="1" ht="16.5" spans="1:16">
      <c r="A88" s="4">
        <v>86</v>
      </c>
      <c r="B88" s="5" t="s">
        <v>142</v>
      </c>
      <c r="C88" s="5" t="s">
        <v>185</v>
      </c>
      <c r="D88" s="4" t="s">
        <v>198</v>
      </c>
      <c r="E88" s="4" t="s">
        <v>199</v>
      </c>
      <c r="F88" s="6">
        <v>5710</v>
      </c>
      <c r="G88" s="6">
        <v>0</v>
      </c>
      <c r="H88" s="6">
        <f t="shared" si="2"/>
        <v>5710</v>
      </c>
      <c r="I88" s="6">
        <v>0</v>
      </c>
      <c r="J88" s="4"/>
      <c r="L88" s="6"/>
      <c r="M88" s="6"/>
      <c r="N88" s="6">
        <f t="shared" si="3"/>
        <v>0</v>
      </c>
      <c r="O88" s="6"/>
      <c r="P88" s="4"/>
    </row>
    <row r="89" customFormat="1" ht="16.5" spans="1:16">
      <c r="A89" s="4">
        <v>87</v>
      </c>
      <c r="B89" s="5" t="s">
        <v>142</v>
      </c>
      <c r="C89" s="5" t="s">
        <v>185</v>
      </c>
      <c r="D89" s="4" t="s">
        <v>200</v>
      </c>
      <c r="E89" s="4" t="s">
        <v>201</v>
      </c>
      <c r="F89" s="6">
        <v>40253</v>
      </c>
      <c r="G89" s="6">
        <v>0</v>
      </c>
      <c r="H89" s="6">
        <f t="shared" si="2"/>
        <v>40253</v>
      </c>
      <c r="I89" s="6">
        <v>0</v>
      </c>
      <c r="J89" s="4"/>
      <c r="K89" t="s">
        <v>33</v>
      </c>
      <c r="L89" s="6"/>
      <c r="M89" s="6"/>
      <c r="N89" s="6">
        <f t="shared" si="3"/>
        <v>0</v>
      </c>
      <c r="O89" s="6"/>
      <c r="P89" s="4"/>
    </row>
    <row r="90" customFormat="1" ht="16.5" spans="1:16">
      <c r="A90" s="4">
        <v>88</v>
      </c>
      <c r="B90" s="5" t="s">
        <v>142</v>
      </c>
      <c r="C90" s="5" t="s">
        <v>185</v>
      </c>
      <c r="D90" s="4" t="s">
        <v>202</v>
      </c>
      <c r="E90" s="4" t="s">
        <v>203</v>
      </c>
      <c r="F90" s="6">
        <v>0</v>
      </c>
      <c r="G90" s="6">
        <v>420</v>
      </c>
      <c r="H90" s="6">
        <f t="shared" si="2"/>
        <v>420</v>
      </c>
      <c r="I90" s="6">
        <v>420</v>
      </c>
      <c r="J90" s="4"/>
      <c r="L90" s="6"/>
      <c r="M90" s="6"/>
      <c r="N90" s="6">
        <f t="shared" si="3"/>
        <v>0</v>
      </c>
      <c r="O90" s="6"/>
      <c r="P90" s="4"/>
    </row>
    <row r="91" customFormat="1" ht="16.5" spans="1:16">
      <c r="A91" s="4">
        <v>89</v>
      </c>
      <c r="B91" s="5" t="s">
        <v>142</v>
      </c>
      <c r="C91" s="5" t="s">
        <v>185</v>
      </c>
      <c r="D91" s="4" t="s">
        <v>204</v>
      </c>
      <c r="E91" s="4" t="s">
        <v>205</v>
      </c>
      <c r="F91" s="6">
        <v>27944</v>
      </c>
      <c r="G91" s="6">
        <v>0</v>
      </c>
      <c r="H91" s="6">
        <f t="shared" si="2"/>
        <v>27944</v>
      </c>
      <c r="I91" s="6">
        <v>0</v>
      </c>
      <c r="J91" s="4"/>
      <c r="K91" t="s">
        <v>33</v>
      </c>
      <c r="L91" s="6"/>
      <c r="M91" s="6"/>
      <c r="N91" s="6">
        <f t="shared" si="3"/>
        <v>0</v>
      </c>
      <c r="O91" s="6"/>
      <c r="P91" s="4"/>
    </row>
    <row r="92" customFormat="1" ht="24" customHeight="1" spans="1:16">
      <c r="A92" s="4">
        <v>90</v>
      </c>
      <c r="B92" s="5" t="s">
        <v>206</v>
      </c>
      <c r="C92" s="5" t="s">
        <v>207</v>
      </c>
      <c r="D92" s="4" t="s">
        <v>208</v>
      </c>
      <c r="E92" s="4" t="s">
        <v>209</v>
      </c>
      <c r="F92" s="6">
        <v>18739.45</v>
      </c>
      <c r="G92" s="6">
        <v>0</v>
      </c>
      <c r="H92" s="6">
        <f t="shared" si="2"/>
        <v>18739.45</v>
      </c>
      <c r="I92" s="6">
        <v>0</v>
      </c>
      <c r="J92" s="4"/>
      <c r="L92" s="6"/>
      <c r="M92" s="6"/>
      <c r="N92" s="6">
        <f t="shared" si="3"/>
        <v>0</v>
      </c>
      <c r="O92" s="6"/>
      <c r="P92" s="4"/>
    </row>
    <row r="93" customFormat="1" ht="24" customHeight="1" spans="1:16">
      <c r="A93" s="4">
        <v>91</v>
      </c>
      <c r="B93" s="5" t="s">
        <v>206</v>
      </c>
      <c r="C93" s="5" t="s">
        <v>207</v>
      </c>
      <c r="D93" s="4" t="s">
        <v>210</v>
      </c>
      <c r="E93" s="4" t="s">
        <v>211</v>
      </c>
      <c r="F93" s="6">
        <v>229473.06</v>
      </c>
      <c r="G93" s="6">
        <v>0</v>
      </c>
      <c r="H93" s="6">
        <f t="shared" si="2"/>
        <v>229473.06</v>
      </c>
      <c r="I93" s="6">
        <v>0</v>
      </c>
      <c r="J93" s="4"/>
      <c r="L93" s="6"/>
      <c r="M93" s="6"/>
      <c r="N93" s="6">
        <f t="shared" si="3"/>
        <v>0</v>
      </c>
      <c r="O93" s="6"/>
      <c r="P93" s="4"/>
    </row>
    <row r="94" customFormat="1" ht="24" customHeight="1" spans="1:16">
      <c r="A94" s="4">
        <v>92</v>
      </c>
      <c r="B94" s="5" t="s">
        <v>206</v>
      </c>
      <c r="C94" s="5" t="s">
        <v>207</v>
      </c>
      <c r="D94" s="4" t="s">
        <v>212</v>
      </c>
      <c r="E94" s="4" t="s">
        <v>213</v>
      </c>
      <c r="F94" s="6">
        <v>166341.6</v>
      </c>
      <c r="G94" s="6">
        <v>0</v>
      </c>
      <c r="H94" s="6">
        <f t="shared" si="2"/>
        <v>166341.6</v>
      </c>
      <c r="I94" s="6">
        <v>0</v>
      </c>
      <c r="J94" s="4"/>
      <c r="L94" s="6"/>
      <c r="M94" s="6"/>
      <c r="N94" s="6">
        <f t="shared" si="3"/>
        <v>0</v>
      </c>
      <c r="O94" s="6"/>
      <c r="P94" s="4"/>
    </row>
    <row r="95" customFormat="1" ht="24" customHeight="1" spans="1:16">
      <c r="A95" s="4">
        <v>93</v>
      </c>
      <c r="B95" s="5" t="s">
        <v>206</v>
      </c>
      <c r="C95" s="5" t="s">
        <v>207</v>
      </c>
      <c r="D95" s="4" t="s">
        <v>214</v>
      </c>
      <c r="E95" s="4" t="s">
        <v>215</v>
      </c>
      <c r="F95" s="6">
        <v>2665.27</v>
      </c>
      <c r="G95" s="6">
        <v>0</v>
      </c>
      <c r="H95" s="6">
        <f t="shared" si="2"/>
        <v>2665.27</v>
      </c>
      <c r="I95" s="6">
        <v>0</v>
      </c>
      <c r="J95" s="4"/>
      <c r="L95" s="6"/>
      <c r="M95" s="6"/>
      <c r="N95" s="6">
        <f t="shared" si="3"/>
        <v>0</v>
      </c>
      <c r="O95" s="6"/>
      <c r="P95" s="4"/>
    </row>
    <row r="96" customFormat="1" ht="24" customHeight="1" spans="1:16">
      <c r="A96" s="4">
        <v>94</v>
      </c>
      <c r="B96" s="5" t="s">
        <v>206</v>
      </c>
      <c r="C96" s="5" t="s">
        <v>207</v>
      </c>
      <c r="D96" s="4" t="s">
        <v>216</v>
      </c>
      <c r="E96" s="4" t="s">
        <v>217</v>
      </c>
      <c r="F96" s="6">
        <v>4317</v>
      </c>
      <c r="G96" s="6">
        <v>0</v>
      </c>
      <c r="H96" s="6">
        <f t="shared" si="2"/>
        <v>4317</v>
      </c>
      <c r="I96" s="6">
        <v>0</v>
      </c>
      <c r="J96" s="4"/>
      <c r="L96" s="6"/>
      <c r="M96" s="6"/>
      <c r="N96" s="6">
        <f t="shared" si="3"/>
        <v>0</v>
      </c>
      <c r="O96" s="6"/>
      <c r="P96" s="4"/>
    </row>
    <row r="97" customFormat="1" ht="24" customHeight="1" spans="1:16">
      <c r="A97" s="4">
        <v>95</v>
      </c>
      <c r="B97" s="5" t="s">
        <v>206</v>
      </c>
      <c r="C97" s="5" t="s">
        <v>207</v>
      </c>
      <c r="D97" s="4" t="s">
        <v>218</v>
      </c>
      <c r="E97" s="4" t="s">
        <v>219</v>
      </c>
      <c r="F97" s="6">
        <v>40373.53</v>
      </c>
      <c r="G97" s="6">
        <v>0</v>
      </c>
      <c r="H97" s="6">
        <f t="shared" si="2"/>
        <v>40373.53</v>
      </c>
      <c r="I97" s="6">
        <v>0</v>
      </c>
      <c r="J97" s="4"/>
      <c r="L97" s="6"/>
      <c r="M97" s="6"/>
      <c r="N97" s="6">
        <f t="shared" si="3"/>
        <v>0</v>
      </c>
      <c r="O97" s="6"/>
      <c r="P97" s="4"/>
    </row>
    <row r="98" customFormat="1" ht="24" customHeight="1" spans="1:16">
      <c r="A98" s="4">
        <v>96</v>
      </c>
      <c r="B98" s="5" t="s">
        <v>206</v>
      </c>
      <c r="C98" s="5" t="s">
        <v>207</v>
      </c>
      <c r="D98" s="4" t="s">
        <v>220</v>
      </c>
      <c r="E98" s="4" t="s">
        <v>221</v>
      </c>
      <c r="F98" s="6">
        <v>26676.7</v>
      </c>
      <c r="G98" s="6">
        <v>0</v>
      </c>
      <c r="H98" s="6">
        <f t="shared" si="2"/>
        <v>26676.7</v>
      </c>
      <c r="I98" s="6">
        <v>0</v>
      </c>
      <c r="J98" s="4"/>
      <c r="L98" s="6"/>
      <c r="M98" s="6"/>
      <c r="N98" s="6">
        <f t="shared" si="3"/>
        <v>0</v>
      </c>
      <c r="O98" s="6"/>
      <c r="P98" s="4"/>
    </row>
    <row r="99" customFormat="1" ht="24" customHeight="1" spans="1:16">
      <c r="A99" s="4">
        <v>97</v>
      </c>
      <c r="B99" s="5" t="s">
        <v>206</v>
      </c>
      <c r="C99" s="5" t="s">
        <v>207</v>
      </c>
      <c r="D99" s="4" t="s">
        <v>222</v>
      </c>
      <c r="E99" s="4" t="s">
        <v>223</v>
      </c>
      <c r="F99" s="6">
        <v>248</v>
      </c>
      <c r="G99" s="6">
        <v>0</v>
      </c>
      <c r="H99" s="6">
        <f t="shared" si="2"/>
        <v>248</v>
      </c>
      <c r="I99" s="6">
        <v>0</v>
      </c>
      <c r="J99" s="4"/>
      <c r="L99" s="6"/>
      <c r="M99" s="6"/>
      <c r="N99" s="6">
        <f t="shared" si="3"/>
        <v>0</v>
      </c>
      <c r="O99" s="6"/>
      <c r="P99" s="4"/>
    </row>
    <row r="100" customFormat="1" ht="24" customHeight="1" spans="1:16">
      <c r="A100" s="4">
        <v>98</v>
      </c>
      <c r="B100" s="5" t="s">
        <v>206</v>
      </c>
      <c r="C100" s="5" t="s">
        <v>207</v>
      </c>
      <c r="D100" s="4" t="s">
        <v>224</v>
      </c>
      <c r="E100" s="4" t="s">
        <v>225</v>
      </c>
      <c r="F100" s="6">
        <v>73702.8</v>
      </c>
      <c r="G100" s="6">
        <v>0</v>
      </c>
      <c r="H100" s="6">
        <f t="shared" si="2"/>
        <v>73702.8</v>
      </c>
      <c r="I100" s="6">
        <v>0</v>
      </c>
      <c r="J100" s="4"/>
      <c r="L100" s="6"/>
      <c r="M100" s="6"/>
      <c r="N100" s="6">
        <f t="shared" si="3"/>
        <v>0</v>
      </c>
      <c r="O100" s="6"/>
      <c r="P100" s="4"/>
    </row>
    <row r="101" customFormat="1" ht="24" customHeight="1" spans="1:16">
      <c r="A101" s="4">
        <v>99</v>
      </c>
      <c r="B101" s="5" t="s">
        <v>206</v>
      </c>
      <c r="C101" s="5" t="s">
        <v>207</v>
      </c>
      <c r="D101" s="4" t="s">
        <v>226</v>
      </c>
      <c r="E101" s="4" t="s">
        <v>227</v>
      </c>
      <c r="F101" s="6">
        <v>2925</v>
      </c>
      <c r="G101" s="6">
        <v>0</v>
      </c>
      <c r="H101" s="6">
        <f t="shared" si="2"/>
        <v>2925</v>
      </c>
      <c r="I101" s="6">
        <v>0</v>
      </c>
      <c r="J101" s="4"/>
      <c r="L101" s="6"/>
      <c r="M101" s="6"/>
      <c r="N101" s="6">
        <f t="shared" si="3"/>
        <v>0</v>
      </c>
      <c r="O101" s="6"/>
      <c r="P101" s="4"/>
    </row>
    <row r="102" customFormat="1" ht="24" customHeight="1" spans="1:16">
      <c r="A102" s="4">
        <v>100</v>
      </c>
      <c r="B102" s="5" t="s">
        <v>206</v>
      </c>
      <c r="C102" s="5" t="s">
        <v>228</v>
      </c>
      <c r="D102" s="4" t="s">
        <v>229</v>
      </c>
      <c r="E102" s="4" t="s">
        <v>230</v>
      </c>
      <c r="F102" s="6">
        <v>2723</v>
      </c>
      <c r="G102" s="6">
        <v>0</v>
      </c>
      <c r="H102" s="6">
        <f t="shared" si="2"/>
        <v>2723</v>
      </c>
      <c r="I102" s="6">
        <v>0</v>
      </c>
      <c r="J102" s="4"/>
      <c r="L102" s="6"/>
      <c r="M102" s="6"/>
      <c r="N102" s="6">
        <f t="shared" si="3"/>
        <v>0</v>
      </c>
      <c r="O102" s="6"/>
      <c r="P102" s="4"/>
    </row>
    <row r="103" customFormat="1" ht="24" customHeight="1" spans="1:16">
      <c r="A103" s="4">
        <v>101</v>
      </c>
      <c r="B103" s="5" t="s">
        <v>206</v>
      </c>
      <c r="C103" s="5" t="s">
        <v>231</v>
      </c>
      <c r="D103" s="4" t="s">
        <v>232</v>
      </c>
      <c r="E103" s="4" t="s">
        <v>233</v>
      </c>
      <c r="F103" s="6">
        <v>150</v>
      </c>
      <c r="G103" s="6">
        <v>0</v>
      </c>
      <c r="H103" s="6">
        <f t="shared" si="2"/>
        <v>150</v>
      </c>
      <c r="I103" s="6">
        <v>0</v>
      </c>
      <c r="J103" s="4"/>
      <c r="L103" s="6"/>
      <c r="M103" s="6"/>
      <c r="N103" s="6">
        <f t="shared" si="3"/>
        <v>0</v>
      </c>
      <c r="O103" s="6"/>
      <c r="P103" s="4"/>
    </row>
    <row r="104" customFormat="1" ht="24" customHeight="1" spans="1:16">
      <c r="A104" s="4">
        <v>102</v>
      </c>
      <c r="B104" s="5" t="s">
        <v>206</v>
      </c>
      <c r="C104" s="5" t="s">
        <v>234</v>
      </c>
      <c r="D104" s="4" t="s">
        <v>235</v>
      </c>
      <c r="E104" s="4" t="s">
        <v>236</v>
      </c>
      <c r="F104" s="6">
        <v>249</v>
      </c>
      <c r="G104" s="6">
        <v>0</v>
      </c>
      <c r="H104" s="6">
        <f t="shared" si="2"/>
        <v>249</v>
      </c>
      <c r="I104" s="6">
        <v>0</v>
      </c>
      <c r="J104" s="4"/>
      <c r="L104" s="6"/>
      <c r="M104" s="6"/>
      <c r="N104" s="6">
        <f t="shared" si="3"/>
        <v>0</v>
      </c>
      <c r="O104" s="6"/>
      <c r="P104" s="4"/>
    </row>
    <row r="105" customFormat="1" ht="24" customHeight="1" spans="1:16">
      <c r="A105" s="4">
        <v>103</v>
      </c>
      <c r="B105" s="5" t="s">
        <v>206</v>
      </c>
      <c r="C105" s="5" t="s">
        <v>237</v>
      </c>
      <c r="D105" s="4" t="s">
        <v>238</v>
      </c>
      <c r="E105" s="4" t="s">
        <v>239</v>
      </c>
      <c r="F105" s="6">
        <v>167500.59</v>
      </c>
      <c r="G105" s="6">
        <v>0</v>
      </c>
      <c r="H105" s="6">
        <f t="shared" si="2"/>
        <v>167500.59</v>
      </c>
      <c r="I105" s="6">
        <v>0</v>
      </c>
      <c r="J105" s="4"/>
      <c r="L105" s="6"/>
      <c r="M105" s="6"/>
      <c r="N105" s="6">
        <f t="shared" si="3"/>
        <v>0</v>
      </c>
      <c r="O105" s="6"/>
      <c r="P105" s="4"/>
    </row>
    <row r="106" customFormat="1" ht="24" customHeight="1" spans="1:16">
      <c r="A106" s="4">
        <v>104</v>
      </c>
      <c r="B106" s="5" t="s">
        <v>206</v>
      </c>
      <c r="C106" s="5" t="s">
        <v>240</v>
      </c>
      <c r="D106" s="4" t="s">
        <v>241</v>
      </c>
      <c r="E106" s="4" t="s">
        <v>242</v>
      </c>
      <c r="F106" s="6">
        <v>45227.27</v>
      </c>
      <c r="G106" s="6">
        <v>0</v>
      </c>
      <c r="H106" s="6">
        <f t="shared" si="2"/>
        <v>45227.27</v>
      </c>
      <c r="I106" s="6">
        <v>0</v>
      </c>
      <c r="J106" s="4"/>
      <c r="L106" s="6"/>
      <c r="M106" s="6"/>
      <c r="N106" s="6">
        <f t="shared" si="3"/>
        <v>0</v>
      </c>
      <c r="O106" s="6"/>
      <c r="P106" s="4"/>
    </row>
    <row r="107" customFormat="1" ht="24" customHeight="1" spans="1:16">
      <c r="A107" s="4">
        <v>105</v>
      </c>
      <c r="B107" s="5" t="s">
        <v>206</v>
      </c>
      <c r="C107" s="5" t="s">
        <v>243</v>
      </c>
      <c r="D107" s="4" t="s">
        <v>244</v>
      </c>
      <c r="E107" s="4" t="s">
        <v>245</v>
      </c>
      <c r="F107" s="6">
        <v>23191.32</v>
      </c>
      <c r="G107" s="6">
        <v>0</v>
      </c>
      <c r="H107" s="6">
        <f t="shared" si="2"/>
        <v>23191.32</v>
      </c>
      <c r="I107" s="6">
        <v>0</v>
      </c>
      <c r="J107" s="4"/>
      <c r="L107" s="6"/>
      <c r="M107" s="6"/>
      <c r="N107" s="6">
        <f t="shared" si="3"/>
        <v>0</v>
      </c>
      <c r="O107" s="6"/>
      <c r="P107" s="4"/>
    </row>
    <row r="108" customFormat="1" ht="24" customHeight="1" spans="1:16">
      <c r="A108" s="4">
        <v>106</v>
      </c>
      <c r="B108" s="5" t="s">
        <v>206</v>
      </c>
      <c r="C108" s="5" t="s">
        <v>243</v>
      </c>
      <c r="D108" s="4" t="s">
        <v>246</v>
      </c>
      <c r="E108" s="4" t="s">
        <v>247</v>
      </c>
      <c r="F108" s="6">
        <v>37</v>
      </c>
      <c r="G108" s="6">
        <v>0</v>
      </c>
      <c r="H108" s="6">
        <f t="shared" si="2"/>
        <v>37</v>
      </c>
      <c r="I108" s="6">
        <v>0</v>
      </c>
      <c r="J108" s="4"/>
      <c r="L108" s="6"/>
      <c r="M108" s="6"/>
      <c r="N108" s="6">
        <f t="shared" si="3"/>
        <v>0</v>
      </c>
      <c r="O108" s="6"/>
      <c r="P108" s="4"/>
    </row>
    <row r="109" customFormat="1" ht="24" customHeight="1" spans="1:16">
      <c r="A109" s="4">
        <v>107</v>
      </c>
      <c r="B109" s="5" t="s">
        <v>206</v>
      </c>
      <c r="C109" s="5" t="s">
        <v>243</v>
      </c>
      <c r="D109" s="4" t="s">
        <v>248</v>
      </c>
      <c r="E109" s="4" t="s">
        <v>249</v>
      </c>
      <c r="F109" s="6">
        <v>2159.7</v>
      </c>
      <c r="G109" s="6">
        <v>0</v>
      </c>
      <c r="H109" s="6">
        <f t="shared" si="2"/>
        <v>2159.7</v>
      </c>
      <c r="I109" s="6">
        <v>0</v>
      </c>
      <c r="J109" s="4"/>
      <c r="L109" s="6"/>
      <c r="M109" s="6"/>
      <c r="N109" s="6">
        <f t="shared" si="3"/>
        <v>0</v>
      </c>
      <c r="O109" s="6"/>
      <c r="P109" s="4"/>
    </row>
    <row r="110" customFormat="1" ht="24" customHeight="1" spans="1:16">
      <c r="A110" s="4">
        <v>108</v>
      </c>
      <c r="B110" s="5" t="s">
        <v>206</v>
      </c>
      <c r="C110" s="5" t="s">
        <v>243</v>
      </c>
      <c r="D110" s="4" t="s">
        <v>250</v>
      </c>
      <c r="E110" s="4" t="s">
        <v>251</v>
      </c>
      <c r="F110" s="6">
        <v>4314</v>
      </c>
      <c r="G110" s="6">
        <v>0</v>
      </c>
      <c r="H110" s="6">
        <f t="shared" si="2"/>
        <v>4314</v>
      </c>
      <c r="I110" s="6">
        <v>0</v>
      </c>
      <c r="J110" s="4"/>
      <c r="L110" s="6"/>
      <c r="M110" s="6"/>
      <c r="N110" s="6">
        <f t="shared" si="3"/>
        <v>0</v>
      </c>
      <c r="O110" s="6"/>
      <c r="P110" s="4"/>
    </row>
    <row r="111" customFormat="1" ht="24" customHeight="1" spans="1:16">
      <c r="A111" s="4">
        <v>109</v>
      </c>
      <c r="B111" s="5" t="s">
        <v>206</v>
      </c>
      <c r="C111" s="5" t="s">
        <v>243</v>
      </c>
      <c r="D111" s="4" t="s">
        <v>246</v>
      </c>
      <c r="E111" s="4" t="s">
        <v>252</v>
      </c>
      <c r="F111" s="6">
        <v>567.76</v>
      </c>
      <c r="G111" s="6">
        <v>0</v>
      </c>
      <c r="H111" s="6">
        <f t="shared" si="2"/>
        <v>567.76</v>
      </c>
      <c r="I111" s="6">
        <v>0</v>
      </c>
      <c r="J111" s="4"/>
      <c r="L111" s="6"/>
      <c r="M111" s="6"/>
      <c r="N111" s="6">
        <f t="shared" si="3"/>
        <v>0</v>
      </c>
      <c r="O111" s="6"/>
      <c r="P111" s="4"/>
    </row>
    <row r="112" customFormat="1" ht="24" customHeight="1" spans="1:16">
      <c r="A112" s="4">
        <v>110</v>
      </c>
      <c r="B112" s="5" t="s">
        <v>206</v>
      </c>
      <c r="C112" s="5" t="s">
        <v>243</v>
      </c>
      <c r="D112" s="4" t="s">
        <v>253</v>
      </c>
      <c r="E112" s="4" t="s">
        <v>254</v>
      </c>
      <c r="F112" s="6">
        <v>822.36</v>
      </c>
      <c r="G112" s="6">
        <v>0</v>
      </c>
      <c r="H112" s="6">
        <f t="shared" si="2"/>
        <v>822.36</v>
      </c>
      <c r="I112" s="6">
        <v>0</v>
      </c>
      <c r="J112" s="4"/>
      <c r="K112" t="s">
        <v>33</v>
      </c>
      <c r="L112" s="6"/>
      <c r="M112" s="6"/>
      <c r="N112" s="6">
        <f t="shared" si="3"/>
        <v>0</v>
      </c>
      <c r="O112" s="6"/>
      <c r="P112" s="4"/>
    </row>
    <row r="113" customFormat="1" ht="24" customHeight="1" spans="1:16">
      <c r="A113" s="4">
        <v>111</v>
      </c>
      <c r="B113" s="5" t="s">
        <v>206</v>
      </c>
      <c r="C113" s="5" t="s">
        <v>255</v>
      </c>
      <c r="D113" s="4" t="s">
        <v>256</v>
      </c>
      <c r="E113" s="4" t="s">
        <v>257</v>
      </c>
      <c r="F113" s="6">
        <v>64692.49</v>
      </c>
      <c r="G113" s="6">
        <v>0</v>
      </c>
      <c r="H113" s="6">
        <f t="shared" si="2"/>
        <v>64692.49</v>
      </c>
      <c r="I113" s="6">
        <v>0</v>
      </c>
      <c r="J113" s="4"/>
      <c r="L113" s="6"/>
      <c r="M113" s="6"/>
      <c r="N113" s="6">
        <f t="shared" si="3"/>
        <v>0</v>
      </c>
      <c r="O113" s="6"/>
      <c r="P113" s="4"/>
    </row>
    <row r="114" customFormat="1" ht="24" customHeight="1" spans="1:16">
      <c r="A114" s="4">
        <v>112</v>
      </c>
      <c r="B114" s="5" t="s">
        <v>206</v>
      </c>
      <c r="C114" s="5" t="s">
        <v>255</v>
      </c>
      <c r="D114" s="4" t="s">
        <v>258</v>
      </c>
      <c r="E114" s="4" t="s">
        <v>259</v>
      </c>
      <c r="F114" s="6">
        <v>0</v>
      </c>
      <c r="G114" s="6">
        <v>45529.78</v>
      </c>
      <c r="H114" s="6">
        <f t="shared" si="2"/>
        <v>45529.78</v>
      </c>
      <c r="I114" s="6">
        <v>39038.92</v>
      </c>
      <c r="J114" s="4"/>
      <c r="K114" t="s">
        <v>33</v>
      </c>
      <c r="L114" s="6"/>
      <c r="M114" s="6"/>
      <c r="N114" s="6">
        <f t="shared" si="3"/>
        <v>0</v>
      </c>
      <c r="O114" s="6"/>
      <c r="P114" s="4"/>
    </row>
    <row r="115" customFormat="1" ht="24" customHeight="1" spans="1:16">
      <c r="A115" s="4">
        <v>113</v>
      </c>
      <c r="B115" s="5" t="s">
        <v>206</v>
      </c>
      <c r="C115" s="5" t="s">
        <v>260</v>
      </c>
      <c r="D115" s="4" t="s">
        <v>261</v>
      </c>
      <c r="E115" s="4" t="s">
        <v>262</v>
      </c>
      <c r="F115" s="6">
        <v>51167.42</v>
      </c>
      <c r="G115" s="6">
        <v>0</v>
      </c>
      <c r="H115" s="6">
        <f t="shared" si="2"/>
        <v>51167.42</v>
      </c>
      <c r="I115" s="6">
        <v>0</v>
      </c>
      <c r="J115" s="4"/>
      <c r="L115" s="6"/>
      <c r="M115" s="6"/>
      <c r="N115" s="6">
        <f t="shared" si="3"/>
        <v>0</v>
      </c>
      <c r="O115" s="6"/>
      <c r="P115" s="4"/>
    </row>
    <row r="116" customFormat="1" ht="27" customHeight="1" spans="1:16">
      <c r="A116" s="7" t="s">
        <v>263</v>
      </c>
      <c r="B116" s="8"/>
      <c r="C116" s="8"/>
      <c r="D116" s="8"/>
      <c r="E116" s="9"/>
      <c r="F116" s="10">
        <f t="shared" ref="F116:J116" si="4">SUM(F3:F115)</f>
        <v>4437527.86</v>
      </c>
      <c r="G116" s="10">
        <f t="shared" si="4"/>
        <v>419203.05</v>
      </c>
      <c r="H116" s="10">
        <f t="shared" si="2"/>
        <v>4856730.91</v>
      </c>
      <c r="I116" s="10">
        <f t="shared" si="4"/>
        <v>324611.44</v>
      </c>
      <c r="J116" s="11">
        <f t="shared" si="4"/>
        <v>0</v>
      </c>
      <c r="L116" s="10">
        <f t="shared" ref="L116:P116" si="5">SUM(L3:L115)</f>
        <v>0</v>
      </c>
      <c r="M116" s="10">
        <f t="shared" si="5"/>
        <v>0</v>
      </c>
      <c r="N116" s="10">
        <f t="shared" si="3"/>
        <v>0</v>
      </c>
      <c r="O116" s="10">
        <f t="shared" si="5"/>
        <v>0</v>
      </c>
      <c r="P116" s="11">
        <f t="shared" si="5"/>
        <v>0</v>
      </c>
    </row>
  </sheetData>
  <autoFilter xmlns:etc="http://www.wps.cn/officeDocument/2017/etCustomData" ref="A2:K116" etc:filterBottomFollowUsedRange="0">
    <extLst/>
  </autoFilter>
  <mergeCells count="2">
    <mergeCell ref="A1:J1"/>
    <mergeCell ref="A116:E116"/>
  </mergeCells>
  <pageMargins left="0.629861111111111" right="0.275" top="0.865972222222222" bottom="1" header="0.5" footer="0.5"/>
  <pageSetup paperSize="9" scale="94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16"/>
  <sheetViews>
    <sheetView workbookViewId="0">
      <selection activeCell="E27" sqref="E27"/>
    </sheetView>
  </sheetViews>
  <sheetFormatPr defaultColWidth="9" defaultRowHeight="13.5"/>
  <cols>
    <col min="1" max="1" width="5.125" customWidth="1"/>
    <col min="2" max="2" width="15.9583333333333" customWidth="1"/>
    <col min="3" max="3" width="7.94166666666667" customWidth="1"/>
    <col min="4" max="5" width="9.775" customWidth="1"/>
    <col min="6" max="6" width="10.375" customWidth="1"/>
    <col min="7" max="7" width="10.725" customWidth="1"/>
    <col min="8" max="8" width="9.79166666666667" customWidth="1"/>
    <col min="9" max="9" width="10.875" customWidth="1"/>
    <col min="10" max="10" width="11.375" customWidth="1"/>
  </cols>
  <sheetData>
    <row r="1" ht="33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3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16.5" spans="1:11">
      <c r="A3" s="4">
        <v>1</v>
      </c>
      <c r="B3" s="5" t="s">
        <v>12</v>
      </c>
      <c r="C3" s="5" t="s">
        <v>13</v>
      </c>
      <c r="D3" s="4" t="s">
        <v>14</v>
      </c>
      <c r="E3" s="4" t="s">
        <v>15</v>
      </c>
      <c r="F3" s="6">
        <v>131389.67</v>
      </c>
      <c r="G3" s="6">
        <v>0</v>
      </c>
      <c r="H3" s="6">
        <f t="shared" ref="H3:H66" si="0">SUM(F3:G3)</f>
        <v>131389.67</v>
      </c>
      <c r="I3" s="6">
        <v>0</v>
      </c>
      <c r="J3" s="4"/>
    </row>
    <row r="4" ht="16.5" spans="1:11">
      <c r="A4" s="4">
        <v>2</v>
      </c>
      <c r="B4" s="5" t="s">
        <v>12</v>
      </c>
      <c r="C4" s="5" t="s">
        <v>16</v>
      </c>
      <c r="D4" s="4" t="s">
        <v>17</v>
      </c>
      <c r="E4" s="4" t="s">
        <v>18</v>
      </c>
      <c r="F4" s="6">
        <v>369112.85</v>
      </c>
      <c r="G4" s="6">
        <v>342</v>
      </c>
      <c r="H4" s="6">
        <f t="shared" si="0"/>
        <v>369454.85</v>
      </c>
      <c r="I4" s="6">
        <v>342</v>
      </c>
      <c r="J4" s="4"/>
    </row>
    <row r="5" ht="16.5" spans="1:11">
      <c r="A5" s="4">
        <v>3</v>
      </c>
      <c r="B5" s="5" t="s">
        <v>12</v>
      </c>
      <c r="C5" s="5" t="s">
        <v>16</v>
      </c>
      <c r="D5" s="4" t="s">
        <v>19</v>
      </c>
      <c r="E5" s="4" t="s">
        <v>20</v>
      </c>
      <c r="F5" s="6">
        <v>8727.61</v>
      </c>
      <c r="G5" s="6">
        <v>135</v>
      </c>
      <c r="H5" s="6">
        <f t="shared" si="0"/>
        <v>8862.61</v>
      </c>
      <c r="I5" s="6">
        <v>135</v>
      </c>
      <c r="J5" s="4"/>
    </row>
    <row r="6" ht="16.5" spans="1:11">
      <c r="A6" s="4">
        <v>4</v>
      </c>
      <c r="B6" s="5" t="s">
        <v>12</v>
      </c>
      <c r="C6" s="5" t="s">
        <v>16</v>
      </c>
      <c r="D6" s="4" t="s">
        <v>21</v>
      </c>
      <c r="E6" s="4" t="s">
        <v>22</v>
      </c>
      <c r="F6" s="6">
        <v>66205.29</v>
      </c>
      <c r="G6" s="6">
        <v>0</v>
      </c>
      <c r="H6" s="6">
        <f t="shared" si="0"/>
        <v>66205.29</v>
      </c>
      <c r="I6" s="6">
        <v>0</v>
      </c>
      <c r="J6" s="4"/>
    </row>
    <row r="7" ht="16.5" spans="1:11">
      <c r="A7" s="4">
        <v>5</v>
      </c>
      <c r="B7" s="5" t="s">
        <v>12</v>
      </c>
      <c r="C7" s="5" t="s">
        <v>16</v>
      </c>
      <c r="D7" s="4" t="s">
        <v>23</v>
      </c>
      <c r="E7" s="4" t="s">
        <v>24</v>
      </c>
      <c r="F7" s="6">
        <v>22263.17</v>
      </c>
      <c r="G7" s="6">
        <v>0</v>
      </c>
      <c r="H7" s="6">
        <f t="shared" si="0"/>
        <v>22263.17</v>
      </c>
      <c r="I7" s="6">
        <v>0</v>
      </c>
      <c r="J7" s="4"/>
    </row>
    <row r="8" ht="16.5" spans="1:11">
      <c r="A8" s="4">
        <v>6</v>
      </c>
      <c r="B8" s="5" t="s">
        <v>12</v>
      </c>
      <c r="C8" s="5" t="s">
        <v>16</v>
      </c>
      <c r="D8" s="4" t="s">
        <v>25</v>
      </c>
      <c r="E8" s="4" t="s">
        <v>26</v>
      </c>
      <c r="F8" s="6">
        <v>35114.73</v>
      </c>
      <c r="G8" s="6">
        <v>0</v>
      </c>
      <c r="H8" s="6">
        <f t="shared" si="0"/>
        <v>35114.73</v>
      </c>
      <c r="I8" s="6">
        <v>0</v>
      </c>
      <c r="J8" s="4"/>
    </row>
    <row r="9" ht="16.5" spans="1:11">
      <c r="A9" s="4">
        <v>7</v>
      </c>
      <c r="B9" s="5" t="s">
        <v>12</v>
      </c>
      <c r="C9" s="5" t="s">
        <v>16</v>
      </c>
      <c r="D9" s="4" t="s">
        <v>27</v>
      </c>
      <c r="E9" s="4" t="s">
        <v>28</v>
      </c>
      <c r="F9" s="6">
        <v>190915.45</v>
      </c>
      <c r="G9" s="6">
        <v>0</v>
      </c>
      <c r="H9" s="6">
        <f t="shared" si="0"/>
        <v>190915.45</v>
      </c>
      <c r="I9" s="6">
        <v>0</v>
      </c>
      <c r="J9" s="4"/>
    </row>
    <row r="10" ht="16.5" spans="1:11">
      <c r="A10" s="4">
        <v>8</v>
      </c>
      <c r="B10" s="5" t="s">
        <v>12</v>
      </c>
      <c r="C10" s="5" t="s">
        <v>16</v>
      </c>
      <c r="D10" s="4" t="s">
        <v>29</v>
      </c>
      <c r="E10" s="4" t="s">
        <v>30</v>
      </c>
      <c r="F10" s="6">
        <v>4938.66</v>
      </c>
      <c r="G10" s="6">
        <v>0</v>
      </c>
      <c r="H10" s="6">
        <f t="shared" si="0"/>
        <v>4938.66</v>
      </c>
      <c r="I10" s="6">
        <v>0</v>
      </c>
      <c r="J10" s="4"/>
    </row>
    <row r="11" ht="16.5" spans="1:11">
      <c r="A11" s="4">
        <v>9</v>
      </c>
      <c r="B11" s="5" t="s">
        <v>12</v>
      </c>
      <c r="C11" s="5" t="s">
        <v>16</v>
      </c>
      <c r="D11" s="4" t="s">
        <v>31</v>
      </c>
      <c r="E11" s="4" t="s">
        <v>32</v>
      </c>
      <c r="F11" s="6">
        <v>0</v>
      </c>
      <c r="G11" s="6">
        <v>131552.47</v>
      </c>
      <c r="H11" s="6">
        <f t="shared" si="0"/>
        <v>131552.47</v>
      </c>
      <c r="I11" s="6">
        <v>101327.53</v>
      </c>
      <c r="J11" s="4"/>
      <c r="K11" t="s">
        <v>33</v>
      </c>
    </row>
    <row r="12" ht="16.5" spans="1:11">
      <c r="A12" s="4">
        <v>10</v>
      </c>
      <c r="B12" s="5" t="s">
        <v>34</v>
      </c>
      <c r="C12" s="5" t="s">
        <v>35</v>
      </c>
      <c r="D12" s="4" t="s">
        <v>36</v>
      </c>
      <c r="E12" s="4" t="s">
        <v>37</v>
      </c>
      <c r="F12" s="6">
        <v>15227.45</v>
      </c>
      <c r="G12" s="6">
        <v>0</v>
      </c>
      <c r="H12" s="6">
        <f t="shared" si="0"/>
        <v>15227.45</v>
      </c>
      <c r="I12" s="6">
        <v>0</v>
      </c>
      <c r="J12" s="4"/>
    </row>
    <row r="13" ht="16.5" spans="1:11">
      <c r="A13" s="4">
        <v>11</v>
      </c>
      <c r="B13" s="5" t="s">
        <v>34</v>
      </c>
      <c r="C13" s="5" t="s">
        <v>35</v>
      </c>
      <c r="D13" s="4" t="s">
        <v>38</v>
      </c>
      <c r="E13" s="4" t="s">
        <v>39</v>
      </c>
      <c r="F13" s="6">
        <v>28767.68</v>
      </c>
      <c r="G13" s="6">
        <v>0</v>
      </c>
      <c r="H13" s="6">
        <f t="shared" si="0"/>
        <v>28767.68</v>
      </c>
      <c r="I13" s="6">
        <v>0</v>
      </c>
      <c r="J13" s="4"/>
    </row>
    <row r="14" ht="16.5" spans="1:11">
      <c r="A14" s="4">
        <v>12</v>
      </c>
      <c r="B14" s="5" t="s">
        <v>34</v>
      </c>
      <c r="C14" s="5" t="s">
        <v>35</v>
      </c>
      <c r="D14" s="4" t="s">
        <v>40</v>
      </c>
      <c r="E14" s="4" t="s">
        <v>41</v>
      </c>
      <c r="F14" s="6">
        <v>56878.61</v>
      </c>
      <c r="G14" s="6">
        <v>2822</v>
      </c>
      <c r="H14" s="6">
        <f t="shared" si="0"/>
        <v>59700.61</v>
      </c>
      <c r="I14" s="6">
        <v>2822</v>
      </c>
      <c r="J14" s="4"/>
    </row>
    <row r="15" ht="16.5" spans="1:11">
      <c r="A15" s="4">
        <v>13</v>
      </c>
      <c r="B15" s="5" t="s">
        <v>34</v>
      </c>
      <c r="C15" s="5" t="s">
        <v>35</v>
      </c>
      <c r="D15" s="4" t="s">
        <v>42</v>
      </c>
      <c r="E15" s="4" t="s">
        <v>43</v>
      </c>
      <c r="F15" s="6">
        <v>2426</v>
      </c>
      <c r="G15" s="6">
        <v>0</v>
      </c>
      <c r="H15" s="6">
        <f t="shared" si="0"/>
        <v>2426</v>
      </c>
      <c r="I15" s="6">
        <v>0</v>
      </c>
      <c r="J15" s="4"/>
    </row>
    <row r="16" ht="16.5" spans="1:11">
      <c r="A16" s="4">
        <v>14</v>
      </c>
      <c r="B16" s="5" t="s">
        <v>34</v>
      </c>
      <c r="C16" s="5" t="s">
        <v>35</v>
      </c>
      <c r="D16" s="4" t="s">
        <v>44</v>
      </c>
      <c r="E16" s="4" t="s">
        <v>45</v>
      </c>
      <c r="F16" s="6">
        <v>68.29</v>
      </c>
      <c r="G16" s="6">
        <v>0</v>
      </c>
      <c r="H16" s="6">
        <f t="shared" si="0"/>
        <v>68.29</v>
      </c>
      <c r="I16" s="6">
        <v>0</v>
      </c>
      <c r="J16" s="4"/>
    </row>
    <row r="17" ht="16.5" spans="1:11">
      <c r="A17" s="4">
        <v>15</v>
      </c>
      <c r="B17" s="5" t="s">
        <v>34</v>
      </c>
      <c r="C17" s="5" t="s">
        <v>35</v>
      </c>
      <c r="D17" s="4" t="s">
        <v>46</v>
      </c>
      <c r="E17" s="4" t="s">
        <v>47</v>
      </c>
      <c r="F17" s="6">
        <v>15909.01</v>
      </c>
      <c r="G17" s="6">
        <v>0</v>
      </c>
      <c r="H17" s="6">
        <f t="shared" si="0"/>
        <v>15909.01</v>
      </c>
      <c r="I17" s="6">
        <v>0</v>
      </c>
      <c r="J17" s="4"/>
    </row>
    <row r="18" ht="16.5" spans="1:11">
      <c r="A18" s="4">
        <v>16</v>
      </c>
      <c r="B18" s="5" t="s">
        <v>34</v>
      </c>
      <c r="C18" s="5" t="s">
        <v>35</v>
      </c>
      <c r="D18" s="4" t="s">
        <v>48</v>
      </c>
      <c r="E18" s="4" t="s">
        <v>49</v>
      </c>
      <c r="F18" s="6">
        <v>0</v>
      </c>
      <c r="G18" s="6">
        <v>2318.18</v>
      </c>
      <c r="H18" s="6">
        <f t="shared" si="0"/>
        <v>2318.18</v>
      </c>
      <c r="I18" s="6">
        <v>1622.93</v>
      </c>
      <c r="J18" s="4"/>
    </row>
    <row r="19" ht="16.5" spans="1:11">
      <c r="A19" s="4">
        <v>17</v>
      </c>
      <c r="B19" s="5" t="s">
        <v>34</v>
      </c>
      <c r="C19" s="5" t="s">
        <v>35</v>
      </c>
      <c r="D19" s="4" t="s">
        <v>50</v>
      </c>
      <c r="E19" s="4" t="s">
        <v>51</v>
      </c>
      <c r="F19" s="6">
        <v>80139.39</v>
      </c>
      <c r="G19" s="6">
        <v>0</v>
      </c>
      <c r="H19" s="6">
        <f t="shared" si="0"/>
        <v>80139.39</v>
      </c>
      <c r="I19" s="6">
        <v>0</v>
      </c>
      <c r="J19" s="4"/>
    </row>
    <row r="20" ht="16.5" spans="1:11">
      <c r="A20" s="4">
        <v>18</v>
      </c>
      <c r="B20" s="5" t="s">
        <v>34</v>
      </c>
      <c r="C20" s="5" t="s">
        <v>35</v>
      </c>
      <c r="D20" s="4" t="s">
        <v>52</v>
      </c>
      <c r="E20" s="4" t="s">
        <v>53</v>
      </c>
      <c r="F20" s="6">
        <v>4162.93</v>
      </c>
      <c r="G20" s="6">
        <v>0</v>
      </c>
      <c r="H20" s="6">
        <f t="shared" si="0"/>
        <v>4162.93</v>
      </c>
      <c r="I20" s="6">
        <v>0</v>
      </c>
      <c r="J20" s="4"/>
    </row>
    <row r="21" ht="16.5" spans="1:11">
      <c r="A21" s="4">
        <v>19</v>
      </c>
      <c r="B21" s="5" t="s">
        <v>34</v>
      </c>
      <c r="C21" s="5" t="s">
        <v>35</v>
      </c>
      <c r="D21" s="4" t="s">
        <v>54</v>
      </c>
      <c r="E21" s="4" t="s">
        <v>55</v>
      </c>
      <c r="F21" s="6">
        <v>43400.54</v>
      </c>
      <c r="G21" s="6">
        <v>651</v>
      </c>
      <c r="H21" s="6">
        <f t="shared" si="0"/>
        <v>44051.54</v>
      </c>
      <c r="I21" s="6">
        <v>651</v>
      </c>
      <c r="J21" s="4"/>
    </row>
    <row r="22" ht="16.5" spans="1:11">
      <c r="A22" s="4">
        <v>20</v>
      </c>
      <c r="B22" s="5" t="s">
        <v>34</v>
      </c>
      <c r="C22" s="5" t="s">
        <v>35</v>
      </c>
      <c r="D22" s="4" t="s">
        <v>56</v>
      </c>
      <c r="E22" s="4" t="s">
        <v>57</v>
      </c>
      <c r="F22" s="6">
        <v>13</v>
      </c>
      <c r="G22" s="6">
        <v>0</v>
      </c>
      <c r="H22" s="6">
        <f t="shared" si="0"/>
        <v>13</v>
      </c>
      <c r="I22" s="6">
        <v>0</v>
      </c>
      <c r="J22" s="4"/>
    </row>
    <row r="23" customFormat="1" ht="16.5" spans="1:11">
      <c r="A23" s="4">
        <v>21</v>
      </c>
      <c r="B23" s="5" t="s">
        <v>34</v>
      </c>
      <c r="C23" s="5" t="s">
        <v>35</v>
      </c>
      <c r="D23" s="4" t="s">
        <v>58</v>
      </c>
      <c r="E23" s="4" t="s">
        <v>59</v>
      </c>
      <c r="F23" s="6">
        <v>210834</v>
      </c>
      <c r="G23" s="6">
        <v>0</v>
      </c>
      <c r="H23" s="6">
        <f t="shared" si="0"/>
        <v>210834</v>
      </c>
      <c r="I23" s="6">
        <v>0</v>
      </c>
      <c r="J23" s="4"/>
    </row>
    <row r="24" customFormat="1" ht="16.5" spans="1:11">
      <c r="A24" s="4">
        <v>22</v>
      </c>
      <c r="B24" s="5" t="s">
        <v>34</v>
      </c>
      <c r="C24" s="5" t="s">
        <v>35</v>
      </c>
      <c r="D24" s="4" t="s">
        <v>60</v>
      </c>
      <c r="E24" s="4" t="s">
        <v>61</v>
      </c>
      <c r="F24" s="6">
        <v>10150</v>
      </c>
      <c r="G24" s="6">
        <v>1108</v>
      </c>
      <c r="H24" s="6">
        <f t="shared" si="0"/>
        <v>11258</v>
      </c>
      <c r="I24" s="6">
        <v>1108</v>
      </c>
      <c r="J24" s="4"/>
    </row>
    <row r="25" customFormat="1" ht="16.5" spans="1:11">
      <c r="A25" s="4">
        <v>23</v>
      </c>
      <c r="B25" s="5" t="s">
        <v>34</v>
      </c>
      <c r="C25" s="5" t="s">
        <v>35</v>
      </c>
      <c r="D25" s="4" t="s">
        <v>48</v>
      </c>
      <c r="E25" s="4" t="s">
        <v>62</v>
      </c>
      <c r="F25" s="6">
        <v>22084</v>
      </c>
      <c r="G25" s="6">
        <v>0</v>
      </c>
      <c r="H25" s="6">
        <f t="shared" si="0"/>
        <v>22084</v>
      </c>
      <c r="I25" s="6">
        <v>0</v>
      </c>
      <c r="J25" s="4"/>
    </row>
    <row r="26" customFormat="1" ht="16.5" spans="1:11">
      <c r="A26" s="4">
        <v>24</v>
      </c>
      <c r="B26" s="5" t="s">
        <v>34</v>
      </c>
      <c r="C26" s="5" t="s">
        <v>35</v>
      </c>
      <c r="D26" s="4" t="s">
        <v>63</v>
      </c>
      <c r="E26" s="4" t="s">
        <v>64</v>
      </c>
      <c r="F26" s="6">
        <v>104531.74</v>
      </c>
      <c r="G26" s="6">
        <v>0</v>
      </c>
      <c r="H26" s="6">
        <f t="shared" si="0"/>
        <v>104531.74</v>
      </c>
      <c r="I26" s="6">
        <v>0</v>
      </c>
      <c r="J26" s="4"/>
    </row>
    <row r="27" customFormat="1" ht="16.5" spans="1:11">
      <c r="A27" s="4">
        <v>25</v>
      </c>
      <c r="B27" s="5" t="s">
        <v>34</v>
      </c>
      <c r="C27" s="5" t="s">
        <v>35</v>
      </c>
      <c r="D27" s="4" t="s">
        <v>65</v>
      </c>
      <c r="E27" s="4" t="s">
        <v>66</v>
      </c>
      <c r="F27" s="6">
        <v>10939.84</v>
      </c>
      <c r="G27" s="6">
        <v>0</v>
      </c>
      <c r="H27" s="6">
        <f t="shared" si="0"/>
        <v>10939.84</v>
      </c>
      <c r="I27" s="6">
        <v>0</v>
      </c>
      <c r="J27" s="4"/>
      <c r="K27" t="s">
        <v>33</v>
      </c>
    </row>
    <row r="28" customFormat="1" ht="16.5" spans="1:11">
      <c r="A28" s="4">
        <v>26</v>
      </c>
      <c r="B28" s="5" t="s">
        <v>34</v>
      </c>
      <c r="C28" s="5" t="s">
        <v>35</v>
      </c>
      <c r="D28" s="4" t="s">
        <v>50</v>
      </c>
      <c r="E28" s="4" t="s">
        <v>67</v>
      </c>
      <c r="F28" s="6">
        <v>10187.1</v>
      </c>
      <c r="G28" s="6">
        <v>224369.44</v>
      </c>
      <c r="H28" s="6">
        <f t="shared" si="0"/>
        <v>234556.54</v>
      </c>
      <c r="I28" s="6">
        <v>169218.74</v>
      </c>
      <c r="J28" s="4"/>
      <c r="K28" t="s">
        <v>33</v>
      </c>
    </row>
    <row r="29" customFormat="1" ht="16.5" spans="1:11">
      <c r="A29" s="4">
        <v>27</v>
      </c>
      <c r="B29" s="5" t="s">
        <v>34</v>
      </c>
      <c r="C29" s="5" t="s">
        <v>68</v>
      </c>
      <c r="D29" s="4" t="s">
        <v>69</v>
      </c>
      <c r="E29" s="4" t="s">
        <v>70</v>
      </c>
      <c r="F29" s="6">
        <v>28372.29</v>
      </c>
      <c r="G29" s="6">
        <v>0</v>
      </c>
      <c r="H29" s="6">
        <f t="shared" si="0"/>
        <v>28372.29</v>
      </c>
      <c r="I29" s="6">
        <v>0</v>
      </c>
      <c r="J29" s="4"/>
    </row>
    <row r="30" customFormat="1" ht="16.5" spans="1:11">
      <c r="A30" s="4">
        <v>28</v>
      </c>
      <c r="B30" s="5" t="s">
        <v>34</v>
      </c>
      <c r="C30" s="5" t="s">
        <v>71</v>
      </c>
      <c r="D30" s="4" t="s">
        <v>72</v>
      </c>
      <c r="E30" s="4" t="s">
        <v>73</v>
      </c>
      <c r="F30" s="6">
        <v>3416.93</v>
      </c>
      <c r="G30" s="6">
        <v>0</v>
      </c>
      <c r="H30" s="6">
        <f t="shared" si="0"/>
        <v>3416.93</v>
      </c>
      <c r="I30" s="6">
        <v>0</v>
      </c>
      <c r="J30" s="4"/>
    </row>
    <row r="31" customFormat="1" ht="16.5" spans="1:11">
      <c r="A31" s="4">
        <v>29</v>
      </c>
      <c r="B31" s="5" t="s">
        <v>34</v>
      </c>
      <c r="C31" s="5" t="s">
        <v>71</v>
      </c>
      <c r="D31" s="4" t="s">
        <v>74</v>
      </c>
      <c r="E31" s="4" t="s">
        <v>75</v>
      </c>
      <c r="F31" s="6">
        <v>83274.94</v>
      </c>
      <c r="G31" s="6">
        <v>0</v>
      </c>
      <c r="H31" s="6">
        <f t="shared" si="0"/>
        <v>83274.94</v>
      </c>
      <c r="I31" s="6">
        <v>0</v>
      </c>
      <c r="J31" s="4"/>
    </row>
    <row r="32" customFormat="1" ht="16.5" spans="1:11">
      <c r="A32" s="4">
        <v>30</v>
      </c>
      <c r="B32" s="5" t="s">
        <v>34</v>
      </c>
      <c r="C32" s="5" t="s">
        <v>71</v>
      </c>
      <c r="D32" s="4" t="s">
        <v>76</v>
      </c>
      <c r="E32" s="4" t="s">
        <v>77</v>
      </c>
      <c r="F32" s="6">
        <v>30</v>
      </c>
      <c r="G32" s="6">
        <v>0</v>
      </c>
      <c r="H32" s="6">
        <f t="shared" si="0"/>
        <v>30</v>
      </c>
      <c r="I32" s="6">
        <v>0</v>
      </c>
      <c r="J32" s="4"/>
    </row>
    <row r="33" customFormat="1" ht="16.5" spans="1:11">
      <c r="A33" s="4">
        <v>31</v>
      </c>
      <c r="B33" s="5" t="s">
        <v>34</v>
      </c>
      <c r="C33" s="5" t="s">
        <v>71</v>
      </c>
      <c r="D33" s="4" t="s">
        <v>78</v>
      </c>
      <c r="E33" s="4" t="s">
        <v>79</v>
      </c>
      <c r="F33" s="6">
        <v>73238.53</v>
      </c>
      <c r="G33" s="6">
        <v>0</v>
      </c>
      <c r="H33" s="6">
        <f t="shared" si="0"/>
        <v>73238.53</v>
      </c>
      <c r="I33" s="6">
        <v>0</v>
      </c>
      <c r="J33" s="4"/>
    </row>
    <row r="34" customFormat="1" ht="16.5" spans="1:11">
      <c r="A34" s="4">
        <v>32</v>
      </c>
      <c r="B34" s="5" t="s">
        <v>34</v>
      </c>
      <c r="C34" s="5" t="s">
        <v>71</v>
      </c>
      <c r="D34" s="4" t="s">
        <v>80</v>
      </c>
      <c r="E34" s="4" t="s">
        <v>81</v>
      </c>
      <c r="F34" s="6">
        <v>85025.43</v>
      </c>
      <c r="G34" s="6">
        <v>0</v>
      </c>
      <c r="H34" s="6">
        <f t="shared" si="0"/>
        <v>85025.43</v>
      </c>
      <c r="I34" s="6">
        <v>0</v>
      </c>
      <c r="J34" s="4"/>
    </row>
    <row r="35" customFormat="1" ht="16.5" spans="1:11">
      <c r="A35" s="4">
        <v>33</v>
      </c>
      <c r="B35" s="5" t="s">
        <v>82</v>
      </c>
      <c r="C35" s="5" t="s">
        <v>83</v>
      </c>
      <c r="D35" s="4" t="s">
        <v>84</v>
      </c>
      <c r="E35" s="4" t="s">
        <v>85</v>
      </c>
      <c r="F35" s="6">
        <v>39621.68</v>
      </c>
      <c r="G35" s="6">
        <v>0</v>
      </c>
      <c r="H35" s="6">
        <f t="shared" si="0"/>
        <v>39621.68</v>
      </c>
      <c r="I35" s="6">
        <v>0</v>
      </c>
      <c r="J35" s="4"/>
    </row>
    <row r="36" customFormat="1" ht="16.5" spans="1:11">
      <c r="A36" s="4">
        <v>34</v>
      </c>
      <c r="B36" s="5" t="s">
        <v>82</v>
      </c>
      <c r="C36" s="5" t="s">
        <v>83</v>
      </c>
      <c r="D36" s="4" t="s">
        <v>86</v>
      </c>
      <c r="E36" s="4" t="s">
        <v>87</v>
      </c>
      <c r="F36" s="6">
        <v>163116.29</v>
      </c>
      <c r="G36" s="6">
        <v>0</v>
      </c>
      <c r="H36" s="6">
        <f t="shared" si="0"/>
        <v>163116.29</v>
      </c>
      <c r="I36" s="6">
        <v>0</v>
      </c>
      <c r="J36" s="4"/>
    </row>
    <row r="37" customFormat="1" ht="16.5" spans="1:11">
      <c r="A37" s="4">
        <v>35</v>
      </c>
      <c r="B37" s="5" t="s">
        <v>82</v>
      </c>
      <c r="C37" s="5" t="s">
        <v>83</v>
      </c>
      <c r="D37" s="4" t="s">
        <v>88</v>
      </c>
      <c r="E37" s="4" t="s">
        <v>89</v>
      </c>
      <c r="F37" s="6">
        <v>54</v>
      </c>
      <c r="G37" s="6">
        <v>0</v>
      </c>
      <c r="H37" s="6">
        <f t="shared" si="0"/>
        <v>54</v>
      </c>
      <c r="I37" s="6">
        <v>0</v>
      </c>
      <c r="J37" s="4"/>
    </row>
    <row r="38" customFormat="1" ht="16.5" spans="1:11">
      <c r="A38" s="4">
        <v>36</v>
      </c>
      <c r="B38" s="5" t="s">
        <v>82</v>
      </c>
      <c r="C38" s="5" t="s">
        <v>83</v>
      </c>
      <c r="D38" s="4" t="s">
        <v>90</v>
      </c>
      <c r="E38" s="4" t="s">
        <v>91</v>
      </c>
      <c r="F38" s="6">
        <v>2798</v>
      </c>
      <c r="G38" s="6">
        <v>0</v>
      </c>
      <c r="H38" s="6">
        <f t="shared" si="0"/>
        <v>2798</v>
      </c>
      <c r="I38" s="6">
        <v>0</v>
      </c>
      <c r="J38" s="4"/>
    </row>
    <row r="39" customFormat="1" ht="16.5" spans="1:11">
      <c r="A39" s="4">
        <v>37</v>
      </c>
      <c r="B39" s="5" t="s">
        <v>82</v>
      </c>
      <c r="C39" s="5" t="s">
        <v>83</v>
      </c>
      <c r="D39" s="4" t="s">
        <v>92</v>
      </c>
      <c r="E39" s="4" t="s">
        <v>93</v>
      </c>
      <c r="F39" s="6">
        <v>123</v>
      </c>
      <c r="G39" s="6">
        <v>0</v>
      </c>
      <c r="H39" s="6">
        <f t="shared" si="0"/>
        <v>123</v>
      </c>
      <c r="I39" s="6">
        <v>0</v>
      </c>
      <c r="J39" s="4"/>
    </row>
    <row r="40" customFormat="1" ht="16.5" spans="1:11">
      <c r="A40" s="4">
        <v>38</v>
      </c>
      <c r="B40" s="5" t="s">
        <v>82</v>
      </c>
      <c r="C40" s="5" t="s">
        <v>83</v>
      </c>
      <c r="D40" s="4" t="s">
        <v>94</v>
      </c>
      <c r="E40" s="4" t="s">
        <v>95</v>
      </c>
      <c r="F40" s="6">
        <v>32470.47</v>
      </c>
      <c r="G40" s="6">
        <v>0</v>
      </c>
      <c r="H40" s="6">
        <f t="shared" si="0"/>
        <v>32470.47</v>
      </c>
      <c r="I40" s="6">
        <v>0</v>
      </c>
      <c r="J40" s="4"/>
    </row>
    <row r="41" customFormat="1" ht="16.5" spans="1:11">
      <c r="A41" s="4">
        <v>39</v>
      </c>
      <c r="B41" s="5" t="s">
        <v>82</v>
      </c>
      <c r="C41" s="5" t="s">
        <v>83</v>
      </c>
      <c r="D41" s="4" t="s">
        <v>96</v>
      </c>
      <c r="E41" s="4" t="s">
        <v>97</v>
      </c>
      <c r="F41" s="6">
        <v>5648.5</v>
      </c>
      <c r="G41" s="6">
        <v>0</v>
      </c>
      <c r="H41" s="6">
        <f t="shared" si="0"/>
        <v>5648.5</v>
      </c>
      <c r="I41" s="6">
        <v>0</v>
      </c>
      <c r="J41" s="4"/>
    </row>
    <row r="42" customFormat="1" ht="16.5" spans="1:11">
      <c r="A42" s="4">
        <v>40</v>
      </c>
      <c r="B42" s="5" t="s">
        <v>82</v>
      </c>
      <c r="C42" s="5" t="s">
        <v>83</v>
      </c>
      <c r="D42" s="4" t="s">
        <v>98</v>
      </c>
      <c r="E42" s="4" t="s">
        <v>99</v>
      </c>
      <c r="F42" s="6">
        <v>59</v>
      </c>
      <c r="G42" s="6">
        <v>1996</v>
      </c>
      <c r="H42" s="6">
        <f t="shared" si="0"/>
        <v>2055</v>
      </c>
      <c r="I42" s="6">
        <v>1996</v>
      </c>
      <c r="J42" s="4"/>
      <c r="K42" t="s">
        <v>33</v>
      </c>
    </row>
    <row r="43" customFormat="1" ht="16.5" spans="1:11">
      <c r="A43" s="4">
        <v>41</v>
      </c>
      <c r="B43" s="5" t="s">
        <v>82</v>
      </c>
      <c r="C43" s="5" t="s">
        <v>83</v>
      </c>
      <c r="D43" s="4" t="s">
        <v>100</v>
      </c>
      <c r="E43" s="4" t="s">
        <v>101</v>
      </c>
      <c r="F43" s="6">
        <v>828</v>
      </c>
      <c r="G43" s="6">
        <v>0</v>
      </c>
      <c r="H43" s="6">
        <f t="shared" si="0"/>
        <v>828</v>
      </c>
      <c r="I43" s="6">
        <v>0</v>
      </c>
      <c r="J43" s="4"/>
      <c r="K43" t="s">
        <v>33</v>
      </c>
    </row>
    <row r="44" customFormat="1" ht="16.5" spans="1:11">
      <c r="A44" s="4">
        <v>42</v>
      </c>
      <c r="B44" s="5" t="s">
        <v>82</v>
      </c>
      <c r="C44" s="5" t="s">
        <v>83</v>
      </c>
      <c r="D44" s="4" t="s">
        <v>102</v>
      </c>
      <c r="E44" s="4" t="s">
        <v>103</v>
      </c>
      <c r="F44" s="6">
        <v>0</v>
      </c>
      <c r="G44" s="6">
        <v>3685</v>
      </c>
      <c r="H44" s="6">
        <f t="shared" si="0"/>
        <v>3685</v>
      </c>
      <c r="I44" s="6">
        <v>2948</v>
      </c>
      <c r="J44" s="4"/>
      <c r="K44" t="s">
        <v>33</v>
      </c>
    </row>
    <row r="45" customFormat="1" ht="16.5" spans="1:11">
      <c r="A45" s="4">
        <v>43</v>
      </c>
      <c r="B45" s="5" t="s">
        <v>82</v>
      </c>
      <c r="C45" s="5" t="s">
        <v>104</v>
      </c>
      <c r="D45" s="4" t="s">
        <v>105</v>
      </c>
      <c r="E45" s="4" t="s">
        <v>106</v>
      </c>
      <c r="F45" s="6">
        <v>64223</v>
      </c>
      <c r="G45" s="6">
        <v>0</v>
      </c>
      <c r="H45" s="6">
        <f t="shared" si="0"/>
        <v>64223</v>
      </c>
      <c r="I45" s="6">
        <v>0</v>
      </c>
      <c r="J45" s="4"/>
    </row>
    <row r="46" customFormat="1" ht="16.5" spans="1:11">
      <c r="A46" s="4">
        <v>44</v>
      </c>
      <c r="B46" s="5" t="s">
        <v>82</v>
      </c>
      <c r="C46" s="5" t="s">
        <v>104</v>
      </c>
      <c r="D46" s="4" t="s">
        <v>107</v>
      </c>
      <c r="E46" s="4" t="s">
        <v>108</v>
      </c>
      <c r="F46" s="6">
        <v>60</v>
      </c>
      <c r="G46" s="6">
        <v>0</v>
      </c>
      <c r="H46" s="6">
        <f t="shared" si="0"/>
        <v>60</v>
      </c>
      <c r="I46" s="6">
        <v>0</v>
      </c>
      <c r="J46" s="4"/>
    </row>
    <row r="47" customFormat="1" ht="16.5" spans="1:11">
      <c r="A47" s="4">
        <v>45</v>
      </c>
      <c r="B47" s="5" t="s">
        <v>82</v>
      </c>
      <c r="C47" s="5" t="s">
        <v>104</v>
      </c>
      <c r="D47" s="4" t="s">
        <v>109</v>
      </c>
      <c r="E47" s="4" t="s">
        <v>110</v>
      </c>
      <c r="F47" s="6">
        <v>130160.02</v>
      </c>
      <c r="G47" s="6">
        <v>0</v>
      </c>
      <c r="H47" s="6">
        <f t="shared" si="0"/>
        <v>130160.02</v>
      </c>
      <c r="I47" s="6">
        <v>0</v>
      </c>
      <c r="J47" s="4"/>
    </row>
    <row r="48" customFormat="1" ht="16.5" spans="1:11">
      <c r="A48" s="4">
        <v>46</v>
      </c>
      <c r="B48" s="5" t="s">
        <v>82</v>
      </c>
      <c r="C48" s="5" t="s">
        <v>104</v>
      </c>
      <c r="D48" s="4" t="s">
        <v>111</v>
      </c>
      <c r="E48" s="4" t="s">
        <v>112</v>
      </c>
      <c r="F48" s="6">
        <v>101706.45</v>
      </c>
      <c r="G48" s="6">
        <v>0</v>
      </c>
      <c r="H48" s="6">
        <f t="shared" si="0"/>
        <v>101706.45</v>
      </c>
      <c r="I48" s="6">
        <v>0</v>
      </c>
      <c r="J48" s="4"/>
    </row>
    <row r="49" customFormat="1" ht="16.5" spans="1:11">
      <c r="A49" s="4">
        <v>47</v>
      </c>
      <c r="B49" s="5" t="s">
        <v>82</v>
      </c>
      <c r="C49" s="5" t="s">
        <v>104</v>
      </c>
      <c r="D49" s="4" t="s">
        <v>113</v>
      </c>
      <c r="E49" s="4" t="s">
        <v>114</v>
      </c>
      <c r="F49" s="6">
        <v>0</v>
      </c>
      <c r="G49" s="6">
        <v>95.2</v>
      </c>
      <c r="H49" s="6">
        <f t="shared" si="0"/>
        <v>95.2</v>
      </c>
      <c r="I49" s="6">
        <v>95.2</v>
      </c>
      <c r="J49" s="4"/>
    </row>
    <row r="50" customFormat="1" ht="16.5" spans="1:11">
      <c r="A50" s="4">
        <v>48</v>
      </c>
      <c r="B50" s="5" t="s">
        <v>82</v>
      </c>
      <c r="C50" s="5" t="s">
        <v>115</v>
      </c>
      <c r="D50" s="4" t="s">
        <v>116</v>
      </c>
      <c r="E50" s="4" t="s">
        <v>117</v>
      </c>
      <c r="F50" s="6">
        <v>6230</v>
      </c>
      <c r="G50" s="6">
        <v>0</v>
      </c>
      <c r="H50" s="6">
        <f t="shared" si="0"/>
        <v>6230</v>
      </c>
      <c r="I50" s="6">
        <v>0</v>
      </c>
      <c r="J50" s="4"/>
    </row>
    <row r="51" customFormat="1" ht="16.5" spans="1:11">
      <c r="A51" s="4">
        <v>49</v>
      </c>
      <c r="B51" s="5" t="s">
        <v>82</v>
      </c>
      <c r="C51" s="5" t="s">
        <v>115</v>
      </c>
      <c r="D51" s="4" t="s">
        <v>118</v>
      </c>
      <c r="E51" s="4" t="s">
        <v>119</v>
      </c>
      <c r="F51" s="6">
        <v>30081.09</v>
      </c>
      <c r="G51" s="6">
        <v>0</v>
      </c>
      <c r="H51" s="6">
        <f t="shared" si="0"/>
        <v>30081.09</v>
      </c>
      <c r="I51" s="6">
        <v>0</v>
      </c>
      <c r="J51" s="4"/>
    </row>
    <row r="52" customFormat="1" ht="16.5" spans="1:11">
      <c r="A52" s="4">
        <v>50</v>
      </c>
      <c r="B52" s="5" t="s">
        <v>82</v>
      </c>
      <c r="C52" s="5" t="s">
        <v>120</v>
      </c>
      <c r="D52" s="4" t="s">
        <v>121</v>
      </c>
      <c r="E52" s="4" t="s">
        <v>122</v>
      </c>
      <c r="F52" s="6">
        <v>103998.79</v>
      </c>
      <c r="G52" s="6">
        <v>0</v>
      </c>
      <c r="H52" s="6">
        <f t="shared" si="0"/>
        <v>103998.79</v>
      </c>
      <c r="I52" s="6">
        <v>0</v>
      </c>
      <c r="J52" s="4"/>
    </row>
    <row r="53" customFormat="1" ht="16.5" spans="1:11">
      <c r="A53" s="4">
        <v>51</v>
      </c>
      <c r="B53" s="5" t="s">
        <v>82</v>
      </c>
      <c r="C53" s="5" t="s">
        <v>120</v>
      </c>
      <c r="D53" s="4" t="s">
        <v>123</v>
      </c>
      <c r="E53" s="4" t="s">
        <v>124</v>
      </c>
      <c r="F53" s="6">
        <v>39631</v>
      </c>
      <c r="G53" s="6">
        <v>0</v>
      </c>
      <c r="H53" s="6">
        <f t="shared" si="0"/>
        <v>39631</v>
      </c>
      <c r="I53" s="6">
        <v>0</v>
      </c>
      <c r="J53" s="4"/>
    </row>
    <row r="54" customFormat="1" ht="16.5" spans="1:11">
      <c r="A54" s="4">
        <v>52</v>
      </c>
      <c r="B54" s="5" t="s">
        <v>82</v>
      </c>
      <c r="C54" s="5" t="s">
        <v>120</v>
      </c>
      <c r="D54" s="4" t="s">
        <v>125</v>
      </c>
      <c r="E54" s="4" t="s">
        <v>126</v>
      </c>
      <c r="F54" s="6">
        <v>160057.81</v>
      </c>
      <c r="G54" s="6">
        <v>640</v>
      </c>
      <c r="H54" s="6">
        <f t="shared" si="0"/>
        <v>160697.81</v>
      </c>
      <c r="I54" s="6">
        <v>544</v>
      </c>
      <c r="J54" s="4"/>
    </row>
    <row r="55" customFormat="1" ht="16.5" spans="1:11">
      <c r="A55" s="4">
        <v>53</v>
      </c>
      <c r="B55" s="5" t="s">
        <v>82</v>
      </c>
      <c r="C55" s="5" t="s">
        <v>120</v>
      </c>
      <c r="D55" s="4" t="s">
        <v>127</v>
      </c>
      <c r="E55" s="4" t="s">
        <v>128</v>
      </c>
      <c r="F55" s="6">
        <v>599.22</v>
      </c>
      <c r="G55" s="6">
        <v>0</v>
      </c>
      <c r="H55" s="6">
        <f t="shared" si="0"/>
        <v>599.22</v>
      </c>
      <c r="I55" s="6">
        <v>0</v>
      </c>
      <c r="J55" s="4"/>
    </row>
    <row r="56" customFormat="1" ht="16.5" spans="1:11">
      <c r="A56" s="4">
        <v>54</v>
      </c>
      <c r="B56" s="5" t="s">
        <v>82</v>
      </c>
      <c r="C56" s="5" t="s">
        <v>120</v>
      </c>
      <c r="D56" s="4" t="s">
        <v>129</v>
      </c>
      <c r="E56" s="4" t="s">
        <v>130</v>
      </c>
      <c r="F56" s="6">
        <v>93237.29</v>
      </c>
      <c r="G56" s="6">
        <v>0</v>
      </c>
      <c r="H56" s="6">
        <f t="shared" si="0"/>
        <v>93237.29</v>
      </c>
      <c r="I56" s="6">
        <v>0</v>
      </c>
      <c r="J56" s="4"/>
    </row>
    <row r="57" customFormat="1" ht="16.5" spans="1:11">
      <c r="A57" s="4">
        <v>55</v>
      </c>
      <c r="B57" s="5" t="s">
        <v>82</v>
      </c>
      <c r="C57" s="5" t="s">
        <v>120</v>
      </c>
      <c r="D57" s="4" t="s">
        <v>131</v>
      </c>
      <c r="E57" s="4" t="s">
        <v>132</v>
      </c>
      <c r="F57" s="6">
        <v>11822.7</v>
      </c>
      <c r="G57" s="6">
        <v>0</v>
      </c>
      <c r="H57" s="6">
        <f t="shared" si="0"/>
        <v>11822.7</v>
      </c>
      <c r="I57" s="6">
        <v>0</v>
      </c>
      <c r="J57" s="4"/>
    </row>
    <row r="58" customFormat="1" ht="16.5" spans="1:11">
      <c r="A58" s="4">
        <v>56</v>
      </c>
      <c r="B58" s="5" t="s">
        <v>82</v>
      </c>
      <c r="C58" s="5" t="s">
        <v>120</v>
      </c>
      <c r="D58" s="4" t="s">
        <v>133</v>
      </c>
      <c r="E58" s="4" t="s">
        <v>134</v>
      </c>
      <c r="F58" s="6">
        <v>66314.47</v>
      </c>
      <c r="G58" s="6">
        <v>0</v>
      </c>
      <c r="H58" s="6">
        <f t="shared" si="0"/>
        <v>66314.47</v>
      </c>
      <c r="I58" s="6">
        <v>0</v>
      </c>
      <c r="J58" s="4"/>
    </row>
    <row r="59" customFormat="1" ht="16.5" spans="1:11">
      <c r="A59" s="4">
        <v>57</v>
      </c>
      <c r="B59" s="5" t="s">
        <v>82</v>
      </c>
      <c r="C59" s="5" t="s">
        <v>120</v>
      </c>
      <c r="D59" s="4" t="s">
        <v>135</v>
      </c>
      <c r="E59" s="4" t="s">
        <v>136</v>
      </c>
      <c r="F59" s="6">
        <v>218</v>
      </c>
      <c r="G59" s="6">
        <v>0</v>
      </c>
      <c r="H59" s="6">
        <f t="shared" si="0"/>
        <v>218</v>
      </c>
      <c r="I59" s="6">
        <v>0</v>
      </c>
      <c r="J59" s="4"/>
      <c r="K59" t="s">
        <v>33</v>
      </c>
    </row>
    <row r="60" customFormat="1" ht="16.5" spans="1:11">
      <c r="A60" s="4">
        <v>58</v>
      </c>
      <c r="B60" s="5" t="s">
        <v>82</v>
      </c>
      <c r="C60" s="5" t="s">
        <v>137</v>
      </c>
      <c r="D60" s="4" t="s">
        <v>138</v>
      </c>
      <c r="E60" s="4" t="s">
        <v>139</v>
      </c>
      <c r="F60" s="6">
        <v>14</v>
      </c>
      <c r="G60" s="6">
        <v>0</v>
      </c>
      <c r="H60" s="6">
        <f t="shared" si="0"/>
        <v>14</v>
      </c>
      <c r="I60" s="6">
        <v>0</v>
      </c>
      <c r="J60" s="4"/>
    </row>
    <row r="61" customFormat="1" ht="16.5" spans="1:11">
      <c r="A61" s="4">
        <v>59</v>
      </c>
      <c r="B61" s="5" t="s">
        <v>82</v>
      </c>
      <c r="C61" s="5" t="s">
        <v>137</v>
      </c>
      <c r="D61" s="4" t="s">
        <v>140</v>
      </c>
      <c r="E61" s="4" t="s">
        <v>141</v>
      </c>
      <c r="F61" s="6">
        <v>239</v>
      </c>
      <c r="G61" s="6">
        <v>0</v>
      </c>
      <c r="H61" s="6">
        <f t="shared" si="0"/>
        <v>239</v>
      </c>
      <c r="I61" s="6">
        <v>0</v>
      </c>
      <c r="J61" s="4"/>
    </row>
    <row r="62" customFormat="1" ht="16.5" spans="1:11">
      <c r="A62" s="4">
        <v>60</v>
      </c>
      <c r="B62" s="5" t="s">
        <v>142</v>
      </c>
      <c r="C62" s="5" t="s">
        <v>143</v>
      </c>
      <c r="D62" s="4" t="s">
        <v>144</v>
      </c>
      <c r="E62" s="4" t="s">
        <v>145</v>
      </c>
      <c r="F62" s="6">
        <v>36676.96</v>
      </c>
      <c r="G62" s="6">
        <v>0</v>
      </c>
      <c r="H62" s="6">
        <f t="shared" si="0"/>
        <v>36676.96</v>
      </c>
      <c r="I62" s="6">
        <v>0</v>
      </c>
      <c r="J62" s="4"/>
    </row>
    <row r="63" customFormat="1" ht="16.5" spans="1:11">
      <c r="A63" s="4">
        <v>61</v>
      </c>
      <c r="B63" s="5" t="s">
        <v>142</v>
      </c>
      <c r="C63" s="5" t="s">
        <v>143</v>
      </c>
      <c r="D63" s="4" t="s">
        <v>146</v>
      </c>
      <c r="E63" s="4" t="s">
        <v>147</v>
      </c>
      <c r="F63" s="6">
        <v>23727.83</v>
      </c>
      <c r="G63" s="6">
        <v>0</v>
      </c>
      <c r="H63" s="6">
        <f t="shared" si="0"/>
        <v>23727.83</v>
      </c>
      <c r="I63" s="6">
        <v>0</v>
      </c>
      <c r="J63" s="4"/>
    </row>
    <row r="64" customFormat="1" ht="16.5" spans="1:11">
      <c r="A64" s="4">
        <v>62</v>
      </c>
      <c r="B64" s="5" t="s">
        <v>142</v>
      </c>
      <c r="C64" s="5" t="s">
        <v>143</v>
      </c>
      <c r="D64" s="4" t="s">
        <v>148</v>
      </c>
      <c r="E64" s="4" t="s">
        <v>149</v>
      </c>
      <c r="F64" s="6">
        <v>24</v>
      </c>
      <c r="G64" s="6">
        <v>0</v>
      </c>
      <c r="H64" s="6">
        <f t="shared" si="0"/>
        <v>24</v>
      </c>
      <c r="I64" s="6">
        <v>0</v>
      </c>
      <c r="J64" s="4"/>
    </row>
    <row r="65" customFormat="1" ht="16.5" spans="1:11">
      <c r="A65" s="4">
        <v>63</v>
      </c>
      <c r="B65" s="5" t="s">
        <v>142</v>
      </c>
      <c r="C65" s="5" t="s">
        <v>150</v>
      </c>
      <c r="D65" s="4" t="s">
        <v>151</v>
      </c>
      <c r="E65" s="4" t="s">
        <v>152</v>
      </c>
      <c r="F65" s="6">
        <v>2693</v>
      </c>
      <c r="G65" s="6">
        <v>0</v>
      </c>
      <c r="H65" s="6">
        <f t="shared" si="0"/>
        <v>2693</v>
      </c>
      <c r="I65" s="6">
        <v>0</v>
      </c>
      <c r="J65" s="4"/>
    </row>
    <row r="66" customFormat="1" ht="16.5" spans="1:11">
      <c r="A66" s="4">
        <v>64</v>
      </c>
      <c r="B66" s="5" t="s">
        <v>142</v>
      </c>
      <c r="C66" s="5" t="s">
        <v>150</v>
      </c>
      <c r="D66" s="4" t="s">
        <v>153</v>
      </c>
      <c r="E66" s="4" t="s">
        <v>154</v>
      </c>
      <c r="F66" s="6">
        <v>56002.89</v>
      </c>
      <c r="G66" s="6">
        <v>0</v>
      </c>
      <c r="H66" s="6">
        <f t="shared" si="0"/>
        <v>56002.89</v>
      </c>
      <c r="I66" s="6">
        <v>0</v>
      </c>
      <c r="J66" s="4"/>
    </row>
    <row r="67" customFormat="1" ht="16.5" spans="1:11">
      <c r="A67" s="4">
        <v>65</v>
      </c>
      <c r="B67" s="5" t="s">
        <v>142</v>
      </c>
      <c r="C67" s="5" t="s">
        <v>150</v>
      </c>
      <c r="D67" s="4" t="s">
        <v>155</v>
      </c>
      <c r="E67" s="4" t="s">
        <v>156</v>
      </c>
      <c r="F67" s="6">
        <v>0</v>
      </c>
      <c r="G67" s="6">
        <v>135</v>
      </c>
      <c r="H67" s="6">
        <f t="shared" ref="H67:H116" si="1">SUM(F67:G67)</f>
        <v>135</v>
      </c>
      <c r="I67" s="6">
        <v>135</v>
      </c>
      <c r="J67" s="4"/>
    </row>
    <row r="68" customFormat="1" ht="16.5" spans="1:11">
      <c r="A68" s="4">
        <v>66</v>
      </c>
      <c r="B68" s="5" t="s">
        <v>142</v>
      </c>
      <c r="C68" s="5" t="s">
        <v>150</v>
      </c>
      <c r="D68" s="4" t="s">
        <v>157</v>
      </c>
      <c r="E68" s="4" t="s">
        <v>158</v>
      </c>
      <c r="F68" s="6">
        <v>4416.34</v>
      </c>
      <c r="G68" s="6">
        <v>0</v>
      </c>
      <c r="H68" s="6">
        <f t="shared" si="1"/>
        <v>4416.34</v>
      </c>
      <c r="I68" s="6">
        <v>0</v>
      </c>
      <c r="J68" s="4"/>
    </row>
    <row r="69" customFormat="1" ht="16.5" spans="1:11">
      <c r="A69" s="4">
        <v>67</v>
      </c>
      <c r="B69" s="5" t="s">
        <v>142</v>
      </c>
      <c r="C69" s="5" t="s">
        <v>150</v>
      </c>
      <c r="D69" s="4" t="s">
        <v>159</v>
      </c>
      <c r="E69" s="4" t="s">
        <v>160</v>
      </c>
      <c r="F69" s="6">
        <v>86443.5</v>
      </c>
      <c r="G69" s="6">
        <v>85</v>
      </c>
      <c r="H69" s="6">
        <f t="shared" si="1"/>
        <v>86528.5</v>
      </c>
      <c r="I69" s="6">
        <v>85</v>
      </c>
      <c r="J69" s="4"/>
    </row>
    <row r="70" customFormat="1" ht="16.5" spans="1:11">
      <c r="A70" s="4">
        <v>68</v>
      </c>
      <c r="B70" s="5" t="s">
        <v>142</v>
      </c>
      <c r="C70" s="5" t="s">
        <v>150</v>
      </c>
      <c r="D70" s="4" t="s">
        <v>155</v>
      </c>
      <c r="E70" s="4" t="s">
        <v>161</v>
      </c>
      <c r="F70" s="6">
        <v>39916</v>
      </c>
      <c r="G70" s="6">
        <v>0</v>
      </c>
      <c r="H70" s="6">
        <f t="shared" si="1"/>
        <v>39916</v>
      </c>
      <c r="I70" s="6">
        <v>0</v>
      </c>
      <c r="J70" s="4"/>
      <c r="K70" t="s">
        <v>33</v>
      </c>
    </row>
    <row r="71" customFormat="1" ht="16.5" spans="1:11">
      <c r="A71" s="4">
        <v>69</v>
      </c>
      <c r="B71" s="5" t="s">
        <v>142</v>
      </c>
      <c r="C71" s="5" t="s">
        <v>162</v>
      </c>
      <c r="D71" s="4" t="s">
        <v>163</v>
      </c>
      <c r="E71" s="4" t="s">
        <v>164</v>
      </c>
      <c r="F71" s="6">
        <v>11994</v>
      </c>
      <c r="G71" s="6">
        <v>0</v>
      </c>
      <c r="H71" s="6">
        <f t="shared" si="1"/>
        <v>11994</v>
      </c>
      <c r="I71" s="6">
        <v>0</v>
      </c>
      <c r="J71" s="4"/>
    </row>
    <row r="72" customFormat="1" ht="16.5" spans="1:11">
      <c r="A72" s="4">
        <v>70</v>
      </c>
      <c r="B72" s="5" t="s">
        <v>142</v>
      </c>
      <c r="C72" s="5" t="s">
        <v>162</v>
      </c>
      <c r="D72" s="4" t="s">
        <v>165</v>
      </c>
      <c r="E72" s="4" t="s">
        <v>166</v>
      </c>
      <c r="F72" s="6">
        <v>119</v>
      </c>
      <c r="G72" s="6">
        <v>0</v>
      </c>
      <c r="H72" s="6">
        <f t="shared" si="1"/>
        <v>119</v>
      </c>
      <c r="I72" s="6">
        <v>0</v>
      </c>
      <c r="J72" s="4"/>
    </row>
    <row r="73" customFormat="1" ht="16.5" spans="1:11">
      <c r="A73" s="4">
        <v>71</v>
      </c>
      <c r="B73" s="5" t="s">
        <v>142</v>
      </c>
      <c r="C73" s="5" t="s">
        <v>162</v>
      </c>
      <c r="D73" s="4" t="s">
        <v>167</v>
      </c>
      <c r="E73" s="4" t="s">
        <v>168</v>
      </c>
      <c r="F73" s="6">
        <v>447</v>
      </c>
      <c r="G73" s="6">
        <v>0</v>
      </c>
      <c r="H73" s="6">
        <f t="shared" si="1"/>
        <v>447</v>
      </c>
      <c r="I73" s="6">
        <v>0</v>
      </c>
      <c r="J73" s="4"/>
    </row>
    <row r="74" customFormat="1" ht="16.5" spans="1:11">
      <c r="A74" s="4">
        <v>72</v>
      </c>
      <c r="B74" s="5" t="s">
        <v>142</v>
      </c>
      <c r="C74" s="5" t="s">
        <v>162</v>
      </c>
      <c r="D74" s="4" t="s">
        <v>169</v>
      </c>
      <c r="E74" s="4" t="s">
        <v>170</v>
      </c>
      <c r="F74" s="6">
        <v>0</v>
      </c>
      <c r="G74" s="6">
        <v>198</v>
      </c>
      <c r="H74" s="6">
        <f t="shared" si="1"/>
        <v>198</v>
      </c>
      <c r="I74" s="6">
        <v>198</v>
      </c>
      <c r="J74" s="4"/>
    </row>
    <row r="75" customFormat="1" ht="16.5" spans="1:11">
      <c r="A75" s="4">
        <v>73</v>
      </c>
      <c r="B75" s="5" t="s">
        <v>142</v>
      </c>
      <c r="C75" s="5" t="s">
        <v>162</v>
      </c>
      <c r="D75" s="4" t="s">
        <v>171</v>
      </c>
      <c r="E75" s="4" t="s">
        <v>172</v>
      </c>
      <c r="F75" s="6">
        <v>1670</v>
      </c>
      <c r="G75" s="6">
        <v>0</v>
      </c>
      <c r="H75" s="6">
        <f t="shared" si="1"/>
        <v>1670</v>
      </c>
      <c r="I75" s="6">
        <v>0</v>
      </c>
      <c r="J75" s="4"/>
    </row>
    <row r="76" customFormat="1" ht="16.5" spans="1:11">
      <c r="A76" s="4">
        <v>74</v>
      </c>
      <c r="B76" s="5" t="s">
        <v>142</v>
      </c>
      <c r="C76" s="5" t="s">
        <v>162</v>
      </c>
      <c r="D76" s="4" t="s">
        <v>173</v>
      </c>
      <c r="E76" s="4" t="s">
        <v>174</v>
      </c>
      <c r="F76" s="6">
        <v>8907.21</v>
      </c>
      <c r="G76" s="6">
        <v>0</v>
      </c>
      <c r="H76" s="6">
        <f t="shared" si="1"/>
        <v>8907.21</v>
      </c>
      <c r="I76" s="6">
        <v>0</v>
      </c>
      <c r="J76" s="4"/>
    </row>
    <row r="77" customFormat="1" ht="16.5" spans="1:11">
      <c r="A77" s="4">
        <v>75</v>
      </c>
      <c r="B77" s="5" t="s">
        <v>142</v>
      </c>
      <c r="C77" s="5" t="s">
        <v>162</v>
      </c>
      <c r="D77" s="4" t="s">
        <v>175</v>
      </c>
      <c r="E77" s="4" t="s">
        <v>176</v>
      </c>
      <c r="F77" s="6">
        <v>36731</v>
      </c>
      <c r="G77" s="6">
        <v>0</v>
      </c>
      <c r="H77" s="6">
        <f t="shared" si="1"/>
        <v>36731</v>
      </c>
      <c r="I77" s="6">
        <v>0</v>
      </c>
      <c r="J77" s="4"/>
    </row>
    <row r="78" customFormat="1" ht="16.5" spans="1:11">
      <c r="A78" s="4">
        <v>76</v>
      </c>
      <c r="B78" s="5" t="s">
        <v>142</v>
      </c>
      <c r="C78" s="5" t="s">
        <v>162</v>
      </c>
      <c r="D78" s="4" t="s">
        <v>177</v>
      </c>
      <c r="E78" s="4" t="s">
        <v>178</v>
      </c>
      <c r="F78" s="6">
        <v>9178.79</v>
      </c>
      <c r="G78" s="6">
        <v>0</v>
      </c>
      <c r="H78" s="6">
        <f t="shared" si="1"/>
        <v>9178.79</v>
      </c>
      <c r="I78" s="6">
        <v>0</v>
      </c>
      <c r="J78" s="4"/>
    </row>
    <row r="79" customFormat="1" ht="16.5" spans="1:11">
      <c r="A79" s="4">
        <v>77</v>
      </c>
      <c r="B79" s="5" t="s">
        <v>142</v>
      </c>
      <c r="C79" s="5" t="s">
        <v>162</v>
      </c>
      <c r="D79" s="4" t="s">
        <v>179</v>
      </c>
      <c r="E79" s="4" t="s">
        <v>180</v>
      </c>
      <c r="F79" s="6">
        <v>6995</v>
      </c>
      <c r="G79" s="6">
        <v>0</v>
      </c>
      <c r="H79" s="6">
        <f t="shared" si="1"/>
        <v>6995</v>
      </c>
      <c r="I79" s="6">
        <v>0</v>
      </c>
      <c r="J79" s="4"/>
    </row>
    <row r="80" customFormat="1" ht="16.5" spans="1:11">
      <c r="A80" s="4">
        <v>78</v>
      </c>
      <c r="B80" s="5" t="s">
        <v>142</v>
      </c>
      <c r="C80" s="5" t="s">
        <v>162</v>
      </c>
      <c r="D80" s="4" t="s">
        <v>181</v>
      </c>
      <c r="E80" s="4" t="s">
        <v>182</v>
      </c>
      <c r="F80" s="6">
        <v>29694</v>
      </c>
      <c r="G80" s="6">
        <v>0</v>
      </c>
      <c r="H80" s="6">
        <f t="shared" si="1"/>
        <v>29694</v>
      </c>
      <c r="I80" s="6">
        <v>0</v>
      </c>
      <c r="J80" s="4"/>
    </row>
    <row r="81" customFormat="1" ht="16.5" spans="1:11">
      <c r="A81" s="4">
        <v>79</v>
      </c>
      <c r="B81" s="5" t="s">
        <v>142</v>
      </c>
      <c r="C81" s="5" t="s">
        <v>162</v>
      </c>
      <c r="D81" s="4" t="s">
        <v>183</v>
      </c>
      <c r="E81" s="4" t="s">
        <v>184</v>
      </c>
      <c r="F81" s="6">
        <v>857</v>
      </c>
      <c r="G81" s="6">
        <v>0</v>
      </c>
      <c r="H81" s="6">
        <f t="shared" si="1"/>
        <v>857</v>
      </c>
      <c r="I81" s="6">
        <v>0</v>
      </c>
      <c r="J81" s="4"/>
    </row>
    <row r="82" customFormat="1" ht="16.5" spans="1:11">
      <c r="A82" s="4">
        <v>80</v>
      </c>
      <c r="B82" s="5" t="s">
        <v>142</v>
      </c>
      <c r="C82" s="5" t="s">
        <v>185</v>
      </c>
      <c r="D82" s="4" t="s">
        <v>186</v>
      </c>
      <c r="E82" s="4" t="s">
        <v>187</v>
      </c>
      <c r="F82" s="6">
        <v>360</v>
      </c>
      <c r="G82" s="6">
        <v>0</v>
      </c>
      <c r="H82" s="6">
        <f t="shared" si="1"/>
        <v>360</v>
      </c>
      <c r="I82" s="6">
        <v>0</v>
      </c>
      <c r="J82" s="4"/>
    </row>
    <row r="83" customFormat="1" ht="16.5" spans="1:11">
      <c r="A83" s="4">
        <v>81</v>
      </c>
      <c r="B83" s="5" t="s">
        <v>142</v>
      </c>
      <c r="C83" s="5" t="s">
        <v>185</v>
      </c>
      <c r="D83" s="4" t="s">
        <v>188</v>
      </c>
      <c r="E83" s="4" t="s">
        <v>189</v>
      </c>
      <c r="F83" s="6">
        <v>216914.81</v>
      </c>
      <c r="G83" s="6">
        <v>3120.98</v>
      </c>
      <c r="H83" s="6">
        <f t="shared" si="1"/>
        <v>220035.79</v>
      </c>
      <c r="I83" s="6">
        <v>1924.12</v>
      </c>
      <c r="J83" s="4"/>
    </row>
    <row r="84" customFormat="1" ht="16.5" spans="1:11">
      <c r="A84" s="4">
        <v>82</v>
      </c>
      <c r="B84" s="5" t="s">
        <v>142</v>
      </c>
      <c r="C84" s="5" t="s">
        <v>185</v>
      </c>
      <c r="D84" s="4" t="s">
        <v>190</v>
      </c>
      <c r="E84" s="4" t="s">
        <v>191</v>
      </c>
      <c r="F84" s="6">
        <v>48</v>
      </c>
      <c r="G84" s="6">
        <v>0</v>
      </c>
      <c r="H84" s="6">
        <f t="shared" si="1"/>
        <v>48</v>
      </c>
      <c r="I84" s="6">
        <v>0</v>
      </c>
      <c r="J84" s="4"/>
    </row>
    <row r="85" customFormat="1" ht="16.5" spans="1:11">
      <c r="A85" s="4">
        <v>83</v>
      </c>
      <c r="B85" s="5" t="s">
        <v>142</v>
      </c>
      <c r="C85" s="5" t="s">
        <v>185</v>
      </c>
      <c r="D85" s="4" t="s">
        <v>192</v>
      </c>
      <c r="E85" s="4" t="s">
        <v>193</v>
      </c>
      <c r="F85" s="6">
        <v>46</v>
      </c>
      <c r="G85" s="6">
        <v>0</v>
      </c>
      <c r="H85" s="6">
        <f t="shared" si="1"/>
        <v>46</v>
      </c>
      <c r="I85" s="6">
        <v>0</v>
      </c>
      <c r="J85" s="4"/>
    </row>
    <row r="86" customFormat="1" ht="16.5" spans="1:11">
      <c r="A86" s="4">
        <v>84</v>
      </c>
      <c r="B86" s="5" t="s">
        <v>142</v>
      </c>
      <c r="C86" s="5" t="s">
        <v>185</v>
      </c>
      <c r="D86" s="4" t="s">
        <v>194</v>
      </c>
      <c r="E86" s="4" t="s">
        <v>195</v>
      </c>
      <c r="F86" s="6">
        <v>35939.01</v>
      </c>
      <c r="G86" s="6">
        <v>0</v>
      </c>
      <c r="H86" s="6">
        <f t="shared" si="1"/>
        <v>35939.01</v>
      </c>
      <c r="I86" s="6">
        <v>0</v>
      </c>
      <c r="J86" s="4"/>
    </row>
    <row r="87" customFormat="1" ht="16.5" spans="1:11">
      <c r="A87" s="4">
        <v>85</v>
      </c>
      <c r="B87" s="5" t="s">
        <v>142</v>
      </c>
      <c r="C87" s="5" t="s">
        <v>185</v>
      </c>
      <c r="D87" s="4" t="s">
        <v>196</v>
      </c>
      <c r="E87" s="4" t="s">
        <v>197</v>
      </c>
      <c r="F87" s="6">
        <v>54498.29</v>
      </c>
      <c r="G87" s="6">
        <v>0</v>
      </c>
      <c r="H87" s="6">
        <f t="shared" si="1"/>
        <v>54498.29</v>
      </c>
      <c r="I87" s="6">
        <v>0</v>
      </c>
      <c r="J87" s="4"/>
    </row>
    <row r="88" customFormat="1" ht="16.5" spans="1:11">
      <c r="A88" s="4">
        <v>86</v>
      </c>
      <c r="B88" s="5" t="s">
        <v>142</v>
      </c>
      <c r="C88" s="5" t="s">
        <v>185</v>
      </c>
      <c r="D88" s="4" t="s">
        <v>198</v>
      </c>
      <c r="E88" s="4" t="s">
        <v>199</v>
      </c>
      <c r="F88" s="6">
        <v>5710</v>
      </c>
      <c r="G88" s="6">
        <v>0</v>
      </c>
      <c r="H88" s="6">
        <f t="shared" si="1"/>
        <v>5710</v>
      </c>
      <c r="I88" s="6">
        <v>0</v>
      </c>
      <c r="J88" s="4"/>
    </row>
    <row r="89" customFormat="1" ht="16.5" spans="1:11">
      <c r="A89" s="4">
        <v>87</v>
      </c>
      <c r="B89" s="5" t="s">
        <v>142</v>
      </c>
      <c r="C89" s="5" t="s">
        <v>185</v>
      </c>
      <c r="D89" s="4" t="s">
        <v>200</v>
      </c>
      <c r="E89" s="4" t="s">
        <v>201</v>
      </c>
      <c r="F89" s="6">
        <v>40253</v>
      </c>
      <c r="G89" s="6">
        <v>0</v>
      </c>
      <c r="H89" s="6">
        <f t="shared" si="1"/>
        <v>40253</v>
      </c>
      <c r="I89" s="6">
        <v>0</v>
      </c>
      <c r="J89" s="4"/>
      <c r="K89" t="s">
        <v>33</v>
      </c>
    </row>
    <row r="90" customFormat="1" ht="16.5" spans="1:11">
      <c r="A90" s="4">
        <v>88</v>
      </c>
      <c r="B90" s="5" t="s">
        <v>142</v>
      </c>
      <c r="C90" s="5" t="s">
        <v>185</v>
      </c>
      <c r="D90" s="4" t="s">
        <v>202</v>
      </c>
      <c r="E90" s="4" t="s">
        <v>203</v>
      </c>
      <c r="F90" s="6">
        <v>0</v>
      </c>
      <c r="G90" s="6">
        <v>420</v>
      </c>
      <c r="H90" s="6">
        <f t="shared" si="1"/>
        <v>420</v>
      </c>
      <c r="I90" s="6">
        <v>420</v>
      </c>
      <c r="J90" s="4"/>
    </row>
    <row r="91" customFormat="1" ht="16.5" spans="1:11">
      <c r="A91" s="4">
        <v>89</v>
      </c>
      <c r="B91" s="5" t="s">
        <v>142</v>
      </c>
      <c r="C91" s="5" t="s">
        <v>185</v>
      </c>
      <c r="D91" s="4" t="s">
        <v>204</v>
      </c>
      <c r="E91" s="4" t="s">
        <v>205</v>
      </c>
      <c r="F91" s="6">
        <v>27944</v>
      </c>
      <c r="G91" s="6">
        <v>0</v>
      </c>
      <c r="H91" s="6">
        <f t="shared" si="1"/>
        <v>27944</v>
      </c>
      <c r="I91" s="6">
        <v>0</v>
      </c>
      <c r="J91" s="4"/>
      <c r="K91" t="s">
        <v>33</v>
      </c>
    </row>
    <row r="92" customFormat="1" ht="24" customHeight="1" spans="1:11">
      <c r="A92" s="4">
        <v>90</v>
      </c>
      <c r="B92" s="5" t="s">
        <v>206</v>
      </c>
      <c r="C92" s="5" t="s">
        <v>207</v>
      </c>
      <c r="D92" s="4" t="s">
        <v>208</v>
      </c>
      <c r="E92" s="4" t="s">
        <v>209</v>
      </c>
      <c r="F92" s="6">
        <v>18739.45</v>
      </c>
      <c r="G92" s="6">
        <v>0</v>
      </c>
      <c r="H92" s="6">
        <f t="shared" si="1"/>
        <v>18739.45</v>
      </c>
      <c r="I92" s="6">
        <v>0</v>
      </c>
      <c r="J92" s="4"/>
    </row>
    <row r="93" customFormat="1" ht="24" customHeight="1" spans="1:11">
      <c r="A93" s="4">
        <v>91</v>
      </c>
      <c r="B93" s="5" t="s">
        <v>206</v>
      </c>
      <c r="C93" s="5" t="s">
        <v>207</v>
      </c>
      <c r="D93" s="4" t="s">
        <v>210</v>
      </c>
      <c r="E93" s="4" t="s">
        <v>211</v>
      </c>
      <c r="F93" s="6">
        <v>229473.06</v>
      </c>
      <c r="G93" s="6">
        <v>0</v>
      </c>
      <c r="H93" s="6">
        <f t="shared" si="1"/>
        <v>229473.06</v>
      </c>
      <c r="I93" s="6">
        <v>0</v>
      </c>
      <c r="J93" s="4"/>
    </row>
    <row r="94" customFormat="1" ht="24" customHeight="1" spans="1:11">
      <c r="A94" s="4">
        <v>92</v>
      </c>
      <c r="B94" s="5" t="s">
        <v>206</v>
      </c>
      <c r="C94" s="5" t="s">
        <v>207</v>
      </c>
      <c r="D94" s="4" t="s">
        <v>212</v>
      </c>
      <c r="E94" s="4" t="s">
        <v>213</v>
      </c>
      <c r="F94" s="6">
        <v>166341.6</v>
      </c>
      <c r="G94" s="6">
        <v>0</v>
      </c>
      <c r="H94" s="6">
        <f t="shared" si="1"/>
        <v>166341.6</v>
      </c>
      <c r="I94" s="6">
        <v>0</v>
      </c>
      <c r="J94" s="4"/>
    </row>
    <row r="95" customFormat="1" ht="24" customHeight="1" spans="1:11">
      <c r="A95" s="4">
        <v>93</v>
      </c>
      <c r="B95" s="5" t="s">
        <v>206</v>
      </c>
      <c r="C95" s="5" t="s">
        <v>207</v>
      </c>
      <c r="D95" s="4" t="s">
        <v>214</v>
      </c>
      <c r="E95" s="4" t="s">
        <v>215</v>
      </c>
      <c r="F95" s="6">
        <v>2665.27</v>
      </c>
      <c r="G95" s="6">
        <v>0</v>
      </c>
      <c r="H95" s="6">
        <f t="shared" si="1"/>
        <v>2665.27</v>
      </c>
      <c r="I95" s="6">
        <v>0</v>
      </c>
      <c r="J95" s="4"/>
    </row>
    <row r="96" customFormat="1" ht="24" customHeight="1" spans="1:11">
      <c r="A96" s="4">
        <v>94</v>
      </c>
      <c r="B96" s="5" t="s">
        <v>206</v>
      </c>
      <c r="C96" s="5" t="s">
        <v>207</v>
      </c>
      <c r="D96" s="4" t="s">
        <v>216</v>
      </c>
      <c r="E96" s="4" t="s">
        <v>217</v>
      </c>
      <c r="F96" s="6">
        <v>4317</v>
      </c>
      <c r="G96" s="6">
        <v>0</v>
      </c>
      <c r="H96" s="6">
        <f t="shared" si="1"/>
        <v>4317</v>
      </c>
      <c r="I96" s="6">
        <v>0</v>
      </c>
      <c r="J96" s="4"/>
    </row>
    <row r="97" customFormat="1" ht="24" customHeight="1" spans="1:11">
      <c r="A97" s="4">
        <v>95</v>
      </c>
      <c r="B97" s="5" t="s">
        <v>206</v>
      </c>
      <c r="C97" s="5" t="s">
        <v>207</v>
      </c>
      <c r="D97" s="4" t="s">
        <v>218</v>
      </c>
      <c r="E97" s="4" t="s">
        <v>219</v>
      </c>
      <c r="F97" s="6">
        <v>40373.53</v>
      </c>
      <c r="G97" s="6">
        <v>0</v>
      </c>
      <c r="H97" s="6">
        <f t="shared" si="1"/>
        <v>40373.53</v>
      </c>
      <c r="I97" s="6">
        <v>0</v>
      </c>
      <c r="J97" s="4"/>
    </row>
    <row r="98" customFormat="1" ht="24" customHeight="1" spans="1:11">
      <c r="A98" s="4">
        <v>96</v>
      </c>
      <c r="B98" s="5" t="s">
        <v>206</v>
      </c>
      <c r="C98" s="5" t="s">
        <v>207</v>
      </c>
      <c r="D98" s="4" t="s">
        <v>220</v>
      </c>
      <c r="E98" s="4" t="s">
        <v>221</v>
      </c>
      <c r="F98" s="6">
        <v>26676.7</v>
      </c>
      <c r="G98" s="6">
        <v>0</v>
      </c>
      <c r="H98" s="6">
        <f t="shared" si="1"/>
        <v>26676.7</v>
      </c>
      <c r="I98" s="6">
        <v>0</v>
      </c>
      <c r="J98" s="4"/>
    </row>
    <row r="99" customFormat="1" ht="24" customHeight="1" spans="1:11">
      <c r="A99" s="4">
        <v>97</v>
      </c>
      <c r="B99" s="5" t="s">
        <v>206</v>
      </c>
      <c r="C99" s="5" t="s">
        <v>207</v>
      </c>
      <c r="D99" s="4" t="s">
        <v>222</v>
      </c>
      <c r="E99" s="4" t="s">
        <v>223</v>
      </c>
      <c r="F99" s="6">
        <v>248</v>
      </c>
      <c r="G99" s="6">
        <v>0</v>
      </c>
      <c r="H99" s="6">
        <f t="shared" si="1"/>
        <v>248</v>
      </c>
      <c r="I99" s="6">
        <v>0</v>
      </c>
      <c r="J99" s="4"/>
    </row>
    <row r="100" customFormat="1" ht="24" customHeight="1" spans="1:11">
      <c r="A100" s="4">
        <v>98</v>
      </c>
      <c r="B100" s="5" t="s">
        <v>206</v>
      </c>
      <c r="C100" s="5" t="s">
        <v>207</v>
      </c>
      <c r="D100" s="4" t="s">
        <v>224</v>
      </c>
      <c r="E100" s="4" t="s">
        <v>225</v>
      </c>
      <c r="F100" s="6">
        <v>73702.8</v>
      </c>
      <c r="G100" s="6">
        <v>0</v>
      </c>
      <c r="H100" s="6">
        <f t="shared" si="1"/>
        <v>73702.8</v>
      </c>
      <c r="I100" s="6">
        <v>0</v>
      </c>
      <c r="J100" s="4"/>
    </row>
    <row r="101" customFormat="1" ht="24" customHeight="1" spans="1:11">
      <c r="A101" s="4">
        <v>99</v>
      </c>
      <c r="B101" s="5" t="s">
        <v>206</v>
      </c>
      <c r="C101" s="5" t="s">
        <v>207</v>
      </c>
      <c r="D101" s="4" t="s">
        <v>226</v>
      </c>
      <c r="E101" s="4" t="s">
        <v>227</v>
      </c>
      <c r="F101" s="6">
        <v>2925</v>
      </c>
      <c r="G101" s="6">
        <v>0</v>
      </c>
      <c r="H101" s="6">
        <f t="shared" si="1"/>
        <v>2925</v>
      </c>
      <c r="I101" s="6">
        <v>0</v>
      </c>
      <c r="J101" s="4"/>
    </row>
    <row r="102" customFormat="1" ht="24" customHeight="1" spans="1:11">
      <c r="A102" s="4">
        <v>100</v>
      </c>
      <c r="B102" s="5" t="s">
        <v>206</v>
      </c>
      <c r="C102" s="5" t="s">
        <v>228</v>
      </c>
      <c r="D102" s="4" t="s">
        <v>229</v>
      </c>
      <c r="E102" s="4" t="s">
        <v>230</v>
      </c>
      <c r="F102" s="6">
        <v>2723</v>
      </c>
      <c r="G102" s="6">
        <v>0</v>
      </c>
      <c r="H102" s="6">
        <f t="shared" si="1"/>
        <v>2723</v>
      </c>
      <c r="I102" s="6">
        <v>0</v>
      </c>
      <c r="J102" s="4"/>
    </row>
    <row r="103" customFormat="1" ht="24" customHeight="1" spans="1:11">
      <c r="A103" s="4">
        <v>101</v>
      </c>
      <c r="B103" s="5" t="s">
        <v>206</v>
      </c>
      <c r="C103" s="5" t="s">
        <v>231</v>
      </c>
      <c r="D103" s="4" t="s">
        <v>232</v>
      </c>
      <c r="E103" s="4" t="s">
        <v>233</v>
      </c>
      <c r="F103" s="6">
        <v>150</v>
      </c>
      <c r="G103" s="6">
        <v>0</v>
      </c>
      <c r="H103" s="6">
        <f t="shared" si="1"/>
        <v>150</v>
      </c>
      <c r="I103" s="6">
        <v>0</v>
      </c>
      <c r="J103" s="4"/>
    </row>
    <row r="104" customFormat="1" ht="24" customHeight="1" spans="1:11">
      <c r="A104" s="4">
        <v>102</v>
      </c>
      <c r="B104" s="5" t="s">
        <v>206</v>
      </c>
      <c r="C104" s="5" t="s">
        <v>234</v>
      </c>
      <c r="D104" s="4" t="s">
        <v>235</v>
      </c>
      <c r="E104" s="4" t="s">
        <v>236</v>
      </c>
      <c r="F104" s="6">
        <v>249</v>
      </c>
      <c r="G104" s="6">
        <v>0</v>
      </c>
      <c r="H104" s="6">
        <f t="shared" si="1"/>
        <v>249</v>
      </c>
      <c r="I104" s="6">
        <v>0</v>
      </c>
      <c r="J104" s="4"/>
    </row>
    <row r="105" customFormat="1" ht="24" customHeight="1" spans="1:11">
      <c r="A105" s="4">
        <v>103</v>
      </c>
      <c r="B105" s="5" t="s">
        <v>206</v>
      </c>
      <c r="C105" s="5" t="s">
        <v>237</v>
      </c>
      <c r="D105" s="4" t="s">
        <v>238</v>
      </c>
      <c r="E105" s="4" t="s">
        <v>239</v>
      </c>
      <c r="F105" s="6">
        <v>167500.59</v>
      </c>
      <c r="G105" s="6">
        <v>0</v>
      </c>
      <c r="H105" s="6">
        <f t="shared" si="1"/>
        <v>167500.59</v>
      </c>
      <c r="I105" s="6">
        <v>0</v>
      </c>
      <c r="J105" s="4"/>
    </row>
    <row r="106" customFormat="1" ht="24" customHeight="1" spans="1:11">
      <c r="A106" s="4">
        <v>104</v>
      </c>
      <c r="B106" s="5" t="s">
        <v>206</v>
      </c>
      <c r="C106" s="5" t="s">
        <v>240</v>
      </c>
      <c r="D106" s="4" t="s">
        <v>241</v>
      </c>
      <c r="E106" s="4" t="s">
        <v>242</v>
      </c>
      <c r="F106" s="6">
        <v>45227.27</v>
      </c>
      <c r="G106" s="6">
        <v>0</v>
      </c>
      <c r="H106" s="6">
        <f t="shared" si="1"/>
        <v>45227.27</v>
      </c>
      <c r="I106" s="6">
        <v>0</v>
      </c>
      <c r="J106" s="4"/>
    </row>
    <row r="107" customFormat="1" ht="24" customHeight="1" spans="1:11">
      <c r="A107" s="4">
        <v>105</v>
      </c>
      <c r="B107" s="5" t="s">
        <v>206</v>
      </c>
      <c r="C107" s="5" t="s">
        <v>243</v>
      </c>
      <c r="D107" s="4" t="s">
        <v>244</v>
      </c>
      <c r="E107" s="4" t="s">
        <v>245</v>
      </c>
      <c r="F107" s="6">
        <v>23191.32</v>
      </c>
      <c r="G107" s="6">
        <v>0</v>
      </c>
      <c r="H107" s="6">
        <f t="shared" si="1"/>
        <v>23191.32</v>
      </c>
      <c r="I107" s="6">
        <v>0</v>
      </c>
      <c r="J107" s="4"/>
    </row>
    <row r="108" customFormat="1" ht="24" customHeight="1" spans="1:11">
      <c r="A108" s="4">
        <v>106</v>
      </c>
      <c r="B108" s="5" t="s">
        <v>206</v>
      </c>
      <c r="C108" s="5" t="s">
        <v>243</v>
      </c>
      <c r="D108" s="4" t="s">
        <v>246</v>
      </c>
      <c r="E108" s="4" t="s">
        <v>247</v>
      </c>
      <c r="F108" s="6">
        <v>37</v>
      </c>
      <c r="G108" s="6">
        <v>0</v>
      </c>
      <c r="H108" s="6">
        <f t="shared" si="1"/>
        <v>37</v>
      </c>
      <c r="I108" s="6">
        <v>0</v>
      </c>
      <c r="J108" s="4"/>
    </row>
    <row r="109" customFormat="1" ht="24" customHeight="1" spans="1:11">
      <c r="A109" s="4">
        <v>107</v>
      </c>
      <c r="B109" s="5" t="s">
        <v>206</v>
      </c>
      <c r="C109" s="5" t="s">
        <v>243</v>
      </c>
      <c r="D109" s="4" t="s">
        <v>248</v>
      </c>
      <c r="E109" s="4" t="s">
        <v>249</v>
      </c>
      <c r="F109" s="6">
        <v>2159.7</v>
      </c>
      <c r="G109" s="6">
        <v>0</v>
      </c>
      <c r="H109" s="6">
        <f t="shared" si="1"/>
        <v>2159.7</v>
      </c>
      <c r="I109" s="6">
        <v>0</v>
      </c>
      <c r="J109" s="4"/>
    </row>
    <row r="110" customFormat="1" ht="24" customHeight="1" spans="1:11">
      <c r="A110" s="4">
        <v>108</v>
      </c>
      <c r="B110" s="5" t="s">
        <v>206</v>
      </c>
      <c r="C110" s="5" t="s">
        <v>243</v>
      </c>
      <c r="D110" s="4" t="s">
        <v>250</v>
      </c>
      <c r="E110" s="4" t="s">
        <v>251</v>
      </c>
      <c r="F110" s="6">
        <v>4314</v>
      </c>
      <c r="G110" s="6">
        <v>0</v>
      </c>
      <c r="H110" s="6">
        <f t="shared" si="1"/>
        <v>4314</v>
      </c>
      <c r="I110" s="6">
        <v>0</v>
      </c>
      <c r="J110" s="4"/>
    </row>
    <row r="111" customFormat="1" ht="24" customHeight="1" spans="1:11">
      <c r="A111" s="4">
        <v>109</v>
      </c>
      <c r="B111" s="5" t="s">
        <v>206</v>
      </c>
      <c r="C111" s="5" t="s">
        <v>243</v>
      </c>
      <c r="D111" s="4" t="s">
        <v>246</v>
      </c>
      <c r="E111" s="4" t="s">
        <v>252</v>
      </c>
      <c r="F111" s="6">
        <v>567.76</v>
      </c>
      <c r="G111" s="6">
        <v>0</v>
      </c>
      <c r="H111" s="6">
        <f t="shared" si="1"/>
        <v>567.76</v>
      </c>
      <c r="I111" s="6">
        <v>0</v>
      </c>
      <c r="J111" s="4"/>
    </row>
    <row r="112" customFormat="1" ht="24" customHeight="1" spans="1:11">
      <c r="A112" s="4">
        <v>110</v>
      </c>
      <c r="B112" s="5" t="s">
        <v>206</v>
      </c>
      <c r="C112" s="5" t="s">
        <v>243</v>
      </c>
      <c r="D112" s="4" t="s">
        <v>253</v>
      </c>
      <c r="E112" s="4" t="s">
        <v>254</v>
      </c>
      <c r="F112" s="6">
        <v>822.36</v>
      </c>
      <c r="G112" s="6">
        <v>0</v>
      </c>
      <c r="H112" s="6">
        <f t="shared" si="1"/>
        <v>822.36</v>
      </c>
      <c r="I112" s="6">
        <v>0</v>
      </c>
      <c r="J112" s="4"/>
      <c r="K112" t="s">
        <v>33</v>
      </c>
    </row>
    <row r="113" customFormat="1" ht="24" customHeight="1" spans="1:11">
      <c r="A113" s="4">
        <v>111</v>
      </c>
      <c r="B113" s="5" t="s">
        <v>206</v>
      </c>
      <c r="C113" s="5" t="s">
        <v>255</v>
      </c>
      <c r="D113" s="4" t="s">
        <v>256</v>
      </c>
      <c r="E113" s="4" t="s">
        <v>257</v>
      </c>
      <c r="F113" s="6">
        <v>64692.49</v>
      </c>
      <c r="G113" s="6">
        <v>0</v>
      </c>
      <c r="H113" s="6">
        <f t="shared" si="1"/>
        <v>64692.49</v>
      </c>
      <c r="I113" s="6">
        <v>0</v>
      </c>
      <c r="J113" s="4"/>
    </row>
    <row r="114" customFormat="1" ht="24" customHeight="1" spans="1:11">
      <c r="A114" s="4">
        <v>112</v>
      </c>
      <c r="B114" s="5" t="s">
        <v>206</v>
      </c>
      <c r="C114" s="5" t="s">
        <v>255</v>
      </c>
      <c r="D114" s="4" t="s">
        <v>258</v>
      </c>
      <c r="E114" s="4" t="s">
        <v>259</v>
      </c>
      <c r="F114" s="6">
        <v>0</v>
      </c>
      <c r="G114" s="6">
        <v>45529.78</v>
      </c>
      <c r="H114" s="6">
        <f t="shared" si="1"/>
        <v>45529.78</v>
      </c>
      <c r="I114" s="6">
        <v>39038.92</v>
      </c>
      <c r="J114" s="4"/>
      <c r="K114" t="s">
        <v>33</v>
      </c>
    </row>
    <row r="115" customFormat="1" ht="24" customHeight="1" spans="1:11">
      <c r="A115" s="4">
        <v>113</v>
      </c>
      <c r="B115" s="5" t="s">
        <v>206</v>
      </c>
      <c r="C115" s="5" t="s">
        <v>260</v>
      </c>
      <c r="D115" s="4" t="s">
        <v>261</v>
      </c>
      <c r="E115" s="4" t="s">
        <v>262</v>
      </c>
      <c r="F115" s="6">
        <v>51167.42</v>
      </c>
      <c r="G115" s="6">
        <v>0</v>
      </c>
      <c r="H115" s="6">
        <f t="shared" si="1"/>
        <v>51167.42</v>
      </c>
      <c r="I115" s="6">
        <v>0</v>
      </c>
      <c r="J115" s="4"/>
    </row>
    <row r="116" customFormat="1" ht="27" customHeight="1" spans="1:11">
      <c r="A116" s="7" t="s">
        <v>263</v>
      </c>
      <c r="B116" s="8"/>
      <c r="C116" s="8"/>
      <c r="D116" s="8"/>
      <c r="E116" s="9"/>
      <c r="F116" s="10">
        <f t="shared" ref="F116:J116" si="2">SUM(F3:F115)</f>
        <v>4437527.86</v>
      </c>
      <c r="G116" s="10">
        <f t="shared" si="2"/>
        <v>419203.05</v>
      </c>
      <c r="H116" s="10">
        <f t="shared" si="1"/>
        <v>4856730.91</v>
      </c>
      <c r="I116" s="10">
        <f t="shared" si="2"/>
        <v>324611.44</v>
      </c>
      <c r="J116" s="11">
        <f t="shared" si="2"/>
        <v>0</v>
      </c>
    </row>
  </sheetData>
  <autoFilter xmlns:etc="http://www.wps.cn/officeDocument/2017/etCustomData" ref="A2:K116" etc:filterBottomFollowUsedRange="0">
    <extLst/>
  </autoFilter>
  <mergeCells count="2">
    <mergeCell ref="A1:J1"/>
    <mergeCell ref="A116:E116"/>
  </mergeCells>
  <pageMargins left="0.629861111111111" right="0.275" top="0.865972222222222" bottom="1" header="0.5" footer="0.5"/>
  <pageSetup paperSize="9" scale="94" fitToHeight="0" orientation="portrait"/>
  <headerFooter/>
  <ignoredErrors>
    <ignoredError sqref="H1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飘飘</cp:lastModifiedBy>
  <dcterms:created xsi:type="dcterms:W3CDTF">2026-05-14T06:21:00Z</dcterms:created>
  <dcterms:modified xsi:type="dcterms:W3CDTF">2026-06-11T07:22:26Z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EA8A03C2F41A4631A226802ECF4A62D2_13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