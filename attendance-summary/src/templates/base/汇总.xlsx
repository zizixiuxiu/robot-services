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927" tabRatio="600" firstSheet="0" activeTab="1" autoFilterDateGrouping="1"/>
  </bookViews>
  <sheets>
    <sheet xmlns:r="http://schemas.openxmlformats.org/officeDocument/2006/relationships" name="6月部门分发" sheetId="1" state="visible" r:id="rId1"/>
    <sheet xmlns:r="http://schemas.openxmlformats.org/officeDocument/2006/relationships" name="汇总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_xlnm._FilterDatabase" localSheetId="1" hidden="1">'汇总'!$A$1:$W$57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0.00_ "/>
    <numFmt numFmtId="166" formatCode="0.0_ "/>
    <numFmt numFmtId="167" formatCode="_(&quot;$&quot;* #,##0.00_);_(&quot;$&quot;* \(#,##0.00\);_(&quot;$&quot;* &quot;-&quot;??_);_(@_)"/>
  </numFmts>
  <fonts count="39">
    <font>
      <name val="Arial"/>
      <charset val="0"/>
      <sz val="10"/>
    </font>
    <font>
      <name val="微软雅黑"/>
      <charset val="134"/>
      <color theme="1"/>
      <sz val="11"/>
    </font>
    <font>
      <name val="黑体"/>
      <charset val="0"/>
      <sz val="11"/>
    </font>
    <font>
      <name val="微软雅黑"/>
      <charset val="134"/>
      <b val="1"/>
      <color theme="1"/>
      <sz val="12"/>
    </font>
    <font>
      <name val="黑体"/>
      <charset val="134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黑体"/>
      <charset val="0"/>
      <b val="1"/>
      <sz val="10"/>
    </font>
    <font>
      <name val="微软雅黑"/>
      <charset val="134"/>
      <b val="1"/>
      <color theme="1"/>
      <sz val="10"/>
    </font>
    <font>
      <name val="微软雅黑"/>
      <charset val="0"/>
      <sz val="10"/>
    </font>
    <font>
      <name val="黑体"/>
      <charset val="0"/>
      <sz val="12"/>
    </font>
    <font>
      <name val="黑体"/>
      <charset val="0"/>
      <sz val="10"/>
    </font>
    <font>
      <name val="Arial"/>
      <charset val="0"/>
      <sz val="12"/>
    </font>
    <font>
      <name val="黑体"/>
      <charset val="134"/>
      <sz val="12"/>
    </font>
    <font>
      <name val="微软雅黑"/>
      <charset val="134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3"/>
      <sz val="18"/>
      <scheme val="maj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3"/>
      <sz val="15"/>
      <scheme val="minor"/>
    </font>
    <font>
      <name val="宋体"/>
      <charset val="0"/>
      <b val="1"/>
      <color theme="3"/>
      <sz val="13"/>
      <scheme val="minor"/>
    </font>
    <font>
      <name val="宋体"/>
      <charset val="0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7" fontId="0" fillId="0" borderId="0"/>
    <xf numFmtId="9" fontId="0" fillId="0" borderId="0"/>
    <xf numFmtId="41" fontId="0" fillId="0" borderId="0"/>
    <xf numFmtId="42" fontId="0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9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3" fillId="0" borderId="0" applyAlignment="1">
      <alignment vertical="center"/>
    </xf>
    <xf numFmtId="0" fontId="24" fillId="6" borderId="13" applyAlignment="1">
      <alignment vertical="center"/>
    </xf>
    <xf numFmtId="0" fontId="25" fillId="7" borderId="14" applyAlignment="1">
      <alignment vertical="center"/>
    </xf>
    <xf numFmtId="0" fontId="26" fillId="7" borderId="13" applyAlignment="1">
      <alignment vertical="center"/>
    </xf>
    <xf numFmtId="0" fontId="27" fillId="8" borderId="15" applyAlignment="1">
      <alignment vertical="center"/>
    </xf>
    <xf numFmtId="0" fontId="28" fillId="0" borderId="16" applyAlignment="1">
      <alignment vertical="center"/>
    </xf>
    <xf numFmtId="0" fontId="29" fillId="0" borderId="17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164" fontId="35" fillId="0" borderId="0"/>
  </cellStyleXfs>
  <cellXfs count="1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8" fillId="3" borderId="1" applyAlignment="1" applyProtection="1" pivotButton="0" quotePrefix="0" xfId="0">
      <alignment horizontal="center" vertical="center" wrapText="1"/>
      <protection locked="0" hidden="0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/>
    </xf>
    <xf numFmtId="20" fontId="2" fillId="0" borderId="3" applyAlignment="1" pivotButton="0" quotePrefix="0" xfId="0">
      <alignment horizontal="center" vertical="center" wrapText="1"/>
    </xf>
    <xf numFmtId="20" fontId="2" fillId="0" borderId="6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0" fontId="15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2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165" fontId="11" fillId="0" borderId="0" pivotButton="0" quotePrefix="0" xfId="0"/>
    <xf numFmtId="0" fontId="0" fillId="0" borderId="1" applyAlignment="1" pivotButton="0" quotePrefix="1" xfId="0">
      <alignment horizontal="center" vertical="center"/>
    </xf>
    <xf numFmtId="165" fontId="0" fillId="0" borderId="0" pivotButton="0" quotePrefix="0" xfId="0"/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11" fillId="0" borderId="0" pivotButton="0" quotePrefix="0" xfId="0"/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165" fontId="9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&#26700;&#38754;\&#32771;&#21220;\&#37096;&#38376;&#20998;&#21457;\3&#26376;&#37096;&#38376;&#20998;&#21457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5&#26376;&#21150;&#20844;&#23460;&#32844;&#33021;&#37096;&#38376;&#32771;&#21220;&#27719;&#2463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月部门发"/>
      <sheetName val="汇总"/>
      <sheetName val="花名册"/>
    </sheetNames>
    <sheetDataSet>
      <sheetData sheetId="0"/>
      <sheetData sheetId="1"/>
      <sheetData sheetId="2">
        <row r="1">
          <cell r="A1" t="str">
            <v>姓名</v>
          </cell>
          <cell r="B1" t="str">
            <v>一级部门</v>
          </cell>
          <cell r="C1" t="str">
            <v>二级部门</v>
          </cell>
          <cell r="D1" t="str">
            <v>岗位</v>
          </cell>
          <cell r="E1" t="str">
            <v>上班日期</v>
          </cell>
          <cell r="F1" t="str">
            <v>身份证号</v>
          </cell>
        </row>
        <row r="2">
          <cell r="A2" t="str">
            <v>郑强</v>
          </cell>
          <cell r="B2" t="str">
            <v>生产制造中心</v>
          </cell>
          <cell r="C2" t="str">
            <v>生产制造中心</v>
          </cell>
          <cell r="D2" t="str">
            <v>生产总监</v>
          </cell>
          <cell r="E2" t="str">
            <v>2022-02-10</v>
          </cell>
          <cell r="F2" t="str">
            <v>511521198402115393</v>
          </cell>
        </row>
        <row r="3">
          <cell r="A3" t="str">
            <v>康波</v>
          </cell>
          <cell r="B3" t="str">
            <v>设计部</v>
          </cell>
          <cell r="C3" t="str">
            <v>设计组</v>
          </cell>
          <cell r="D3" t="str">
            <v>方案设计师</v>
          </cell>
          <cell r="E3" t="str">
            <v>2023-02-25</v>
          </cell>
          <cell r="F3" t="str">
            <v>500225199303293814</v>
          </cell>
        </row>
        <row r="4">
          <cell r="A4" t="str">
            <v>贺悦</v>
          </cell>
          <cell r="B4" t="str">
            <v>信息部</v>
          </cell>
          <cell r="C4" t="str">
            <v>信息部</v>
          </cell>
          <cell r="D4" t="str">
            <v>酷家乐建模工程师</v>
          </cell>
          <cell r="E4" t="str">
            <v>2025-03-04</v>
          </cell>
          <cell r="F4" t="str">
            <v>500111199702150016</v>
          </cell>
        </row>
        <row r="5">
          <cell r="A5" t="str">
            <v>匡启素</v>
          </cell>
          <cell r="B5" t="str">
            <v>综合部</v>
          </cell>
          <cell r="C5" t="str">
            <v>综合部</v>
          </cell>
          <cell r="D5" t="str">
            <v>经理</v>
          </cell>
          <cell r="E5" t="str">
            <v>2014-02-07</v>
          </cell>
          <cell r="F5" t="str">
            <v>512322197310221860</v>
          </cell>
        </row>
        <row r="6">
          <cell r="A6" t="str">
            <v>杨为</v>
          </cell>
          <cell r="B6" t="str">
            <v>板式车间</v>
          </cell>
          <cell r="C6" t="str">
            <v>柜体线-排孔组</v>
          </cell>
          <cell r="D6" t="str">
            <v>排孔</v>
          </cell>
          <cell r="E6" t="str">
            <v>2022-02-14</v>
          </cell>
          <cell r="F6" t="str">
            <v>500225199009093838</v>
          </cell>
        </row>
        <row r="7">
          <cell r="A7" t="str">
            <v>李荧</v>
          </cell>
          <cell r="B7" t="str">
            <v>订单部</v>
          </cell>
          <cell r="C7" t="str">
            <v>审单组</v>
          </cell>
          <cell r="D7" t="str">
            <v>手工拆单员</v>
          </cell>
          <cell r="E7" t="str">
            <v>2021-02-22</v>
          </cell>
          <cell r="F7" t="str">
            <v>513021199504011068</v>
          </cell>
        </row>
        <row r="8">
          <cell r="A8" t="str">
            <v>章新灯</v>
          </cell>
          <cell r="B8" t="str">
            <v>设计部</v>
          </cell>
          <cell r="C8" t="str">
            <v>设计组</v>
          </cell>
          <cell r="D8" t="str">
            <v>工艺经理</v>
          </cell>
          <cell r="E8" t="str">
            <v>2024-09-04</v>
          </cell>
          <cell r="F8" t="str">
            <v>500237199310047879</v>
          </cell>
        </row>
        <row r="9">
          <cell r="A9" t="str">
            <v>刘文旦</v>
          </cell>
          <cell r="B9" t="str">
            <v>设计部</v>
          </cell>
          <cell r="C9" t="str">
            <v>设计组</v>
          </cell>
          <cell r="D9" t="str">
            <v>深化拆单设计师</v>
          </cell>
          <cell r="E9" t="str">
            <v>2024-10-23</v>
          </cell>
          <cell r="F9" t="str">
            <v>362421199210302911</v>
          </cell>
        </row>
        <row r="10">
          <cell r="A10" t="str">
            <v>谭勇</v>
          </cell>
          <cell r="B10" t="str">
            <v>设计部</v>
          </cell>
          <cell r="C10" t="str">
            <v>设计组</v>
          </cell>
          <cell r="D10" t="str">
            <v>方案设计师</v>
          </cell>
          <cell r="E10" t="str">
            <v>2025-07-01</v>
          </cell>
          <cell r="F10" t="str">
            <v>500225198602072312</v>
          </cell>
        </row>
        <row r="11">
          <cell r="A11" t="str">
            <v>莫永兵</v>
          </cell>
          <cell r="B11" t="str">
            <v>板式车间</v>
          </cell>
          <cell r="C11" t="str">
            <v>板式车间</v>
          </cell>
          <cell r="D11" t="str">
            <v>厂长</v>
          </cell>
          <cell r="E11" t="str">
            <v>2022-03-30</v>
          </cell>
          <cell r="F11" t="str">
            <v>510225197703015437</v>
          </cell>
        </row>
        <row r="12">
          <cell r="A12" t="str">
            <v>张飞武</v>
          </cell>
          <cell r="B12" t="str">
            <v>板式车间</v>
          </cell>
          <cell r="C12" t="str">
            <v>柜体线-封边组</v>
          </cell>
          <cell r="D12" t="str">
            <v>主管</v>
          </cell>
          <cell r="E12" t="str">
            <v>2022-03-06</v>
          </cell>
          <cell r="F12" t="str">
            <v>510811198311182913</v>
          </cell>
        </row>
        <row r="13">
          <cell r="A13" t="str">
            <v>雷登恒</v>
          </cell>
          <cell r="B13" t="str">
            <v>板式车间</v>
          </cell>
          <cell r="C13" t="str">
            <v>柜体线-排孔组</v>
          </cell>
          <cell r="D13" t="str">
            <v>排孔</v>
          </cell>
          <cell r="E13" t="str">
            <v>2023-02-04</v>
          </cell>
          <cell r="F13" t="str">
            <v>500225199201060753</v>
          </cell>
        </row>
        <row r="14">
          <cell r="A14" t="str">
            <v>漆娇</v>
          </cell>
          <cell r="B14" t="str">
            <v>综合部</v>
          </cell>
          <cell r="C14" t="str">
            <v>奢匠售后</v>
          </cell>
          <cell r="D14" t="str">
            <v>奢匠售后</v>
          </cell>
          <cell r="E14" t="str">
            <v>2025-08-20</v>
          </cell>
          <cell r="F14" t="str">
            <v>500225199211053821</v>
          </cell>
        </row>
        <row r="15">
          <cell r="A15" t="str">
            <v>刘大志</v>
          </cell>
          <cell r="B15" t="str">
            <v>板式车间</v>
          </cell>
          <cell r="C15" t="str">
            <v>柜体线-封边组</v>
          </cell>
          <cell r="D15" t="str">
            <v>封边</v>
          </cell>
          <cell r="E15" t="str">
            <v>2023-02-09</v>
          </cell>
          <cell r="F15" t="str">
            <v>511324199507055393</v>
          </cell>
        </row>
        <row r="16">
          <cell r="A16" t="str">
            <v>邹明超</v>
          </cell>
          <cell r="B16" t="str">
            <v>板式车间</v>
          </cell>
          <cell r="C16" t="str">
            <v>膜压线</v>
          </cell>
          <cell r="D16" t="str">
            <v>装拉手/拉直器</v>
          </cell>
          <cell r="E16" t="str">
            <v>2022-03-09</v>
          </cell>
          <cell r="F16" t="str">
            <v>420683197812263150</v>
          </cell>
        </row>
        <row r="17">
          <cell r="A17" t="str">
            <v>黄富美</v>
          </cell>
          <cell r="B17" t="str">
            <v>板式车间</v>
          </cell>
          <cell r="C17" t="str">
            <v>柜体线-包装组</v>
          </cell>
          <cell r="D17" t="str">
            <v>包装</v>
          </cell>
          <cell r="E17" t="str">
            <v>2021-07-08</v>
          </cell>
          <cell r="F17" t="str">
            <v>510230198208027786</v>
          </cell>
        </row>
        <row r="18">
          <cell r="A18" t="str">
            <v>冯钰超</v>
          </cell>
          <cell r="B18" t="str">
            <v>设计部</v>
          </cell>
          <cell r="C18" t="str">
            <v>设计组</v>
          </cell>
          <cell r="D18" t="str">
            <v>绘图员</v>
          </cell>
          <cell r="E18" t="str">
            <v>2026-03-21</v>
          </cell>
          <cell r="F18" t="str">
            <v>500381200502286010</v>
          </cell>
        </row>
        <row r="19">
          <cell r="A19" t="str">
            <v>黄永顺</v>
          </cell>
          <cell r="B19" t="str">
            <v>板式车间</v>
          </cell>
          <cell r="C19" t="str">
            <v>柜体线-试装组</v>
          </cell>
          <cell r="D19" t="str">
            <v>异形制作</v>
          </cell>
          <cell r="E19" t="str">
            <v>2025-04-28</v>
          </cell>
          <cell r="F19" t="str">
            <v>511521198502235392</v>
          </cell>
        </row>
        <row r="20">
          <cell r="A20" t="str">
            <v>黄常刚</v>
          </cell>
          <cell r="B20" t="str">
            <v>板式车间</v>
          </cell>
          <cell r="C20" t="str">
            <v>柜体线-封边组</v>
          </cell>
          <cell r="D20" t="str">
            <v>封边</v>
          </cell>
          <cell r="E20" t="str">
            <v>2022-03-12</v>
          </cell>
          <cell r="F20" t="str">
            <v>50022519851003081X</v>
          </cell>
        </row>
        <row r="21">
          <cell r="A21" t="str">
            <v>黎强</v>
          </cell>
          <cell r="B21" t="str">
            <v>板式车间</v>
          </cell>
          <cell r="C21" t="str">
            <v>柜体线-免漆订单组</v>
          </cell>
          <cell r="D21" t="str">
            <v>免漆制作</v>
          </cell>
          <cell r="E21" t="str">
            <v>2025-11-14</v>
          </cell>
          <cell r="F21" t="str">
            <v>500225199803212216</v>
          </cell>
        </row>
        <row r="22">
          <cell r="A22" t="str">
            <v>马纺刚</v>
          </cell>
          <cell r="B22" t="str">
            <v>板式车间</v>
          </cell>
          <cell r="C22" t="str">
            <v>柜体线-封边组</v>
          </cell>
          <cell r="D22" t="str">
            <v>封边</v>
          </cell>
          <cell r="E22" t="str">
            <v>2021-09-28</v>
          </cell>
          <cell r="F22" t="str">
            <v>500225198809101117</v>
          </cell>
        </row>
        <row r="23">
          <cell r="A23" t="str">
            <v>李光义</v>
          </cell>
          <cell r="B23" t="str">
            <v>综合部</v>
          </cell>
          <cell r="C23" t="str">
            <v>固豪售后</v>
          </cell>
          <cell r="D23" t="str">
            <v>售后（固豪）</v>
          </cell>
          <cell r="E23" t="str">
            <v>2018-07-01</v>
          </cell>
          <cell r="F23" t="str">
            <v>500225198708097622</v>
          </cell>
        </row>
        <row r="24">
          <cell r="A24" t="str">
            <v>张金彬</v>
          </cell>
          <cell r="B24" t="str">
            <v>设计部</v>
          </cell>
          <cell r="C24" t="str">
            <v>设计组</v>
          </cell>
          <cell r="D24" t="str">
            <v>绘图员</v>
          </cell>
          <cell r="E24" t="str">
            <v>2026-03-11</v>
          </cell>
          <cell r="F24" t="str">
            <v>500224200612033898</v>
          </cell>
        </row>
        <row r="25">
          <cell r="A25" t="str">
            <v>李瑜</v>
          </cell>
          <cell r="B25" t="str">
            <v>综合部</v>
          </cell>
          <cell r="C25" t="str">
            <v>原材料仓</v>
          </cell>
          <cell r="D25" t="str">
            <v>五金仓-库管</v>
          </cell>
          <cell r="E25" t="str">
            <v>2022-08-18</v>
          </cell>
          <cell r="F25" t="str">
            <v>500225198406122319</v>
          </cell>
        </row>
        <row r="26">
          <cell r="A26" t="str">
            <v>郑财</v>
          </cell>
          <cell r="B26" t="str">
            <v>板式车间</v>
          </cell>
          <cell r="C26" t="str">
            <v>柜体线-开料组</v>
          </cell>
          <cell r="D26" t="str">
            <v>开料</v>
          </cell>
          <cell r="E26" t="str">
            <v>2023-02-05</v>
          </cell>
          <cell r="F26" t="str">
            <v>511521199504205394</v>
          </cell>
        </row>
        <row r="27">
          <cell r="A27" t="str">
            <v>胡娅</v>
          </cell>
          <cell r="B27" t="str">
            <v>订单部</v>
          </cell>
          <cell r="C27" t="str">
            <v>计划物控组</v>
          </cell>
          <cell r="D27" t="str">
            <v>优化专员</v>
          </cell>
          <cell r="E27" t="str">
            <v>2025-11-05</v>
          </cell>
          <cell r="F27" t="str">
            <v>500225199407150746</v>
          </cell>
        </row>
        <row r="28">
          <cell r="A28" t="str">
            <v>田建锋</v>
          </cell>
          <cell r="B28" t="str">
            <v>订单部</v>
          </cell>
          <cell r="C28" t="str">
            <v>审单组</v>
          </cell>
          <cell r="D28" t="str">
            <v>拆单员</v>
          </cell>
          <cell r="E28" t="str">
            <v>2021-08-12</v>
          </cell>
          <cell r="F28" t="str">
            <v>500228199606018755</v>
          </cell>
        </row>
        <row r="29">
          <cell r="A29" t="str">
            <v>陆周会</v>
          </cell>
          <cell r="B29" t="str">
            <v>板式车间</v>
          </cell>
          <cell r="C29" t="str">
            <v>柜体线-包装组</v>
          </cell>
          <cell r="D29" t="str">
            <v>五金分检员</v>
          </cell>
          <cell r="E29" t="str">
            <v>2022-02-23</v>
          </cell>
          <cell r="F29" t="str">
            <v>510230198004255680</v>
          </cell>
        </row>
        <row r="30">
          <cell r="A30" t="str">
            <v>徐中彪</v>
          </cell>
          <cell r="B30" t="str">
            <v>板式车间</v>
          </cell>
          <cell r="C30" t="str">
            <v>柜体线-封边组</v>
          </cell>
          <cell r="D30" t="str">
            <v>封边</v>
          </cell>
          <cell r="E30" t="str">
            <v>2023-08-24</v>
          </cell>
          <cell r="F30" t="str">
            <v>500225198809291176</v>
          </cell>
        </row>
        <row r="31">
          <cell r="A31" t="str">
            <v>游林</v>
          </cell>
          <cell r="B31" t="str">
            <v>板式车间</v>
          </cell>
          <cell r="C31" t="str">
            <v>柜体线-封边组</v>
          </cell>
          <cell r="D31" t="str">
            <v>全检</v>
          </cell>
          <cell r="E31" t="str">
            <v>2020-05-12</v>
          </cell>
          <cell r="F31" t="str">
            <v>511023198909190662</v>
          </cell>
        </row>
        <row r="32">
          <cell r="A32" t="str">
            <v>高瞻</v>
          </cell>
          <cell r="B32" t="str">
            <v>板式车间</v>
          </cell>
          <cell r="C32" t="str">
            <v>柜体线-封边组</v>
          </cell>
          <cell r="D32" t="str">
            <v>异形封边</v>
          </cell>
          <cell r="E32" t="str">
            <v>2021-11-12</v>
          </cell>
          <cell r="F32" t="str">
            <v>500225198801174311</v>
          </cell>
        </row>
        <row r="33">
          <cell r="A33" t="str">
            <v>杨青青</v>
          </cell>
          <cell r="B33" t="str">
            <v>订单部</v>
          </cell>
          <cell r="C33" t="str">
            <v>计划物控组</v>
          </cell>
          <cell r="D33" t="str">
            <v>物控</v>
          </cell>
          <cell r="E33" t="str">
            <v>2023-02-04</v>
          </cell>
          <cell r="F33" t="str">
            <v>511023199512296041</v>
          </cell>
        </row>
        <row r="34">
          <cell r="A34" t="str">
            <v>王成</v>
          </cell>
          <cell r="B34" t="str">
            <v>板式车间</v>
          </cell>
          <cell r="C34" t="str">
            <v>膜压线</v>
          </cell>
          <cell r="D34" t="str">
            <v>膜压雕刻</v>
          </cell>
          <cell r="E34" t="str">
            <v>2020-07-18</v>
          </cell>
          <cell r="F34" t="str">
            <v>50022519920109075X</v>
          </cell>
        </row>
        <row r="35">
          <cell r="A35" t="str">
            <v>龙定彬</v>
          </cell>
          <cell r="B35" t="str">
            <v>板式车间</v>
          </cell>
          <cell r="C35" t="str">
            <v>柜体线-包装组</v>
          </cell>
          <cell r="D35" t="str">
            <v>打硬包</v>
          </cell>
          <cell r="E35" t="str">
            <v>2020-10-27</v>
          </cell>
          <cell r="F35" t="str">
            <v>510230197008198738</v>
          </cell>
        </row>
        <row r="36">
          <cell r="A36" t="str">
            <v>何汉秀</v>
          </cell>
          <cell r="B36" t="str">
            <v>品质部</v>
          </cell>
          <cell r="C36" t="str">
            <v>品质部</v>
          </cell>
          <cell r="D36" t="str">
            <v>原材IQC</v>
          </cell>
          <cell r="E36" t="str">
            <v>2021-05-18</v>
          </cell>
          <cell r="F36" t="str">
            <v>51023019750820142X</v>
          </cell>
        </row>
        <row r="37">
          <cell r="A37" t="str">
            <v>黄义晴</v>
          </cell>
          <cell r="B37" t="str">
            <v>综合部</v>
          </cell>
          <cell r="C37" t="str">
            <v>财务核价</v>
          </cell>
          <cell r="D37" t="str">
            <v>审价</v>
          </cell>
          <cell r="E37" t="str">
            <v>2024-06-12</v>
          </cell>
          <cell r="F37" t="str">
            <v>500231199907061667</v>
          </cell>
        </row>
        <row r="38">
          <cell r="A38" t="str">
            <v>李春</v>
          </cell>
          <cell r="B38" t="str">
            <v>板式车间</v>
          </cell>
          <cell r="C38" t="str">
            <v>柜体线-免漆订单组</v>
          </cell>
          <cell r="D38" t="str">
            <v>免漆制作</v>
          </cell>
          <cell r="E38" t="str">
            <v>2026-03-10</v>
          </cell>
          <cell r="F38" t="str">
            <v>510230197712124978</v>
          </cell>
        </row>
        <row r="39">
          <cell r="A39" t="str">
            <v>王代华</v>
          </cell>
          <cell r="B39" t="str">
            <v>板式车间</v>
          </cell>
          <cell r="C39" t="str">
            <v>设备组</v>
          </cell>
          <cell r="D39" t="str">
            <v>设备工程师</v>
          </cell>
          <cell r="E39" t="str">
            <v>2023-03-05</v>
          </cell>
          <cell r="F39" t="str">
            <v>511023199012075939</v>
          </cell>
        </row>
        <row r="40">
          <cell r="A40" t="str">
            <v>张威</v>
          </cell>
          <cell r="B40" t="str">
            <v>板式车间</v>
          </cell>
          <cell r="C40" t="str">
            <v>成品仓</v>
          </cell>
          <cell r="D40" t="str">
            <v>库管</v>
          </cell>
          <cell r="E40" t="str">
            <v>2025-09-19</v>
          </cell>
          <cell r="F40" t="str">
            <v>510230197407228738</v>
          </cell>
        </row>
        <row r="41">
          <cell r="A41" t="str">
            <v>曾庆梅</v>
          </cell>
          <cell r="B41" t="str">
            <v>板式车间</v>
          </cell>
          <cell r="C41" t="str">
            <v>柜体线-包装组</v>
          </cell>
          <cell r="D41" t="str">
            <v>包装</v>
          </cell>
          <cell r="E41" t="str">
            <v>2020-07-18</v>
          </cell>
          <cell r="F41" t="str">
            <v>500225198610163361</v>
          </cell>
        </row>
        <row r="42">
          <cell r="A42" t="str">
            <v>易科春</v>
          </cell>
          <cell r="B42" t="str">
            <v>板式车间</v>
          </cell>
          <cell r="C42" t="str">
            <v>柜体线-包装组</v>
          </cell>
          <cell r="D42" t="str">
            <v>包装</v>
          </cell>
          <cell r="E42" t="str">
            <v>2025-12-27</v>
          </cell>
          <cell r="F42" t="str">
            <v>500225198910103344</v>
          </cell>
        </row>
        <row r="43">
          <cell r="A43" t="str">
            <v>何绍奇</v>
          </cell>
          <cell r="B43" t="str">
            <v>信息部</v>
          </cell>
          <cell r="C43" t="str">
            <v>信息部</v>
          </cell>
          <cell r="D43" t="str">
            <v>网络维修工程师</v>
          </cell>
          <cell r="E43" t="str">
            <v>2025-02-11</v>
          </cell>
          <cell r="F43" t="str">
            <v>500227198610176915</v>
          </cell>
        </row>
        <row r="44">
          <cell r="A44" t="str">
            <v>周朝会</v>
          </cell>
          <cell r="B44" t="str">
            <v>人力行政部</v>
          </cell>
          <cell r="C44" t="str">
            <v>人力行政部</v>
          </cell>
          <cell r="D44" t="str">
            <v>保洁</v>
          </cell>
          <cell r="E44" t="str">
            <v>2025-02-08</v>
          </cell>
          <cell r="F44" t="str">
            <v>512534197205110460</v>
          </cell>
        </row>
        <row r="45">
          <cell r="A45" t="str">
            <v>古秋福</v>
          </cell>
          <cell r="B45" t="str">
            <v>综合部</v>
          </cell>
          <cell r="C45" t="str">
            <v>原材料仓</v>
          </cell>
          <cell r="D45" t="str">
            <v>PVC-库管</v>
          </cell>
          <cell r="E45" t="str">
            <v>2025-10-11</v>
          </cell>
          <cell r="F45" t="str">
            <v>500225199306203394</v>
          </cell>
        </row>
        <row r="46">
          <cell r="A46" t="str">
            <v>旷星琪</v>
          </cell>
          <cell r="B46" t="str">
            <v>信息部</v>
          </cell>
          <cell r="C46" t="str">
            <v>信息部</v>
          </cell>
          <cell r="D46" t="str">
            <v>软件员</v>
          </cell>
          <cell r="E46" t="str">
            <v>2025-02-13</v>
          </cell>
          <cell r="F46" t="str">
            <v>500225200511164473</v>
          </cell>
        </row>
        <row r="47">
          <cell r="A47" t="str">
            <v>武兴国</v>
          </cell>
          <cell r="B47" t="str">
            <v>板式车间</v>
          </cell>
          <cell r="C47" t="str">
            <v>柜体线-排孔组</v>
          </cell>
          <cell r="D47" t="str">
            <v>异形制作</v>
          </cell>
          <cell r="E47" t="str">
            <v>2020-07-15</v>
          </cell>
          <cell r="F47" t="str">
            <v>500225198804130736</v>
          </cell>
        </row>
        <row r="48">
          <cell r="A48" t="str">
            <v>蒋官雄</v>
          </cell>
          <cell r="B48" t="str">
            <v>板式车间</v>
          </cell>
          <cell r="C48" t="str">
            <v>柜体线-封边组</v>
          </cell>
          <cell r="D48" t="str">
            <v>封边</v>
          </cell>
          <cell r="E48" t="str">
            <v>2016-07-04</v>
          </cell>
          <cell r="F48" t="str">
            <v>510230197509023039</v>
          </cell>
        </row>
        <row r="49">
          <cell r="A49" t="str">
            <v>郑天华</v>
          </cell>
          <cell r="B49" t="str">
            <v>板式车间</v>
          </cell>
          <cell r="C49" t="str">
            <v>柜体线-免漆订单组</v>
          </cell>
          <cell r="D49" t="str">
            <v>免漆制作</v>
          </cell>
          <cell r="E49" t="str">
            <v>2025-04-15</v>
          </cell>
          <cell r="F49" t="str">
            <v>510230198205306851</v>
          </cell>
        </row>
        <row r="50">
          <cell r="A50" t="str">
            <v>毛玉玲</v>
          </cell>
          <cell r="B50" t="str">
            <v>生产制造中心</v>
          </cell>
          <cell r="C50" t="str">
            <v>生产制造中心</v>
          </cell>
          <cell r="D50" t="str">
            <v>生产助理</v>
          </cell>
          <cell r="E50" t="str">
            <v>2025-05-04</v>
          </cell>
          <cell r="F50" t="str">
            <v>500225200107280042</v>
          </cell>
        </row>
        <row r="51">
          <cell r="A51" t="str">
            <v>李志明</v>
          </cell>
          <cell r="B51" t="str">
            <v>人力行政部</v>
          </cell>
          <cell r="C51" t="str">
            <v>人力行政部</v>
          </cell>
          <cell r="D51" t="str">
            <v>保安</v>
          </cell>
          <cell r="E51" t="str">
            <v>2024-01-09</v>
          </cell>
          <cell r="F51" t="str">
            <v>510230196910273339</v>
          </cell>
        </row>
        <row r="52">
          <cell r="A52" t="str">
            <v>冯永秀</v>
          </cell>
          <cell r="B52" t="str">
            <v>板式车间</v>
          </cell>
          <cell r="C52" t="str">
            <v>柜体线-包装组</v>
          </cell>
          <cell r="D52" t="str">
            <v>包装</v>
          </cell>
          <cell r="E52" t="str">
            <v>2020-08-21</v>
          </cell>
          <cell r="F52" t="str">
            <v>500225198609018925</v>
          </cell>
        </row>
        <row r="53">
          <cell r="A53" t="str">
            <v>旷连彬</v>
          </cell>
          <cell r="B53" t="str">
            <v>板式车间</v>
          </cell>
          <cell r="C53" t="str">
            <v>成品仓</v>
          </cell>
          <cell r="D53" t="str">
            <v>库管</v>
          </cell>
          <cell r="E53" t="str">
            <v>2022-03-18</v>
          </cell>
          <cell r="F53" t="str">
            <v>510230197909143873</v>
          </cell>
        </row>
        <row r="54">
          <cell r="A54" t="str">
            <v>刘明</v>
          </cell>
          <cell r="B54" t="str">
            <v>人力行政部</v>
          </cell>
          <cell r="C54" t="str">
            <v>人力行政部</v>
          </cell>
          <cell r="D54" t="str">
            <v>四期夜班保安</v>
          </cell>
          <cell r="E54" t="str">
            <v>2019-12-24</v>
          </cell>
          <cell r="F54" t="str">
            <v>510230197202133970</v>
          </cell>
        </row>
        <row r="55">
          <cell r="A55" t="str">
            <v>陈婷婷</v>
          </cell>
          <cell r="B55" t="str">
            <v>板式车间</v>
          </cell>
          <cell r="C55" t="str">
            <v>成品仓</v>
          </cell>
          <cell r="D55" t="str">
            <v>文员</v>
          </cell>
          <cell r="E55" t="str">
            <v>2023-04-18</v>
          </cell>
          <cell r="F55" t="str">
            <v>500225199802184321</v>
          </cell>
        </row>
        <row r="56">
          <cell r="A56" t="str">
            <v>唐良基</v>
          </cell>
          <cell r="B56" t="str">
            <v>人力行政部</v>
          </cell>
          <cell r="C56" t="str">
            <v>人力行政部</v>
          </cell>
          <cell r="D56" t="str">
            <v>四期白班保安</v>
          </cell>
          <cell r="E56" t="str">
            <v>2020-12-31</v>
          </cell>
          <cell r="F56" t="str">
            <v>510230196208027197</v>
          </cell>
        </row>
        <row r="57">
          <cell r="A57" t="str">
            <v>刘琴</v>
          </cell>
          <cell r="B57" t="str">
            <v>采购部</v>
          </cell>
          <cell r="C57" t="str">
            <v>采购部</v>
          </cell>
          <cell r="D57" t="str">
            <v>采购主管</v>
          </cell>
          <cell r="E57" t="str">
            <v>2017-02-15</v>
          </cell>
          <cell r="F57" t="str">
            <v>50023119880313146X</v>
          </cell>
        </row>
        <row r="58">
          <cell r="A58" t="str">
            <v>陈昌容</v>
          </cell>
          <cell r="B58" t="str">
            <v>订单部</v>
          </cell>
          <cell r="C58" t="str">
            <v>接单报价组</v>
          </cell>
          <cell r="D58" t="str">
            <v>接单员</v>
          </cell>
          <cell r="E58" t="str">
            <v>2024-07-05</v>
          </cell>
          <cell r="F58" t="str">
            <v>510230198209236985</v>
          </cell>
        </row>
        <row r="59">
          <cell r="A59" t="str">
            <v>江航</v>
          </cell>
          <cell r="B59" t="str">
            <v>板式车间</v>
          </cell>
          <cell r="C59" t="str">
            <v>成品仓</v>
          </cell>
          <cell r="D59" t="str">
            <v>成品主管</v>
          </cell>
          <cell r="E59" t="str">
            <v>2022-03-03</v>
          </cell>
          <cell r="F59" t="str">
            <v>511521199403264870</v>
          </cell>
        </row>
        <row r="60">
          <cell r="A60" t="str">
            <v>谢灵</v>
          </cell>
          <cell r="B60" t="str">
            <v>订单部</v>
          </cell>
          <cell r="C60" t="str">
            <v>接单报价组</v>
          </cell>
          <cell r="D60" t="str">
            <v>接单员</v>
          </cell>
          <cell r="E60" t="str">
            <v>2025-05-23</v>
          </cell>
          <cell r="F60" t="str">
            <v>500225199203105708</v>
          </cell>
        </row>
        <row r="61">
          <cell r="A61" t="str">
            <v>陈秀玲</v>
          </cell>
          <cell r="B61" t="str">
            <v>板式车间</v>
          </cell>
          <cell r="C61" t="str">
            <v>柜体线-包装组</v>
          </cell>
          <cell r="D61" t="str">
            <v>包装</v>
          </cell>
          <cell r="E61" t="str">
            <v>2024-03-09</v>
          </cell>
          <cell r="F61" t="str">
            <v>500225197503180727</v>
          </cell>
        </row>
        <row r="62">
          <cell r="A62" t="str">
            <v>吕元超</v>
          </cell>
          <cell r="B62" t="str">
            <v>板式车间</v>
          </cell>
          <cell r="C62" t="str">
            <v>柜体线-包装组</v>
          </cell>
          <cell r="D62" t="str">
            <v>包装</v>
          </cell>
          <cell r="E62" t="str">
            <v>2024-02-27</v>
          </cell>
          <cell r="F62" t="str">
            <v>500225198912200324</v>
          </cell>
        </row>
        <row r="63">
          <cell r="A63" t="str">
            <v>曾宪友</v>
          </cell>
          <cell r="B63" t="str">
            <v>板式车间</v>
          </cell>
          <cell r="C63" t="str">
            <v>柜体线-包装组</v>
          </cell>
          <cell r="D63" t="str">
            <v>转运/组长</v>
          </cell>
          <cell r="E63" t="str">
            <v>2020-07-21</v>
          </cell>
          <cell r="F63" t="str">
            <v>510230197608013872</v>
          </cell>
        </row>
        <row r="64">
          <cell r="A64" t="str">
            <v>冯永兰</v>
          </cell>
          <cell r="B64" t="str">
            <v>板式车间</v>
          </cell>
          <cell r="C64" t="str">
            <v>成品仓</v>
          </cell>
          <cell r="D64" t="str">
            <v>搬运</v>
          </cell>
          <cell r="E64" t="str">
            <v>2026-03-03</v>
          </cell>
          <cell r="F64" t="str">
            <v>511023197006176160</v>
          </cell>
        </row>
        <row r="65">
          <cell r="A65" t="str">
            <v>欧杨燕</v>
          </cell>
          <cell r="B65" t="str">
            <v>板式车间</v>
          </cell>
          <cell r="C65" t="str">
            <v>柜体线-包装组</v>
          </cell>
          <cell r="D65" t="str">
            <v>包装</v>
          </cell>
          <cell r="E65" t="str">
            <v>2023-07-14</v>
          </cell>
          <cell r="F65" t="str">
            <v>522629199107144822</v>
          </cell>
        </row>
        <row r="66">
          <cell r="A66" t="str">
            <v>许军</v>
          </cell>
          <cell r="B66" t="str">
            <v>设计部</v>
          </cell>
          <cell r="C66" t="str">
            <v>设计组</v>
          </cell>
          <cell r="D66" t="str">
            <v>设计经理</v>
          </cell>
          <cell r="E66" t="str">
            <v>2023-07-04</v>
          </cell>
          <cell r="F66" t="str">
            <v>500237198410217893</v>
          </cell>
        </row>
        <row r="67">
          <cell r="A67" t="str">
            <v>姜全洪</v>
          </cell>
          <cell r="B67" t="str">
            <v>设计部</v>
          </cell>
          <cell r="C67" t="str">
            <v>设计组</v>
          </cell>
          <cell r="D67" t="str">
            <v>方案设计师</v>
          </cell>
          <cell r="E67" t="str">
            <v>2023-02-17</v>
          </cell>
          <cell r="F67" t="str">
            <v>50022519930330689X</v>
          </cell>
        </row>
        <row r="68">
          <cell r="A68" t="str">
            <v>罗雨</v>
          </cell>
          <cell r="B68" t="str">
            <v>设计部</v>
          </cell>
          <cell r="C68" t="str">
            <v>设计组</v>
          </cell>
          <cell r="D68" t="str">
            <v>副主管</v>
          </cell>
          <cell r="E68" t="str">
            <v>2023-05-17</v>
          </cell>
          <cell r="F68" t="str">
            <v>500225198706297612</v>
          </cell>
        </row>
        <row r="69">
          <cell r="A69" t="str">
            <v>熊壮</v>
          </cell>
          <cell r="B69" t="str">
            <v>设计部</v>
          </cell>
          <cell r="C69" t="str">
            <v>设计组</v>
          </cell>
          <cell r="D69" t="str">
            <v>方案设计师</v>
          </cell>
          <cell r="E69" t="str">
            <v>2020-06-16</v>
          </cell>
          <cell r="F69" t="str">
            <v>500225198911233896</v>
          </cell>
        </row>
        <row r="70">
          <cell r="A70" t="str">
            <v>伍梦柯</v>
          </cell>
          <cell r="B70" t="str">
            <v>设计部</v>
          </cell>
          <cell r="C70" t="str">
            <v>设计组</v>
          </cell>
          <cell r="D70" t="str">
            <v>方案设计师</v>
          </cell>
          <cell r="E70" t="str">
            <v>2023-05-26</v>
          </cell>
          <cell r="F70" t="str">
            <v>500225199905268333</v>
          </cell>
        </row>
        <row r="71">
          <cell r="A71" t="str">
            <v>吴洪伟</v>
          </cell>
          <cell r="B71" t="str">
            <v>设计部</v>
          </cell>
          <cell r="C71" t="str">
            <v>设计组</v>
          </cell>
          <cell r="D71" t="str">
            <v>方案设计师</v>
          </cell>
          <cell r="E71" t="str">
            <v>2017-07-07</v>
          </cell>
          <cell r="F71" t="str">
            <v>500225199010123811</v>
          </cell>
        </row>
        <row r="72">
          <cell r="A72" t="str">
            <v>蒋进</v>
          </cell>
          <cell r="B72" t="str">
            <v>设计部</v>
          </cell>
          <cell r="C72" t="str">
            <v>设计组</v>
          </cell>
          <cell r="D72" t="str">
            <v>方案设计师</v>
          </cell>
          <cell r="E72" t="str">
            <v>2021-02-23</v>
          </cell>
          <cell r="F72" t="str">
            <v>500225198801015214</v>
          </cell>
        </row>
        <row r="73">
          <cell r="A73" t="str">
            <v>黄华</v>
          </cell>
          <cell r="B73" t="str">
            <v>设计部</v>
          </cell>
          <cell r="C73" t="str">
            <v>设计组</v>
          </cell>
          <cell r="D73" t="str">
            <v>深化拆单设计师</v>
          </cell>
          <cell r="E73" t="str">
            <v>2023-11-10</v>
          </cell>
          <cell r="F73" t="str">
            <v>500225198702160758</v>
          </cell>
        </row>
        <row r="74">
          <cell r="A74" t="str">
            <v>方宇</v>
          </cell>
          <cell r="B74" t="str">
            <v>订单部</v>
          </cell>
          <cell r="C74" t="str">
            <v>接单报价组</v>
          </cell>
          <cell r="D74" t="str">
            <v>接单员</v>
          </cell>
          <cell r="E74" t="str">
            <v>2020-08-04</v>
          </cell>
          <cell r="F74" t="str">
            <v>500383198810092923</v>
          </cell>
        </row>
        <row r="75">
          <cell r="A75" t="str">
            <v>王一程</v>
          </cell>
          <cell r="B75" t="str">
            <v>设计部</v>
          </cell>
          <cell r="C75" t="str">
            <v>设计组</v>
          </cell>
          <cell r="D75" t="str">
            <v>深化拆单设计师</v>
          </cell>
          <cell r="E75" t="str">
            <v>2024-03-27</v>
          </cell>
          <cell r="F75" t="str">
            <v>500225199512234319</v>
          </cell>
        </row>
        <row r="76">
          <cell r="A76" t="str">
            <v>伍小雪</v>
          </cell>
          <cell r="B76" t="str">
            <v>订单部</v>
          </cell>
          <cell r="C76" t="str">
            <v>计划物控组</v>
          </cell>
          <cell r="D76" t="str">
            <v>PMC主管</v>
          </cell>
          <cell r="E76" t="str">
            <v>2021-02-23</v>
          </cell>
          <cell r="F76" t="str">
            <v>500225199411128349</v>
          </cell>
        </row>
        <row r="77">
          <cell r="A77" t="str">
            <v>杨换</v>
          </cell>
          <cell r="B77" t="str">
            <v>板式车间</v>
          </cell>
          <cell r="C77" t="str">
            <v>柜体线-排孔组</v>
          </cell>
          <cell r="D77" t="str">
            <v>排孔</v>
          </cell>
          <cell r="E77" t="str">
            <v>2023-06-26</v>
          </cell>
          <cell r="F77" t="str">
            <v>500225199707014332</v>
          </cell>
        </row>
        <row r="78">
          <cell r="A78" t="str">
            <v>田鹏飞</v>
          </cell>
          <cell r="B78" t="str">
            <v>订单部</v>
          </cell>
          <cell r="C78" t="str">
            <v>订单部</v>
          </cell>
          <cell r="D78" t="str">
            <v>经理</v>
          </cell>
          <cell r="E78" t="str">
            <v>2021-07-01</v>
          </cell>
          <cell r="F78" t="str">
            <v>500228198408188759</v>
          </cell>
        </row>
        <row r="79">
          <cell r="A79" t="str">
            <v>邱霞</v>
          </cell>
          <cell r="B79" t="str">
            <v>订单部</v>
          </cell>
          <cell r="C79" t="str">
            <v>计划物控组</v>
          </cell>
          <cell r="D79" t="str">
            <v>进度员</v>
          </cell>
          <cell r="E79" t="str">
            <v>2021-02-23</v>
          </cell>
          <cell r="F79" t="str">
            <v>500383199004084368</v>
          </cell>
        </row>
        <row r="80">
          <cell r="A80" t="str">
            <v>杨益琴</v>
          </cell>
          <cell r="B80" t="str">
            <v>综合部</v>
          </cell>
          <cell r="C80" t="str">
            <v>财务核价</v>
          </cell>
          <cell r="D80" t="str">
            <v>财务</v>
          </cell>
          <cell r="E80" t="str">
            <v>2020-03-10</v>
          </cell>
          <cell r="F80" t="str">
            <v>500226199109023147</v>
          </cell>
        </row>
        <row r="81">
          <cell r="A81" t="str">
            <v>谢运谷</v>
          </cell>
          <cell r="B81" t="str">
            <v>综合部</v>
          </cell>
          <cell r="C81" t="str">
            <v>原材料仓</v>
          </cell>
          <cell r="D81" t="str">
            <v>板材仓-叉车司机</v>
          </cell>
          <cell r="E81" t="str">
            <v>2021-07-07</v>
          </cell>
          <cell r="F81" t="str">
            <v>510230196502283976</v>
          </cell>
        </row>
        <row r="82">
          <cell r="A82" t="str">
            <v>隆林</v>
          </cell>
          <cell r="B82" t="str">
            <v>板式车间</v>
          </cell>
          <cell r="C82" t="str">
            <v>膜压线</v>
          </cell>
          <cell r="D82" t="str">
            <v>吸塑/包覆</v>
          </cell>
          <cell r="E82" t="str">
            <v>2021-07-18</v>
          </cell>
          <cell r="F82" t="str">
            <v>500225199005041176</v>
          </cell>
        </row>
        <row r="83">
          <cell r="A83" t="str">
            <v>张兴六</v>
          </cell>
          <cell r="B83" t="str">
            <v>人力行政部</v>
          </cell>
          <cell r="C83" t="str">
            <v>人力行政部</v>
          </cell>
          <cell r="D83" t="str">
            <v>保安</v>
          </cell>
          <cell r="E83" t="str">
            <v>2023-08-25</v>
          </cell>
          <cell r="F83" t="str">
            <v>51023019690906779X</v>
          </cell>
        </row>
        <row r="84">
          <cell r="A84" t="str">
            <v>李丰希</v>
          </cell>
          <cell r="B84" t="str">
            <v>信息部</v>
          </cell>
          <cell r="C84" t="str">
            <v>信息部</v>
          </cell>
          <cell r="D84" t="str">
            <v>信息副经理</v>
          </cell>
          <cell r="E84" t="str">
            <v>2018-09-15</v>
          </cell>
          <cell r="F84" t="str">
            <v>500243199311067457</v>
          </cell>
        </row>
        <row r="85">
          <cell r="A85" t="str">
            <v>杨建华</v>
          </cell>
          <cell r="B85" t="str">
            <v>板式车间</v>
          </cell>
          <cell r="C85" t="str">
            <v>柜体线-开料组</v>
          </cell>
          <cell r="D85" t="str">
            <v>开料</v>
          </cell>
          <cell r="E85" t="str">
            <v>2020-04-24</v>
          </cell>
          <cell r="F85" t="str">
            <v>500225198612103813</v>
          </cell>
        </row>
        <row r="86">
          <cell r="A86" t="str">
            <v>刘琴</v>
          </cell>
          <cell r="B86" t="str">
            <v>板式车间</v>
          </cell>
          <cell r="C86" t="str">
            <v>柜体线-包装组</v>
          </cell>
          <cell r="D86" t="str">
            <v>背板包装</v>
          </cell>
          <cell r="E86" t="str">
            <v>2023-08-29</v>
          </cell>
          <cell r="F86" t="str">
            <v>500223199504152089</v>
          </cell>
        </row>
        <row r="87">
          <cell r="A87" t="str">
            <v>刘少强</v>
          </cell>
          <cell r="B87" t="str">
            <v>板式车间</v>
          </cell>
          <cell r="C87" t="str">
            <v>柜体线-试装组</v>
          </cell>
          <cell r="D87" t="str">
            <v>试装</v>
          </cell>
          <cell r="E87" t="str">
            <v>2021-10-27</v>
          </cell>
          <cell r="F87" t="str">
            <v>500225198402190736</v>
          </cell>
        </row>
        <row r="88">
          <cell r="A88" t="str">
            <v>覃邦斌</v>
          </cell>
          <cell r="B88" t="str">
            <v>人力行政部</v>
          </cell>
          <cell r="C88" t="str">
            <v>人力行政部</v>
          </cell>
          <cell r="D88" t="str">
            <v>客房清洁工</v>
          </cell>
          <cell r="E88" t="str">
            <v>2020-09-15</v>
          </cell>
          <cell r="F88" t="str">
            <v>510230197210067627</v>
          </cell>
        </row>
        <row r="89">
          <cell r="A89" t="str">
            <v>石代春</v>
          </cell>
          <cell r="B89" t="str">
            <v>板式车间</v>
          </cell>
          <cell r="C89" t="str">
            <v>柜体线-包装组</v>
          </cell>
          <cell r="D89" t="str">
            <v>包装</v>
          </cell>
          <cell r="E89" t="str">
            <v>2018-12-18</v>
          </cell>
          <cell r="F89" t="str">
            <v>510230197604177407</v>
          </cell>
        </row>
        <row r="90">
          <cell r="A90" t="str">
            <v>胡良先</v>
          </cell>
          <cell r="B90" t="str">
            <v>板式车间</v>
          </cell>
          <cell r="C90" t="str">
            <v>柜体线-包装组</v>
          </cell>
          <cell r="D90" t="str">
            <v>包装</v>
          </cell>
          <cell r="E90" t="str">
            <v>2023-08-15</v>
          </cell>
          <cell r="F90" t="str">
            <v>510525198010098568</v>
          </cell>
        </row>
        <row r="91">
          <cell r="A91" t="str">
            <v>王美镪</v>
          </cell>
          <cell r="B91" t="str">
            <v>信息部</v>
          </cell>
          <cell r="C91" t="str">
            <v>信息部</v>
          </cell>
          <cell r="D91" t="str">
            <v>AI工程师</v>
          </cell>
          <cell r="E91" t="str">
            <v>2026-04-20</v>
          </cell>
          <cell r="F91" t="str">
            <v>510521200303211450</v>
          </cell>
        </row>
        <row r="92">
          <cell r="A92" t="str">
            <v>李红川</v>
          </cell>
          <cell r="B92" t="str">
            <v>板式车间</v>
          </cell>
          <cell r="C92" t="str">
            <v>柜体线-封边组</v>
          </cell>
          <cell r="D92" t="str">
            <v>封边</v>
          </cell>
          <cell r="E92" t="str">
            <v>2023-10-25</v>
          </cell>
          <cell r="F92" t="str">
            <v>500225199207063031</v>
          </cell>
        </row>
        <row r="93">
          <cell r="A93" t="str">
            <v>庞意</v>
          </cell>
          <cell r="B93" t="str">
            <v>板式车间</v>
          </cell>
          <cell r="C93" t="str">
            <v>成品仓</v>
          </cell>
          <cell r="D93" t="str">
            <v>库管</v>
          </cell>
          <cell r="E93" t="str">
            <v>2023-07-04</v>
          </cell>
          <cell r="F93" t="str">
            <v>500225198608174133</v>
          </cell>
        </row>
        <row r="94">
          <cell r="A94" t="str">
            <v>兰媛</v>
          </cell>
          <cell r="B94" t="str">
            <v>综合部</v>
          </cell>
          <cell r="C94" t="str">
            <v>财务核价</v>
          </cell>
          <cell r="D94" t="str">
            <v>薪资核算员</v>
          </cell>
          <cell r="E94" t="str">
            <v>2023-07-22</v>
          </cell>
          <cell r="F94" t="str">
            <v>500225199610014328</v>
          </cell>
        </row>
        <row r="95">
          <cell r="A95" t="str">
            <v>冷其华</v>
          </cell>
          <cell r="B95" t="str">
            <v>板式车间</v>
          </cell>
          <cell r="C95" t="str">
            <v>成品仓</v>
          </cell>
          <cell r="D95" t="str">
            <v>搬运</v>
          </cell>
          <cell r="E95" t="str">
            <v>2023-07-12</v>
          </cell>
          <cell r="F95" t="str">
            <v>51023019701015841X</v>
          </cell>
        </row>
        <row r="96">
          <cell r="A96" t="str">
            <v>徐岚萍</v>
          </cell>
          <cell r="B96" t="str">
            <v>板式车间</v>
          </cell>
          <cell r="C96" t="str">
            <v>柜体线-包装组</v>
          </cell>
          <cell r="D96" t="str">
            <v>五金配套</v>
          </cell>
          <cell r="E96" t="str">
            <v>2019-02-16</v>
          </cell>
          <cell r="F96" t="str">
            <v>510823197502136427</v>
          </cell>
        </row>
        <row r="97">
          <cell r="A97" t="str">
            <v>唐富国</v>
          </cell>
          <cell r="B97" t="str">
            <v>板式车间</v>
          </cell>
          <cell r="C97" t="str">
            <v>柜体线-开料组</v>
          </cell>
          <cell r="D97" t="str">
            <v>开料</v>
          </cell>
          <cell r="E97" t="str">
            <v>2019-02-16</v>
          </cell>
          <cell r="F97" t="str">
            <v>510231197406081515</v>
          </cell>
        </row>
        <row r="98">
          <cell r="A98" t="str">
            <v>蒋春香</v>
          </cell>
          <cell r="B98" t="str">
            <v>板式车间</v>
          </cell>
          <cell r="C98" t="str">
            <v>柜体线-包装组</v>
          </cell>
          <cell r="D98" t="str">
            <v>包装</v>
          </cell>
          <cell r="E98" t="str">
            <v>2019-02-14</v>
          </cell>
          <cell r="F98" t="str">
            <v>511023198403094665</v>
          </cell>
        </row>
        <row r="99">
          <cell r="A99" t="str">
            <v>王洪允</v>
          </cell>
          <cell r="B99" t="str">
            <v>板式车间</v>
          </cell>
          <cell r="C99" t="str">
            <v>柜体线-试装组</v>
          </cell>
          <cell r="D99" t="str">
            <v>试装</v>
          </cell>
          <cell r="E99" t="str">
            <v>2019-02-14</v>
          </cell>
          <cell r="F99" t="str">
            <v>510230196911234657</v>
          </cell>
        </row>
        <row r="100">
          <cell r="A100" t="str">
            <v>曾凡波</v>
          </cell>
          <cell r="B100" t="str">
            <v>板式车间</v>
          </cell>
          <cell r="C100" t="str">
            <v>柜体线-开料组</v>
          </cell>
          <cell r="D100" t="str">
            <v>开料</v>
          </cell>
          <cell r="E100" t="str">
            <v>2019-02-14</v>
          </cell>
          <cell r="F100" t="str">
            <v>50022519861113081X</v>
          </cell>
        </row>
        <row r="101">
          <cell r="A101" t="str">
            <v>徐伟</v>
          </cell>
          <cell r="B101" t="str">
            <v>板式车间</v>
          </cell>
          <cell r="C101" t="str">
            <v>柜体线-试装组</v>
          </cell>
          <cell r="D101" t="str">
            <v>试装</v>
          </cell>
          <cell r="E101" t="str">
            <v>2019-02-16</v>
          </cell>
          <cell r="F101" t="str">
            <v>500225199705141135</v>
          </cell>
        </row>
        <row r="102">
          <cell r="A102" t="str">
            <v>高攀</v>
          </cell>
          <cell r="B102" t="str">
            <v>板式车间</v>
          </cell>
          <cell r="C102" t="str">
            <v>柜体线-开料组</v>
          </cell>
          <cell r="D102" t="str">
            <v>开料</v>
          </cell>
          <cell r="E102" t="str">
            <v>2023-07-25</v>
          </cell>
          <cell r="F102" t="str">
            <v>500225198911031135</v>
          </cell>
        </row>
        <row r="103">
          <cell r="A103" t="str">
            <v>郑兴国</v>
          </cell>
          <cell r="B103" t="str">
            <v>板式车间</v>
          </cell>
          <cell r="C103" t="str">
            <v>膜压线</v>
          </cell>
          <cell r="D103" t="str">
            <v>装拉直器</v>
          </cell>
          <cell r="E103" t="str">
            <v>2020-12-10</v>
          </cell>
          <cell r="F103" t="str">
            <v>510230197011143631</v>
          </cell>
        </row>
        <row r="104">
          <cell r="A104" t="str">
            <v>李红波</v>
          </cell>
          <cell r="B104" t="str">
            <v>订单部</v>
          </cell>
          <cell r="C104" t="str">
            <v>审单组</v>
          </cell>
          <cell r="D104" t="str">
            <v>审单员</v>
          </cell>
          <cell r="E104" t="str">
            <v>2021-11-04</v>
          </cell>
          <cell r="F104" t="str">
            <v>511011198510258316</v>
          </cell>
        </row>
        <row r="105">
          <cell r="A105" t="str">
            <v>陈明会</v>
          </cell>
          <cell r="B105" t="str">
            <v>综合部</v>
          </cell>
          <cell r="C105" t="str">
            <v>财务核价</v>
          </cell>
          <cell r="D105" t="str">
            <v>财务</v>
          </cell>
          <cell r="E105" t="str">
            <v>2021-02-27</v>
          </cell>
          <cell r="F105" t="str">
            <v>500225199301022340</v>
          </cell>
        </row>
        <row r="106">
          <cell r="A106" t="str">
            <v>吕丹丹</v>
          </cell>
          <cell r="B106" t="str">
            <v>订单部</v>
          </cell>
          <cell r="C106" t="str">
            <v>接单报价组</v>
          </cell>
          <cell r="D106" t="str">
            <v>接单员</v>
          </cell>
          <cell r="E106" t="str">
            <v>2019-03-01</v>
          </cell>
          <cell r="F106" t="str">
            <v>500225198911210328</v>
          </cell>
        </row>
        <row r="107">
          <cell r="A107" t="str">
            <v>龙训东</v>
          </cell>
          <cell r="B107" t="str">
            <v>订单部</v>
          </cell>
          <cell r="C107" t="str">
            <v>审单组</v>
          </cell>
          <cell r="D107" t="str">
            <v>审单员</v>
          </cell>
          <cell r="E107" t="str">
            <v>2019-03-15</v>
          </cell>
          <cell r="F107" t="str">
            <v>500225198912201714</v>
          </cell>
        </row>
        <row r="108">
          <cell r="A108" t="str">
            <v>陈小红</v>
          </cell>
          <cell r="B108" t="str">
            <v>设计部</v>
          </cell>
          <cell r="C108" t="str">
            <v>设计组</v>
          </cell>
          <cell r="D108" t="str">
            <v>助理设计师</v>
          </cell>
          <cell r="E108" t="str">
            <v>2019-03-01</v>
          </cell>
          <cell r="F108" t="str">
            <v>500225198811058621</v>
          </cell>
        </row>
        <row r="109">
          <cell r="A109" t="str">
            <v>许诗明</v>
          </cell>
          <cell r="B109" t="str">
            <v>板式车间</v>
          </cell>
          <cell r="C109" t="str">
            <v>柜体线-封边组</v>
          </cell>
          <cell r="D109" t="str">
            <v>封边</v>
          </cell>
          <cell r="E109" t="str">
            <v>2014-02-09</v>
          </cell>
          <cell r="F109" t="str">
            <v>512322197410251899</v>
          </cell>
        </row>
        <row r="110">
          <cell r="A110" t="str">
            <v>熊家俊</v>
          </cell>
          <cell r="B110" t="str">
            <v>板式车间</v>
          </cell>
          <cell r="C110" t="str">
            <v>柜体线-排孔组</v>
          </cell>
          <cell r="D110" t="str">
            <v>排孔</v>
          </cell>
          <cell r="E110" t="str">
            <v>2021-10-21</v>
          </cell>
          <cell r="F110" t="str">
            <v>500225199511127757</v>
          </cell>
        </row>
        <row r="111">
          <cell r="A111" t="str">
            <v>何信美</v>
          </cell>
          <cell r="B111" t="str">
            <v>板式车间</v>
          </cell>
          <cell r="C111" t="str">
            <v>柜体线-包装组</v>
          </cell>
          <cell r="D111" t="str">
            <v>包装</v>
          </cell>
          <cell r="E111" t="str">
            <v>2019-11-08</v>
          </cell>
          <cell r="F111" t="str">
            <v>500225198409270800</v>
          </cell>
        </row>
        <row r="112">
          <cell r="A112" t="str">
            <v>莫娇</v>
          </cell>
          <cell r="B112" t="str">
            <v>订单部</v>
          </cell>
          <cell r="C112" t="str">
            <v>接单报价组</v>
          </cell>
          <cell r="D112" t="str">
            <v>报价员</v>
          </cell>
          <cell r="E112" t="str">
            <v>2020-03-17</v>
          </cell>
          <cell r="F112" t="str">
            <v>500225199203153224</v>
          </cell>
        </row>
        <row r="113">
          <cell r="A113" t="str">
            <v>黄成兰</v>
          </cell>
          <cell r="B113" t="str">
            <v>板式车间</v>
          </cell>
          <cell r="C113" t="str">
            <v>柜体线-包装组</v>
          </cell>
          <cell r="D113" t="str">
            <v>包装</v>
          </cell>
          <cell r="E113" t="str">
            <v>2020-09-15</v>
          </cell>
          <cell r="F113" t="str">
            <v>510230197509227402</v>
          </cell>
        </row>
        <row r="114">
          <cell r="A114" t="str">
            <v>姜永禄</v>
          </cell>
          <cell r="B114" t="str">
            <v>板式车间</v>
          </cell>
          <cell r="C114" t="str">
            <v>柜体线-包装组</v>
          </cell>
          <cell r="D114" t="str">
            <v>包装</v>
          </cell>
          <cell r="E114" t="str">
            <v>2020-09-15</v>
          </cell>
          <cell r="F114" t="str">
            <v>510230197111247593</v>
          </cell>
        </row>
        <row r="115">
          <cell r="A115" t="str">
            <v>彭云富</v>
          </cell>
          <cell r="B115" t="str">
            <v>板式车间</v>
          </cell>
          <cell r="C115" t="str">
            <v>柜体线-试装组</v>
          </cell>
          <cell r="D115" t="str">
            <v>主管</v>
          </cell>
          <cell r="E115" t="str">
            <v>2021-02-23</v>
          </cell>
          <cell r="F115" t="str">
            <v>500225199311301917</v>
          </cell>
        </row>
        <row r="116">
          <cell r="A116" t="str">
            <v>罗富兴</v>
          </cell>
          <cell r="B116" t="str">
            <v>板式车间</v>
          </cell>
          <cell r="C116" t="str">
            <v>柜体线-排孔组</v>
          </cell>
          <cell r="D116" t="str">
            <v>排孔</v>
          </cell>
          <cell r="E116" t="str">
            <v>2019-10-22</v>
          </cell>
          <cell r="F116" t="str">
            <v>500225199410280779</v>
          </cell>
        </row>
        <row r="117">
          <cell r="A117" t="str">
            <v>吴永平</v>
          </cell>
          <cell r="B117" t="str">
            <v>综合部</v>
          </cell>
          <cell r="C117" t="str">
            <v>原材料仓</v>
          </cell>
          <cell r="D117" t="str">
            <v>板材仓-文员</v>
          </cell>
          <cell r="E117" t="str">
            <v>2021-09-11</v>
          </cell>
          <cell r="F117" t="str">
            <v>500225198804287469</v>
          </cell>
        </row>
        <row r="118">
          <cell r="A118" t="str">
            <v>杨首琴</v>
          </cell>
          <cell r="B118" t="str">
            <v>采购部</v>
          </cell>
          <cell r="C118" t="str">
            <v>采购部</v>
          </cell>
          <cell r="D118" t="str">
            <v>采购员</v>
          </cell>
          <cell r="E118" t="str">
            <v>2020-06-16</v>
          </cell>
          <cell r="F118" t="str">
            <v>510281198104298602</v>
          </cell>
        </row>
        <row r="119">
          <cell r="A119" t="str">
            <v>向锋</v>
          </cell>
          <cell r="B119" t="str">
            <v>设计部</v>
          </cell>
          <cell r="C119" t="str">
            <v>设计组</v>
          </cell>
          <cell r="D119" t="str">
            <v>建店经理</v>
          </cell>
          <cell r="E119" t="str">
            <v>2018-10-29</v>
          </cell>
          <cell r="F119" t="str">
            <v>430723198910090615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93"/>
  <sheetViews>
    <sheetView zoomScale="70" zoomScaleNormal="70" workbookViewId="0">
      <pane xSplit="5" ySplit="1" topLeftCell="CZ2" activePane="bottomRight" state="frozen"/>
      <selection activeCell="A1" sqref="A1"/>
      <selection pane="topRight" activeCell="A1" sqref="A1"/>
      <selection pane="bottomLeft" activeCell="A1" sqref="A1"/>
      <selection pane="bottomRight" activeCell="DX24" sqref="DX24"/>
    </sheetView>
  </sheetViews>
  <sheetFormatPr baseColWidth="8" defaultColWidth="8.888888888888889" defaultRowHeight="13.2"/>
  <cols>
    <col width="12.8611111111111" customWidth="1" min="1" max="2"/>
    <col width="10.6296296296296" customWidth="1" style="1" min="3" max="3"/>
    <col width="16.5" customWidth="1" min="4" max="4"/>
    <col width="16.1851851851852" customWidth="1" min="5" max="5"/>
    <col width="12.8888888888889" customWidth="1" style="82" min="8" max="8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 ht="52" customFormat="1" customHeight="1" s="53">
      <c r="A1" s="6" t="inlineStr">
        <is>
          <t>打卡地点</t>
        </is>
      </c>
      <c r="B1" s="6" t="inlineStr">
        <is>
          <t>姓名</t>
        </is>
      </c>
      <c r="C1" s="6" t="inlineStr">
        <is>
          <t>工号</t>
        </is>
      </c>
      <c r="D1" s="6" t="inlineStr">
        <is>
          <t>一级部门</t>
        </is>
      </c>
      <c r="E1" s="6" t="inlineStr">
        <is>
          <t>二级部门</t>
        </is>
      </c>
      <c r="F1" s="6" t="n">
        <v>1</v>
      </c>
      <c r="G1" s="6" t="n"/>
      <c r="H1" s="6" t="inlineStr">
        <is>
          <t>小时数</t>
        </is>
      </c>
      <c r="I1" s="6" t="inlineStr">
        <is>
          <t>天数</t>
        </is>
      </c>
      <c r="J1" s="6" t="n">
        <v>2</v>
      </c>
      <c r="K1" s="6" t="n"/>
      <c r="L1" s="6" t="inlineStr">
        <is>
          <t>小时数</t>
        </is>
      </c>
      <c r="M1" s="6" t="inlineStr">
        <is>
          <t>天数</t>
        </is>
      </c>
      <c r="N1" s="6" t="n">
        <v>3</v>
      </c>
      <c r="O1" s="6" t="n"/>
      <c r="P1" s="6" t="inlineStr">
        <is>
          <t>小时数</t>
        </is>
      </c>
      <c r="Q1" s="6" t="inlineStr">
        <is>
          <t>天数</t>
        </is>
      </c>
      <c r="R1" s="6" t="n">
        <v>4</v>
      </c>
      <c r="S1" s="6" t="n"/>
      <c r="T1" s="6" t="inlineStr">
        <is>
          <t>小时数</t>
        </is>
      </c>
      <c r="U1" s="6" t="inlineStr">
        <is>
          <t>天数</t>
        </is>
      </c>
      <c r="V1" s="6" t="n">
        <v>5</v>
      </c>
      <c r="W1" s="6" t="n"/>
      <c r="X1" s="6" t="inlineStr">
        <is>
          <t>小时数</t>
        </is>
      </c>
      <c r="Y1" s="6" t="inlineStr">
        <is>
          <t>天数</t>
        </is>
      </c>
      <c r="Z1" s="6" t="n">
        <v>6</v>
      </c>
      <c r="AA1" s="6" t="n"/>
      <c r="AB1" s="6" t="inlineStr">
        <is>
          <t>小时数</t>
        </is>
      </c>
      <c r="AC1" s="6" t="inlineStr">
        <is>
          <t>天数</t>
        </is>
      </c>
      <c r="AD1" s="6" t="n">
        <v>7</v>
      </c>
      <c r="AE1" s="6" t="n"/>
      <c r="AF1" s="6" t="inlineStr">
        <is>
          <t>小时数</t>
        </is>
      </c>
      <c r="AG1" s="6" t="inlineStr">
        <is>
          <t>天数</t>
        </is>
      </c>
      <c r="AH1" s="6" t="n">
        <v>8</v>
      </c>
      <c r="AI1" s="6" t="n"/>
      <c r="AJ1" s="6" t="inlineStr">
        <is>
          <t>小时数</t>
        </is>
      </c>
      <c r="AK1" s="6" t="inlineStr">
        <is>
          <t>天数</t>
        </is>
      </c>
      <c r="AL1" s="6" t="n">
        <v>9</v>
      </c>
      <c r="AM1" s="6" t="n"/>
      <c r="AN1" s="6" t="inlineStr">
        <is>
          <t>小时数</t>
        </is>
      </c>
      <c r="AO1" s="6" t="inlineStr">
        <is>
          <t>天数</t>
        </is>
      </c>
      <c r="AP1" s="6" t="n">
        <v>10</v>
      </c>
      <c r="AQ1" s="6" t="n"/>
      <c r="AR1" s="6" t="inlineStr">
        <is>
          <t>小时数</t>
        </is>
      </c>
      <c r="AS1" s="6" t="inlineStr">
        <is>
          <t>天数</t>
        </is>
      </c>
      <c r="AT1" s="6" t="n">
        <v>11</v>
      </c>
      <c r="AU1" s="6" t="n"/>
      <c r="AV1" s="6" t="inlineStr">
        <is>
          <t>小时数</t>
        </is>
      </c>
      <c r="AW1" s="6" t="inlineStr">
        <is>
          <t>天数</t>
        </is>
      </c>
      <c r="AX1" s="6" t="n">
        <v>12</v>
      </c>
      <c r="AY1" s="6" t="n"/>
      <c r="AZ1" s="6" t="inlineStr">
        <is>
          <t>小时数</t>
        </is>
      </c>
      <c r="BA1" s="6" t="inlineStr">
        <is>
          <t>天数</t>
        </is>
      </c>
      <c r="BB1" s="6" t="n">
        <v>13</v>
      </c>
      <c r="BC1" s="6" t="n"/>
      <c r="BD1" s="6" t="inlineStr">
        <is>
          <t>小时数</t>
        </is>
      </c>
      <c r="BE1" s="6" t="inlineStr">
        <is>
          <t>天数</t>
        </is>
      </c>
      <c r="BF1" s="6" t="n">
        <v>14</v>
      </c>
      <c r="BG1" s="6" t="n"/>
      <c r="BH1" s="6" t="inlineStr">
        <is>
          <t>小时数</t>
        </is>
      </c>
      <c r="BI1" s="6" t="inlineStr">
        <is>
          <t>天数</t>
        </is>
      </c>
      <c r="BJ1" s="6" t="n">
        <v>15</v>
      </c>
      <c r="BK1" s="6" t="n"/>
      <c r="BL1" s="6" t="inlineStr">
        <is>
          <t>小时数</t>
        </is>
      </c>
      <c r="BM1" s="6" t="inlineStr">
        <is>
          <t>天数</t>
        </is>
      </c>
      <c r="BN1" s="6" t="n">
        <v>16</v>
      </c>
      <c r="BO1" s="6" t="n"/>
      <c r="BP1" s="6" t="inlineStr">
        <is>
          <t>小时数</t>
        </is>
      </c>
      <c r="BQ1" s="6" t="inlineStr">
        <is>
          <t>天数</t>
        </is>
      </c>
      <c r="BR1" s="6" t="n">
        <v>17</v>
      </c>
      <c r="BS1" s="6" t="n"/>
      <c r="BT1" s="6" t="inlineStr">
        <is>
          <t>小时数</t>
        </is>
      </c>
      <c r="BU1" s="6" t="inlineStr">
        <is>
          <t>天数</t>
        </is>
      </c>
      <c r="BV1" s="6" t="n">
        <v>18</v>
      </c>
      <c r="BW1" s="6" t="n"/>
      <c r="BX1" s="6" t="inlineStr">
        <is>
          <t>小时数</t>
        </is>
      </c>
      <c r="BY1" s="6" t="inlineStr">
        <is>
          <t>天数</t>
        </is>
      </c>
      <c r="BZ1" s="6" t="n">
        <v>19</v>
      </c>
      <c r="CA1" s="6" t="n"/>
      <c r="CB1" s="6" t="inlineStr">
        <is>
          <t>小时数</t>
        </is>
      </c>
      <c r="CC1" s="6" t="inlineStr">
        <is>
          <t>天数</t>
        </is>
      </c>
      <c r="CD1" s="6" t="n">
        <v>20</v>
      </c>
      <c r="CE1" s="6" t="n"/>
      <c r="CF1" s="6" t="inlineStr">
        <is>
          <t>小时数</t>
        </is>
      </c>
      <c r="CG1" s="6" t="inlineStr">
        <is>
          <t>天数</t>
        </is>
      </c>
      <c r="CH1" s="6" t="n">
        <v>21</v>
      </c>
      <c r="CI1" s="6" t="n"/>
      <c r="CJ1" s="6" t="inlineStr">
        <is>
          <t>小时数</t>
        </is>
      </c>
      <c r="CK1" s="6" t="inlineStr">
        <is>
          <t>天数</t>
        </is>
      </c>
      <c r="CL1" s="6" t="n">
        <v>22</v>
      </c>
      <c r="CM1" s="6" t="n"/>
      <c r="CN1" s="6" t="inlineStr">
        <is>
          <t>小时数</t>
        </is>
      </c>
      <c r="CO1" s="6" t="inlineStr">
        <is>
          <t>天数</t>
        </is>
      </c>
      <c r="CP1" s="6" t="n">
        <v>23</v>
      </c>
      <c r="CQ1" s="6" t="n"/>
      <c r="CR1" s="6" t="inlineStr">
        <is>
          <t>小时数</t>
        </is>
      </c>
      <c r="CS1" s="6" t="inlineStr">
        <is>
          <t>天数</t>
        </is>
      </c>
      <c r="CT1" s="6" t="n">
        <v>24</v>
      </c>
      <c r="CU1" s="6" t="n"/>
      <c r="CV1" s="6" t="inlineStr">
        <is>
          <t>小时数</t>
        </is>
      </c>
      <c r="CW1" s="6" t="inlineStr">
        <is>
          <t>天数</t>
        </is>
      </c>
      <c r="CX1" s="6" t="n">
        <v>25</v>
      </c>
      <c r="CY1" s="6" t="n"/>
      <c r="CZ1" s="6" t="inlineStr">
        <is>
          <t>小时数</t>
        </is>
      </c>
      <c r="DA1" s="6" t="inlineStr">
        <is>
          <t>天数</t>
        </is>
      </c>
      <c r="DB1" s="6" t="n">
        <v>26</v>
      </c>
      <c r="DC1" s="6" t="n"/>
      <c r="DD1" s="6" t="inlineStr">
        <is>
          <t>小时数</t>
        </is>
      </c>
      <c r="DE1" s="6" t="inlineStr">
        <is>
          <t>天数</t>
        </is>
      </c>
      <c r="DF1" s="6" t="n">
        <v>27</v>
      </c>
      <c r="DG1" s="6" t="n"/>
      <c r="DH1" s="6" t="inlineStr">
        <is>
          <t>小时数</t>
        </is>
      </c>
      <c r="DI1" s="6" t="inlineStr">
        <is>
          <t>天数</t>
        </is>
      </c>
      <c r="DJ1" s="6" t="n">
        <v>28</v>
      </c>
      <c r="DK1" s="6" t="n"/>
      <c r="DL1" s="6" t="inlineStr">
        <is>
          <t>小时数</t>
        </is>
      </c>
      <c r="DM1" s="6" t="inlineStr">
        <is>
          <t>天数</t>
        </is>
      </c>
      <c r="DN1" s="6" t="n">
        <v>29</v>
      </c>
      <c r="DO1" s="6" t="n"/>
      <c r="DP1" s="6" t="inlineStr">
        <is>
          <t>小时数</t>
        </is>
      </c>
      <c r="DQ1" s="6" t="inlineStr">
        <is>
          <t>天数</t>
        </is>
      </c>
      <c r="DR1" s="6" t="n">
        <v>30</v>
      </c>
      <c r="DS1" s="6" t="n"/>
      <c r="DT1" s="6" t="inlineStr">
        <is>
          <t>小时数</t>
        </is>
      </c>
      <c r="DU1" s="6" t="inlineStr">
        <is>
          <t>天数</t>
        </is>
      </c>
      <c r="DV1" s="6" t="n"/>
      <c r="DW1" s="6" t="n"/>
      <c r="DX1" s="6" t="inlineStr">
        <is>
          <t>小时数</t>
        </is>
      </c>
      <c r="DY1" s="6" t="inlineStr">
        <is>
          <t>天数</t>
        </is>
      </c>
      <c r="DZ1" s="6" t="inlineStr">
        <is>
          <t>总小时数</t>
        </is>
      </c>
      <c r="EA1" s="6" t="inlineStr">
        <is>
          <t>总天数</t>
        </is>
      </c>
    </row>
    <row r="2" ht="59" customFormat="1" customHeight="1" s="54">
      <c r="A2" s="55" t="inlineStr">
        <is>
          <t>五楼</t>
        </is>
      </c>
      <c r="B2" s="56" t="inlineStr">
        <is>
          <t>伍小雪</t>
        </is>
      </c>
      <c r="C2" s="41" t="n">
        <v>3</v>
      </c>
      <c r="D2" s="41" t="inlineStr">
        <is>
          <t>订单部</t>
        </is>
      </c>
      <c r="E2" s="57" t="inlineStr">
        <is>
          <t>计划物控组</t>
        </is>
      </c>
      <c r="F2" s="57" t="inlineStr">
        <is>
          <t>08:25</t>
        </is>
      </c>
      <c r="G2" s="58" t="n">
        <v>0.7805555555555556</v>
      </c>
      <c r="H2" s="83">
        <f>MOD(G2-F2,1)*24</f>
        <v/>
      </c>
      <c r="I2" s="57" t="n">
        <v>1</v>
      </c>
      <c r="J2" s="58" t="n">
        <v>0.3506944444444444</v>
      </c>
      <c r="K2" s="58" t="n">
        <v>0.8576388888888888</v>
      </c>
      <c r="L2" s="83">
        <f>MOD(K2-J2,1)*24</f>
        <v/>
      </c>
      <c r="M2" s="57" t="n">
        <v>1</v>
      </c>
      <c r="N2" s="58" t="n">
        <v>0.3520833333333334</v>
      </c>
      <c r="O2" s="58" t="n">
        <v>0.7819444444444444</v>
      </c>
      <c r="P2" s="83">
        <f>MOD(O2-N2,1)*24</f>
        <v/>
      </c>
      <c r="Q2" s="57" t="n">
        <v>1</v>
      </c>
      <c r="R2" s="58" t="n">
        <v>0.3506944444444444</v>
      </c>
      <c r="S2" s="58" t="n">
        <v>0.7555555555555555</v>
      </c>
      <c r="T2" s="83">
        <f>MOD(S2-R2,1)*24</f>
        <v/>
      </c>
      <c r="U2" s="57" t="n">
        <v>1</v>
      </c>
      <c r="V2" s="58" t="n">
        <v>0.3472222222222222</v>
      </c>
      <c r="W2" s="58" t="n">
        <v>0.7555555555555555</v>
      </c>
      <c r="X2" s="83">
        <f>MOD(W2-V2,1)*24</f>
        <v/>
      </c>
      <c r="Y2" s="57" t="n">
        <v>1</v>
      </c>
      <c r="Z2" s="58" t="n">
        <v>0.3527777777777778</v>
      </c>
      <c r="AA2" s="60" t="n">
        <v>0.7597222222222222</v>
      </c>
      <c r="AB2" s="83">
        <f>MOD(AA2-Z2,1)*24</f>
        <v/>
      </c>
      <c r="AC2" s="41" t="n">
        <v>1</v>
      </c>
      <c r="AD2" s="41" t="n"/>
      <c r="AF2" s="83" t="n"/>
      <c r="AG2" s="57" t="n"/>
      <c r="AH2" s="58" t="n">
        <v>0.3534722222222222</v>
      </c>
      <c r="AI2" s="58" t="n">
        <v>0.7611111111111111</v>
      </c>
      <c r="AJ2" s="83">
        <f>MOD(AI2-AH2,1)*24</f>
        <v/>
      </c>
      <c r="AK2" s="57" t="n">
        <v>1</v>
      </c>
      <c r="AL2" s="58" t="n">
        <v>0.3506944444444444</v>
      </c>
      <c r="AM2" s="58" t="n">
        <v>0.8763888888888889</v>
      </c>
      <c r="AN2" s="83">
        <f>MOD(AM2-AL2,1)*24</f>
        <v/>
      </c>
      <c r="AO2" s="57" t="n">
        <v>1</v>
      </c>
      <c r="AP2" s="58" t="n">
        <v>0.3520833333333334</v>
      </c>
      <c r="AQ2" s="58" t="n">
        <v>0.7604166666666666</v>
      </c>
      <c r="AR2" s="83">
        <f>MOD(AQ2-AP2,1)*24</f>
        <v/>
      </c>
      <c r="AS2" s="57" t="n">
        <v>1</v>
      </c>
      <c r="AT2" s="58" t="n">
        <v>0.3513888888888889</v>
      </c>
      <c r="AU2" s="58" t="n">
        <v>0.7666666666666667</v>
      </c>
      <c r="AV2" s="83">
        <f>MOD(AU2-AT2,1)*24</f>
        <v/>
      </c>
      <c r="AW2" s="57" t="n">
        <v>1</v>
      </c>
      <c r="AX2" s="58" t="n">
        <v>0.3513888888888889</v>
      </c>
      <c r="AY2" s="58" t="n">
        <v>0.7611111111111111</v>
      </c>
      <c r="AZ2" s="83">
        <f>MOD(AY2-AX2,1)*24</f>
        <v/>
      </c>
      <c r="BA2" s="57" t="n">
        <v>1</v>
      </c>
      <c r="BB2" s="58" t="n">
        <v>0.3520833333333334</v>
      </c>
      <c r="BC2" s="60" t="n">
        <v>0.7576388888888889</v>
      </c>
      <c r="BD2" s="83">
        <f>MOD(BC2-BB2,1)*24</f>
        <v/>
      </c>
      <c r="BE2" s="41" t="n">
        <v>1</v>
      </c>
      <c r="BF2" s="41" t="n"/>
      <c r="BG2" s="57" t="n"/>
      <c r="BH2" s="83" t="n"/>
      <c r="BI2" s="57" t="n"/>
      <c r="BJ2" s="58" t="n">
        <v>0.3506944444444444</v>
      </c>
      <c r="BK2" s="58" t="n">
        <v>0.7638888888888888</v>
      </c>
      <c r="BL2" s="83">
        <f>MOD(BK2-BJ2,1)*24</f>
        <v/>
      </c>
      <c r="BM2" s="57" t="n">
        <v>1</v>
      </c>
      <c r="BN2" s="58" t="n">
        <v>0.3520833333333334</v>
      </c>
      <c r="BO2" s="58" t="n">
        <v>0.7555555555555555</v>
      </c>
      <c r="BP2" s="83">
        <f>MOD(BO2-BN2,1)*24</f>
        <v/>
      </c>
      <c r="BQ2" s="57" t="n">
        <v>1</v>
      </c>
      <c r="BR2" s="58" t="n">
        <v>0.3520833333333334</v>
      </c>
      <c r="BS2" s="58" t="n">
        <v>0.7527777777777778</v>
      </c>
      <c r="BT2" s="83">
        <f>MOD(BS2-BR2,1)*24</f>
        <v/>
      </c>
      <c r="BU2" s="57" t="n">
        <v>1</v>
      </c>
      <c r="BV2" s="58" t="n">
        <v>0.3520833333333334</v>
      </c>
      <c r="BW2" s="60" t="n">
        <v>0.7604166666666666</v>
      </c>
      <c r="BX2" s="83">
        <f>MOD(BW2-BV2,1)*24</f>
        <v/>
      </c>
      <c r="BY2" s="41" t="n">
        <v>1</v>
      </c>
      <c r="BZ2" s="41" t="n"/>
      <c r="CA2" s="41" t="n"/>
      <c r="CB2" s="83" t="n"/>
      <c r="CC2" s="41" t="n"/>
      <c r="CD2" s="41" t="n"/>
      <c r="CE2" s="57" t="n"/>
      <c r="CF2" s="83" t="n"/>
      <c r="CG2" s="57" t="n"/>
      <c r="CH2" s="58" t="n">
        <v>0.3520833333333334</v>
      </c>
      <c r="CI2" s="58" t="n">
        <v>0.7520833333333333</v>
      </c>
      <c r="CJ2" s="83">
        <f>MOD(CI2-CH2,1)*24</f>
        <v/>
      </c>
      <c r="CK2" s="57" t="n">
        <v>1</v>
      </c>
      <c r="CL2" s="58" t="n">
        <v>0.3527777777777778</v>
      </c>
      <c r="CM2" s="58" t="n">
        <v>0.7597222222222222</v>
      </c>
      <c r="CN2" s="83">
        <f>MOD(CM2-CL2,1)*24</f>
        <v/>
      </c>
      <c r="CO2" s="57" t="n">
        <v>1</v>
      </c>
      <c r="CP2" s="58" t="n">
        <v>0.3506944444444444</v>
      </c>
      <c r="CQ2" s="58" t="n">
        <v>0.8763888888888889</v>
      </c>
      <c r="CR2" s="83">
        <f>MOD(CQ2-CP2,1)*24</f>
        <v/>
      </c>
      <c r="CS2" s="57" t="n">
        <v>1</v>
      </c>
      <c r="CT2" s="58" t="n">
        <v>0.3506944444444444</v>
      </c>
      <c r="CU2" s="58" t="n">
        <v>0.7527777777777778</v>
      </c>
      <c r="CV2" s="83">
        <f>MOD(CU2-CT2,1)*24</f>
        <v/>
      </c>
      <c r="CW2" s="57" t="n">
        <v>1</v>
      </c>
      <c r="CX2" s="58" t="n">
        <v>0.3486111111111111</v>
      </c>
      <c r="CY2" s="58" t="n">
        <v>0.7569444444444444</v>
      </c>
      <c r="CZ2" s="83">
        <f>MOD(CY2-CX2,1)*24</f>
        <v/>
      </c>
      <c r="DA2" s="57" t="n">
        <v>1</v>
      </c>
      <c r="DB2" s="58" t="n">
        <v>0.3493055555555555</v>
      </c>
      <c r="DC2" s="58" t="n">
        <v>0.7520833333333333</v>
      </c>
      <c r="DD2" s="83">
        <f>MOD(DC2-DB2,1)*24</f>
        <v/>
      </c>
      <c r="DE2" s="57" t="n">
        <v>1</v>
      </c>
      <c r="DF2" s="58" t="n">
        <v>0.3513888888888889</v>
      </c>
      <c r="DG2" s="60" t="n">
        <v>0.7625</v>
      </c>
      <c r="DH2" s="83">
        <f>MOD(DG2-DF2,1)*24</f>
        <v/>
      </c>
      <c r="DI2" s="41" t="n">
        <v>1</v>
      </c>
      <c r="DJ2" s="41" t="n"/>
      <c r="DK2" s="41" t="n"/>
      <c r="DL2" s="83" t="n"/>
      <c r="DM2" s="41" t="n"/>
      <c r="DN2" s="58" t="n">
        <v>0.3493055555555555</v>
      </c>
      <c r="DO2" s="58" t="n">
        <v>0.7590277777777777</v>
      </c>
      <c r="DP2" s="83">
        <f>MOD(DO2-DN2,1)*24</f>
        <v/>
      </c>
      <c r="DQ2" s="57" t="n">
        <v>1</v>
      </c>
      <c r="DR2" s="61" t="n">
        <v>0.3506944444444444</v>
      </c>
      <c r="DS2" s="62" t="n">
        <v>0.7527777777777778</v>
      </c>
      <c r="DT2" s="83">
        <f>MOD(DS2-DR2,1)*24</f>
        <v/>
      </c>
      <c r="DU2" s="41" t="n">
        <v>1</v>
      </c>
      <c r="DV2" s="61" t="n"/>
      <c r="DW2" s="62" t="n"/>
      <c r="DX2" s="83" t="n"/>
      <c r="DY2" s="41" t="n"/>
      <c r="DZ2" s="84">
        <f>H2+L2+P2+T2+X2+AB2+AF2+AJ2+AN2+AR2+AV2+AZ2+BD2+BH2+BL2+BP2+BT2+BX2+CB2+CF2+CJ2+CN2+CR2+CV2+CZ2+DD2+DH2+DL2+DP2+DT2</f>
        <v/>
      </c>
      <c r="EA2" s="84">
        <f>I2+M2+Q2+U2+Y2+AC2+AG2+AK2+AO2+AS2+AW2+BA2+BE2+BI2+BM2+BQ2+BU2+BY2+CC2+CG2+CK2+CO2+CS2+CW2+DA2+DE2+DI2+DM2+DQ2+DU2</f>
        <v/>
      </c>
    </row>
    <row r="3" ht="59" customFormat="1" customHeight="1" s="54">
      <c r="A3" s="55" t="inlineStr">
        <is>
          <t>五楼</t>
        </is>
      </c>
      <c r="B3" s="56" t="inlineStr">
        <is>
          <t>伍小雪</t>
        </is>
      </c>
      <c r="C3" s="41" t="n">
        <v>3</v>
      </c>
      <c r="D3" s="41" t="inlineStr">
        <is>
          <t>订单部</t>
        </is>
      </c>
      <c r="E3" s="57" t="inlineStr">
        <is>
          <t>计划物控组</t>
        </is>
      </c>
      <c r="F3" s="41" t="n"/>
      <c r="G3" s="41" t="n"/>
      <c r="H3" s="83" t="n"/>
      <c r="I3" s="41" t="n"/>
      <c r="J3" s="41" t="n"/>
      <c r="K3" s="41" t="n"/>
      <c r="L3" s="83" t="n"/>
      <c r="M3" s="41" t="n"/>
      <c r="N3" s="41" t="n"/>
      <c r="O3" s="41" t="n"/>
      <c r="P3" s="83" t="n"/>
      <c r="Q3" s="41" t="n"/>
      <c r="R3" s="41" t="n"/>
      <c r="S3" s="41" t="n"/>
      <c r="T3" s="83" t="n"/>
      <c r="U3" s="41" t="n"/>
      <c r="V3" s="41" t="n"/>
      <c r="W3" s="41" t="n"/>
      <c r="X3" s="83" t="n"/>
      <c r="Y3" s="41" t="n"/>
      <c r="Z3" s="41" t="n"/>
      <c r="AA3" s="41" t="n"/>
      <c r="AB3" s="83" t="n"/>
      <c r="AC3" s="41" t="n"/>
      <c r="AD3" s="41" t="n"/>
      <c r="AE3" s="41" t="n"/>
      <c r="AF3" s="83" t="n"/>
      <c r="AG3" s="41" t="n"/>
      <c r="AH3" s="41" t="n"/>
      <c r="AI3" s="41" t="n"/>
      <c r="AJ3" s="83" t="n"/>
      <c r="AK3" s="41" t="n"/>
      <c r="AL3" s="41" t="n"/>
      <c r="AM3" s="41" t="n"/>
      <c r="AN3" s="83" t="n"/>
      <c r="AO3" s="41" t="n"/>
      <c r="AP3" s="41" t="n"/>
      <c r="AQ3" s="41" t="n"/>
      <c r="AR3" s="83" t="n"/>
      <c r="AS3" s="41" t="n"/>
      <c r="AT3" s="41" t="n"/>
      <c r="AU3" s="57" t="n"/>
      <c r="AV3" s="83" t="n"/>
      <c r="AW3" s="57" t="n"/>
      <c r="AX3" s="58" t="n"/>
      <c r="AY3" s="41" t="n"/>
      <c r="AZ3" s="83" t="n"/>
      <c r="BA3" s="41" t="n"/>
      <c r="BB3" s="41" t="n"/>
      <c r="BC3" s="41" t="n"/>
      <c r="BD3" s="83" t="n"/>
      <c r="BE3" s="41" t="n"/>
      <c r="BF3" s="41" t="n"/>
      <c r="BG3" s="41" t="n"/>
      <c r="BH3" s="83" t="n"/>
      <c r="BI3" s="41" t="n"/>
      <c r="BJ3" s="41" t="n"/>
      <c r="BK3" s="41" t="n"/>
      <c r="BL3" s="83" t="n"/>
      <c r="BM3" s="41" t="n"/>
      <c r="BN3" s="41" t="n"/>
      <c r="BO3" s="41" t="n"/>
      <c r="BP3" s="83" t="n"/>
      <c r="BQ3" s="41" t="n"/>
      <c r="BR3" s="41" t="n"/>
      <c r="BS3" s="41" t="n"/>
      <c r="BT3" s="83">
        <f>MOD(BS3-BR3,1)*24</f>
        <v/>
      </c>
      <c r="BU3" s="41" t="n"/>
      <c r="BV3" s="41" t="n"/>
      <c r="BW3" s="41" t="n"/>
      <c r="BX3" s="83" t="n"/>
      <c r="BY3" s="41" t="n"/>
      <c r="BZ3" s="41" t="n"/>
      <c r="CA3" s="41" t="n"/>
      <c r="CB3" s="83" t="n"/>
      <c r="CC3" s="41" t="n"/>
      <c r="CD3" s="41" t="n"/>
      <c r="CE3" s="41" t="n"/>
      <c r="CF3" s="83" t="n"/>
      <c r="CG3" s="41" t="n"/>
      <c r="CH3" s="41" t="n"/>
      <c r="CI3" s="41" t="n"/>
      <c r="CJ3" s="83" t="n"/>
      <c r="CK3" s="41" t="n"/>
      <c r="CL3" s="41" t="n"/>
      <c r="CM3" s="41" t="n"/>
      <c r="CN3" s="83" t="n"/>
      <c r="CO3" s="41" t="n"/>
      <c r="CP3" s="41" t="n"/>
      <c r="CQ3" s="41" t="n"/>
      <c r="CR3" s="83" t="n"/>
      <c r="CS3" s="41" t="n"/>
      <c r="CT3" s="41" t="n"/>
      <c r="CU3" s="41" t="n"/>
      <c r="CV3" s="83" t="n"/>
      <c r="CW3" s="41" t="n"/>
      <c r="CX3" s="41" t="n"/>
      <c r="CY3" s="41" t="n"/>
      <c r="CZ3" s="83" t="n"/>
      <c r="DA3" s="41" t="n"/>
      <c r="DB3" s="41" t="n"/>
      <c r="DC3" s="41" t="n"/>
      <c r="DD3" s="83" t="n"/>
      <c r="DE3" s="41" t="n"/>
      <c r="DF3" s="41" t="n"/>
      <c r="DG3" s="41" t="n"/>
      <c r="DH3" s="83" t="n"/>
      <c r="DI3" s="41" t="n"/>
      <c r="DJ3" s="41" t="n"/>
      <c r="DK3" s="41" t="n"/>
      <c r="DL3" s="83" t="n"/>
      <c r="DM3" s="41" t="n"/>
      <c r="DN3" s="41" t="n"/>
      <c r="DO3" s="41" t="n"/>
      <c r="DP3" s="83" t="n"/>
      <c r="DQ3" s="41" t="n"/>
      <c r="DR3" s="64" t="n"/>
      <c r="DS3" s="65" t="n"/>
      <c r="DT3" s="83" t="n"/>
      <c r="DU3" s="66" t="n"/>
      <c r="DV3" s="64" t="n"/>
      <c r="DW3" s="65" t="n"/>
      <c r="DX3" s="83" t="n"/>
      <c r="DY3" s="66" t="n"/>
      <c r="DZ3" s="84" t="n"/>
      <c r="EA3" s="84" t="n"/>
    </row>
    <row r="4" ht="59" customFormat="1" customHeight="1" s="54">
      <c r="A4" s="55" t="inlineStr">
        <is>
          <t>五楼</t>
        </is>
      </c>
      <c r="B4" s="56" t="inlineStr">
        <is>
          <t>邱霞</t>
        </is>
      </c>
      <c r="C4" s="41" t="n">
        <v>4</v>
      </c>
      <c r="D4" s="41" t="inlineStr">
        <is>
          <t>订单部</t>
        </is>
      </c>
      <c r="E4" s="57" t="inlineStr">
        <is>
          <t>计划物控组</t>
        </is>
      </c>
      <c r="F4" s="57" t="inlineStr">
        <is>
          <t>08:24</t>
        </is>
      </c>
      <c r="G4" s="58" t="n">
        <v>0.7520833333333333</v>
      </c>
      <c r="H4" s="83">
        <f>MOD(G4-F4,1)*24</f>
        <v/>
      </c>
      <c r="I4" s="57" t="n">
        <v>1</v>
      </c>
      <c r="J4" s="58" t="n">
        <v>0.35</v>
      </c>
      <c r="K4" s="58" t="n">
        <v>0.7548611111111111</v>
      </c>
      <c r="L4" s="83">
        <f>MOD(K4-J4,1)*24</f>
        <v/>
      </c>
      <c r="M4" s="57" t="n">
        <v>1</v>
      </c>
      <c r="N4" s="58" t="n">
        <v>0.3506944444444444</v>
      </c>
      <c r="O4" s="58" t="n">
        <v>0.7520833333333333</v>
      </c>
      <c r="P4" s="83">
        <f>MOD(O4-N4,1)*24</f>
        <v/>
      </c>
      <c r="Q4" s="57" t="n">
        <v>1</v>
      </c>
      <c r="R4" s="58" t="n">
        <v>0.35</v>
      </c>
      <c r="S4" s="58" t="n">
        <v>0.7527777777777778</v>
      </c>
      <c r="T4" s="83">
        <f>MOD(S4-R4,1)*24</f>
        <v/>
      </c>
      <c r="U4" s="57" t="n">
        <v>1</v>
      </c>
      <c r="V4" s="58" t="n">
        <v>0.3527777777777778</v>
      </c>
      <c r="W4" s="58" t="n">
        <v>0.7520833333333333</v>
      </c>
      <c r="X4" s="83">
        <f>MOD(W4-V4,1)*24</f>
        <v/>
      </c>
      <c r="Y4" s="57" t="n">
        <v>1</v>
      </c>
      <c r="Z4" s="58" t="n">
        <v>0.3520833333333334</v>
      </c>
      <c r="AA4" s="60" t="n">
        <v>0.7541666666666667</v>
      </c>
      <c r="AB4" s="83">
        <f>MOD(AA4-Z4,1)*24</f>
        <v/>
      </c>
      <c r="AC4" s="41" t="n">
        <v>1</v>
      </c>
      <c r="AD4" s="41" t="n"/>
      <c r="AE4" s="57" t="n"/>
      <c r="AF4" s="83" t="n"/>
      <c r="AG4" s="57" t="n"/>
      <c r="AH4" s="58" t="n">
        <v>0.3520833333333334</v>
      </c>
      <c r="AI4" s="58" t="n">
        <v>0.7520833333333333</v>
      </c>
      <c r="AJ4" s="83">
        <f>MOD(AI4-AH4,1)*24</f>
        <v/>
      </c>
      <c r="AK4" s="57" t="n">
        <v>1</v>
      </c>
      <c r="AL4" s="58" t="n">
        <v>0.3506944444444444</v>
      </c>
      <c r="AM4" s="58" t="n">
        <v>0.7520833333333333</v>
      </c>
      <c r="AN4" s="83">
        <f>MOD(AM4-AL4,1)*24</f>
        <v/>
      </c>
      <c r="AO4" s="57" t="n">
        <v>1</v>
      </c>
      <c r="AP4" s="58" t="n">
        <v>0.3520833333333334</v>
      </c>
      <c r="AQ4" s="58" t="n">
        <v>0.7569444444444444</v>
      </c>
      <c r="AR4" s="83">
        <f>MOD(AQ4-AP4,1)*24</f>
        <v/>
      </c>
      <c r="AS4" s="57" t="n">
        <v>1</v>
      </c>
      <c r="AT4" s="58" t="n">
        <v>0.3513888888888889</v>
      </c>
      <c r="AU4" s="58" t="n">
        <v>0.7527777777777778</v>
      </c>
      <c r="AV4" s="83">
        <f>MOD(AU4-AT4,1)*24</f>
        <v/>
      </c>
      <c r="AW4" s="57" t="n">
        <v>1</v>
      </c>
      <c r="AX4" s="58" t="n">
        <v>0.3513888888888889</v>
      </c>
      <c r="AY4" s="58" t="n">
        <v>0.7506944444444444</v>
      </c>
      <c r="AZ4" s="83">
        <f>MOD(AY4-AX4,1)*24</f>
        <v/>
      </c>
      <c r="BA4" s="57" t="n">
        <v>1</v>
      </c>
      <c r="BB4" s="58" t="n">
        <v>0.3506944444444444</v>
      </c>
      <c r="BC4" s="60" t="n">
        <v>0.7520833333333333</v>
      </c>
      <c r="BD4" s="83">
        <f>MOD(BC4-BB4,1)*24</f>
        <v/>
      </c>
      <c r="BE4" s="41" t="n">
        <v>1</v>
      </c>
      <c r="BF4" s="41" t="n"/>
      <c r="BG4" s="57" t="n"/>
      <c r="BH4" s="83" t="n"/>
      <c r="BI4" s="57" t="n"/>
      <c r="BJ4" s="58" t="n">
        <v>0.3506944444444444</v>
      </c>
      <c r="BK4" s="58" t="n">
        <v>0.75625</v>
      </c>
      <c r="BL4" s="83">
        <f>MOD(BK4-BJ4,1)*24</f>
        <v/>
      </c>
      <c r="BM4" s="57" t="n">
        <v>1</v>
      </c>
      <c r="BN4" s="58" t="n">
        <v>0.3493055555555555</v>
      </c>
      <c r="BO4" s="58" t="n">
        <v>0.7520833333333333</v>
      </c>
      <c r="BP4" s="83">
        <f>MOD(BO4-BN4,1)*24</f>
        <v/>
      </c>
      <c r="BQ4" s="57" t="n">
        <v>1</v>
      </c>
      <c r="BR4" s="58" t="n">
        <v>0.35</v>
      </c>
      <c r="BS4" s="58" t="n">
        <v>0.7513888888888889</v>
      </c>
      <c r="BT4" s="83">
        <f>MOD(BS4-BR4,1)*24</f>
        <v/>
      </c>
      <c r="BU4" s="57" t="n">
        <v>1</v>
      </c>
      <c r="BV4" s="58" t="n">
        <v>0.3527777777777778</v>
      </c>
      <c r="BW4" s="60" t="n">
        <v>0.7541666666666667</v>
      </c>
      <c r="BX4" s="83">
        <f>MOD(BW4-BV4,1)*24</f>
        <v/>
      </c>
      <c r="BY4" s="41" t="n">
        <v>1</v>
      </c>
      <c r="BZ4" s="41" t="n"/>
      <c r="CA4" s="41" t="n"/>
      <c r="CB4" s="83" t="n"/>
      <c r="CC4" s="41" t="n"/>
      <c r="CD4" s="41" t="n"/>
      <c r="CE4" s="57" t="n"/>
      <c r="CF4" s="83" t="n"/>
      <c r="CG4" s="57" t="n"/>
      <c r="CH4" s="58" t="n">
        <v>0.3527777777777778</v>
      </c>
      <c r="CI4" s="58" t="n">
        <v>0.7527777777777778</v>
      </c>
      <c r="CJ4" s="83">
        <f>MOD(CI4-CH4,1)*24</f>
        <v/>
      </c>
      <c r="CK4" s="57" t="n">
        <v>1</v>
      </c>
      <c r="CL4" s="58" t="n">
        <v>0.3513888888888889</v>
      </c>
      <c r="CM4" s="58" t="n">
        <v>0.7513888888888889</v>
      </c>
      <c r="CN4" s="83">
        <f>MOD(CM4-CL4,1)*24</f>
        <v/>
      </c>
      <c r="CO4" s="57" t="n">
        <v>1</v>
      </c>
      <c r="CP4" s="58" t="n">
        <v>0.3506944444444444</v>
      </c>
      <c r="CQ4" s="58" t="n">
        <v>0.7534722222222222</v>
      </c>
      <c r="CR4" s="83">
        <f>MOD(CQ4-CP4,1)*24</f>
        <v/>
      </c>
      <c r="CS4" s="57" t="n">
        <v>1</v>
      </c>
      <c r="CT4" s="58" t="n">
        <v>0.3513888888888889</v>
      </c>
      <c r="CU4" s="58" t="n">
        <v>0.7513888888888889</v>
      </c>
      <c r="CV4" s="83">
        <f>MOD(CU4-CT4,1)*24</f>
        <v/>
      </c>
      <c r="CW4" s="57" t="n">
        <v>1</v>
      </c>
      <c r="CX4" s="58" t="n">
        <v>0.3513888888888889</v>
      </c>
      <c r="CY4" s="58" t="n">
        <v>0.7513888888888889</v>
      </c>
      <c r="CZ4" s="83">
        <f>MOD(CY4-CX4,1)*24</f>
        <v/>
      </c>
      <c r="DA4" s="57" t="n">
        <v>1</v>
      </c>
      <c r="DB4" s="58" t="n">
        <v>0.3513888888888889</v>
      </c>
      <c r="DC4" s="58" t="n">
        <v>0.7520833333333333</v>
      </c>
      <c r="DD4" s="83">
        <f>MOD(DC4-DB4,1)*24</f>
        <v/>
      </c>
      <c r="DE4" s="57" t="n">
        <v>1</v>
      </c>
      <c r="DF4" s="58" t="n">
        <v>0.3506944444444444</v>
      </c>
      <c r="DG4" s="60" t="n">
        <v>0.7527777777777778</v>
      </c>
      <c r="DH4" s="83">
        <f>MOD(DG4-DF4,1)*24</f>
        <v/>
      </c>
      <c r="DI4" s="41" t="n">
        <v>1</v>
      </c>
      <c r="DJ4" s="41" t="n"/>
      <c r="DK4" s="41" t="n"/>
      <c r="DL4" s="83" t="n"/>
      <c r="DM4" s="41" t="n"/>
      <c r="DN4" s="58" t="n">
        <v>0.3527777777777778</v>
      </c>
      <c r="DO4" s="58" t="n">
        <v>0.7520833333333333</v>
      </c>
      <c r="DP4" s="83">
        <f>MOD(DO4-DN4,1)*24</f>
        <v/>
      </c>
      <c r="DQ4" s="57" t="n">
        <v>1</v>
      </c>
      <c r="DR4" s="61" t="n">
        <v>0.3506944444444444</v>
      </c>
      <c r="DS4" s="62" t="n">
        <v>0.7520833333333333</v>
      </c>
      <c r="DT4" s="83">
        <f>MOD(DS4-DR4,1)*24</f>
        <v/>
      </c>
      <c r="DU4" s="41" t="n">
        <v>1</v>
      </c>
      <c r="DV4" s="61" t="n"/>
      <c r="DW4" s="62" t="n"/>
      <c r="DX4" s="83" t="n"/>
      <c r="DY4" s="41" t="n"/>
      <c r="DZ4" s="84">
        <f>H4+L4+P4+T4+X4+AB4+AF4+AJ4+AN4+AR4+AV4+AZ4+BD4+BH4+BL4+BP4+BT4+BX4+CB4+CF4+CJ4+CN4+CR4+CV4+CZ4+DD4+DH4+DL4+DP4+DT4</f>
        <v/>
      </c>
      <c r="EA4" s="84">
        <f>I4+M4+Q4+U4+Y4+AC4+AG4+AK4+AO4+AS4+AW4+BA4+BE4+BI4+BM4+BQ4+BU4+BY4+CC4+CG4+CK4+CO4+CS4+CW4+DA4+DE4+DI4+DM4+DQ4+DU4</f>
        <v/>
      </c>
    </row>
    <row r="5" ht="59" customFormat="1" customHeight="1" s="54">
      <c r="A5" s="55" t="inlineStr">
        <is>
          <t>五楼</t>
        </is>
      </c>
      <c r="B5" s="56" t="inlineStr">
        <is>
          <t>陈小红</t>
        </is>
      </c>
      <c r="C5" s="41" t="n">
        <v>7</v>
      </c>
      <c r="D5" s="41" t="inlineStr">
        <is>
          <t>设计部</t>
        </is>
      </c>
      <c r="E5" s="57" t="inlineStr">
        <is>
          <t>设计组</t>
        </is>
      </c>
      <c r="F5" s="57" t="inlineStr">
        <is>
          <t>08:20</t>
        </is>
      </c>
      <c r="G5" s="58" t="n">
        <v>0.7993055555555556</v>
      </c>
      <c r="H5" s="83">
        <f>MOD(G5-F5,1)*24</f>
        <v/>
      </c>
      <c r="I5" s="57" t="n">
        <v>1</v>
      </c>
      <c r="J5" s="58" t="n">
        <v>0.3465277777777778</v>
      </c>
      <c r="K5" s="58" t="n">
        <v>0.8583333333333333</v>
      </c>
      <c r="L5" s="83">
        <f>MOD(K5-J5,1)*24</f>
        <v/>
      </c>
      <c r="M5" s="57" t="n">
        <v>1</v>
      </c>
      <c r="N5" s="58" t="n">
        <v>0.3388888888888889</v>
      </c>
      <c r="O5" s="57" t="n"/>
      <c r="P5" s="83" t="n"/>
      <c r="Q5" s="57" t="n">
        <v>0.5</v>
      </c>
      <c r="R5" s="58" t="n">
        <v>0.3381944444444445</v>
      </c>
      <c r="S5" s="58" t="n">
        <v>0.8013888888888889</v>
      </c>
      <c r="T5" s="83">
        <f>MOD(S5-R5,1)*24</f>
        <v/>
      </c>
      <c r="U5" s="57" t="n">
        <v>1</v>
      </c>
      <c r="V5" s="58" t="n">
        <v>0.3506944444444444</v>
      </c>
      <c r="W5" s="58" t="n">
        <v>0.8590277777777777</v>
      </c>
      <c r="X5" s="83">
        <f>MOD(W5-V5,1)*24</f>
        <v/>
      </c>
      <c r="Y5" s="57" t="n">
        <v>1</v>
      </c>
      <c r="Z5" s="58" t="n">
        <v>0.3520833333333334</v>
      </c>
      <c r="AA5" s="58" t="n">
        <v>0.7770833333333333</v>
      </c>
      <c r="AB5" s="83">
        <f>MOD(AA5-Z5,1)*24</f>
        <v/>
      </c>
      <c r="AC5" s="41" t="n">
        <v>1</v>
      </c>
      <c r="AD5" s="58" t="n">
        <v>0.7513888888888889</v>
      </c>
      <c r="AE5" s="57" t="n"/>
      <c r="AG5" s="83" t="n">
        <v>0.5</v>
      </c>
      <c r="AH5" s="58" t="n">
        <v>0.3465277777777778</v>
      </c>
      <c r="AI5" s="58" t="n">
        <v>0.7770833333333333</v>
      </c>
      <c r="AJ5" s="83">
        <f>MOD(AI5-AH5,1)*24</f>
        <v/>
      </c>
      <c r="AK5" s="57" t="n">
        <v>1</v>
      </c>
      <c r="AL5" s="58" t="n">
        <v>0.3402777777777778</v>
      </c>
      <c r="AM5" s="58" t="n">
        <v>0.7576388888888889</v>
      </c>
      <c r="AN5" s="83">
        <f>MOD(AM5-AL5,1)*24</f>
        <v/>
      </c>
      <c r="AO5" s="57" t="n">
        <v>1</v>
      </c>
      <c r="AP5" s="58" t="n">
        <v>0.3458333333333333</v>
      </c>
      <c r="AQ5" s="58" t="n">
        <v>0.7555555555555555</v>
      </c>
      <c r="AR5" s="83">
        <f>MOD(AQ5-AP5,1)*24</f>
        <v/>
      </c>
      <c r="AS5" s="57" t="n">
        <v>1</v>
      </c>
      <c r="AT5" s="58" t="n">
        <v>0.3493055555555555</v>
      </c>
      <c r="AU5" s="58" t="n">
        <v>0.7916666666666666</v>
      </c>
      <c r="AV5" s="83">
        <f>MOD(AU5-AT5,1)*24</f>
        <v/>
      </c>
      <c r="AW5" s="57" t="n">
        <v>1</v>
      </c>
      <c r="AX5" s="58" t="n">
        <v>0.3423611111111111</v>
      </c>
      <c r="AY5" s="58" t="n">
        <v>0.81875</v>
      </c>
      <c r="AZ5" s="83">
        <f>MOD(AY5-AX5,1)*24</f>
        <v/>
      </c>
      <c r="BA5" s="57" t="n">
        <v>1</v>
      </c>
      <c r="BB5" s="58" t="n">
        <v>0.35</v>
      </c>
      <c r="BC5" s="60" t="n">
        <v>0.7652777777777777</v>
      </c>
      <c r="BD5" s="83">
        <f>MOD(BC5-BB5,1)*24</f>
        <v/>
      </c>
      <c r="BE5" s="41" t="n">
        <v>1</v>
      </c>
      <c r="BF5" s="41" t="n"/>
      <c r="BG5" s="57" t="n"/>
      <c r="BH5" s="83" t="n"/>
      <c r="BI5" s="57" t="n"/>
      <c r="BJ5" s="58" t="n">
        <v>0.3340277777777778</v>
      </c>
      <c r="BK5" s="58" t="n">
        <v>0.8465277777777778</v>
      </c>
      <c r="BL5" s="83">
        <f>MOD(BK5-BJ5,1)*24</f>
        <v/>
      </c>
      <c r="BM5" s="57" t="n">
        <v>1</v>
      </c>
      <c r="BN5" s="58" t="n">
        <v>0.3465277777777778</v>
      </c>
      <c r="BO5" s="58" t="n">
        <v>0.8395833333333333</v>
      </c>
      <c r="BP5" s="83">
        <f>MOD(BO5-BN5,1)*24</f>
        <v/>
      </c>
      <c r="BQ5" s="57" t="n">
        <v>1</v>
      </c>
      <c r="BR5" s="58" t="n">
        <v>0.3416666666666667</v>
      </c>
      <c r="BS5" s="58" t="n">
        <v>0.8048611111111111</v>
      </c>
      <c r="BT5" s="83">
        <f>MOD(BS5-BR5,1)*24</f>
        <v/>
      </c>
      <c r="BU5" s="57" t="n">
        <v>1</v>
      </c>
      <c r="BV5" s="58" t="n">
        <v>0.3340277777777778</v>
      </c>
      <c r="BW5" s="60" t="n">
        <v>0.8041666666666667</v>
      </c>
      <c r="BX5" s="83">
        <f>MOD(BW5-BV5,1)*24</f>
        <v/>
      </c>
      <c r="BY5" s="41" t="n">
        <v>1</v>
      </c>
      <c r="BZ5" s="41" t="n"/>
      <c r="CA5" s="57" t="n"/>
      <c r="CB5" s="83" t="n"/>
      <c r="CC5" s="57" t="n"/>
      <c r="CD5" s="58" t="n">
        <v>0.3541666666666667</v>
      </c>
      <c r="CE5" s="57" t="n"/>
      <c r="CF5" s="83" t="n"/>
      <c r="CG5" s="57" t="n">
        <v>0.5</v>
      </c>
      <c r="CH5" s="58" t="n">
        <v>0.3513888888888889</v>
      </c>
      <c r="CI5" s="58" t="n">
        <v>0.7631944444444444</v>
      </c>
      <c r="CJ5" s="83">
        <f>MOD(CI5-CH5,1)*24</f>
        <v/>
      </c>
      <c r="CK5" s="57" t="n">
        <v>1</v>
      </c>
      <c r="CL5" s="58" t="n">
        <v>0.3423611111111111</v>
      </c>
      <c r="CM5" s="58" t="n">
        <v>0.7555555555555555</v>
      </c>
      <c r="CN5" s="83">
        <f>MOD(CM5-CL5,1)*24</f>
        <v/>
      </c>
      <c r="CO5" s="57" t="n">
        <v>1</v>
      </c>
      <c r="CP5" s="58" t="n">
        <v>0.3465277777777778</v>
      </c>
      <c r="CQ5" s="58" t="n">
        <v>0.8270833333333333</v>
      </c>
      <c r="CR5" s="83">
        <f>MOD(CQ5-CP5,1)*24</f>
        <v/>
      </c>
      <c r="CS5" s="57" t="n">
        <v>1</v>
      </c>
      <c r="CT5" s="58" t="n">
        <v>0.3458333333333333</v>
      </c>
      <c r="CU5" s="58" t="n">
        <v>0.7916666666666666</v>
      </c>
      <c r="CV5" s="83">
        <f>MOD(CU5-CT5,1)*24</f>
        <v/>
      </c>
      <c r="CW5" s="57" t="n">
        <v>1</v>
      </c>
      <c r="CX5" s="58" t="n">
        <v>0.34375</v>
      </c>
      <c r="CY5" s="58" t="n">
        <v>0.7520833333333333</v>
      </c>
      <c r="CZ5" s="83">
        <f>MOD(CY5-CX5,1)*24</f>
        <v/>
      </c>
      <c r="DA5" s="57" t="n">
        <v>1</v>
      </c>
      <c r="DB5" s="58" t="n">
        <v>0.7618055555555555</v>
      </c>
      <c r="DC5" s="57" t="n"/>
      <c r="DD5" s="83">
        <f>MOD(DC5-DB5,1)*24</f>
        <v/>
      </c>
      <c r="DE5" s="57" t="n">
        <v>0.5</v>
      </c>
      <c r="DF5" s="58" t="n">
        <v>0.3416666666666667</v>
      </c>
      <c r="DG5" s="58" t="n">
        <v>0.7555555555555555</v>
      </c>
      <c r="DH5" s="83">
        <f>MOD(DG5-DF5,1)*24</f>
        <v/>
      </c>
      <c r="DI5" s="41" t="n">
        <v>1</v>
      </c>
      <c r="DJ5" s="58" t="n">
        <v>0.3527777777777778</v>
      </c>
      <c r="DK5" s="58" t="n">
        <v>0.7597222222222222</v>
      </c>
      <c r="DL5" s="83">
        <f>MOD(DK5-DJ5,1)*24</f>
        <v/>
      </c>
      <c r="DM5" s="57" t="n">
        <v>1</v>
      </c>
      <c r="DN5" s="58" t="n">
        <v>0.3465277777777778</v>
      </c>
      <c r="DO5" s="58" t="n">
        <v>0.7763888888888889</v>
      </c>
      <c r="DP5" s="83">
        <f>MOD(DO5-DN5,1)*24</f>
        <v/>
      </c>
      <c r="DQ5" s="57" t="n">
        <v>1</v>
      </c>
      <c r="DR5" s="61" t="n">
        <v>0.3548611111111111</v>
      </c>
      <c r="DS5" s="62" t="n">
        <v>0.7590277777777777</v>
      </c>
      <c r="DT5" s="83">
        <f>MOD(DS5-DR5,1)*24</f>
        <v/>
      </c>
      <c r="DU5" s="41" t="n">
        <v>1</v>
      </c>
      <c r="DV5" s="61" t="n"/>
      <c r="DW5" s="62" t="n"/>
      <c r="DX5" s="83" t="n"/>
      <c r="DY5" s="41" t="n"/>
      <c r="DZ5" s="84">
        <f>H5+L5+P5+T5+X5+AB5+AF5+AJ5+AN5+AR5+AV5+AZ5+BD5+BH5+BL5+BP5+BT5+BX5+CB5+CF5+CJ5+CN5+CR5+CV5+CZ5+DD5+DH5+DL5+DP5+DT5</f>
        <v/>
      </c>
      <c r="EA5" s="84">
        <f>I5+M5+Q5+U5+Y5+AC5+AG5+AK5+AO5+AS5+AW5+BA5+BE5+BI5+BM5+BQ5+BU5+BY5+CC5+CG5+CK5+CO5+CS5+CW5+DA5+DE5+DI5+DM5+DQ5+DU5</f>
        <v/>
      </c>
    </row>
    <row r="6" ht="59" customFormat="1" customHeight="1" s="54">
      <c r="A6" s="55" t="inlineStr">
        <is>
          <t>五楼</t>
        </is>
      </c>
      <c r="B6" s="56" t="inlineStr">
        <is>
          <t>陈小红</t>
        </is>
      </c>
      <c r="C6" s="41" t="n">
        <v>7</v>
      </c>
      <c r="D6" s="41" t="inlineStr">
        <is>
          <t>设计部</t>
        </is>
      </c>
      <c r="E6" s="57" t="inlineStr">
        <is>
          <t>设计组</t>
        </is>
      </c>
      <c r="F6" s="41" t="n"/>
      <c r="G6" s="57" t="n"/>
      <c r="H6" s="83" t="n"/>
      <c r="I6" s="57" t="n"/>
      <c r="K6" s="41" t="n"/>
      <c r="L6" s="83" t="n"/>
      <c r="M6" s="41" t="n"/>
      <c r="N6" s="41" t="n"/>
      <c r="O6" s="41" t="n"/>
      <c r="P6" s="83" t="n"/>
      <c r="Q6" s="41" t="n"/>
      <c r="R6" s="41" t="n"/>
      <c r="S6" s="41" t="n"/>
      <c r="T6" s="83" t="n"/>
      <c r="U6" s="41" t="n"/>
      <c r="W6" s="41" t="n"/>
      <c r="X6" s="83" t="n"/>
      <c r="Y6" s="41" t="n"/>
      <c r="Z6" s="41" t="n"/>
      <c r="AA6" s="41" t="n"/>
      <c r="AB6" s="83" t="n"/>
      <c r="AC6" s="41" t="n"/>
      <c r="AD6" s="41" t="n"/>
      <c r="AE6" s="41" t="n"/>
      <c r="AF6" s="83" t="n"/>
      <c r="AG6" s="41" t="n"/>
      <c r="AH6" s="41" t="n"/>
      <c r="AI6" s="41" t="n"/>
      <c r="AJ6" s="83" t="n"/>
      <c r="AK6" s="41" t="n"/>
      <c r="AL6" s="41" t="n"/>
      <c r="AM6" s="41" t="n"/>
      <c r="AN6" s="83" t="n"/>
      <c r="AO6" s="41" t="n"/>
      <c r="AP6" s="41" t="n"/>
      <c r="AQ6" s="41" t="n"/>
      <c r="AR6" s="83" t="n"/>
      <c r="AS6" s="41" t="n"/>
      <c r="AT6" s="41" t="n"/>
      <c r="AU6" s="57" t="n"/>
      <c r="AV6" s="83" t="n"/>
      <c r="AW6" s="57" t="n"/>
      <c r="AY6" s="41" t="n"/>
      <c r="AZ6" s="83" t="n"/>
      <c r="BA6" s="41" t="n"/>
      <c r="BB6" s="41" t="n"/>
      <c r="BC6" s="41" t="n"/>
      <c r="BD6" s="83" t="n"/>
      <c r="BE6" s="41" t="n"/>
      <c r="BF6" s="41" t="n"/>
      <c r="BG6" s="41" t="n"/>
      <c r="BH6" s="83" t="n"/>
      <c r="BI6" s="41" t="n"/>
      <c r="BJ6" s="41" t="n"/>
      <c r="BK6" s="41" t="n"/>
      <c r="BL6" s="83" t="n"/>
      <c r="BM6" s="41" t="n"/>
      <c r="BN6" s="41" t="n"/>
      <c r="BO6" s="41" t="n"/>
      <c r="BP6" s="83" t="n"/>
      <c r="BQ6" s="41" t="n"/>
      <c r="BR6" s="41" t="n"/>
      <c r="BS6" s="41" t="n"/>
      <c r="BT6" s="83">
        <f>MOD(BS6-BR6,1)*24</f>
        <v/>
      </c>
      <c r="BU6" s="41" t="n"/>
      <c r="BV6" s="41" t="n"/>
      <c r="BW6" s="41" t="n"/>
      <c r="BX6" s="83" t="n"/>
      <c r="BY6" s="41" t="n"/>
      <c r="BZ6" s="41" t="n"/>
      <c r="CA6" s="41" t="n"/>
      <c r="CB6" s="83" t="n"/>
      <c r="CC6" s="41" t="n"/>
      <c r="CD6" s="41" t="n"/>
      <c r="CE6" s="41" t="n"/>
      <c r="CF6" s="83" t="n"/>
      <c r="CG6" s="41" t="n"/>
      <c r="CH6" s="41" t="n"/>
      <c r="CI6" s="41" t="n"/>
      <c r="CJ6" s="83" t="n"/>
      <c r="CK6" s="41" t="n"/>
      <c r="CL6" s="41" t="n"/>
      <c r="CM6" s="41" t="n"/>
      <c r="CN6" s="83" t="n"/>
      <c r="CO6" s="41" t="n"/>
      <c r="CP6" s="41" t="n"/>
      <c r="CQ6" s="41" t="n"/>
      <c r="CR6" s="83" t="n"/>
      <c r="CS6" s="41" t="n"/>
      <c r="CT6" s="41" t="n"/>
      <c r="CU6" s="41" t="n"/>
      <c r="CV6" s="83" t="n"/>
      <c r="CW6" s="41" t="n"/>
      <c r="CX6" s="41" t="n"/>
      <c r="CY6" s="41" t="n"/>
      <c r="CZ6" s="83" t="n"/>
      <c r="DA6" s="41" t="n"/>
      <c r="DB6" s="41" t="n"/>
      <c r="DC6" s="41" t="n"/>
      <c r="DD6" s="83" t="n"/>
      <c r="DE6" s="41" t="n"/>
      <c r="DF6" s="41" t="n"/>
      <c r="DG6" s="41" t="n"/>
      <c r="DH6" s="83" t="n"/>
      <c r="DI6" s="41" t="n"/>
      <c r="DJ6" s="41" t="n"/>
      <c r="DK6" s="41" t="n"/>
      <c r="DL6" s="83" t="n"/>
      <c r="DM6" s="41" t="n"/>
      <c r="DN6" s="41" t="n"/>
      <c r="DO6" s="41" t="n"/>
      <c r="DP6" s="83" t="n"/>
      <c r="DQ6" s="41" t="n"/>
      <c r="DR6" s="64" t="n"/>
      <c r="DS6" s="65" t="n"/>
      <c r="DT6" s="83" t="n"/>
      <c r="DU6" s="66" t="n"/>
      <c r="DV6" s="64" t="n"/>
      <c r="DW6" s="65" t="n"/>
      <c r="DX6" s="83" t="n"/>
      <c r="DY6" s="66" t="n"/>
      <c r="DZ6" s="84" t="n"/>
      <c r="EA6" s="84" t="n"/>
    </row>
    <row r="7" ht="59" customFormat="1" customHeight="1" s="54">
      <c r="A7" s="55" t="inlineStr">
        <is>
          <t>五楼</t>
        </is>
      </c>
      <c r="B7" s="56" t="inlineStr">
        <is>
          <t>胡娅</t>
        </is>
      </c>
      <c r="C7" s="41" t="n">
        <v>9</v>
      </c>
      <c r="D7" s="41" t="inlineStr">
        <is>
          <t>订单部</t>
        </is>
      </c>
      <c r="E7" s="57" t="inlineStr">
        <is>
          <t>计划物控组</t>
        </is>
      </c>
      <c r="F7" s="57" t="inlineStr">
        <is>
          <t>08:19</t>
        </is>
      </c>
      <c r="G7" s="58" t="n">
        <v>0.7583333333333333</v>
      </c>
      <c r="H7" s="83">
        <f>MOD(G7-F7,1)*24</f>
        <v/>
      </c>
      <c r="I7" s="57" t="n">
        <v>1</v>
      </c>
      <c r="J7" s="58" t="n">
        <v>0.3423611111111111</v>
      </c>
      <c r="K7" s="58" t="n">
        <v>0.75</v>
      </c>
      <c r="L7" s="83">
        <f>MOD(K7-J7,1)*24</f>
        <v/>
      </c>
      <c r="M7" s="57" t="n">
        <v>1</v>
      </c>
      <c r="N7" s="58" t="n">
        <v>0.3465277777777778</v>
      </c>
      <c r="O7" s="58" t="n">
        <v>0.7506944444444444</v>
      </c>
      <c r="P7" s="83">
        <f>MOD(O7-N7,1)*24</f>
        <v/>
      </c>
      <c r="Q7" s="57" t="n">
        <v>1</v>
      </c>
      <c r="R7" s="58" t="n">
        <v>0.34375</v>
      </c>
      <c r="S7" s="58" t="n">
        <v>0.7534722222222222</v>
      </c>
      <c r="T7" s="83">
        <f>MOD(S7-R7,1)*24</f>
        <v/>
      </c>
      <c r="U7" s="57" t="n">
        <v>1</v>
      </c>
      <c r="V7" s="58" t="n">
        <v>0.3472222222222222</v>
      </c>
      <c r="W7" s="58" t="n">
        <v>0.7513888888888889</v>
      </c>
      <c r="X7" s="83">
        <f>MOD(W7-V7,1)*24</f>
        <v/>
      </c>
      <c r="Y7" s="57" t="n">
        <v>1</v>
      </c>
      <c r="Z7" s="58" t="n">
        <v>0.3465277777777778</v>
      </c>
      <c r="AA7" s="60" t="n">
        <v>0.7583333333333333</v>
      </c>
      <c r="AB7" s="83">
        <f>MOD(AA7-Z7,1)*24</f>
        <v/>
      </c>
      <c r="AC7" s="41" t="n">
        <v>1</v>
      </c>
      <c r="AD7" s="41" t="n"/>
      <c r="AE7" s="57" t="n"/>
      <c r="AF7" s="83" t="n"/>
      <c r="AG7" s="57" t="n"/>
      <c r="AH7" s="58" t="n">
        <v>0.3458333333333333</v>
      </c>
      <c r="AI7" s="58" t="n">
        <v>0.7513888888888889</v>
      </c>
      <c r="AJ7" s="83">
        <f>MOD(AI7-AH7,1)*24</f>
        <v/>
      </c>
      <c r="AK7" s="57" t="n">
        <v>1</v>
      </c>
      <c r="AL7" s="58" t="n">
        <v>0.3361111111111111</v>
      </c>
      <c r="AM7" s="58" t="n">
        <v>0.7506944444444444</v>
      </c>
      <c r="AN7" s="83">
        <f>MOD(AM7-AL7,1)*24</f>
        <v/>
      </c>
      <c r="AO7" s="57" t="n">
        <v>1</v>
      </c>
      <c r="AP7" s="58" t="n">
        <v>0.3402777777777778</v>
      </c>
      <c r="AQ7" s="58" t="n">
        <v>0.7576388888888889</v>
      </c>
      <c r="AR7" s="83">
        <f>MOD(AQ7-AP7,1)*24</f>
        <v/>
      </c>
      <c r="AS7" s="57" t="n">
        <v>1</v>
      </c>
      <c r="AT7" s="58" t="n">
        <v>0.3451388888888889</v>
      </c>
      <c r="AU7" s="58" t="n">
        <v>0.7506944444444444</v>
      </c>
      <c r="AV7" s="83">
        <f>MOD(AU7-AT7,1)*24</f>
        <v/>
      </c>
      <c r="AW7" s="57" t="n">
        <v>1</v>
      </c>
      <c r="AX7" s="58" t="n">
        <v>0.34375</v>
      </c>
      <c r="AY7" s="58" t="n">
        <v>0.7506944444444444</v>
      </c>
      <c r="AZ7" s="83">
        <f>MOD(AY7-AX7,1)*24</f>
        <v/>
      </c>
      <c r="BA7" s="57" t="n">
        <v>1</v>
      </c>
      <c r="BB7" s="58" t="n">
        <v>0.3381944444444445</v>
      </c>
      <c r="BC7" s="60" t="n">
        <v>0.7506944444444444</v>
      </c>
      <c r="BD7" s="83">
        <f>MOD(BC7-BB7,1)*24</f>
        <v/>
      </c>
      <c r="BE7" s="41" t="n">
        <v>1</v>
      </c>
      <c r="BF7" s="41" t="n"/>
      <c r="BG7" s="57" t="n"/>
      <c r="BH7" s="83" t="n"/>
      <c r="BI7" s="57" t="n"/>
      <c r="BJ7" s="58" t="n">
        <v>0.3354166666666666</v>
      </c>
      <c r="BK7" s="58" t="n">
        <v>0.7506944444444444</v>
      </c>
      <c r="BL7" s="83">
        <f>MOD(BK7-BJ7,1)*24</f>
        <v/>
      </c>
      <c r="BM7" s="57" t="n">
        <v>1</v>
      </c>
      <c r="BN7" s="58" t="n">
        <v>0.3375</v>
      </c>
      <c r="BO7" s="58" t="n">
        <v>0.7506944444444444</v>
      </c>
      <c r="BP7" s="83">
        <f>MOD(BO7-BN7,1)*24</f>
        <v/>
      </c>
      <c r="BQ7" s="57" t="n">
        <v>1</v>
      </c>
      <c r="BR7" s="58" t="n">
        <v>0.3375</v>
      </c>
      <c r="BS7" s="58" t="n">
        <v>0.7513888888888889</v>
      </c>
      <c r="BT7" s="83">
        <f>MOD(BS7-BR7,1)*24</f>
        <v/>
      </c>
      <c r="BU7" s="57" t="n">
        <v>1</v>
      </c>
      <c r="BV7" s="58" t="n">
        <v>0.3451388888888889</v>
      </c>
      <c r="BW7" s="60" t="n">
        <v>0.7506944444444444</v>
      </c>
      <c r="BX7" s="83">
        <f>MOD(BW7-BV7,1)*24</f>
        <v/>
      </c>
      <c r="BY7" s="41" t="n">
        <v>1</v>
      </c>
      <c r="BZ7" s="41" t="n"/>
      <c r="CA7" s="41" t="n"/>
      <c r="CB7" s="83" t="n"/>
      <c r="CC7" s="41" t="n"/>
      <c r="CD7" s="41" t="n"/>
      <c r="CE7" s="57" t="n"/>
      <c r="CF7" s="83" t="n"/>
      <c r="CG7" s="57" t="n"/>
      <c r="CH7" s="58" t="n">
        <v>0.3451388888888889</v>
      </c>
      <c r="CI7" s="58" t="n">
        <v>0.7506944444444444</v>
      </c>
      <c r="CJ7" s="83">
        <f>MOD(CI7-CH7,1)*24</f>
        <v/>
      </c>
      <c r="CK7" s="57" t="n">
        <v>1</v>
      </c>
      <c r="CL7" s="58" t="n">
        <v>0.3451388888888889</v>
      </c>
      <c r="CM7" s="58" t="n">
        <v>0.7506944444444444</v>
      </c>
      <c r="CN7" s="83">
        <f>MOD(CM7-CL7,1)*24</f>
        <v/>
      </c>
      <c r="CO7" s="57" t="n">
        <v>1</v>
      </c>
      <c r="CP7" s="58" t="n">
        <v>0.3486111111111111</v>
      </c>
      <c r="CQ7" s="58" t="n">
        <v>0.7506944444444444</v>
      </c>
      <c r="CR7" s="83">
        <f>MOD(CQ7-CP7,1)*24</f>
        <v/>
      </c>
      <c r="CS7" s="57" t="n">
        <v>1</v>
      </c>
      <c r="CT7" s="58" t="n">
        <v>0.3430555555555556</v>
      </c>
      <c r="CU7" s="58" t="n">
        <v>0.7506944444444444</v>
      </c>
      <c r="CV7" s="83">
        <f>MOD(CU7-CT7,1)*24</f>
        <v/>
      </c>
      <c r="CW7" s="57" t="n">
        <v>1</v>
      </c>
      <c r="CX7" s="58" t="n">
        <v>0.3451388888888889</v>
      </c>
      <c r="CY7" s="58" t="n">
        <v>0.7506944444444444</v>
      </c>
      <c r="CZ7" s="83">
        <f>MOD(CY7-CX7,1)*24</f>
        <v/>
      </c>
      <c r="DA7" s="57" t="n">
        <v>1</v>
      </c>
      <c r="DB7" s="58" t="n">
        <v>0.3465277777777778</v>
      </c>
      <c r="DC7" s="58" t="n">
        <v>0.7506944444444444</v>
      </c>
      <c r="DD7" s="83">
        <f>MOD(DC7-DB7,1)*24</f>
        <v/>
      </c>
      <c r="DE7" s="57" t="n">
        <v>1</v>
      </c>
      <c r="DF7" s="58" t="n">
        <v>0.3458333333333333</v>
      </c>
      <c r="DG7" s="60" t="n">
        <v>0.75</v>
      </c>
      <c r="DH7" s="83">
        <f>MOD(DG7-DF7,1)*24</f>
        <v/>
      </c>
      <c r="DI7" s="41" t="n">
        <v>1</v>
      </c>
      <c r="DJ7" s="41" t="n"/>
      <c r="DK7" s="41" t="n"/>
      <c r="DL7" s="83" t="n"/>
      <c r="DM7" s="41" t="n"/>
      <c r="DN7" s="58" t="n">
        <v>0.3451388888888889</v>
      </c>
      <c r="DO7" s="58" t="n">
        <v>0.7506944444444444</v>
      </c>
      <c r="DP7" s="83">
        <f>MOD(DO7-DN7,1)*24</f>
        <v/>
      </c>
      <c r="DQ7" s="57" t="n">
        <v>1</v>
      </c>
      <c r="DR7" s="61" t="n">
        <v>0.3451388888888889</v>
      </c>
      <c r="DS7" s="62" t="n">
        <v>0.7506944444444444</v>
      </c>
      <c r="DT7" s="83">
        <f>MOD(DS7-DR7,1)*24</f>
        <v/>
      </c>
      <c r="DU7" s="41" t="n">
        <v>1</v>
      </c>
      <c r="DV7" s="61" t="n"/>
      <c r="DW7" s="62" t="n"/>
      <c r="DX7" s="83" t="n"/>
      <c r="DY7" s="41" t="n"/>
      <c r="DZ7" s="84">
        <f>H7+L7+P7+T7+X7+AB7+AF7+AJ7+AN7+AR7+AV7+AZ7+BD7+BH7+BL7+BP7+BT7+BX7+CB7+CF7+CJ7+CN7+CR7+CV7+CZ7+DD7+DH7+DL7+DP7+DT7</f>
        <v/>
      </c>
      <c r="EA7" s="84">
        <f>I7+M7+Q7+U7+Y7+AC7+AG7+AK7+AO7+AS7+AW7+BA7+BE7+BI7+BM7+BQ7+BU7+BY7+CC7+CG7+CK7+CO7+CS7+CW7+DA7+DE7+DI7+DM7+DQ7+DU7</f>
        <v/>
      </c>
    </row>
    <row r="8" ht="59" customFormat="1" customHeight="1" s="54">
      <c r="A8" s="55" t="inlineStr">
        <is>
          <t>五楼</t>
        </is>
      </c>
      <c r="B8" s="56" t="inlineStr">
        <is>
          <t>杨青青</t>
        </is>
      </c>
      <c r="C8" s="41" t="n">
        <v>10</v>
      </c>
      <c r="D8" s="41" t="inlineStr">
        <is>
          <t>订单部</t>
        </is>
      </c>
      <c r="E8" s="57" t="inlineStr">
        <is>
          <t>计划物控组</t>
        </is>
      </c>
      <c r="F8" s="57" t="inlineStr">
        <is>
          <t>08:24</t>
        </is>
      </c>
      <c r="G8" s="58" t="n">
        <v>0.7715277777777778</v>
      </c>
      <c r="H8" s="83">
        <f>MOD(G8-F8,1)*24</f>
        <v/>
      </c>
      <c r="I8" s="57" t="n">
        <v>1</v>
      </c>
      <c r="J8" s="58" t="n">
        <v>0.3506944444444444</v>
      </c>
      <c r="K8" s="58" t="n">
        <v>0.7569444444444444</v>
      </c>
      <c r="L8" s="83">
        <f>MOD(K8-J8,1)*24</f>
        <v/>
      </c>
      <c r="M8" s="57" t="n">
        <v>1</v>
      </c>
      <c r="N8" s="58" t="n">
        <v>0.3534722222222222</v>
      </c>
      <c r="O8" s="58" t="n">
        <v>0.7520833333333333</v>
      </c>
      <c r="P8" s="83">
        <f>MOD(O8-N8,1)*24</f>
        <v/>
      </c>
      <c r="Q8" s="57" t="n">
        <v>1</v>
      </c>
      <c r="R8" s="58" t="n">
        <v>0.3479166666666667</v>
      </c>
      <c r="S8" s="58" t="n">
        <v>0.7527777777777778</v>
      </c>
      <c r="T8" s="83">
        <f>MOD(S8-R8,1)*24</f>
        <v/>
      </c>
      <c r="U8" s="57" t="n">
        <v>1</v>
      </c>
      <c r="V8" s="58" t="n">
        <v>0.3472222222222222</v>
      </c>
      <c r="W8" s="58" t="n">
        <v>0.7513888888888889</v>
      </c>
      <c r="X8" s="83">
        <f>MOD(W8-V8,1)*24</f>
        <v/>
      </c>
      <c r="Y8" s="57" t="n">
        <v>1</v>
      </c>
      <c r="Z8" s="58" t="n">
        <v>0.3444444444444444</v>
      </c>
      <c r="AA8" s="60" t="n">
        <v>0.7597222222222222</v>
      </c>
      <c r="AB8" s="83">
        <f>MOD(AA8-Z8,1)*24</f>
        <v/>
      </c>
      <c r="AC8" s="41" t="n">
        <v>1</v>
      </c>
      <c r="AD8" s="41" t="n"/>
      <c r="AE8" s="57" t="n"/>
      <c r="AF8" s="83" t="n"/>
      <c r="AG8" s="57" t="n"/>
      <c r="AH8" s="58" t="n">
        <v>0.3493055555555555</v>
      </c>
      <c r="AI8" s="58" t="n">
        <v>0.7527777777777778</v>
      </c>
      <c r="AJ8" s="83">
        <f>MOD(AI8-AH8,1)*24</f>
        <v/>
      </c>
      <c r="AK8" s="57" t="n">
        <v>1</v>
      </c>
      <c r="AL8" s="58" t="n">
        <v>0.3423611111111111</v>
      </c>
      <c r="AM8" s="58" t="n">
        <v>0.7520833333333333</v>
      </c>
      <c r="AN8" s="83">
        <f>MOD(AM8-AL8,1)*24</f>
        <v/>
      </c>
      <c r="AO8" s="57" t="n">
        <v>1</v>
      </c>
      <c r="AP8" s="58" t="n">
        <v>0.3402777777777778</v>
      </c>
      <c r="AQ8" s="58" t="n">
        <v>0.7548611111111111</v>
      </c>
      <c r="AR8" s="83">
        <f>MOD(AQ8-AP8,1)*24</f>
        <v/>
      </c>
      <c r="AS8" s="57" t="n">
        <v>1</v>
      </c>
      <c r="AT8" s="58" t="n">
        <v>0.3520833333333334</v>
      </c>
      <c r="AU8" s="58" t="n">
        <v>0.7555555555555555</v>
      </c>
      <c r="AV8" s="83">
        <f>MOD(AU8-AT8,1)*24</f>
        <v/>
      </c>
      <c r="AW8" s="57" t="n">
        <v>1</v>
      </c>
      <c r="AX8" s="58" t="n">
        <v>0.35</v>
      </c>
      <c r="AY8" s="58" t="n">
        <v>0.7548611111111111</v>
      </c>
      <c r="AZ8" s="83">
        <f>MOD(AY8-AX8,1)*24</f>
        <v/>
      </c>
      <c r="BA8" s="57" t="n">
        <v>1</v>
      </c>
      <c r="BB8" s="58" t="n">
        <v>0.3506944444444444</v>
      </c>
      <c r="BC8" s="60" t="n">
        <v>0.7520833333333333</v>
      </c>
      <c r="BD8" s="83">
        <f>MOD(BC8-BB8,1)*24</f>
        <v/>
      </c>
      <c r="BE8" s="41" t="n">
        <v>1</v>
      </c>
      <c r="BF8" s="41" t="n"/>
      <c r="BG8" s="57" t="n"/>
      <c r="BH8" s="83" t="n"/>
      <c r="BI8" s="57" t="n"/>
      <c r="BJ8" s="58" t="n">
        <v>0.3548611111111111</v>
      </c>
      <c r="BK8" s="58" t="n">
        <v>0.7569444444444444</v>
      </c>
      <c r="BL8" s="83">
        <f>MOD(BK8-BJ8,1)*24</f>
        <v/>
      </c>
      <c r="BM8" s="57" t="n">
        <v>1</v>
      </c>
      <c r="BN8" s="58" t="n">
        <v>0.3458333333333333</v>
      </c>
      <c r="BO8" s="58" t="n">
        <v>0.7513888888888889</v>
      </c>
      <c r="BP8" s="83">
        <f>MOD(BO8-BN8,1)*24</f>
        <v/>
      </c>
      <c r="BQ8" s="57" t="n">
        <v>1</v>
      </c>
      <c r="BR8" s="58" t="n">
        <v>0.3541666666666667</v>
      </c>
      <c r="BS8" s="58" t="n">
        <v>0.75</v>
      </c>
      <c r="BT8" s="83">
        <f>MOD(BS8-BR8,1)*24</f>
        <v/>
      </c>
      <c r="BU8" s="57" t="n">
        <v>1</v>
      </c>
      <c r="BV8" s="58" t="n">
        <v>0.3506944444444444</v>
      </c>
      <c r="BW8" s="60" t="n">
        <v>0.7548611111111111</v>
      </c>
      <c r="BX8" s="83">
        <f>MOD(BW8-BV8,1)*24</f>
        <v/>
      </c>
      <c r="BY8" s="41" t="n">
        <v>1</v>
      </c>
      <c r="BZ8" s="41" t="n"/>
      <c r="CA8" s="41" t="n"/>
      <c r="CB8" s="83" t="n"/>
      <c r="CC8" s="41" t="n"/>
      <c r="CD8" s="41" t="n"/>
      <c r="CE8" s="57" t="n"/>
      <c r="CF8" s="83" t="n"/>
      <c r="CG8" s="57" t="n"/>
      <c r="CH8" s="58" t="n">
        <v>0.3506944444444444</v>
      </c>
      <c r="CI8" s="58" t="n">
        <v>0.7520833333333333</v>
      </c>
      <c r="CJ8" s="83">
        <f>MOD(CI8-CH8,1)*24</f>
        <v/>
      </c>
      <c r="CK8" s="57" t="n">
        <v>1</v>
      </c>
      <c r="CL8" s="58" t="n">
        <v>0.3451388888888889</v>
      </c>
      <c r="CM8" s="58" t="n">
        <v>0.7590277777777777</v>
      </c>
      <c r="CN8" s="83">
        <f>MOD(CM8-CL8,1)*24</f>
        <v/>
      </c>
      <c r="CO8" s="57" t="n">
        <v>1</v>
      </c>
      <c r="CP8" s="58" t="n">
        <v>0.3430555555555556</v>
      </c>
      <c r="CQ8" s="58" t="n">
        <v>0.7590277777777777</v>
      </c>
      <c r="CR8" s="83">
        <f>MOD(CQ8-CP8,1)*24</f>
        <v/>
      </c>
      <c r="CS8" s="57" t="n">
        <v>1</v>
      </c>
      <c r="CT8" s="58" t="n">
        <v>0.3534722222222222</v>
      </c>
      <c r="CU8" s="58" t="n">
        <v>0.7527777777777778</v>
      </c>
      <c r="CV8" s="83">
        <f>MOD(CU8-CT8,1)*24</f>
        <v/>
      </c>
      <c r="CW8" s="57" t="n">
        <v>1</v>
      </c>
      <c r="CX8" s="58" t="n">
        <v>0.3444444444444444</v>
      </c>
      <c r="CY8" s="58" t="n">
        <v>0.7520833333333333</v>
      </c>
      <c r="CZ8" s="83">
        <f>MOD(CY8-CX8,1)*24</f>
        <v/>
      </c>
      <c r="DA8" s="57" t="n">
        <v>1</v>
      </c>
      <c r="DB8" s="58" t="n">
        <v>0.3520833333333334</v>
      </c>
      <c r="DC8" s="58" t="n">
        <v>0.7520833333333333</v>
      </c>
      <c r="DD8" s="83">
        <f>MOD(DC8-DB8,1)*24</f>
        <v/>
      </c>
      <c r="DE8" s="57" t="n">
        <v>1</v>
      </c>
      <c r="DF8" s="58" t="n">
        <v>0.3458333333333333</v>
      </c>
      <c r="DG8" s="60" t="n">
        <v>0.7625</v>
      </c>
      <c r="DH8" s="83">
        <f>MOD(DG8-DF8,1)*24</f>
        <v/>
      </c>
      <c r="DI8" s="41" t="n">
        <v>1</v>
      </c>
      <c r="DJ8" s="41" t="n"/>
      <c r="DK8" s="41" t="n"/>
      <c r="DL8" s="83" t="n"/>
      <c r="DM8" s="41" t="n"/>
      <c r="DN8" s="58" t="n">
        <v>0.7590277777777777</v>
      </c>
      <c r="DO8" s="57" t="n"/>
      <c r="DP8" s="83" t="n"/>
      <c r="DQ8" s="57" t="n">
        <v>0.5</v>
      </c>
      <c r="DR8" s="61" t="n">
        <v>0.3506944444444444</v>
      </c>
      <c r="DS8" s="62" t="n">
        <v>0.7520833333333333</v>
      </c>
      <c r="DT8" s="83">
        <f>MOD(DS8-DR8,1)*24</f>
        <v/>
      </c>
      <c r="DU8" s="41" t="n">
        <v>1</v>
      </c>
      <c r="DV8" s="61" t="n"/>
      <c r="DW8" s="62" t="n"/>
      <c r="DX8" s="83" t="n"/>
      <c r="DY8" s="41" t="n"/>
      <c r="DZ8" s="84">
        <f>H8+L8+P8+T8+X8+AB8+AF8+AJ8+AN8+AR8+AV8+AZ8+BD8+BH8+BL8+BP8+BT8+BX8+CB8+CF8+CJ8+CN8+CR8+CV8+CZ8+DD8+DH8+DL8+DP8+DT8</f>
        <v/>
      </c>
      <c r="EA8" s="84">
        <f>I8+M8+Q8+U8+Y8+AC8+AG8+AK8+AO8+AS8+AW8+BA8+BE8+BI8+BM8+BQ8+BU8+BY8+CC8+CG8+CK8+CO8+CS8+CW8+DA8+DE8+DI8+DM8+DQ8+DU8</f>
        <v/>
      </c>
    </row>
    <row r="9" ht="59" customFormat="1" customHeight="1" s="54">
      <c r="A9" s="55" t="inlineStr">
        <is>
          <t>五楼</t>
        </is>
      </c>
      <c r="B9" s="56" t="inlineStr">
        <is>
          <t>向锋</t>
        </is>
      </c>
      <c r="C9" s="41" t="n">
        <v>12</v>
      </c>
      <c r="D9" s="41" t="inlineStr">
        <is>
          <t>设计部</t>
        </is>
      </c>
      <c r="E9" s="57" t="inlineStr">
        <is>
          <t>设计组</t>
        </is>
      </c>
      <c r="F9" s="57" t="inlineStr">
        <is>
          <t>08:14</t>
        </is>
      </c>
      <c r="G9" s="58" t="n">
        <v>0.8375</v>
      </c>
      <c r="H9" s="83">
        <f>MOD(G9-F9,1)*24</f>
        <v/>
      </c>
      <c r="I9" s="57" t="n">
        <v>1</v>
      </c>
      <c r="J9" s="58" t="n">
        <v>0.3506944444444444</v>
      </c>
      <c r="K9" s="60" t="n">
        <v>0.7611111111111111</v>
      </c>
      <c r="L9" s="83">
        <f>MOD(K9-J9,1)*24</f>
        <v/>
      </c>
      <c r="M9" s="57" t="n">
        <v>1</v>
      </c>
      <c r="N9" s="41" t="n"/>
      <c r="O9" s="57" t="n"/>
      <c r="P9" s="83" t="n"/>
      <c r="Q9" s="57" t="n"/>
      <c r="R9" s="58" t="n">
        <v>0.3479166666666667</v>
      </c>
      <c r="S9" s="58" t="n">
        <v>0.9173611111111111</v>
      </c>
      <c r="T9" s="83">
        <f>MOD(S9-R9,1)*24</f>
        <v/>
      </c>
      <c r="U9" s="57" t="n">
        <v>1</v>
      </c>
      <c r="V9" s="58" t="n">
        <v>0.3506944444444444</v>
      </c>
      <c r="W9" s="58" t="n">
        <v>0.8444444444444444</v>
      </c>
      <c r="X9" s="83">
        <f>MOD(W9-V9,1)*24</f>
        <v/>
      </c>
      <c r="Y9" s="57" t="n">
        <v>1</v>
      </c>
      <c r="Z9" s="58" t="n">
        <v>0.3506944444444444</v>
      </c>
      <c r="AA9" s="60" t="n">
        <v>0.7534722222222222</v>
      </c>
      <c r="AB9" s="83">
        <f>MOD(AA9-Z9,1)*24</f>
        <v/>
      </c>
      <c r="AC9" s="41" t="n">
        <v>1</v>
      </c>
      <c r="AD9" s="41" t="n"/>
      <c r="AE9" s="57" t="n"/>
      <c r="AF9" s="83" t="n"/>
      <c r="AG9" s="57" t="n"/>
      <c r="AH9" s="58" t="n">
        <v>0.36875</v>
      </c>
      <c r="AI9" s="58" t="n">
        <v>0.8493055555555555</v>
      </c>
      <c r="AJ9" s="83">
        <f>MOD(AI9-AH9,1)*24</f>
        <v/>
      </c>
      <c r="AK9" s="57" t="n">
        <v>1</v>
      </c>
      <c r="AL9" s="58" t="n">
        <v>0.3527777777777778</v>
      </c>
      <c r="AM9" s="58" t="n">
        <v>0.8381944444444445</v>
      </c>
      <c r="AN9" s="83">
        <f>MOD(AM9-AL9,1)*24</f>
        <v/>
      </c>
      <c r="AO9" s="57" t="n">
        <v>1</v>
      </c>
      <c r="AP9" s="58" t="n">
        <v>0.3520833333333334</v>
      </c>
      <c r="AQ9" s="58" t="n">
        <v>0.7597222222222222</v>
      </c>
      <c r="AR9" s="83">
        <f>MOD(AQ9-AP9,1)*24</f>
        <v/>
      </c>
      <c r="AS9" s="57" t="n">
        <v>1</v>
      </c>
      <c r="AT9" s="58" t="n">
        <v>0.3493055555555555</v>
      </c>
      <c r="AU9" s="58" t="n">
        <v>0.8263888888888888</v>
      </c>
      <c r="AV9" s="83">
        <f>MOD(AU9-AT9,1)*24</f>
        <v/>
      </c>
      <c r="AW9" s="57" t="n">
        <v>1</v>
      </c>
      <c r="AX9" s="58" t="n">
        <v>0.3513888888888889</v>
      </c>
      <c r="AY9" s="58" t="n">
        <v>0.8395833333333333</v>
      </c>
      <c r="AZ9" s="83">
        <f>MOD(AY9-AX9,1)*24</f>
        <v/>
      </c>
      <c r="BA9" s="57" t="n">
        <v>1</v>
      </c>
      <c r="BB9" s="58" t="n">
        <v>0.3513888888888889</v>
      </c>
      <c r="BC9" s="60" t="n">
        <v>0.7520833333333333</v>
      </c>
      <c r="BD9" s="83">
        <f>MOD(BC9-BB9,1)*24</f>
        <v/>
      </c>
      <c r="BE9" s="41" t="n">
        <v>1</v>
      </c>
      <c r="BF9" s="41" t="n"/>
      <c r="BG9" s="57" t="n"/>
      <c r="BH9" s="83" t="n"/>
      <c r="BI9" s="57" t="n"/>
      <c r="BJ9" s="58" t="n">
        <v>0.3506944444444444</v>
      </c>
      <c r="BK9" s="58" t="n">
        <v>0.8381944444444445</v>
      </c>
      <c r="BL9" s="83">
        <f>MOD(BK9-BJ9,1)*24</f>
        <v/>
      </c>
      <c r="BM9" s="57" t="n">
        <v>1</v>
      </c>
      <c r="BN9" s="58" t="n">
        <v>0.35</v>
      </c>
      <c r="BO9" s="58" t="n">
        <v>0.8201388888888889</v>
      </c>
      <c r="BP9" s="83">
        <f>MOD(BO9-BN9,1)*24</f>
        <v/>
      </c>
      <c r="BQ9" s="57" t="n">
        <v>1</v>
      </c>
      <c r="BR9" s="58" t="n">
        <v>0.3493055555555555</v>
      </c>
      <c r="BS9" s="58" t="n">
        <v>0.8465277777777778</v>
      </c>
      <c r="BT9" s="83">
        <f>MOD(BS9-BR9,1)*24</f>
        <v/>
      </c>
      <c r="BU9" s="57" t="n">
        <v>1</v>
      </c>
      <c r="BV9" s="58" t="n">
        <v>0.3458333333333333</v>
      </c>
      <c r="BW9" s="60" t="n">
        <v>0.75</v>
      </c>
      <c r="BX9" s="83">
        <f>MOD(BW9-BV9,1)*24</f>
        <v/>
      </c>
      <c r="BY9" s="41" t="n">
        <v>1</v>
      </c>
      <c r="BZ9" s="41" t="n"/>
      <c r="CA9" s="41" t="n"/>
      <c r="CB9" s="83" t="n"/>
      <c r="CC9" s="41" t="n"/>
      <c r="CD9" s="41" t="n"/>
      <c r="CE9" s="57" t="n"/>
      <c r="CF9" s="83" t="n"/>
      <c r="CG9" s="57" t="n"/>
      <c r="CH9" s="58" t="n">
        <v>0.3451388888888889</v>
      </c>
      <c r="CI9" s="58" t="n">
        <v>0.8083333333333333</v>
      </c>
      <c r="CJ9" s="83">
        <f>MOD(CI9-CH9,1)*24</f>
        <v/>
      </c>
      <c r="CK9" s="57" t="n">
        <v>1</v>
      </c>
      <c r="CL9" s="58" t="n">
        <v>0.3506944444444444</v>
      </c>
      <c r="CM9" s="58" t="n">
        <v>0.8284722222222223</v>
      </c>
      <c r="CN9" s="83">
        <f>MOD(CM9-CL9,1)*24</f>
        <v/>
      </c>
      <c r="CO9" s="57" t="n">
        <v>1</v>
      </c>
      <c r="CP9" s="58" t="n">
        <v>0.3486111111111111</v>
      </c>
      <c r="CQ9" s="58" t="n">
        <v>0.8291666666666667</v>
      </c>
      <c r="CR9" s="83">
        <f>MOD(CQ9-CP9,1)*24</f>
        <v/>
      </c>
      <c r="CS9" s="57" t="n">
        <v>1</v>
      </c>
      <c r="CT9" s="58" t="n">
        <v>0.3513888888888889</v>
      </c>
      <c r="CU9" s="58" t="n">
        <v>0.8868055555555555</v>
      </c>
      <c r="CV9" s="83">
        <f>MOD(CU9-CT9,1)*24</f>
        <v/>
      </c>
      <c r="CW9" s="57" t="n">
        <v>1</v>
      </c>
      <c r="CX9" s="58" t="n">
        <v>0.3361111111111111</v>
      </c>
      <c r="CY9" s="58" t="n">
        <v>0.8298611111111112</v>
      </c>
      <c r="CZ9" s="83">
        <f>MOD(CY9-CX9,1)*24</f>
        <v/>
      </c>
      <c r="DA9" s="57" t="n">
        <v>1</v>
      </c>
      <c r="DB9" s="58" t="n">
        <v>0.3298611111111111</v>
      </c>
      <c r="DC9" s="57" t="n"/>
      <c r="DD9" s="83">
        <f>MOD(DC9-DB9,1)*24</f>
        <v/>
      </c>
      <c r="DE9" s="57" t="n">
        <v>1</v>
      </c>
      <c r="DF9" s="58" t="n">
        <v>0.3465277777777778</v>
      </c>
      <c r="DG9" s="58" t="n">
        <v>0.7527777777777778</v>
      </c>
      <c r="DH9" s="83">
        <f>MOD(DG9-DF9,1)*24</f>
        <v/>
      </c>
      <c r="DI9" s="41" t="n">
        <v>1</v>
      </c>
      <c r="DJ9" s="41" t="n"/>
      <c r="DK9" s="41" t="n"/>
      <c r="DL9" s="83" t="n"/>
      <c r="DM9" s="41" t="n"/>
      <c r="DN9" s="58" t="n">
        <v>0.3513888888888889</v>
      </c>
      <c r="DO9" s="58" t="n">
        <v>0.8375</v>
      </c>
      <c r="DP9" s="83">
        <f>MOD(DO9-DN9,1)*24</f>
        <v/>
      </c>
      <c r="DQ9" s="57" t="n">
        <v>1</v>
      </c>
      <c r="DR9" s="61" t="n">
        <v>0.3465277777777778</v>
      </c>
      <c r="DS9" s="62" t="n">
        <v>0.8347222222222223</v>
      </c>
      <c r="DT9" s="83">
        <f>MOD(DS9-DR9,1)*24</f>
        <v/>
      </c>
      <c r="DU9" s="41" t="n">
        <v>1</v>
      </c>
      <c r="DV9" s="61" t="n"/>
      <c r="DW9" s="62" t="n"/>
      <c r="DX9" s="83" t="n"/>
      <c r="DY9" s="41" t="n"/>
      <c r="DZ9" s="84">
        <f>H9+L9+P9+T9+X9+AB9+AF9+AJ9+AN9+AR9+AV9+AZ9+BD9+BH9+BL9+BP9+BT9+BX9+CB9+CF9+CJ9+CN9+CR9+CV9+CZ9+DD9+DH9+DL9+DP9+DT9</f>
        <v/>
      </c>
      <c r="EA9" s="84">
        <f>I9+M9+Q9+U9+Y9+AC9+AG9+AK9+AO9+AS9+AW9+BA9+BE9+BI9+BM9+BQ9+BU9+BY9+CC9+CG9+CK9+CO9+CS9+CW9+DA9+DE9+DI9+DM9+DQ9+DU9</f>
        <v/>
      </c>
    </row>
    <row r="10" ht="59" customFormat="1" customHeight="1" s="54">
      <c r="A10" s="55" t="inlineStr">
        <is>
          <t>五楼</t>
        </is>
      </c>
      <c r="B10" s="56" t="inlineStr">
        <is>
          <t>向锋</t>
        </is>
      </c>
      <c r="C10" s="41" t="n">
        <v>12</v>
      </c>
      <c r="D10" s="41" t="inlineStr">
        <is>
          <t>设计部</t>
        </is>
      </c>
      <c r="E10" s="57" t="inlineStr">
        <is>
          <t>设计组</t>
        </is>
      </c>
      <c r="F10" s="41" t="n"/>
      <c r="G10" s="41" t="n"/>
      <c r="H10" s="83" t="n"/>
      <c r="I10" s="41" t="n"/>
      <c r="J10" s="41" t="n"/>
      <c r="K10" s="41" t="n"/>
      <c r="L10" s="83" t="n"/>
      <c r="M10" s="41" t="n"/>
      <c r="N10" s="41" t="n"/>
      <c r="O10" s="41" t="n"/>
      <c r="P10" s="83" t="n"/>
      <c r="Q10" s="41" t="n"/>
      <c r="R10" s="41" t="n"/>
      <c r="S10" s="41" t="n"/>
      <c r="T10" s="83" t="n"/>
      <c r="U10" s="41" t="n"/>
      <c r="V10" s="41" t="n"/>
      <c r="W10" s="41" t="n"/>
      <c r="X10" s="83" t="n"/>
      <c r="Y10" s="41" t="n"/>
      <c r="Z10" s="41" t="n"/>
      <c r="AA10" s="41" t="n"/>
      <c r="AB10" s="83" t="n"/>
      <c r="AC10" s="41" t="n"/>
      <c r="AD10" s="41" t="n"/>
      <c r="AE10" s="41" t="n"/>
      <c r="AF10" s="83" t="n"/>
      <c r="AG10" s="41" t="n"/>
      <c r="AH10" s="41" t="n"/>
      <c r="AI10" s="41" t="n"/>
      <c r="AJ10" s="83" t="n"/>
      <c r="AK10" s="41" t="n"/>
      <c r="AL10" s="41" t="n"/>
      <c r="AM10" s="41" t="n"/>
      <c r="AN10" s="83" t="n"/>
      <c r="AO10" s="41" t="n"/>
      <c r="AP10" s="41" t="n"/>
      <c r="AQ10" s="41" t="n"/>
      <c r="AR10" s="83" t="n"/>
      <c r="AS10" s="41" t="n"/>
      <c r="AT10" s="41" t="n"/>
      <c r="AU10" s="41" t="n"/>
      <c r="AV10" s="83" t="n"/>
      <c r="AW10" s="41" t="n"/>
      <c r="AX10" s="41" t="n"/>
      <c r="AY10" s="41" t="n"/>
      <c r="AZ10" s="83" t="n"/>
      <c r="BA10" s="41" t="n"/>
      <c r="BB10" s="41" t="n"/>
      <c r="BC10" s="41" t="n"/>
      <c r="BD10" s="83" t="n"/>
      <c r="BE10" s="41" t="n"/>
      <c r="BF10" s="41" t="n"/>
      <c r="BG10" s="41" t="n"/>
      <c r="BH10" s="83" t="n"/>
      <c r="BI10" s="41" t="n"/>
      <c r="BJ10" s="41" t="n"/>
      <c r="BK10" s="57" t="n"/>
      <c r="BL10" s="83" t="n"/>
      <c r="BM10" s="57" t="n"/>
      <c r="BO10" s="57" t="n"/>
      <c r="BP10" s="83" t="n"/>
      <c r="BQ10" s="57" t="n"/>
      <c r="BR10" s="58" t="n"/>
      <c r="BS10" s="41" t="n"/>
      <c r="BT10" s="83" t="n"/>
      <c r="BU10" s="41" t="n"/>
      <c r="BV10" s="41" t="n"/>
      <c r="BW10" s="41" t="n"/>
      <c r="BX10" s="83" t="n"/>
      <c r="BY10" s="41" t="n"/>
      <c r="BZ10" s="41" t="n"/>
      <c r="CA10" s="41" t="n"/>
      <c r="CB10" s="83" t="n"/>
      <c r="CC10" s="41" t="n"/>
      <c r="CD10" s="41" t="n"/>
      <c r="CE10" s="41" t="n"/>
      <c r="CF10" s="83" t="n"/>
      <c r="CG10" s="41" t="n"/>
      <c r="CH10" s="41" t="n"/>
      <c r="CI10" s="41" t="n"/>
      <c r="CJ10" s="83" t="n"/>
      <c r="CK10" s="41" t="n"/>
      <c r="CL10" s="41" t="n"/>
      <c r="CM10" s="41" t="n"/>
      <c r="CN10" s="83" t="n"/>
      <c r="CO10" s="41" t="n"/>
      <c r="CP10" s="41" t="n"/>
      <c r="CQ10" s="41" t="n"/>
      <c r="CR10" s="83" t="n"/>
      <c r="CS10" s="41" t="n"/>
      <c r="CT10" s="41" t="n"/>
      <c r="CU10" s="41" t="n"/>
      <c r="CV10" s="83" t="n"/>
      <c r="CW10" s="41" t="n"/>
      <c r="CX10" s="41" t="n"/>
      <c r="CY10" s="41" t="n"/>
      <c r="CZ10" s="83" t="n"/>
      <c r="DA10" s="41" t="n"/>
      <c r="DB10" s="41" t="n"/>
      <c r="DC10" s="41" t="n"/>
      <c r="DD10" s="83" t="n"/>
      <c r="DE10" s="41" t="n"/>
      <c r="DG10" s="41" t="n"/>
      <c r="DH10" s="83" t="n"/>
      <c r="DI10" s="41" t="n"/>
      <c r="DJ10" s="41" t="n"/>
      <c r="DK10" s="41" t="n"/>
      <c r="DL10" s="83" t="n"/>
      <c r="DM10" s="41" t="n"/>
      <c r="DN10" s="41" t="n"/>
      <c r="DO10" s="41" t="n"/>
      <c r="DP10" s="83" t="n"/>
      <c r="DQ10" s="41" t="n"/>
      <c r="DR10" s="64" t="n"/>
      <c r="DS10" s="65" t="n"/>
      <c r="DT10" s="83" t="n"/>
      <c r="DU10" s="66" t="n"/>
      <c r="DV10" s="64" t="n"/>
      <c r="DW10" s="65" t="n"/>
      <c r="DX10" s="83" t="n"/>
      <c r="DY10" s="66" t="n"/>
      <c r="DZ10" s="84" t="n"/>
      <c r="EA10" s="84" t="n"/>
    </row>
    <row r="11" ht="59" customFormat="1" customHeight="1" s="54">
      <c r="A11" s="55" t="inlineStr">
        <is>
          <t>五楼</t>
        </is>
      </c>
      <c r="B11" s="56" t="inlineStr">
        <is>
          <t>杨首琴</t>
        </is>
      </c>
      <c r="C11" s="41" t="n">
        <v>14</v>
      </c>
      <c r="D11" s="41" t="inlineStr">
        <is>
          <t>采购部</t>
        </is>
      </c>
      <c r="E11" s="57" t="inlineStr">
        <is>
          <t>采购部</t>
        </is>
      </c>
      <c r="F11" s="57" t="inlineStr">
        <is>
          <t>08:28</t>
        </is>
      </c>
      <c r="G11" s="58" t="n">
        <v>0.7506944444444444</v>
      </c>
      <c r="H11" s="83">
        <f>MOD(G11-F11,1)*24</f>
        <v/>
      </c>
      <c r="I11" s="57" t="n">
        <v>1</v>
      </c>
      <c r="J11" s="58" t="n">
        <v>0.3479166666666667</v>
      </c>
      <c r="K11" s="58" t="n">
        <v>0.7569444444444444</v>
      </c>
      <c r="L11" s="83">
        <f>MOD(K11-J11,1)*24</f>
        <v/>
      </c>
      <c r="M11" s="57" t="n">
        <v>1</v>
      </c>
      <c r="N11" s="58" t="n">
        <v>0.35</v>
      </c>
      <c r="O11" s="58" t="n">
        <v>0.7527777777777778</v>
      </c>
      <c r="P11" s="83">
        <f>MOD(O11-N11,1)*24</f>
        <v/>
      </c>
      <c r="Q11" s="57" t="n">
        <v>1</v>
      </c>
      <c r="R11" s="58" t="n">
        <v>0.35</v>
      </c>
      <c r="S11" s="58" t="n">
        <v>0.7520833333333333</v>
      </c>
      <c r="T11" s="83">
        <f>MOD(S11-R11,1)*24</f>
        <v/>
      </c>
      <c r="U11" s="57" t="n">
        <v>1</v>
      </c>
      <c r="V11" s="58" t="n">
        <v>0.3520833333333334</v>
      </c>
      <c r="W11" s="58" t="n">
        <v>0.7506944444444444</v>
      </c>
      <c r="X11" s="83">
        <f>MOD(W11-V11,1)*24</f>
        <v/>
      </c>
      <c r="Y11" s="57" t="n">
        <v>1</v>
      </c>
      <c r="Z11" s="58" t="n">
        <v>0.3520833333333334</v>
      </c>
      <c r="AA11" s="60" t="n">
        <v>0.7541666666666667</v>
      </c>
      <c r="AB11" s="83">
        <f>MOD(AA11-Z11,1)*24</f>
        <v/>
      </c>
      <c r="AC11" s="41" t="n">
        <v>1</v>
      </c>
      <c r="AD11" s="41" t="n"/>
      <c r="AE11" s="57" t="n"/>
      <c r="AF11" s="83" t="n"/>
      <c r="AG11" s="57" t="n"/>
      <c r="AH11" s="58" t="n">
        <v>0.3520833333333334</v>
      </c>
      <c r="AI11" s="60" t="n">
        <v>0.7569444444444444</v>
      </c>
      <c r="AJ11" s="83">
        <f>MOD(AI11-AH11,1)*24</f>
        <v/>
      </c>
      <c r="AK11" s="57" t="n">
        <v>1</v>
      </c>
      <c r="AL11" s="41" t="n"/>
      <c r="AM11" s="57" t="n"/>
      <c r="AN11" s="83" t="n"/>
      <c r="AO11" s="57" t="n"/>
      <c r="AP11" s="58" t="n">
        <v>0.3479166666666667</v>
      </c>
      <c r="AQ11" s="58" t="n">
        <v>0.7541666666666667</v>
      </c>
      <c r="AR11" s="83">
        <f>MOD(AQ11-AP11,1)*24</f>
        <v/>
      </c>
      <c r="AS11" s="57" t="n">
        <v>1</v>
      </c>
      <c r="AT11" s="58" t="n">
        <v>0.3465277777777778</v>
      </c>
      <c r="AU11" s="58" t="n">
        <v>0.7527777777777778</v>
      </c>
      <c r="AV11" s="83">
        <f>MOD(AU11-AT11,1)*24</f>
        <v/>
      </c>
      <c r="AW11" s="57" t="n">
        <v>1</v>
      </c>
      <c r="AX11" s="58" t="n">
        <v>0.3486111111111111</v>
      </c>
      <c r="AY11" s="58" t="n">
        <v>0.7520833333333333</v>
      </c>
      <c r="AZ11" s="83">
        <f>MOD(AY11-AX11,1)*24</f>
        <v/>
      </c>
      <c r="BA11" s="57" t="n">
        <v>1</v>
      </c>
      <c r="BB11" s="58" t="n">
        <v>0.3506944444444444</v>
      </c>
      <c r="BC11" s="60" t="n">
        <v>0.7527777777777778</v>
      </c>
      <c r="BD11" s="83">
        <f>MOD(BC11-BB11,1)*24</f>
        <v/>
      </c>
      <c r="BE11" s="41" t="n">
        <v>1</v>
      </c>
      <c r="BF11" s="41" t="n"/>
      <c r="BG11" s="57" t="n"/>
      <c r="BH11" s="83" t="n"/>
      <c r="BI11" s="57" t="n"/>
      <c r="BJ11" s="58" t="n">
        <v>0.3513888888888889</v>
      </c>
      <c r="BK11" s="58" t="n">
        <v>0.7625</v>
      </c>
      <c r="BL11" s="83">
        <f>MOD(BK11-BJ11,1)*24</f>
        <v/>
      </c>
      <c r="BM11" s="57" t="n">
        <v>1</v>
      </c>
      <c r="BN11" s="58" t="n">
        <v>0.35</v>
      </c>
      <c r="BO11" s="58" t="n">
        <v>0.7506944444444444</v>
      </c>
      <c r="BP11" s="83">
        <f>MOD(BO11-BN11,1)*24</f>
        <v/>
      </c>
      <c r="BQ11" s="57" t="n">
        <v>1</v>
      </c>
      <c r="BR11" s="58" t="n">
        <v>0.7548611111111111</v>
      </c>
      <c r="BS11" s="57" t="n"/>
      <c r="BT11" s="83">
        <f>MOD(BS11-BR11,1)*24</f>
        <v/>
      </c>
      <c r="BU11" s="57" t="n">
        <v>0.5</v>
      </c>
      <c r="BV11" s="58" t="n">
        <v>0.3534722222222222</v>
      </c>
      <c r="BW11" s="60" t="n">
        <v>0.7555555555555555</v>
      </c>
      <c r="BX11" s="83">
        <f>MOD(BW11-BV11,1)*24</f>
        <v/>
      </c>
      <c r="BY11" s="41" t="n">
        <v>1</v>
      </c>
      <c r="BZ11" s="41" t="n"/>
      <c r="CA11" s="41" t="n"/>
      <c r="CB11" s="83" t="n"/>
      <c r="CC11" s="41" t="n"/>
      <c r="CD11" s="41" t="n"/>
      <c r="CE11" s="57" t="n"/>
      <c r="CF11" s="83" t="n"/>
      <c r="CG11" s="57" t="n"/>
      <c r="CH11" s="58" t="n">
        <v>0.3472222222222222</v>
      </c>
      <c r="CI11" s="58" t="n">
        <v>0.75</v>
      </c>
      <c r="CJ11" s="83">
        <f>MOD(CI11-CH11,1)*24</f>
        <v/>
      </c>
      <c r="CK11" s="57" t="n">
        <v>1</v>
      </c>
      <c r="CL11" s="58" t="n">
        <v>0.3444444444444444</v>
      </c>
      <c r="CM11" s="58" t="n">
        <v>0.7513888888888889</v>
      </c>
      <c r="CN11" s="83">
        <f>MOD(CM11-CL11,1)*24</f>
        <v/>
      </c>
      <c r="CO11" s="57" t="n">
        <v>1</v>
      </c>
      <c r="CP11" s="58" t="n">
        <v>0.3486111111111111</v>
      </c>
      <c r="CQ11" s="58" t="n">
        <v>0.7520833333333333</v>
      </c>
      <c r="CR11" s="83">
        <f>MOD(CQ11-CP11,1)*24</f>
        <v/>
      </c>
      <c r="CS11" s="57" t="n">
        <v>1</v>
      </c>
      <c r="CT11" s="58" t="n">
        <v>0.3451388888888889</v>
      </c>
      <c r="CU11" s="58" t="n">
        <v>0.75</v>
      </c>
      <c r="CV11" s="83">
        <f>MOD(CU11-CT11,1)*24</f>
        <v/>
      </c>
      <c r="CW11" s="57" t="n">
        <v>1</v>
      </c>
      <c r="CX11" s="58" t="n">
        <v>0.3506944444444444</v>
      </c>
      <c r="CY11" s="58" t="n">
        <v>0.7520833333333333</v>
      </c>
      <c r="CZ11" s="83">
        <f>MOD(CY11-CX11,1)*24</f>
        <v/>
      </c>
      <c r="DA11" s="57" t="n">
        <v>1</v>
      </c>
      <c r="DB11" s="58" t="n">
        <v>0.3479166666666667</v>
      </c>
      <c r="DC11" s="58" t="n">
        <v>0.7555555555555555</v>
      </c>
      <c r="DD11" s="83">
        <f>MOD(DC11-DB11,1)*24</f>
        <v/>
      </c>
      <c r="DE11" s="57" t="n">
        <v>1</v>
      </c>
      <c r="DF11" s="58" t="n">
        <v>0.3479166666666667</v>
      </c>
      <c r="DG11" s="58" t="n">
        <v>0.7513888888888889</v>
      </c>
      <c r="DH11" s="83">
        <f>MOD(DG11-DF11,1)*24</f>
        <v/>
      </c>
      <c r="DI11" s="41" t="n">
        <v>1</v>
      </c>
      <c r="DJ11" s="58" t="n">
        <v>0.3506944444444444</v>
      </c>
      <c r="DK11" s="58" t="n">
        <v>0.7520833333333333</v>
      </c>
      <c r="DL11" s="83">
        <f>MOD(DK11-DJ11,1)*24</f>
        <v/>
      </c>
      <c r="DM11" s="57" t="n">
        <v>1</v>
      </c>
      <c r="DN11" s="58" t="n">
        <v>0.35</v>
      </c>
      <c r="DO11" s="58" t="n">
        <v>0.7548611111111111</v>
      </c>
      <c r="DP11" s="83">
        <f>MOD(DO11-DN11,1)*24</f>
        <v/>
      </c>
      <c r="DQ11" s="57" t="n">
        <v>1</v>
      </c>
      <c r="DR11" s="61" t="n">
        <v>0.3479166666666667</v>
      </c>
      <c r="DS11" s="62" t="n">
        <v>0.7534722222222222</v>
      </c>
      <c r="DT11" s="83">
        <f>MOD(DS11-DR11,1)*24</f>
        <v/>
      </c>
      <c r="DU11" s="41" t="n">
        <v>1</v>
      </c>
      <c r="DV11" s="61" t="n"/>
      <c r="DW11" s="62" t="n"/>
      <c r="DX11" s="83" t="n"/>
      <c r="DY11" s="41" t="n"/>
      <c r="DZ11" s="84">
        <f>H11+L11+P11+T11+X11+AB11+AF11+AJ11+AN11+AR11+AV11+AZ11+BD11+BH11+BL11+BP11+BT11+BX11+CB11+CF11+CJ11+CN11+CR11+CV11+CZ11+DD11+DH11+DL11+DP11+DT11</f>
        <v/>
      </c>
      <c r="EA11" s="84">
        <f>I11+M11+Q11+U11+Y11+AC11+AG11+AK11+AO11+AS11+AW11+BA11+BE11+BI11+BM11+BQ11+BU11+BY11+CC11+CG11+CK11+CO11+CS11+CW11+DA11+DE11+DI11+DM11+DQ11+DU11</f>
        <v/>
      </c>
    </row>
    <row r="12" ht="59" customFormat="1" customHeight="1" s="54">
      <c r="A12" s="55" t="inlineStr">
        <is>
          <t>五楼</t>
        </is>
      </c>
      <c r="B12" s="56" t="inlineStr">
        <is>
          <t>杨首琴</t>
        </is>
      </c>
      <c r="C12" s="41" t="n">
        <v>14</v>
      </c>
      <c r="D12" s="41" t="inlineStr">
        <is>
          <t>采购部</t>
        </is>
      </c>
      <c r="E12" s="57" t="inlineStr">
        <is>
          <t>采购部</t>
        </is>
      </c>
      <c r="F12" s="41" t="n"/>
      <c r="G12" s="41" t="n"/>
      <c r="H12" s="83" t="n"/>
      <c r="I12" s="41" t="n"/>
      <c r="J12" s="41" t="n"/>
      <c r="K12" s="41" t="n"/>
      <c r="L12" s="83" t="n"/>
      <c r="M12" s="41" t="n"/>
      <c r="N12" s="41" t="n"/>
      <c r="O12" s="57" t="n"/>
      <c r="P12" s="83" t="n"/>
      <c r="Q12" s="57" t="n"/>
      <c r="R12" s="58" t="n"/>
      <c r="S12" s="57" t="n"/>
      <c r="T12" s="83" t="n"/>
      <c r="U12" s="57" t="n"/>
      <c r="V12" s="41" t="n"/>
      <c r="W12" s="41" t="n"/>
      <c r="X12" s="83" t="n"/>
      <c r="Y12" s="41" t="n"/>
      <c r="Z12" s="41" t="n"/>
      <c r="AA12" s="41" t="n"/>
      <c r="AB12" s="83" t="n"/>
      <c r="AC12" s="41" t="n"/>
      <c r="AD12" s="41" t="n"/>
      <c r="AE12" s="41" t="n"/>
      <c r="AF12" s="83" t="n"/>
      <c r="AG12" s="41" t="n"/>
      <c r="AH12" s="41" t="n"/>
      <c r="AI12" s="41" t="n"/>
      <c r="AJ12" s="83" t="n"/>
      <c r="AK12" s="41" t="n"/>
      <c r="AL12" s="41" t="n"/>
      <c r="AM12" s="41" t="n"/>
      <c r="AN12" s="83" t="n"/>
      <c r="AO12" s="41" t="n"/>
      <c r="AP12" s="41" t="n"/>
      <c r="AQ12" s="41" t="n"/>
      <c r="AR12" s="83" t="n"/>
      <c r="AS12" s="41" t="n"/>
      <c r="AT12" s="41" t="n"/>
      <c r="AU12" s="41" t="n"/>
      <c r="AV12" s="83" t="n"/>
      <c r="AW12" s="41" t="n"/>
      <c r="AX12" s="41" t="n"/>
      <c r="AY12" s="41" t="n"/>
      <c r="AZ12" s="83" t="n"/>
      <c r="BA12" s="41" t="n"/>
      <c r="BB12" s="41" t="n"/>
      <c r="BC12" s="41" t="n"/>
      <c r="BD12" s="83" t="n"/>
      <c r="BE12" s="41" t="n"/>
      <c r="BF12" s="41" t="n"/>
      <c r="BG12" s="41" t="n"/>
      <c r="BH12" s="83" t="n"/>
      <c r="BI12" s="41" t="n"/>
      <c r="BJ12" s="41" t="n"/>
      <c r="BK12" s="41" t="n"/>
      <c r="BL12" s="83" t="n"/>
      <c r="BM12" s="41" t="n"/>
      <c r="BN12" s="41" t="n"/>
      <c r="BO12" s="41" t="n"/>
      <c r="BP12" s="83" t="n"/>
      <c r="BQ12" s="41" t="n"/>
      <c r="BR12" s="41" t="n"/>
      <c r="BS12" s="41" t="n"/>
      <c r="BT12" s="83" t="n"/>
      <c r="BU12" s="41" t="n"/>
      <c r="BV12" s="41" t="n"/>
      <c r="BW12" s="41" t="n"/>
      <c r="BX12" s="83" t="n"/>
      <c r="BY12" s="41" t="n"/>
      <c r="BZ12" s="41" t="n"/>
      <c r="CA12" s="41" t="n"/>
      <c r="CB12" s="83" t="n"/>
      <c r="CC12" s="41" t="n"/>
      <c r="CD12" s="41" t="n"/>
      <c r="CE12" s="41" t="n"/>
      <c r="CF12" s="83" t="n"/>
      <c r="CG12" s="41" t="n"/>
      <c r="CH12" s="41" t="n"/>
      <c r="CI12" s="41" t="n"/>
      <c r="CJ12" s="83" t="n"/>
      <c r="CK12" s="41" t="n"/>
      <c r="CL12" s="41" t="n"/>
      <c r="CM12" s="41" t="n"/>
      <c r="CN12" s="83" t="n"/>
      <c r="CO12" s="41" t="n"/>
      <c r="CP12" s="41" t="n"/>
      <c r="CQ12" s="57" t="n"/>
      <c r="CR12" s="83" t="n"/>
      <c r="CS12" s="57" t="n"/>
      <c r="CT12" s="58" t="n"/>
      <c r="CU12" s="57" t="n"/>
      <c r="CV12" s="83" t="n"/>
      <c r="CW12" s="57" t="n"/>
      <c r="CX12" s="41" t="n"/>
      <c r="CY12" s="41" t="n"/>
      <c r="CZ12" s="83" t="n"/>
      <c r="DA12" s="41" t="n"/>
      <c r="DB12" s="41" t="n"/>
      <c r="DC12" s="41" t="n"/>
      <c r="DD12" s="83" t="n"/>
      <c r="DE12" s="41" t="n"/>
      <c r="DF12" s="41" t="n"/>
      <c r="DG12" s="41" t="n"/>
      <c r="DH12" s="83" t="n"/>
      <c r="DI12" s="41" t="n"/>
      <c r="DJ12" s="41" t="n"/>
      <c r="DK12" s="41" t="n"/>
      <c r="DL12" s="83" t="n"/>
      <c r="DM12" s="41" t="n"/>
      <c r="DN12" s="41" t="n"/>
      <c r="DO12" s="41" t="n"/>
      <c r="DP12" s="83" t="n"/>
      <c r="DQ12" s="41" t="n"/>
      <c r="DR12" s="64" t="n"/>
      <c r="DS12" s="65" t="n"/>
      <c r="DT12" s="83" t="n"/>
      <c r="DU12" s="66" t="n"/>
      <c r="DV12" s="64" t="n"/>
      <c r="DW12" s="65" t="n"/>
      <c r="DX12" s="83" t="n"/>
      <c r="DY12" s="66" t="n"/>
      <c r="DZ12" s="84" t="n"/>
      <c r="EA12" s="84" t="n"/>
    </row>
    <row r="13" ht="59" customFormat="1" customHeight="1" s="54">
      <c r="A13" s="55" t="inlineStr">
        <is>
          <t>五楼</t>
        </is>
      </c>
      <c r="B13" s="56" t="inlineStr">
        <is>
          <t>王晓兰</t>
        </is>
      </c>
      <c r="C13" s="41" t="n">
        <v>15</v>
      </c>
      <c r="D13" s="67" t="n"/>
      <c r="E13" s="67" t="inlineStr">
        <is>
          <t>财务部</t>
        </is>
      </c>
      <c r="F13" s="41" t="n"/>
      <c r="G13" s="57" t="n"/>
      <c r="H13" s="83" t="n"/>
      <c r="I13" s="57" t="n"/>
      <c r="J13" s="58" t="n">
        <v>0.3451388888888889</v>
      </c>
      <c r="K13" s="58" t="n">
        <v>0.7541666666666667</v>
      </c>
      <c r="L13" s="83">
        <f>MOD(K13-J13,1)*24</f>
        <v/>
      </c>
      <c r="M13" s="57" t="n">
        <v>1</v>
      </c>
      <c r="N13" s="58" t="n">
        <v>0.3451388888888889</v>
      </c>
      <c r="O13" s="58" t="n">
        <v>0.7520833333333333</v>
      </c>
      <c r="P13" s="83">
        <f>MOD(O13-N13,1)*24</f>
        <v/>
      </c>
      <c r="Q13" s="57" t="n">
        <v>1</v>
      </c>
      <c r="R13" s="58" t="n">
        <v>0.34375</v>
      </c>
      <c r="S13" s="58" t="n">
        <v>0.7513888888888889</v>
      </c>
      <c r="T13" s="83">
        <f>MOD(S13-R13,1)*24</f>
        <v/>
      </c>
      <c r="U13" s="57" t="n">
        <v>1</v>
      </c>
      <c r="V13" s="58" t="n">
        <v>0.3458333333333333</v>
      </c>
      <c r="W13" s="58" t="n">
        <v>0.7513888888888889</v>
      </c>
      <c r="X13" s="83">
        <f>MOD(W13-V13,1)*24</f>
        <v/>
      </c>
      <c r="Y13" s="57" t="n">
        <v>1</v>
      </c>
      <c r="Z13" s="58" t="n">
        <v>0.3527777777777778</v>
      </c>
      <c r="AA13" s="58" t="n">
        <v>0.7534722222222222</v>
      </c>
      <c r="AB13" s="83">
        <f>MOD(AA13-Z13,1)*24</f>
        <v/>
      </c>
      <c r="AC13" s="41" t="n">
        <v>1</v>
      </c>
      <c r="AD13" s="58" t="n">
        <v>0.3534722222222222</v>
      </c>
      <c r="AE13" s="58" t="n">
        <v>0.5277777777777778</v>
      </c>
      <c r="AF13" s="83">
        <f>MOD(AE13-AD13,1)*24</f>
        <v/>
      </c>
      <c r="AG13" s="83" t="n">
        <v>0.5</v>
      </c>
      <c r="AH13" s="58" t="n">
        <v>0.3520833333333334</v>
      </c>
      <c r="AI13" s="58" t="n">
        <v>0.7590277777777777</v>
      </c>
      <c r="AJ13" s="83">
        <f>MOD(AI13-AH13,1)*24</f>
        <v/>
      </c>
      <c r="AK13" s="57" t="n">
        <v>1</v>
      </c>
      <c r="AL13" s="58" t="n">
        <v>0.3444444444444444</v>
      </c>
      <c r="AM13" s="58" t="n">
        <v>0.7527777777777778</v>
      </c>
      <c r="AN13" s="83">
        <f>MOD(AM13-AL13,1)*24</f>
        <v/>
      </c>
      <c r="AO13" s="57" t="n">
        <v>1</v>
      </c>
      <c r="AP13" s="58" t="n">
        <v>0.3416666666666667</v>
      </c>
      <c r="AQ13" s="58" t="n">
        <v>0.75625</v>
      </c>
      <c r="AR13" s="83">
        <f>MOD(AQ13-AP13,1)*24</f>
        <v/>
      </c>
      <c r="AS13" s="57" t="n">
        <v>1</v>
      </c>
      <c r="AT13" s="58" t="n">
        <v>0.3458333333333333</v>
      </c>
      <c r="AU13" s="58" t="n">
        <v>0.7527777777777778</v>
      </c>
      <c r="AV13" s="83">
        <f>MOD(AU13-AT13,1)*24</f>
        <v/>
      </c>
      <c r="AW13" s="57" t="n">
        <v>1</v>
      </c>
      <c r="AX13" s="58" t="n">
        <v>0.3416666666666667</v>
      </c>
      <c r="AY13" s="58" t="n">
        <v>0.7506944444444444</v>
      </c>
      <c r="AZ13" s="83">
        <f>MOD(AY13-AX13,1)*24</f>
        <v/>
      </c>
      <c r="BA13" s="57" t="n">
        <v>1</v>
      </c>
      <c r="BB13" s="58" t="n">
        <v>0.35</v>
      </c>
      <c r="BC13" s="58" t="n">
        <v>0.7534722222222222</v>
      </c>
      <c r="BD13" s="83">
        <f>MOD(BC13-BB13,1)*24</f>
        <v/>
      </c>
      <c r="BE13" s="41" t="n">
        <v>1</v>
      </c>
      <c r="BF13" s="58" t="n">
        <v>0.3527777777777778</v>
      </c>
      <c r="BG13" s="58" t="n">
        <v>0.5409722222222222</v>
      </c>
      <c r="BH13" s="83">
        <f>MOD(BG13-BF13,1)*24</f>
        <v/>
      </c>
      <c r="BI13" s="57" t="n">
        <v>0.5</v>
      </c>
      <c r="BJ13" s="58" t="n">
        <v>0.3513888888888889</v>
      </c>
      <c r="BK13" s="58" t="n">
        <v>0.7527777777777778</v>
      </c>
      <c r="BL13" s="83">
        <f>MOD(BK13-BJ13,1)*24</f>
        <v/>
      </c>
      <c r="BM13" s="57" t="n">
        <v>1</v>
      </c>
      <c r="BN13" s="58" t="n">
        <v>0.3444444444444444</v>
      </c>
      <c r="BO13" s="58" t="n">
        <v>0.7506944444444444</v>
      </c>
      <c r="BP13" s="83">
        <f>MOD(BO13-BN13,1)*24</f>
        <v/>
      </c>
      <c r="BQ13" s="57" t="n">
        <v>1</v>
      </c>
      <c r="BR13" s="58" t="n">
        <v>0.3513888888888889</v>
      </c>
      <c r="BS13" s="58" t="n">
        <v>0.7548611111111111</v>
      </c>
      <c r="BT13" s="83">
        <f>MOD(BS13-BR13,1)*24</f>
        <v/>
      </c>
      <c r="BU13" s="57" t="n">
        <v>1</v>
      </c>
      <c r="BV13" s="58" t="n">
        <v>0.3444444444444444</v>
      </c>
      <c r="BW13" s="60" t="n">
        <v>0.7541666666666667</v>
      </c>
      <c r="BX13" s="83">
        <f>MOD(BW13-BV13,1)*24</f>
        <v/>
      </c>
      <c r="BY13" s="41" t="n">
        <v>1</v>
      </c>
      <c r="BZ13" s="41" t="n"/>
      <c r="CA13" s="41" t="n"/>
      <c r="CB13" s="83" t="n"/>
      <c r="CC13" s="41" t="n"/>
      <c r="CD13" s="41" t="n"/>
      <c r="CE13" s="57" t="n"/>
      <c r="CF13" s="83" t="n"/>
      <c r="CG13" s="57" t="n"/>
      <c r="CH13" s="58" t="n">
        <v>0.3513888888888889</v>
      </c>
      <c r="CI13" s="58" t="n">
        <v>0.7534722222222222</v>
      </c>
      <c r="CJ13" s="83">
        <f>MOD(CI13-CH13,1)*24</f>
        <v/>
      </c>
      <c r="CK13" s="57" t="n">
        <v>1</v>
      </c>
      <c r="CL13" s="58" t="n">
        <v>0.3472222222222222</v>
      </c>
      <c r="CM13" s="58" t="n">
        <v>0.7527777777777778</v>
      </c>
      <c r="CN13" s="83">
        <f>MOD(CM13-CL13,1)*24</f>
        <v/>
      </c>
      <c r="CO13" s="57" t="n">
        <v>1</v>
      </c>
      <c r="CP13" s="58" t="n">
        <v>0.3486111111111111</v>
      </c>
      <c r="CQ13" s="58" t="n">
        <v>0.7513888888888889</v>
      </c>
      <c r="CR13" s="83">
        <f>MOD(CQ13-CP13,1)*24</f>
        <v/>
      </c>
      <c r="CS13" s="57" t="n">
        <v>1</v>
      </c>
      <c r="CT13" s="58" t="n">
        <v>0.3402777777777778</v>
      </c>
      <c r="CU13" s="58" t="n">
        <v>0.7576388888888889</v>
      </c>
      <c r="CV13" s="83">
        <f>MOD(CU13-CT13,1)*24</f>
        <v/>
      </c>
      <c r="CW13" s="57" t="n">
        <v>1</v>
      </c>
      <c r="CX13" s="58" t="n">
        <v>0.3506944444444444</v>
      </c>
      <c r="CY13" s="58" t="n">
        <v>0.7513888888888889</v>
      </c>
      <c r="CZ13" s="83">
        <f>MOD(CY13-CX13,1)*24</f>
        <v/>
      </c>
      <c r="DA13" s="57" t="n">
        <v>1</v>
      </c>
      <c r="DB13" s="58" t="n">
        <v>0.3416666666666667</v>
      </c>
      <c r="DC13" s="58" t="n">
        <v>0.7520833333333333</v>
      </c>
      <c r="DD13" s="83">
        <f>MOD(DC13-DB13,1)*24</f>
        <v/>
      </c>
      <c r="DE13" s="57" t="n">
        <v>1</v>
      </c>
      <c r="DF13" s="58" t="n">
        <v>0.5451388888888888</v>
      </c>
      <c r="DG13" s="58" t="n">
        <v>0.7513888888888889</v>
      </c>
      <c r="DH13" s="83">
        <f>MOD(DG13-DF13,1)*24</f>
        <v/>
      </c>
      <c r="DI13" s="57" t="n">
        <v>0.5</v>
      </c>
      <c r="DJ13" s="58" t="n">
        <v>0.3506944444444444</v>
      </c>
      <c r="DK13" s="58" t="n">
        <v>0.5013888888888889</v>
      </c>
      <c r="DL13" s="83">
        <f>MOD(DK13-DJ13,1)*24</f>
        <v/>
      </c>
      <c r="DM13" s="57" t="n">
        <v>0.5</v>
      </c>
      <c r="DN13" s="58" t="n">
        <v>0.35</v>
      </c>
      <c r="DO13" s="58" t="n">
        <v>0.7541666666666667</v>
      </c>
      <c r="DP13" s="83">
        <f>MOD(DO13-DN13,1)*24</f>
        <v/>
      </c>
      <c r="DQ13" s="57" t="n">
        <v>1</v>
      </c>
      <c r="DR13" s="61" t="n">
        <v>0.3513888888888889</v>
      </c>
      <c r="DS13" s="62" t="n">
        <v>0.7541666666666667</v>
      </c>
      <c r="DT13" s="83">
        <f>MOD(DS13-DR13,1)*24</f>
        <v/>
      </c>
      <c r="DU13" s="41" t="n">
        <v>1</v>
      </c>
      <c r="DV13" s="61" t="n"/>
      <c r="DW13" s="62" t="n"/>
      <c r="DX13" s="83" t="n"/>
      <c r="DY13" s="41" t="n"/>
      <c r="DZ13" s="84">
        <f>H13+L13+P13+T13+X13+AB13+AF13+AJ13+AN13+AR13+AV13+AZ13+BD13+BH13+BL13+BP13+BT13+BX13+CB13+CF13+CJ13+CN13+CR13+CV13+CZ13+DD13+DH13+DL13+DP13+DT13</f>
        <v/>
      </c>
      <c r="EA13" s="84">
        <f>I13+M13+Q13+U13+Y13+AC13+AG13+AK13+AO13+AS13+AW13+BA13+BE13+BI13+BM13+BQ13+BU13+BY13+CC13+CG13+CK13+CO13+CS13+CW13+DA13+DE13+DI13+DM13+DQ13+DU13</f>
        <v/>
      </c>
    </row>
    <row r="14" ht="59" customFormat="1" customHeight="1" s="54">
      <c r="A14" s="55" t="inlineStr">
        <is>
          <t>五楼</t>
        </is>
      </c>
      <c r="B14" s="56" t="inlineStr">
        <is>
          <t>杨益琴</t>
        </is>
      </c>
      <c r="C14" s="41" t="n">
        <v>16</v>
      </c>
      <c r="D14" s="41" t="inlineStr">
        <is>
          <t>综合部</t>
        </is>
      </c>
      <c r="E14" s="57" t="inlineStr">
        <is>
          <t>财务核价</t>
        </is>
      </c>
      <c r="F14" s="57" t="inlineStr">
        <is>
          <t>18:03</t>
        </is>
      </c>
      <c r="G14" s="57" t="n"/>
      <c r="H14" s="83">
        <f>MOD(G14-F14,1)*24</f>
        <v/>
      </c>
      <c r="I14" s="57" t="n">
        <v>0.5</v>
      </c>
      <c r="J14" s="58" t="n">
        <v>0.35</v>
      </c>
      <c r="K14" s="58" t="n">
        <v>0.7520833333333333</v>
      </c>
      <c r="L14" s="83">
        <f>MOD(K14-J14,1)*24</f>
        <v/>
      </c>
      <c r="M14" s="57" t="n">
        <v>1</v>
      </c>
      <c r="N14" s="58" t="n">
        <v>0.3493055555555555</v>
      </c>
      <c r="O14" s="58" t="n">
        <v>0.7506944444444444</v>
      </c>
      <c r="P14" s="83">
        <f>MOD(O14-N14,1)*24</f>
        <v/>
      </c>
      <c r="Q14" s="57" t="n">
        <v>1</v>
      </c>
      <c r="R14" s="58" t="n">
        <v>0.35</v>
      </c>
      <c r="S14" s="58" t="n">
        <v>0.7555555555555555</v>
      </c>
      <c r="T14" s="83">
        <f>MOD(S14-R14,1)*24</f>
        <v/>
      </c>
      <c r="U14" s="57" t="n">
        <v>1</v>
      </c>
      <c r="V14" s="58" t="n">
        <v>0.7506944444444444</v>
      </c>
      <c r="W14" s="57" t="n"/>
      <c r="X14" s="83" t="n"/>
      <c r="Y14" s="57" t="n">
        <v>0.5</v>
      </c>
      <c r="Z14" s="58" t="n">
        <v>0.35</v>
      </c>
      <c r="AA14" s="60" t="n">
        <v>0.7513888888888889</v>
      </c>
      <c r="AB14" s="83">
        <f>MOD(AA14-Z14,1)*24</f>
        <v/>
      </c>
      <c r="AC14" s="41" t="n">
        <v>1</v>
      </c>
      <c r="AD14" s="41" t="n"/>
      <c r="AE14" s="57" t="n"/>
      <c r="AF14" s="83" t="n"/>
      <c r="AG14" s="57" t="n"/>
      <c r="AH14" s="58" t="n">
        <v>0.35</v>
      </c>
      <c r="AI14" s="58" t="n">
        <v>0.7506944444444444</v>
      </c>
      <c r="AJ14" s="83">
        <f>MOD(AI14-AH14,1)*24</f>
        <v/>
      </c>
      <c r="AK14" s="57" t="n">
        <v>1</v>
      </c>
      <c r="AL14" s="58" t="n">
        <v>0.35</v>
      </c>
      <c r="AM14" s="58" t="n">
        <v>0.7513888888888889</v>
      </c>
      <c r="AN14" s="83">
        <f>MOD(AM14-AL14,1)*24</f>
        <v/>
      </c>
      <c r="AO14" s="57" t="n">
        <v>1</v>
      </c>
      <c r="AP14" s="58" t="n">
        <v>0.35</v>
      </c>
      <c r="AQ14" s="58" t="n">
        <v>0.7513888888888889</v>
      </c>
      <c r="AR14" s="83">
        <f>MOD(AQ14-AP14,1)*24</f>
        <v/>
      </c>
      <c r="AS14" s="57" t="n">
        <v>1</v>
      </c>
      <c r="AT14" s="58" t="n">
        <v>0.3486111111111111</v>
      </c>
      <c r="AU14" s="58" t="n">
        <v>0.7513888888888889</v>
      </c>
      <c r="AV14" s="83">
        <f>MOD(AU14-AT14,1)*24</f>
        <v/>
      </c>
      <c r="AW14" s="57" t="n">
        <v>1</v>
      </c>
      <c r="AX14" s="58" t="n">
        <v>0.35</v>
      </c>
      <c r="AY14" s="58" t="n">
        <v>0.7527777777777778</v>
      </c>
      <c r="AZ14" s="83">
        <f>MOD(AY14-AX14,1)*24</f>
        <v/>
      </c>
      <c r="BA14" s="57" t="n">
        <v>1</v>
      </c>
      <c r="BB14" s="58" t="n">
        <v>0.3486111111111111</v>
      </c>
      <c r="BC14" s="60" t="n">
        <v>0.7520833333333333</v>
      </c>
      <c r="BD14" s="83">
        <f>MOD(BC14-BB14,1)*24</f>
        <v/>
      </c>
      <c r="BE14" s="41" t="n">
        <v>1</v>
      </c>
      <c r="BF14" s="41" t="n"/>
      <c r="BG14" s="57" t="n"/>
      <c r="BH14" s="83" t="n"/>
      <c r="BI14" s="57" t="n"/>
      <c r="BJ14" s="58" t="n">
        <v>0.3486111111111111</v>
      </c>
      <c r="BK14" s="58" t="n">
        <v>0.7513888888888889</v>
      </c>
      <c r="BL14" s="83">
        <f>MOD(BK14-BJ14,1)*24</f>
        <v/>
      </c>
      <c r="BM14" s="57" t="n">
        <v>1</v>
      </c>
      <c r="BN14" s="58" t="n">
        <v>0.3493055555555555</v>
      </c>
      <c r="BO14" s="58" t="n">
        <v>0.7513888888888889</v>
      </c>
      <c r="BP14" s="83">
        <f>MOD(BO14-BN14,1)*24</f>
        <v/>
      </c>
      <c r="BQ14" s="57" t="n">
        <v>1</v>
      </c>
      <c r="BR14" s="58" t="n">
        <v>0.35</v>
      </c>
      <c r="BS14" s="58" t="n">
        <v>0.7590277777777777</v>
      </c>
      <c r="BT14" s="83">
        <f>MOD(BS14-BR14,1)*24</f>
        <v/>
      </c>
      <c r="BU14" s="57" t="n">
        <v>1</v>
      </c>
      <c r="BV14" s="58" t="n">
        <v>0.3493055555555555</v>
      </c>
      <c r="BW14" s="60" t="n">
        <v>0.7513888888888889</v>
      </c>
      <c r="BX14" s="83">
        <f>MOD(BW14-BV14,1)*24</f>
        <v/>
      </c>
      <c r="BY14" s="41" t="n">
        <v>1</v>
      </c>
      <c r="BZ14" s="41" t="n"/>
      <c r="CA14" s="41" t="n"/>
      <c r="CB14" s="83" t="n"/>
      <c r="CC14" s="41" t="n"/>
      <c r="CD14" s="41" t="n"/>
      <c r="CE14" s="57" t="n"/>
      <c r="CF14" s="83" t="n"/>
      <c r="CG14" s="57" t="n"/>
      <c r="CH14" s="58" t="n">
        <v>0.3479166666666667</v>
      </c>
      <c r="CI14" s="58" t="n">
        <v>0.7513888888888889</v>
      </c>
      <c r="CJ14" s="83">
        <f>MOD(CI14-CH14,1)*24</f>
        <v/>
      </c>
      <c r="CK14" s="57" t="n">
        <v>1</v>
      </c>
      <c r="CL14" s="58" t="n">
        <v>0.3479166666666667</v>
      </c>
      <c r="CM14" s="58" t="n">
        <v>0.7520833333333333</v>
      </c>
      <c r="CN14" s="83">
        <f>MOD(CM14-CL14,1)*24</f>
        <v/>
      </c>
      <c r="CO14" s="57" t="n">
        <v>1</v>
      </c>
      <c r="CP14" s="58" t="n">
        <v>0.3465277777777778</v>
      </c>
      <c r="CQ14" s="58" t="n">
        <v>0.7527777777777778</v>
      </c>
      <c r="CR14" s="83">
        <f>MOD(CQ14-CP14,1)*24</f>
        <v/>
      </c>
      <c r="CS14" s="57" t="n">
        <v>1</v>
      </c>
      <c r="CT14" s="58" t="n">
        <v>0.3493055555555555</v>
      </c>
      <c r="CU14" s="58" t="n">
        <v>0.7513888888888889</v>
      </c>
      <c r="CV14" s="83">
        <f>MOD(CU14-CT14,1)*24</f>
        <v/>
      </c>
      <c r="CW14" s="57" t="n">
        <v>1</v>
      </c>
      <c r="CX14" s="58" t="n">
        <v>0.3493055555555555</v>
      </c>
      <c r="CY14" s="60" t="n">
        <v>0.7520833333333333</v>
      </c>
      <c r="CZ14" s="83">
        <f>MOD(CY14-CX14,1)*24</f>
        <v/>
      </c>
      <c r="DA14" s="57" t="n">
        <v>1</v>
      </c>
      <c r="DB14" s="41" t="n"/>
      <c r="DC14" s="41" t="n"/>
      <c r="DD14" s="83" t="n"/>
      <c r="DE14" s="41" t="n"/>
      <c r="DF14" s="58" t="n">
        <v>0.35</v>
      </c>
      <c r="DG14" s="58" t="n">
        <v>0.7520833333333333</v>
      </c>
      <c r="DH14" s="83">
        <f>MOD(DG14-DF14,1)*24</f>
        <v/>
      </c>
      <c r="DI14" s="41" t="n">
        <v>1</v>
      </c>
      <c r="DJ14" s="58" t="n">
        <v>0.3506944444444444</v>
      </c>
      <c r="DK14" s="58" t="n">
        <v>0.7506944444444444</v>
      </c>
      <c r="DL14" s="83">
        <f>MOD(DK14-DJ14,1)*24</f>
        <v/>
      </c>
      <c r="DM14" s="57" t="n">
        <v>1</v>
      </c>
      <c r="DN14" s="58" t="n">
        <v>0.3493055555555555</v>
      </c>
      <c r="DO14" s="58" t="n">
        <v>0.7611111111111111</v>
      </c>
      <c r="DP14" s="83">
        <f>MOD(DO14-DN14,1)*24</f>
        <v/>
      </c>
      <c r="DQ14" s="57" t="n">
        <v>1</v>
      </c>
      <c r="DR14" s="61" t="n">
        <v>0.35</v>
      </c>
      <c r="DS14" s="62" t="n">
        <v>0.9666666666666667</v>
      </c>
      <c r="DT14" s="83">
        <f>MOD(DS14-DR14,1)*24</f>
        <v/>
      </c>
      <c r="DU14" s="41" t="n">
        <v>1</v>
      </c>
      <c r="DV14" s="61" t="n"/>
      <c r="DW14" s="62" t="n"/>
      <c r="DX14" s="83" t="n"/>
      <c r="DY14" s="41" t="n"/>
      <c r="DZ14" s="84">
        <f>H14+L14+P14+T14+X14+AB14+AF14+AJ14+AN14+AR14+AV14+AZ14+BD14+BH14+BL14+BP14+BT14+BX14+CB14+CF14+CJ14+CN14+CR14+CV14+CZ14+DD14+DH14+DL14+DP14+DT14</f>
        <v/>
      </c>
      <c r="EA14" s="84">
        <f>I14+M14+Q14+U14+Y14+AC14+AG14+AK14+AO14+AS14+AW14+BA14+BE14+BI14+BM14+BQ14+BU14+BY14+CC14+CG14+CK14+CO14+CS14+CW14+DA14+DE14+DI14+DM14+DQ14+DU14</f>
        <v/>
      </c>
    </row>
    <row r="15" ht="59" customFormat="1" customHeight="1" s="54">
      <c r="A15" s="55" t="inlineStr">
        <is>
          <t>五楼</t>
        </is>
      </c>
      <c r="B15" s="56" t="inlineStr">
        <is>
          <t>刘琴</t>
        </is>
      </c>
      <c r="C15" s="41" t="n">
        <v>17</v>
      </c>
      <c r="D15" s="41" t="inlineStr">
        <is>
          <t>采购部</t>
        </is>
      </c>
      <c r="E15" s="57" t="inlineStr">
        <is>
          <t>采购部</t>
        </is>
      </c>
      <c r="F15" s="41" t="n"/>
      <c r="G15" s="57" t="n"/>
      <c r="H15" s="83" t="n"/>
      <c r="I15" s="57" t="n"/>
      <c r="J15" s="58" t="n">
        <v>0.3527777777777778</v>
      </c>
      <c r="K15" s="58" t="n">
        <v>0.8590277777777777</v>
      </c>
      <c r="L15" s="83">
        <f>MOD(K15-J15,1)*24</f>
        <v/>
      </c>
      <c r="M15" s="57" t="n">
        <v>1</v>
      </c>
      <c r="N15" s="58" t="n">
        <v>0.35</v>
      </c>
      <c r="O15" s="58" t="n">
        <v>0.8243055555555555</v>
      </c>
      <c r="P15" s="83">
        <f>MOD(O15-N15,1)*24</f>
        <v/>
      </c>
      <c r="Q15" s="57" t="n">
        <v>1</v>
      </c>
      <c r="R15" s="58" t="n">
        <v>0.3520833333333334</v>
      </c>
      <c r="S15" s="58" t="n">
        <v>0.7527777777777778</v>
      </c>
      <c r="T15" s="83">
        <f>MOD(S15-R15,1)*24</f>
        <v/>
      </c>
      <c r="U15" s="57" t="n">
        <v>1</v>
      </c>
      <c r="V15" s="58" t="n">
        <v>0.3479166666666667</v>
      </c>
      <c r="W15" s="58" t="n">
        <v>0.8527777777777777</v>
      </c>
      <c r="X15" s="83">
        <f>MOD(W15-V15,1)*24</f>
        <v/>
      </c>
      <c r="Y15" s="57" t="n">
        <v>1</v>
      </c>
      <c r="Z15" s="58" t="n">
        <v>0.3520833333333334</v>
      </c>
      <c r="AA15" s="58" t="n">
        <v>0.8222222222222222</v>
      </c>
      <c r="AB15" s="83">
        <f>MOD(AA15-Z15,1)*24</f>
        <v/>
      </c>
      <c r="AC15" s="41" t="n">
        <v>1</v>
      </c>
      <c r="AD15" s="58" t="n">
        <v>0.3506944444444444</v>
      </c>
      <c r="AE15" s="58" t="n">
        <v>0.8770833333333333</v>
      </c>
      <c r="AF15" s="83">
        <f>MOD(AE15-AD15,1)*24</f>
        <v/>
      </c>
      <c r="AG15" s="57" t="n">
        <v>1</v>
      </c>
      <c r="AH15" s="58" t="n">
        <v>0.3506944444444444</v>
      </c>
      <c r="AI15" s="58" t="n">
        <v>0.9305555555555556</v>
      </c>
      <c r="AJ15" s="83">
        <f>MOD(AI15-AH15,1)*24</f>
        <v/>
      </c>
      <c r="AK15" s="57" t="n">
        <v>1</v>
      </c>
      <c r="AL15" s="58" t="n">
        <v>0.3520833333333334</v>
      </c>
      <c r="AM15" s="58" t="n">
        <v>0.8777777777777778</v>
      </c>
      <c r="AN15" s="83">
        <f>MOD(AM15-AL15,1)*24</f>
        <v/>
      </c>
      <c r="AO15" s="57" t="n">
        <v>1</v>
      </c>
      <c r="AP15" s="58" t="n">
        <v>0.3513888888888889</v>
      </c>
      <c r="AQ15" s="58" t="n">
        <v>0.7527777777777778</v>
      </c>
      <c r="AR15" s="83">
        <f>MOD(AQ15-AP15,1)*24</f>
        <v/>
      </c>
      <c r="AS15" s="57" t="n">
        <v>1</v>
      </c>
      <c r="AT15" s="58" t="n">
        <v>0.3534722222222222</v>
      </c>
      <c r="AU15" s="58" t="n">
        <v>0.7513888888888889</v>
      </c>
      <c r="AV15" s="83">
        <f>MOD(AU15-AT15,1)*24</f>
        <v/>
      </c>
      <c r="AW15" s="57" t="n">
        <v>1</v>
      </c>
      <c r="AX15" s="58" t="n">
        <v>0.3527777777777778</v>
      </c>
      <c r="AY15" s="58" t="n">
        <v>0.8583333333333333</v>
      </c>
      <c r="AZ15" s="83">
        <f>MOD(AY15-AX15,1)*24</f>
        <v/>
      </c>
      <c r="BA15" s="57" t="n">
        <v>1</v>
      </c>
      <c r="BB15" s="58" t="n">
        <v>0.3534722222222222</v>
      </c>
      <c r="BC15" s="60" t="n">
        <v>0.7770833333333333</v>
      </c>
      <c r="BD15" s="83">
        <f>MOD(BC15-BB15,1)*24</f>
        <v/>
      </c>
      <c r="BE15" s="41" t="n">
        <v>1</v>
      </c>
      <c r="BF15" s="41" t="n"/>
      <c r="BG15" s="57" t="n"/>
      <c r="BH15" s="83" t="n"/>
      <c r="BI15" s="57" t="n"/>
      <c r="BJ15" s="58" t="n">
        <v>0.3513888888888889</v>
      </c>
      <c r="BK15" s="58" t="n">
        <v>0.775</v>
      </c>
      <c r="BL15" s="83">
        <f>MOD(BK15-BJ15,1)*24</f>
        <v/>
      </c>
      <c r="BM15" s="57" t="n">
        <v>1</v>
      </c>
      <c r="BN15" s="58" t="n">
        <v>0.3527777777777778</v>
      </c>
      <c r="BO15" s="41" t="n"/>
      <c r="BP15" s="83">
        <f>MOD(BO15-BN15,1)*24</f>
        <v/>
      </c>
      <c r="BQ15" s="57" t="n">
        <v>1</v>
      </c>
      <c r="BR15" s="41" t="n"/>
      <c r="BS15" s="57" t="n"/>
      <c r="BT15" s="83">
        <f>MOD(BS15-BR15,1)*24</f>
        <v/>
      </c>
      <c r="BU15" s="57" t="n"/>
      <c r="BV15" s="58" t="n">
        <v>0.7513888888888889</v>
      </c>
      <c r="BW15" s="41" t="n"/>
      <c r="BX15" s="83" t="n"/>
      <c r="BY15" s="41" t="n">
        <v>0.5</v>
      </c>
      <c r="BZ15" s="41" t="n"/>
      <c r="CA15" s="41" t="n"/>
      <c r="CB15" s="83" t="n"/>
      <c r="CC15" s="41" t="n"/>
      <c r="CD15" s="41" t="n"/>
      <c r="CE15" s="57" t="n"/>
      <c r="CF15" s="83" t="n"/>
      <c r="CG15" s="57" t="n"/>
      <c r="CH15" s="58" t="n">
        <v>0.3527777777777778</v>
      </c>
      <c r="CI15" s="58" t="n">
        <v>0.7520833333333333</v>
      </c>
      <c r="CJ15" s="83">
        <f>MOD(CI15-CH15,1)*24</f>
        <v/>
      </c>
      <c r="CK15" s="57" t="n">
        <v>1</v>
      </c>
      <c r="CL15" s="58" t="n">
        <v>0.35</v>
      </c>
      <c r="CM15" s="60" t="n">
        <v>0.7520833333333333</v>
      </c>
      <c r="CN15" s="83">
        <f>MOD(CM15-CL15,1)*24</f>
        <v/>
      </c>
      <c r="CO15" s="57" t="n">
        <v>1</v>
      </c>
      <c r="CP15" s="41" t="n"/>
      <c r="CQ15" s="57" t="n"/>
      <c r="CR15" s="83" t="n"/>
      <c r="CS15" s="57" t="n"/>
      <c r="CT15" s="58" t="n">
        <v>0.3506944444444444</v>
      </c>
      <c r="CU15" s="58" t="n">
        <v>0.7722222222222223</v>
      </c>
      <c r="CV15" s="83">
        <f>MOD(CU15-CT15,1)*24</f>
        <v/>
      </c>
      <c r="CW15" s="57" t="n">
        <v>1</v>
      </c>
      <c r="CX15" s="58" t="n">
        <v>0.3493055555555555</v>
      </c>
      <c r="CY15" s="58" t="n">
        <v>0.76875</v>
      </c>
      <c r="CZ15" s="83">
        <f>MOD(CY15-CX15,1)*24</f>
        <v/>
      </c>
      <c r="DA15" s="57" t="n">
        <v>1</v>
      </c>
      <c r="DB15" s="58" t="n">
        <v>0.35</v>
      </c>
      <c r="DC15" s="58" t="n">
        <v>0.8875</v>
      </c>
      <c r="DD15" s="83">
        <f>MOD(DC15-DB15,1)*24</f>
        <v/>
      </c>
      <c r="DE15" s="57" t="n">
        <v>1</v>
      </c>
      <c r="DF15" s="58" t="n">
        <v>0.3534722222222222</v>
      </c>
      <c r="DG15" s="60" t="n">
        <v>0.8416666666666667</v>
      </c>
      <c r="DH15" s="83">
        <f>MOD(DG15-DF15,1)*24</f>
        <v/>
      </c>
      <c r="DI15" s="41" t="n">
        <v>1</v>
      </c>
      <c r="DJ15" s="41" t="n"/>
      <c r="DK15" s="41" t="n"/>
      <c r="DL15" s="83" t="n"/>
      <c r="DM15" s="41" t="n"/>
      <c r="DN15" s="58" t="n">
        <v>0.3527777777777778</v>
      </c>
      <c r="DO15" s="58" t="n">
        <v>0.7541666666666667</v>
      </c>
      <c r="DP15" s="83">
        <f>MOD(DO15-DN15,1)*24</f>
        <v/>
      </c>
      <c r="DQ15" s="57" t="n">
        <v>1</v>
      </c>
      <c r="DR15" s="61" t="n">
        <v>0.3527777777777778</v>
      </c>
      <c r="DS15" s="62" t="n">
        <v>0.7527777777777778</v>
      </c>
      <c r="DT15" s="83">
        <f>MOD(DS15-DR15,1)*24</f>
        <v/>
      </c>
      <c r="DU15" s="41" t="n">
        <v>1</v>
      </c>
      <c r="DV15" s="61" t="n"/>
      <c r="DW15" s="62" t="n"/>
      <c r="DX15" s="83" t="n"/>
      <c r="DY15" s="41" t="n"/>
      <c r="DZ15" s="84">
        <f>H15+L15+P15+T15+X15+AB15+AF15+AJ15+AN15+AR15+AV15+AZ15+BD15+BH15+BL15+BP15+BT15+BX15+CB15+CF15+CJ15+CN15+CR15+CV15+CZ15+DD15+DH15+DL15+DP15+DT15</f>
        <v/>
      </c>
      <c r="EA15" s="84">
        <f>I15+M15+Q15+U15+Y15+AC15+AG15+AK15+AO15+AS15+AW15+BA15+BE15+BI15+BM15+BQ15+BU15+BY15+CC15+CG15+CK15+CO15+CS15+CW15+DA15+DE15+DI15+DM15+DQ15+DU15</f>
        <v/>
      </c>
    </row>
    <row r="16" ht="59" customFormat="1" customHeight="1" s="54">
      <c r="A16" s="55" t="inlineStr">
        <is>
          <t>五楼</t>
        </is>
      </c>
      <c r="B16" s="56" t="inlineStr">
        <is>
          <t>刘琴</t>
        </is>
      </c>
      <c r="C16" s="41" t="n">
        <v>17</v>
      </c>
      <c r="D16" s="41" t="inlineStr">
        <is>
          <t>采购部</t>
        </is>
      </c>
      <c r="E16" s="57" t="inlineStr">
        <is>
          <t>采购部</t>
        </is>
      </c>
      <c r="F16" s="41" t="n"/>
      <c r="G16" s="41" t="n"/>
      <c r="H16" s="83" t="n"/>
      <c r="I16" s="41" t="n"/>
      <c r="J16" s="41" t="n"/>
      <c r="K16" s="41" t="n"/>
      <c r="L16" s="83" t="n"/>
      <c r="M16" s="41" t="n"/>
      <c r="N16" s="41" t="n"/>
      <c r="O16" s="57" t="n"/>
      <c r="P16" s="83" t="n"/>
      <c r="Q16" s="57" t="n"/>
      <c r="R16" s="58" t="n"/>
      <c r="S16" s="57" t="n"/>
      <c r="T16" s="83" t="n"/>
      <c r="U16" s="57" t="n"/>
      <c r="V16" s="41" t="n"/>
      <c r="W16" s="41" t="n"/>
      <c r="X16" s="83" t="n"/>
      <c r="Y16" s="41" t="n"/>
      <c r="Z16" s="41" t="n"/>
      <c r="AA16" s="41" t="n"/>
      <c r="AB16" s="83" t="n"/>
      <c r="AC16" s="41" t="n"/>
      <c r="AD16" s="41" t="n"/>
      <c r="AE16" s="41" t="n"/>
      <c r="AF16" s="83" t="n"/>
      <c r="AG16" s="41" t="n"/>
      <c r="AH16" s="41" t="n"/>
      <c r="AI16" s="41" t="n"/>
      <c r="AJ16" s="83" t="n"/>
      <c r="AK16" s="41" t="n"/>
      <c r="AL16" s="41" t="n"/>
      <c r="AM16" s="41" t="n"/>
      <c r="AN16" s="83" t="n"/>
      <c r="AO16" s="41" t="n"/>
      <c r="AP16" s="41" t="n"/>
      <c r="AQ16" s="57" t="n"/>
      <c r="AR16" s="83" t="n"/>
      <c r="AS16" s="57" t="n"/>
      <c r="AT16" s="58" t="n"/>
      <c r="AU16" s="41" t="n"/>
      <c r="AV16" s="83" t="n"/>
      <c r="AW16" s="41" t="n"/>
      <c r="AX16" s="41" t="n"/>
      <c r="AY16" s="41" t="n"/>
      <c r="AZ16" s="83" t="n"/>
      <c r="BA16" s="41" t="n"/>
      <c r="BB16" s="41" t="n"/>
      <c r="BC16" s="41" t="n"/>
      <c r="BD16" s="83" t="n"/>
      <c r="BE16" s="41" t="n"/>
      <c r="BF16" s="41" t="n"/>
      <c r="BG16" s="41" t="n"/>
      <c r="BH16" s="83" t="n"/>
      <c r="BI16" s="41" t="n"/>
      <c r="BJ16" s="41" t="n"/>
      <c r="BK16" s="41" t="n"/>
      <c r="BL16" s="83" t="n"/>
      <c r="BM16" s="41" t="n"/>
      <c r="BN16" s="41" t="n"/>
      <c r="BO16" s="41" t="n"/>
      <c r="BP16" s="83" t="n"/>
      <c r="BQ16" s="41" t="n"/>
      <c r="BR16" s="41" t="n"/>
      <c r="BS16" s="41" t="n"/>
      <c r="BT16" s="83">
        <f>MOD(BS16-BR16,1)*24</f>
        <v/>
      </c>
      <c r="BU16" s="41" t="n"/>
      <c r="BV16" s="41" t="n"/>
      <c r="BW16" s="41" t="n"/>
      <c r="BX16" s="83" t="n"/>
      <c r="BY16" s="41" t="n"/>
      <c r="BZ16" s="41" t="n"/>
      <c r="CA16" s="41" t="n"/>
      <c r="CB16" s="83" t="n"/>
      <c r="CC16" s="41" t="n"/>
      <c r="CD16" s="41" t="n"/>
      <c r="CE16" s="41" t="n"/>
      <c r="CF16" s="83" t="n"/>
      <c r="CG16" s="41" t="n"/>
      <c r="CH16" s="41" t="n"/>
      <c r="CI16" s="41" t="n"/>
      <c r="CJ16" s="83" t="n"/>
      <c r="CK16" s="41" t="n"/>
      <c r="CL16" s="41" t="n"/>
      <c r="CM16" s="41" t="n"/>
      <c r="CN16" s="83" t="n"/>
      <c r="CO16" s="41" t="n"/>
      <c r="CP16" s="41" t="n"/>
      <c r="CQ16" s="41" t="n"/>
      <c r="CR16" s="83" t="n"/>
      <c r="CS16" s="41" t="n"/>
      <c r="CT16" s="41" t="n"/>
      <c r="CU16" s="41" t="n"/>
      <c r="CV16" s="83" t="n"/>
      <c r="CW16" s="41" t="n"/>
      <c r="CX16" s="41" t="n"/>
      <c r="CY16" s="57" t="n"/>
      <c r="CZ16" s="83" t="n"/>
      <c r="DA16" s="57" t="n"/>
      <c r="DB16" s="58" t="n"/>
      <c r="DC16" s="57" t="n"/>
      <c r="DD16" s="83" t="n"/>
      <c r="DE16" s="57" t="n"/>
      <c r="DF16" s="41" t="n"/>
      <c r="DG16" s="41" t="n"/>
      <c r="DH16" s="83" t="n"/>
      <c r="DI16" s="41" t="n"/>
      <c r="DJ16" s="41" t="n"/>
      <c r="DK16" s="41" t="n"/>
      <c r="DL16" s="83" t="n"/>
      <c r="DM16" s="41" t="n"/>
      <c r="DN16" s="41" t="n"/>
      <c r="DO16" s="41" t="n"/>
      <c r="DP16" s="83" t="n"/>
      <c r="DQ16" s="41" t="n"/>
      <c r="DR16" s="64" t="n"/>
      <c r="DS16" s="65" t="n"/>
      <c r="DT16" s="83" t="n"/>
      <c r="DU16" s="66" t="n"/>
      <c r="DV16" s="64" t="n"/>
      <c r="DW16" s="65" t="n"/>
      <c r="DX16" s="83" t="n"/>
      <c r="DY16" s="66" t="n"/>
      <c r="DZ16" s="84" t="n"/>
      <c r="EA16" s="84" t="n"/>
    </row>
    <row r="17" ht="59" customFormat="1" customHeight="1" s="54">
      <c r="A17" s="55" t="inlineStr">
        <is>
          <t>五楼</t>
        </is>
      </c>
      <c r="B17" s="56" t="inlineStr">
        <is>
          <t>刘文旦</t>
        </is>
      </c>
      <c r="C17" s="41" t="n">
        <v>18</v>
      </c>
      <c r="D17" s="41" t="inlineStr">
        <is>
          <t>设计部</t>
        </is>
      </c>
      <c r="E17" s="57" t="inlineStr">
        <is>
          <t>设计组</t>
        </is>
      </c>
      <c r="F17" s="57" t="inlineStr">
        <is>
          <t>18:06</t>
        </is>
      </c>
      <c r="G17" s="57" t="n"/>
      <c r="H17" s="83">
        <f>MOD(G17-F17,1)*24</f>
        <v/>
      </c>
      <c r="I17" s="57" t="n">
        <v>0.5</v>
      </c>
      <c r="J17" s="58" t="n">
        <v>0.3520833333333334</v>
      </c>
      <c r="K17" s="58" t="n">
        <v>0.7645833333333333</v>
      </c>
      <c r="L17" s="83">
        <f>MOD(K17-J17,1)*24</f>
        <v/>
      </c>
      <c r="M17" s="57" t="n">
        <v>1</v>
      </c>
      <c r="N17" s="58" t="n">
        <v>0.7986111111111112</v>
      </c>
      <c r="O17" s="58" t="n">
        <v>0.9388888888888889</v>
      </c>
      <c r="P17" s="83">
        <f>MOD(O17-N17,1)*24</f>
        <v/>
      </c>
      <c r="Q17" s="57" t="n">
        <v>0.5</v>
      </c>
      <c r="R17" s="58" t="n">
        <v>0.3520833333333334</v>
      </c>
      <c r="S17" s="58" t="n">
        <v>0.8270833333333333</v>
      </c>
      <c r="T17" s="83">
        <f>MOD(S17-R17,1)*24</f>
        <v/>
      </c>
      <c r="U17" s="57" t="n">
        <v>1</v>
      </c>
      <c r="V17" s="41" t="n"/>
      <c r="W17" s="41" t="n"/>
      <c r="X17" s="83" t="n"/>
      <c r="Y17" s="41" t="n"/>
      <c r="Z17" s="41" t="n"/>
      <c r="AA17" s="41" t="n"/>
      <c r="AB17" s="83" t="n"/>
      <c r="AC17" s="41" t="n"/>
      <c r="AD17" s="41" t="n"/>
      <c r="AE17" s="57" t="n"/>
      <c r="AF17" s="83" t="n"/>
      <c r="AG17" s="57" t="n"/>
      <c r="AH17" s="58" t="n">
        <v>0.7805555555555556</v>
      </c>
      <c r="AI17" s="57" t="n"/>
      <c r="AK17" s="83" t="n">
        <v>0.5</v>
      </c>
      <c r="AL17" s="58" t="n">
        <v>0.3513888888888889</v>
      </c>
      <c r="AM17" s="58" t="n">
        <v>0.8125</v>
      </c>
      <c r="AN17" s="83">
        <f>MOD(AM17-AL17,1)*24</f>
        <v/>
      </c>
      <c r="AO17" s="57" t="n">
        <v>1</v>
      </c>
      <c r="AP17" s="58" t="n">
        <v>0.3604166666666667</v>
      </c>
      <c r="AQ17" s="58" t="n">
        <v>0.8069444444444445</v>
      </c>
      <c r="AR17" s="83">
        <f>MOD(AQ17-AP17,1)*24</f>
        <v/>
      </c>
      <c r="AS17" s="57" t="n">
        <v>1</v>
      </c>
      <c r="AT17" s="58" t="n">
        <v>0.35625</v>
      </c>
      <c r="AU17" s="60" t="n">
        <v>0.7645833333333333</v>
      </c>
      <c r="AV17" s="83">
        <f>MOD(AU17-AT17,1)*24</f>
        <v/>
      </c>
      <c r="AW17" s="57" t="n">
        <v>1</v>
      </c>
      <c r="AX17" s="41" t="n"/>
      <c r="AY17" s="57" t="n"/>
      <c r="AZ17" s="83" t="n"/>
      <c r="BA17" s="57" t="n"/>
      <c r="BB17" s="58" t="n">
        <v>0.8222222222222222</v>
      </c>
      <c r="BC17" s="58" t="n">
        <v>0.9777777777777777</v>
      </c>
      <c r="BD17" s="83">
        <f>MOD(BC17-BB17,1)*24</f>
        <v/>
      </c>
      <c r="BE17" s="57" t="n">
        <v>0.5</v>
      </c>
      <c r="BF17" s="58" t="n">
        <v>0.4583333333333333</v>
      </c>
      <c r="BG17" s="58" t="n">
        <v>0.7916666666666666</v>
      </c>
      <c r="BH17" s="83">
        <f>MOD(BG17-BF17,1)*24</f>
        <v/>
      </c>
      <c r="BI17" s="57" t="n">
        <v>1</v>
      </c>
      <c r="BJ17" s="58" t="n">
        <v>0.79375</v>
      </c>
      <c r="BK17" s="58" t="n">
        <v>0.9861111111111112</v>
      </c>
      <c r="BL17" s="83">
        <f>MOD(BK17-BJ17,1)*24</f>
        <v/>
      </c>
      <c r="BM17" s="57" t="n">
        <v>0.5</v>
      </c>
      <c r="BN17" s="58" t="n">
        <v>0.78125</v>
      </c>
      <c r="BO17" s="57" t="n"/>
      <c r="BP17" s="83">
        <f>MOD(BO17-BN17,1)*24</f>
        <v/>
      </c>
      <c r="BQ17" s="57" t="n">
        <v>0.5</v>
      </c>
      <c r="BR17" s="58" t="n">
        <v>0.3465277777777778</v>
      </c>
      <c r="BS17" s="58" t="n">
        <v>0.7541666666666667</v>
      </c>
      <c r="BT17" s="83">
        <f>MOD(BS17-BR17,1)*24</f>
        <v/>
      </c>
      <c r="BU17" s="57" t="n">
        <v>1</v>
      </c>
      <c r="BV17" s="58" t="n">
        <v>0.3555555555555556</v>
      </c>
      <c r="BW17" s="60" t="n">
        <v>0.7513888888888889</v>
      </c>
      <c r="BX17" s="83">
        <f>MOD(BW17-BV17,1)*24</f>
        <v/>
      </c>
      <c r="BY17" s="41" t="n">
        <v>1</v>
      </c>
      <c r="BZ17" s="41" t="n"/>
      <c r="CA17" s="41" t="n"/>
      <c r="CB17" s="83" t="n"/>
      <c r="CC17" s="41" t="n"/>
      <c r="CD17" s="41" t="n"/>
      <c r="CE17" s="57" t="n"/>
      <c r="CF17" s="83" t="n"/>
      <c r="CG17" s="57" t="n"/>
      <c r="CH17" s="58" t="n">
        <v>0.3472222222222222</v>
      </c>
      <c r="CI17" s="57" t="n"/>
      <c r="CJ17" s="83" t="n"/>
      <c r="CK17" s="57" t="n">
        <v>0.5</v>
      </c>
      <c r="CL17" s="58" t="n">
        <v>0.3444444444444444</v>
      </c>
      <c r="CM17" s="58" t="n">
        <v>0.7854166666666667</v>
      </c>
      <c r="CN17" s="83">
        <f>MOD(CM17-CL17,1)*24</f>
        <v/>
      </c>
      <c r="CO17" s="57" t="n">
        <v>1</v>
      </c>
      <c r="CP17" s="58" t="n">
        <v>0.3527777777777778</v>
      </c>
      <c r="CQ17" s="58" t="n">
        <v>0.8111111111111111</v>
      </c>
      <c r="CR17" s="83">
        <f>MOD(CQ17-CP17,1)*24</f>
        <v/>
      </c>
      <c r="CS17" s="57" t="n">
        <v>1</v>
      </c>
      <c r="CT17" s="58" t="n">
        <v>0.3555555555555556</v>
      </c>
      <c r="CU17" s="58" t="n">
        <v>0.8097222222222222</v>
      </c>
      <c r="CV17" s="83">
        <f>MOD(CU17-CT17,1)*24</f>
        <v/>
      </c>
      <c r="CW17" s="57" t="n">
        <v>1</v>
      </c>
      <c r="CX17" s="58" t="n">
        <v>0.35625</v>
      </c>
      <c r="CY17" s="58" t="n">
        <v>0.75625</v>
      </c>
      <c r="CZ17" s="83">
        <f>MOD(CY17-CX17,1)*24</f>
        <v/>
      </c>
      <c r="DA17" s="57" t="n">
        <v>1</v>
      </c>
      <c r="DB17" s="58" t="n">
        <v>0.3548611111111111</v>
      </c>
      <c r="DC17" s="57" t="n"/>
      <c r="DD17" s="83" t="n"/>
      <c r="DE17" s="57" t="n">
        <v>0.5</v>
      </c>
      <c r="DF17" s="58" t="n">
        <v>0.3506944444444444</v>
      </c>
      <c r="DG17" s="58" t="n">
        <v>0.75625</v>
      </c>
      <c r="DH17" s="83">
        <f>MOD(DG17-DF17,1)*24</f>
        <v/>
      </c>
      <c r="DI17" s="41" t="n">
        <v>1</v>
      </c>
      <c r="DJ17" s="58" t="n">
        <v>0.3548611111111111</v>
      </c>
      <c r="DK17" s="58" t="n">
        <v>0.8027777777777778</v>
      </c>
      <c r="DL17" s="83">
        <f>MOD(DK17-DJ17,1)*24</f>
        <v/>
      </c>
      <c r="DM17" s="57" t="n">
        <v>1</v>
      </c>
      <c r="DN17" s="58" t="n">
        <v>0.35625</v>
      </c>
      <c r="DO17" s="58" t="n">
        <v>0.75625</v>
      </c>
      <c r="DP17" s="83">
        <f>MOD(DO17-DN17,1)*24</f>
        <v/>
      </c>
      <c r="DQ17" s="57" t="n">
        <v>1</v>
      </c>
      <c r="DR17" s="61" t="n">
        <v>0.3527777777777778</v>
      </c>
      <c r="DS17" s="61" t="n">
        <v>0.7659722222222223</v>
      </c>
      <c r="DT17" s="83">
        <f>MOD(DS17-DR17,1)*24</f>
        <v/>
      </c>
      <c r="DU17" s="41" t="n">
        <v>1</v>
      </c>
      <c r="DV17" s="61" t="n"/>
      <c r="DW17" s="61" t="n"/>
      <c r="DX17" s="83" t="n"/>
      <c r="DY17" s="41" t="n"/>
      <c r="DZ17" s="84">
        <f>H17+L17+P17+T17+X17+AB17+AF17+AJ17+AN17+AR17+AV17+AZ17+BD17+BH17+BL17+BP17+BT17+BX17+CB17+CF17+CJ17+CN17+CR17+CV17+CZ17+DD17+DH17+DL17+DP17+DT17</f>
        <v/>
      </c>
      <c r="EA17" s="84">
        <f>I17+M17+Q17+U17+Y17+AC17+AG17+AK17+AO17+AS17+AW17+BA17+BE17+BI17+BM17+BQ17+BU17+BY17+CC17+CG17+CK17+CO17+CS17+CW17+DA17+DE17+DI17+DM17+DQ17+DU17</f>
        <v/>
      </c>
    </row>
    <row r="18" ht="59" customFormat="1" customHeight="1" s="54">
      <c r="A18" s="55" t="inlineStr">
        <is>
          <t>五楼</t>
        </is>
      </c>
      <c r="B18" s="56" t="inlineStr">
        <is>
          <t>刘文旦</t>
        </is>
      </c>
      <c r="C18" s="41" t="n">
        <v>18</v>
      </c>
      <c r="D18" s="41" t="inlineStr">
        <is>
          <t>设计部</t>
        </is>
      </c>
      <c r="E18" s="57" t="inlineStr">
        <is>
          <t>设计组</t>
        </is>
      </c>
      <c r="F18" s="41" t="n"/>
      <c r="G18" s="41" t="n"/>
      <c r="H18" s="83" t="n"/>
      <c r="I18" s="41" t="n"/>
      <c r="J18" s="41" t="n"/>
      <c r="K18" s="41" t="n"/>
      <c r="L18" s="83" t="n"/>
      <c r="M18" s="41" t="n"/>
      <c r="N18" s="41" t="n"/>
      <c r="O18" s="57" t="n"/>
      <c r="P18" s="83" t="n"/>
      <c r="Q18" s="57" t="n"/>
      <c r="R18" s="66" t="n"/>
      <c r="S18" s="57" t="n"/>
      <c r="T18" s="83" t="n"/>
      <c r="U18" s="57" t="n"/>
      <c r="V18" s="41" t="n"/>
      <c r="W18" s="41" t="n"/>
      <c r="X18" s="83" t="n"/>
      <c r="Y18" s="41" t="n"/>
      <c r="Z18" s="41" t="n"/>
      <c r="AA18" s="41" t="n"/>
      <c r="AB18" s="83" t="n"/>
      <c r="AC18" s="41" t="n"/>
      <c r="AD18" s="41" t="n"/>
      <c r="AE18" s="41" t="n"/>
      <c r="AF18" s="83" t="n"/>
      <c r="AG18" s="41" t="n"/>
      <c r="AH18" s="41" t="n"/>
      <c r="AI18" s="41" t="n"/>
      <c r="AJ18" s="83" t="n"/>
      <c r="AK18" s="41" t="n"/>
      <c r="AL18" s="41" t="n"/>
      <c r="AM18" s="41" t="n"/>
      <c r="AN18" s="83" t="n"/>
      <c r="AO18" s="41" t="n"/>
      <c r="AP18" s="41" t="n"/>
      <c r="AQ18" s="41" t="n"/>
      <c r="AR18" s="83" t="n"/>
      <c r="AS18" s="41" t="n"/>
      <c r="AT18" s="41" t="n"/>
      <c r="AU18" s="41" t="n"/>
      <c r="AV18" s="83" t="n"/>
      <c r="AW18" s="41" t="n"/>
      <c r="AX18" s="41" t="n"/>
      <c r="AY18" s="41" t="n"/>
      <c r="AZ18" s="83" t="n"/>
      <c r="BA18" s="41" t="n"/>
      <c r="BB18" s="41" t="n"/>
      <c r="BC18" s="41" t="n"/>
      <c r="BD18" s="83" t="n"/>
      <c r="BE18" s="41" t="n"/>
      <c r="BF18" s="41" t="n"/>
      <c r="BG18" s="41" t="n"/>
      <c r="BH18" s="83" t="n"/>
      <c r="BI18" s="41" t="n"/>
      <c r="BJ18" s="41" t="n"/>
      <c r="BK18" s="41" t="n"/>
      <c r="BL18" s="83" t="n"/>
      <c r="BM18" s="41" t="n"/>
      <c r="BN18" s="41" t="n"/>
      <c r="BO18" s="41" t="n"/>
      <c r="BP18" s="83" t="n"/>
      <c r="BQ18" s="41" t="n"/>
      <c r="BR18" s="41" t="n"/>
      <c r="BS18" s="41" t="n"/>
      <c r="BT18" s="83" t="n"/>
      <c r="BU18" s="41" t="n"/>
      <c r="BV18" s="41" t="n"/>
      <c r="BW18" s="41" t="n"/>
      <c r="BX18" s="83" t="n"/>
      <c r="BY18" s="41" t="n"/>
      <c r="BZ18" s="41" t="n"/>
      <c r="CA18" s="41" t="n"/>
      <c r="CB18" s="83" t="n"/>
      <c r="CC18" s="41" t="n"/>
      <c r="CD18" s="41" t="n"/>
      <c r="CE18" s="41" t="n"/>
      <c r="CF18" s="83" t="n"/>
      <c r="CG18" s="41" t="n"/>
      <c r="CH18" s="41" t="n"/>
      <c r="CI18" s="41" t="n"/>
      <c r="CJ18" s="83" t="n"/>
      <c r="CK18" s="41" t="n"/>
      <c r="CL18" s="41" t="n"/>
      <c r="CM18" s="41" t="n"/>
      <c r="CN18" s="83" t="n"/>
      <c r="CO18" s="41" t="n"/>
      <c r="CP18" s="41" t="n"/>
      <c r="CQ18" s="41" t="n"/>
      <c r="CR18" s="83" t="n"/>
      <c r="CS18" s="41" t="n"/>
      <c r="CT18" s="41" t="n"/>
      <c r="CU18" s="41" t="n"/>
      <c r="CV18" s="83" t="n"/>
      <c r="CW18" s="41" t="n"/>
      <c r="CX18" s="41" t="n"/>
      <c r="CY18" s="41" t="n"/>
      <c r="CZ18" s="83" t="n"/>
      <c r="DA18" s="41" t="n"/>
      <c r="DB18" s="41" t="n"/>
      <c r="DC18" s="41" t="n"/>
      <c r="DD18" s="83" t="n"/>
      <c r="DE18" s="41" t="n"/>
      <c r="DF18" s="41" t="n"/>
      <c r="DG18" s="41" t="n"/>
      <c r="DH18" s="83" t="n"/>
      <c r="DI18" s="41" t="n"/>
      <c r="DJ18" s="41" t="n"/>
      <c r="DK18" s="41" t="n"/>
      <c r="DL18" s="83" t="n"/>
      <c r="DM18" s="41" t="n"/>
      <c r="DN18" s="41" t="n"/>
      <c r="DO18" s="57" t="n"/>
      <c r="DP18" s="83" t="n"/>
      <c r="DQ18" s="57" t="n"/>
      <c r="DS18" s="65" t="n"/>
      <c r="DT18" s="83" t="n"/>
      <c r="DU18" s="66" t="n"/>
      <c r="DW18" s="65" t="n"/>
      <c r="DX18" s="83" t="n"/>
      <c r="DY18" s="66" t="n"/>
      <c r="DZ18" s="84" t="n"/>
      <c r="EA18" s="84" t="n"/>
    </row>
    <row r="19" ht="59" customFormat="1" customHeight="1" s="54">
      <c r="A19" s="55" t="inlineStr">
        <is>
          <t>五楼</t>
        </is>
      </c>
      <c r="B19" s="56" t="inlineStr">
        <is>
          <t>王一程</t>
        </is>
      </c>
      <c r="C19" s="41" t="n">
        <v>19</v>
      </c>
      <c r="D19" s="41" t="inlineStr">
        <is>
          <t>设计部</t>
        </is>
      </c>
      <c r="E19" s="57" t="inlineStr">
        <is>
          <t>设计组</t>
        </is>
      </c>
      <c r="F19" s="57" t="inlineStr">
        <is>
          <t>08:26</t>
        </is>
      </c>
      <c r="G19" s="58" t="n">
        <v>0.7513888888888889</v>
      </c>
      <c r="H19" s="83">
        <f>MOD(G19-F19,1)*24</f>
        <v/>
      </c>
      <c r="I19" s="57" t="n">
        <v>1</v>
      </c>
      <c r="J19" s="58" t="n">
        <v>0.3506944444444444</v>
      </c>
      <c r="K19" s="58" t="n">
        <v>0.7513888888888889</v>
      </c>
      <c r="L19" s="83">
        <f>MOD(K19-J19,1)*24</f>
        <v/>
      </c>
      <c r="M19" s="57" t="n">
        <v>1</v>
      </c>
      <c r="N19" s="58" t="n">
        <v>0.3520833333333334</v>
      </c>
      <c r="O19" s="58" t="n">
        <v>0.7527777777777778</v>
      </c>
      <c r="P19" s="83">
        <f>MOD(O19-N19,1)*24</f>
        <v/>
      </c>
      <c r="Q19" s="57" t="n">
        <v>1</v>
      </c>
      <c r="R19" s="58" t="n">
        <v>0.3506944444444444</v>
      </c>
      <c r="S19" s="58" t="n">
        <v>0.7534722222222222</v>
      </c>
      <c r="T19" s="83">
        <f>MOD(S19-R19,1)*24</f>
        <v/>
      </c>
      <c r="U19" s="57" t="n">
        <v>1</v>
      </c>
      <c r="V19" s="58" t="n">
        <v>0.3472222222222222</v>
      </c>
      <c r="W19" s="58" t="n">
        <v>0.7513888888888889</v>
      </c>
      <c r="X19" s="83">
        <f>MOD(W19-V19,1)*24</f>
        <v/>
      </c>
      <c r="Y19" s="57" t="n">
        <v>1</v>
      </c>
      <c r="Z19" s="58" t="n">
        <v>0.3527777777777778</v>
      </c>
      <c r="AA19" s="60" t="n">
        <v>0.7548611111111111</v>
      </c>
      <c r="AB19" s="83">
        <f>MOD(AA19-Z19,1)*24</f>
        <v/>
      </c>
      <c r="AC19" s="41" t="n">
        <v>1</v>
      </c>
      <c r="AD19" s="41" t="n"/>
      <c r="AE19" s="57" t="n"/>
      <c r="AF19" s="83" t="n"/>
      <c r="AG19" s="57" t="n"/>
      <c r="AH19" s="58" t="n">
        <v>0.3527777777777778</v>
      </c>
      <c r="AI19" s="58" t="n">
        <v>0.7513888888888889</v>
      </c>
      <c r="AJ19" s="83">
        <f>MOD(AI19-AH19,1)*24</f>
        <v/>
      </c>
      <c r="AK19" s="57" t="n">
        <v>1</v>
      </c>
      <c r="AL19" s="58" t="n">
        <v>0.3506944444444444</v>
      </c>
      <c r="AM19" s="58" t="n">
        <v>0.7513888888888889</v>
      </c>
      <c r="AN19" s="83">
        <f>MOD(AM19-AL19,1)*24</f>
        <v/>
      </c>
      <c r="AO19" s="57" t="n">
        <v>1</v>
      </c>
      <c r="AP19" s="58" t="n">
        <v>0.3520833333333334</v>
      </c>
      <c r="AQ19" s="58" t="n">
        <v>0.7513888888888889</v>
      </c>
      <c r="AR19" s="83">
        <f>MOD(AQ19-AP19,1)*24</f>
        <v/>
      </c>
      <c r="AS19" s="57" t="n">
        <v>1</v>
      </c>
      <c r="AT19" s="58" t="n">
        <v>0.3423611111111111</v>
      </c>
      <c r="AU19" s="58" t="n">
        <v>0.7520833333333333</v>
      </c>
      <c r="AV19" s="83">
        <f>MOD(AU19-AT19,1)*24</f>
        <v/>
      </c>
      <c r="AW19" s="57" t="n">
        <v>1</v>
      </c>
      <c r="AX19" s="58" t="n">
        <v>0.3513888888888889</v>
      </c>
      <c r="AY19" s="58" t="n">
        <v>0.7520833333333333</v>
      </c>
      <c r="AZ19" s="83">
        <f>MOD(AY19-AX19,1)*24</f>
        <v/>
      </c>
      <c r="BA19" s="57" t="n">
        <v>1</v>
      </c>
      <c r="BB19" s="58" t="n">
        <v>0.7513888888888889</v>
      </c>
      <c r="BC19" s="41" t="n"/>
      <c r="BD19" s="83" t="n"/>
      <c r="BE19" s="41" t="n">
        <v>0.5</v>
      </c>
      <c r="BF19" s="41" t="n"/>
      <c r="BG19" s="57" t="n"/>
      <c r="BH19" s="83" t="n"/>
      <c r="BI19" s="57" t="n"/>
      <c r="BJ19" s="58" t="n">
        <v>0.3506944444444444</v>
      </c>
      <c r="BK19" s="58" t="n">
        <v>0.7506944444444444</v>
      </c>
      <c r="BL19" s="83">
        <f>MOD(BK19-BJ19,1)*24</f>
        <v/>
      </c>
      <c r="BM19" s="57" t="n">
        <v>1</v>
      </c>
      <c r="BN19" s="58" t="n">
        <v>0.3520833333333334</v>
      </c>
      <c r="BO19" s="58" t="n">
        <v>0.7506944444444444</v>
      </c>
      <c r="BP19" s="83">
        <f>MOD(BO19-BN19,1)*24</f>
        <v/>
      </c>
      <c r="BQ19" s="57" t="n">
        <v>1</v>
      </c>
      <c r="BR19" s="58" t="n">
        <v>0.3527777777777778</v>
      </c>
      <c r="BS19" s="58" t="n">
        <v>0.7506944444444444</v>
      </c>
      <c r="BT19" s="83">
        <f>MOD(BS19-BR19,1)*24</f>
        <v/>
      </c>
      <c r="BU19" s="57" t="n">
        <v>1</v>
      </c>
      <c r="BV19" s="58" t="n">
        <v>0.3520833333333334</v>
      </c>
      <c r="BW19" s="60" t="n">
        <v>0.7513888888888889</v>
      </c>
      <c r="BX19" s="83">
        <f>MOD(BW19-BV19,1)*24</f>
        <v/>
      </c>
      <c r="BY19" s="41" t="n">
        <v>1</v>
      </c>
      <c r="BZ19" s="41" t="n"/>
      <c r="CA19" s="41" t="n"/>
      <c r="CB19" s="83" t="n"/>
      <c r="CC19" s="41" t="n"/>
      <c r="CD19" s="41" t="n"/>
      <c r="CE19" s="57" t="n"/>
      <c r="CF19" s="83" t="n"/>
      <c r="CG19" s="57" t="n"/>
      <c r="CH19" s="58" t="n">
        <v>0.3520833333333334</v>
      </c>
      <c r="CI19" s="58" t="n">
        <v>0.7506944444444444</v>
      </c>
      <c r="CJ19" s="83">
        <f>MOD(CI19-CH19,1)*24</f>
        <v/>
      </c>
      <c r="CK19" s="57" t="n">
        <v>1</v>
      </c>
      <c r="CL19" s="58" t="n">
        <v>0.3527777777777778</v>
      </c>
      <c r="CM19" s="58" t="n">
        <v>0.7541666666666667</v>
      </c>
      <c r="CN19" s="83">
        <f>MOD(CM19-CL19,1)*24</f>
        <v/>
      </c>
      <c r="CO19" s="57" t="n">
        <v>1</v>
      </c>
      <c r="CP19" s="58" t="n">
        <v>0.3506944444444444</v>
      </c>
      <c r="CQ19" s="58" t="n">
        <v>0.7513888888888889</v>
      </c>
      <c r="CR19" s="83">
        <f>MOD(CQ19-CP19,1)*24</f>
        <v/>
      </c>
      <c r="CS19" s="57" t="n">
        <v>1</v>
      </c>
      <c r="CT19" s="58" t="n">
        <v>0.3506944444444444</v>
      </c>
      <c r="CU19" s="58" t="n">
        <v>0.7513888888888889</v>
      </c>
      <c r="CV19" s="83">
        <f>MOD(CU19-CT19,1)*24</f>
        <v/>
      </c>
      <c r="CW19" s="57" t="n">
        <v>1</v>
      </c>
      <c r="CX19" s="58" t="n">
        <v>0.3479166666666667</v>
      </c>
      <c r="CY19" s="58" t="n">
        <v>0.7555555555555555</v>
      </c>
      <c r="CZ19" s="83">
        <f>MOD(CY19-CX19,1)*24</f>
        <v/>
      </c>
      <c r="DA19" s="57" t="n">
        <v>1</v>
      </c>
      <c r="DB19" s="58" t="n">
        <v>0.3493055555555555</v>
      </c>
      <c r="DC19" s="58" t="n">
        <v>0.7520833333333333</v>
      </c>
      <c r="DD19" s="83">
        <f>MOD(DC19-DB19,1)*24</f>
        <v/>
      </c>
      <c r="DE19" s="57" t="n">
        <v>1</v>
      </c>
      <c r="DF19" s="58" t="n">
        <v>0.3513888888888889</v>
      </c>
      <c r="DG19" s="60" t="n">
        <v>0.7513888888888889</v>
      </c>
      <c r="DH19" s="83">
        <f>MOD(DG19-DF19,1)*24</f>
        <v/>
      </c>
      <c r="DI19" s="41" t="n">
        <v>1</v>
      </c>
      <c r="DJ19" s="41" t="n"/>
      <c r="DK19" s="41" t="n"/>
      <c r="DL19" s="83" t="n"/>
      <c r="DM19" s="41" t="n"/>
      <c r="DN19" s="58" t="n">
        <v>0.3493055555555555</v>
      </c>
      <c r="DO19" s="58" t="n">
        <v>0.7840277777777778</v>
      </c>
      <c r="DP19" s="83">
        <f>MOD(DO19-DN19,1)*24</f>
        <v/>
      </c>
      <c r="DQ19" s="57" t="n">
        <v>1</v>
      </c>
      <c r="DR19" s="61" t="n">
        <v>0.3506944444444444</v>
      </c>
      <c r="DS19" s="62" t="n">
        <v>0.7513888888888889</v>
      </c>
      <c r="DT19" s="83">
        <f>MOD(DS19-DR19,1)*24</f>
        <v/>
      </c>
      <c r="DU19" s="41" t="n">
        <v>1</v>
      </c>
      <c r="DV19" s="61" t="n"/>
      <c r="DW19" s="62" t="n"/>
      <c r="DX19" s="83" t="n"/>
      <c r="DY19" s="41" t="n"/>
      <c r="DZ19" s="84">
        <f>H19+L19+P19+T19+X19+AB19+AF19+AJ19+AN19+AR19+AV19+AZ19+BD19+BH19+BL19+BP19+BT19+BX19+CB19+CF19+CJ19+CN19+CR19+CV19+CZ19+DD19+DH19+DL19+DP19+DT19</f>
        <v/>
      </c>
      <c r="EA19" s="84">
        <f>I19+M19+Q19+U19+Y19+AC19+AG19+AK19+AO19+AS19+AW19+BA19+BE19+BI19+BM19+BQ19+BU19+BY19+CC19+CG19+CK19+CO19+CS19+CW19+DA19+DE19+DI19+DM19+DQ19+DU19</f>
        <v/>
      </c>
    </row>
    <row r="20" ht="59" customFormat="1" customHeight="1" s="54">
      <c r="A20" s="55" t="inlineStr">
        <is>
          <t>五楼</t>
        </is>
      </c>
      <c r="B20" s="56" t="inlineStr">
        <is>
          <t>龙训东</t>
        </is>
      </c>
      <c r="C20" s="41" t="n">
        <v>21</v>
      </c>
      <c r="D20" s="41" t="inlineStr">
        <is>
          <t>订单部</t>
        </is>
      </c>
      <c r="E20" s="57" t="inlineStr">
        <is>
          <t>审单组</t>
        </is>
      </c>
      <c r="F20" s="57" t="inlineStr">
        <is>
          <t>08:21</t>
        </is>
      </c>
      <c r="G20" s="58" t="n">
        <v>0.7527777777777778</v>
      </c>
      <c r="H20" s="83">
        <f>MOD(G20-F20,1)*24</f>
        <v/>
      </c>
      <c r="I20" s="57" t="n">
        <v>1</v>
      </c>
      <c r="J20" s="58" t="n">
        <v>0.3423611111111111</v>
      </c>
      <c r="K20" s="58" t="n">
        <v>0.7590277777777777</v>
      </c>
      <c r="L20" s="83">
        <f>MOD(K20-J20,1)*24</f>
        <v/>
      </c>
      <c r="M20" s="57" t="n">
        <v>1</v>
      </c>
      <c r="N20" s="58" t="n">
        <v>0.3465277777777778</v>
      </c>
      <c r="O20" s="60" t="n">
        <v>0.7520833333333333</v>
      </c>
      <c r="P20" s="83">
        <f>MOD(O20-N20,1)*24</f>
        <v/>
      </c>
      <c r="Q20" s="57" t="n">
        <v>1</v>
      </c>
      <c r="R20" s="41" t="n"/>
      <c r="S20" s="41" t="n"/>
      <c r="T20" s="83" t="n"/>
      <c r="U20" s="41" t="n"/>
      <c r="V20" s="58" t="n">
        <v>0.3333333333333333</v>
      </c>
      <c r="W20" s="58" t="n">
        <v>0.7520833333333333</v>
      </c>
      <c r="X20" s="83">
        <f>MOD(W20-V20,1)*24</f>
        <v/>
      </c>
      <c r="Y20" s="57" t="n">
        <v>1</v>
      </c>
      <c r="Z20" s="58" t="n">
        <v>0.33125</v>
      </c>
      <c r="AA20" s="58" t="n">
        <v>0.7513888888888889</v>
      </c>
      <c r="AB20" s="83">
        <f>MOD(AA20-Z20,1)*24</f>
        <v/>
      </c>
      <c r="AC20" s="41" t="n">
        <v>1</v>
      </c>
      <c r="AD20" s="58" t="n">
        <v>0.3430555555555556</v>
      </c>
      <c r="AE20" s="58" t="n">
        <v>0.7541666666666667</v>
      </c>
      <c r="AF20" s="83">
        <f>MOD(AE20-AD20,1)*24</f>
        <v/>
      </c>
      <c r="AG20" s="57" t="n">
        <v>1</v>
      </c>
      <c r="AH20" s="58" t="n">
        <v>0.3444444444444444</v>
      </c>
      <c r="AI20" s="58" t="n">
        <v>0.7513888888888889</v>
      </c>
      <c r="AJ20" s="83">
        <f>MOD(AI20-AH20,1)*24</f>
        <v/>
      </c>
      <c r="AK20" s="57" t="n">
        <v>1</v>
      </c>
      <c r="AL20" s="58" t="n">
        <v>0.3493055555555555</v>
      </c>
      <c r="AM20" s="60" t="n">
        <v>0.7513888888888889</v>
      </c>
      <c r="AN20" s="83">
        <f>MOD(AM20-AL20,1)*24</f>
        <v/>
      </c>
      <c r="AO20" s="57" t="n">
        <v>1</v>
      </c>
      <c r="AP20" s="41" t="n"/>
      <c r="AQ20" s="57" t="n"/>
      <c r="AR20" s="83" t="n"/>
      <c r="AS20" s="57" t="n"/>
      <c r="AT20" s="58" t="n">
        <v>0.3326388888888889</v>
      </c>
      <c r="AU20" s="58" t="n">
        <v>0.7513888888888889</v>
      </c>
      <c r="AV20" s="83">
        <f>MOD(AU20-AT20,1)*24</f>
        <v/>
      </c>
      <c r="AW20" s="57" t="n">
        <v>1</v>
      </c>
      <c r="AX20" s="58" t="n">
        <v>0.3472222222222222</v>
      </c>
      <c r="AY20" s="58" t="n">
        <v>0.7590277777777777</v>
      </c>
      <c r="AZ20" s="83">
        <f>MOD(AY20-AX20,1)*24</f>
        <v/>
      </c>
      <c r="BA20" s="57" t="n">
        <v>1</v>
      </c>
      <c r="BB20" s="58" t="n">
        <v>0.3486111111111111</v>
      </c>
      <c r="BC20" s="58" t="n">
        <v>0.7541666666666667</v>
      </c>
      <c r="BD20" s="83">
        <f>MOD(BC20-BB20,1)*24</f>
        <v/>
      </c>
      <c r="BE20" s="41" t="n">
        <v>1</v>
      </c>
      <c r="BF20" s="58" t="n">
        <v>0.3423611111111111</v>
      </c>
      <c r="BG20" s="58" t="n">
        <v>0.7506944444444444</v>
      </c>
      <c r="BH20" s="83">
        <f>MOD(BG20-BF20,1)*24</f>
        <v/>
      </c>
      <c r="BI20" s="57" t="n">
        <v>1</v>
      </c>
      <c r="BJ20" s="58" t="n">
        <v>0.3340277777777778</v>
      </c>
      <c r="BK20" s="58" t="n">
        <v>0.7520833333333333</v>
      </c>
      <c r="BL20" s="83">
        <f>MOD(BK20-BJ20,1)*24</f>
        <v/>
      </c>
      <c r="BM20" s="57" t="n">
        <v>1</v>
      </c>
      <c r="BN20" s="58" t="n">
        <v>0.3444444444444444</v>
      </c>
      <c r="BO20" s="58" t="n">
        <v>0.7527777777777778</v>
      </c>
      <c r="BP20" s="83">
        <f>MOD(BO20-BN20,1)*24</f>
        <v/>
      </c>
      <c r="BQ20" s="57" t="n">
        <v>1</v>
      </c>
      <c r="BR20" s="58" t="n">
        <v>0.35</v>
      </c>
      <c r="BS20" s="58" t="n">
        <v>0.7548611111111111</v>
      </c>
      <c r="BT20" s="83">
        <f>MOD(BS20-BR20,1)*24</f>
        <v/>
      </c>
      <c r="BU20" s="57" t="n">
        <v>1</v>
      </c>
      <c r="BV20" s="58" t="n">
        <v>0.3458333333333333</v>
      </c>
      <c r="BW20" s="60" t="n">
        <v>0.7520833333333333</v>
      </c>
      <c r="BX20" s="83">
        <f>MOD(BW20-BV20,1)*24</f>
        <v/>
      </c>
      <c r="BY20" s="41" t="n">
        <v>1</v>
      </c>
      <c r="BZ20" s="41" t="n"/>
      <c r="CA20" s="41" t="n"/>
      <c r="CB20" s="83" t="n"/>
      <c r="CC20" s="41" t="n"/>
      <c r="CD20" s="41" t="n"/>
      <c r="CE20" s="57" t="n"/>
      <c r="CF20" s="83" t="n"/>
      <c r="CG20" s="57" t="n"/>
      <c r="CH20" s="58" t="n">
        <v>0.3395833333333333</v>
      </c>
      <c r="CI20" s="58" t="n">
        <v>0.7520833333333333</v>
      </c>
      <c r="CJ20" s="83">
        <f>MOD(CI20-CH20,1)*24</f>
        <v/>
      </c>
      <c r="CK20" s="57" t="n">
        <v>1</v>
      </c>
      <c r="CL20" s="58" t="n">
        <v>0.3458333333333333</v>
      </c>
      <c r="CM20" s="58" t="n">
        <v>0.7527777777777778</v>
      </c>
      <c r="CN20" s="83">
        <f>MOD(CM20-CL20,1)*24</f>
        <v/>
      </c>
      <c r="CO20" s="57" t="n">
        <v>1</v>
      </c>
      <c r="CP20" s="58" t="n">
        <v>0.3368055555555556</v>
      </c>
      <c r="CQ20" s="58" t="n">
        <v>0.7506944444444444</v>
      </c>
      <c r="CR20" s="83">
        <f>MOD(CQ20-CP20,1)*24</f>
        <v/>
      </c>
      <c r="CS20" s="57" t="n">
        <v>1</v>
      </c>
      <c r="CT20" s="58" t="n">
        <v>0.3444444444444444</v>
      </c>
      <c r="CU20" s="58" t="n">
        <v>0.7534722222222222</v>
      </c>
      <c r="CV20" s="83">
        <f>MOD(CU20-CT20,1)*24</f>
        <v/>
      </c>
      <c r="CW20" s="57" t="n">
        <v>1</v>
      </c>
      <c r="CX20" s="41" t="n"/>
      <c r="CY20" s="57" t="n"/>
      <c r="CZ20" s="83" t="n"/>
      <c r="DA20" s="57" t="n"/>
      <c r="DB20" s="58" t="n">
        <v>0.3354166666666666</v>
      </c>
      <c r="DC20" s="58" t="n">
        <v>0.7534722222222222</v>
      </c>
      <c r="DD20" s="83">
        <f>MOD(DC20-DB20,1)*24</f>
        <v/>
      </c>
      <c r="DE20" s="57" t="n">
        <v>1</v>
      </c>
      <c r="DF20" s="58" t="n">
        <v>0.3472222222222222</v>
      </c>
      <c r="DG20" s="58" t="n">
        <v>0.7680555555555556</v>
      </c>
      <c r="DH20" s="83">
        <f>MOD(DG20-DF20,1)*24</f>
        <v/>
      </c>
      <c r="DI20" s="41" t="n">
        <v>1</v>
      </c>
      <c r="DJ20" s="58" t="n">
        <v>0.3402777777777778</v>
      </c>
      <c r="DK20" s="58" t="n">
        <v>0.8090277777777778</v>
      </c>
      <c r="DL20" s="83">
        <f>MOD(DK20-DJ20,1)*24</f>
        <v/>
      </c>
      <c r="DM20" s="57" t="n">
        <v>1</v>
      </c>
      <c r="DN20" s="58" t="n">
        <v>0.3479166666666667</v>
      </c>
      <c r="DO20" s="58" t="n">
        <v>0.9263888888888889</v>
      </c>
      <c r="DP20" s="83">
        <f>MOD(DO20-DN20,1)*24</f>
        <v/>
      </c>
      <c r="DQ20" s="57" t="n">
        <v>1</v>
      </c>
      <c r="DR20" s="61" t="n">
        <v>0.3479166666666667</v>
      </c>
      <c r="DS20" s="62" t="n">
        <v>0.9805555555555555</v>
      </c>
      <c r="DT20" s="83">
        <f>MOD(DS20-DR20,1)*24</f>
        <v/>
      </c>
      <c r="DU20" s="41" t="n">
        <v>1</v>
      </c>
      <c r="DV20" s="61" t="n"/>
      <c r="DW20" s="62" t="n"/>
      <c r="DX20" s="83" t="n"/>
      <c r="DY20" s="41" t="n"/>
      <c r="DZ20" s="84">
        <f>H20+L20+P20+T20+X20+AB20+AF20+AJ20+AN20+AR20+AV20+AZ20+BD20+BH20+BL20+BP20+BT20+BX20+CB20+CF20+CJ20+CN20+CR20+CV20+CZ20+DD20+DH20+DL20+DP20+DT20</f>
        <v/>
      </c>
      <c r="EA20" s="84">
        <f>I20+M20+Q20+U20+Y20+AC20+AG20+AK20+AO20+AS20+AW20+BA20+BE20+BI20+BM20+BQ20+BU20+BY20+CC20+CG20+CK20+CO20+CS20+CW20+DA20+DE20+DI20+DM20+DQ20+DU20</f>
        <v/>
      </c>
    </row>
    <row r="21" ht="59" customFormat="1" customHeight="1" s="54">
      <c r="A21" s="55" t="inlineStr">
        <is>
          <t>五楼</t>
        </is>
      </c>
      <c r="B21" s="56" t="inlineStr">
        <is>
          <t>李荧</t>
        </is>
      </c>
      <c r="C21" s="41" t="n">
        <v>22</v>
      </c>
      <c r="D21" s="41" t="inlineStr">
        <is>
          <t>订单部</t>
        </is>
      </c>
      <c r="E21" s="57" t="inlineStr">
        <is>
          <t>审单组</t>
        </is>
      </c>
      <c r="F21" s="57" t="inlineStr">
        <is>
          <t>08:20</t>
        </is>
      </c>
      <c r="G21" s="58" t="n">
        <v>0.75625</v>
      </c>
      <c r="H21" s="83">
        <f>MOD(G21-F21,1)*24</f>
        <v/>
      </c>
      <c r="I21" s="57" t="n">
        <v>1</v>
      </c>
      <c r="J21" s="58" t="n">
        <v>0.3388888888888889</v>
      </c>
      <c r="K21" s="58" t="n">
        <v>0.7506944444444444</v>
      </c>
      <c r="L21" s="83">
        <f>MOD(K21-J21,1)*24</f>
        <v/>
      </c>
      <c r="M21" s="57" t="n">
        <v>1</v>
      </c>
      <c r="N21" s="58" t="n">
        <v>0.3472222222222222</v>
      </c>
      <c r="O21" s="58" t="n">
        <v>0.7513888888888889</v>
      </c>
      <c r="P21" s="83">
        <f>MOD(O21-N21,1)*24</f>
        <v/>
      </c>
      <c r="Q21" s="57" t="n">
        <v>1</v>
      </c>
      <c r="R21" s="58" t="n">
        <v>0.34375</v>
      </c>
      <c r="S21" s="58" t="n">
        <v>0.7638888888888888</v>
      </c>
      <c r="T21" s="83">
        <f>MOD(S21-R21,1)*24</f>
        <v/>
      </c>
      <c r="U21" s="57" t="n">
        <v>1</v>
      </c>
      <c r="V21" s="58" t="n">
        <v>0.3381944444444445</v>
      </c>
      <c r="W21" s="58" t="n">
        <v>0.7583333333333333</v>
      </c>
      <c r="X21" s="83">
        <f>MOD(W21-V21,1)*24</f>
        <v/>
      </c>
      <c r="Y21" s="57" t="n">
        <v>1</v>
      </c>
      <c r="Z21" s="58" t="n">
        <v>0.3326388888888889</v>
      </c>
      <c r="AA21" s="60" t="n">
        <v>0.7736111111111111</v>
      </c>
      <c r="AB21" s="83">
        <f>MOD(AA21-Z21,1)*24</f>
        <v/>
      </c>
      <c r="AC21" s="41" t="n">
        <v>1</v>
      </c>
      <c r="AD21" s="41" t="n"/>
      <c r="AE21" s="57" t="n"/>
      <c r="AF21" s="83" t="n"/>
      <c r="AG21" s="57" t="n"/>
      <c r="AH21" s="58" t="n">
        <v>0.3430555555555556</v>
      </c>
      <c r="AI21" s="58" t="n">
        <v>0.7583333333333333</v>
      </c>
      <c r="AJ21" s="83">
        <f>MOD(AI21-AH21,1)*24</f>
        <v/>
      </c>
      <c r="AK21" s="57" t="n">
        <v>1</v>
      </c>
      <c r="AL21" s="58" t="n">
        <v>0.34375</v>
      </c>
      <c r="AM21" s="58" t="n">
        <v>0.7527777777777778</v>
      </c>
      <c r="AN21" s="83">
        <f>MOD(AM21-AL21,1)*24</f>
        <v/>
      </c>
      <c r="AO21" s="57" t="n">
        <v>1</v>
      </c>
      <c r="AP21" s="58" t="n">
        <v>0.3451388888888889</v>
      </c>
      <c r="AQ21" s="58" t="n">
        <v>0.75</v>
      </c>
      <c r="AR21" s="83">
        <f>MOD(AQ21-AP21,1)*24</f>
        <v/>
      </c>
      <c r="AS21" s="57" t="n">
        <v>1</v>
      </c>
      <c r="AT21" s="58" t="n">
        <v>0.3416666666666667</v>
      </c>
      <c r="AU21" s="58" t="n">
        <v>0.7583333333333333</v>
      </c>
      <c r="AV21" s="83">
        <f>MOD(AU21-AT21,1)*24</f>
        <v/>
      </c>
      <c r="AW21" s="57" t="n">
        <v>1</v>
      </c>
      <c r="AX21" s="58" t="n">
        <v>0.3465277777777778</v>
      </c>
      <c r="AY21" s="58" t="n">
        <v>0.7576388888888889</v>
      </c>
      <c r="AZ21" s="83">
        <f>MOD(AY21-AX21,1)*24</f>
        <v/>
      </c>
      <c r="BA21" s="57" t="n">
        <v>1</v>
      </c>
      <c r="BB21" s="58" t="n">
        <v>0.35</v>
      </c>
      <c r="BC21" s="60" t="n">
        <v>0.7555555555555555</v>
      </c>
      <c r="BD21" s="83">
        <f>MOD(BC21-BB21,1)*24</f>
        <v/>
      </c>
      <c r="BE21" s="41" t="n">
        <v>1</v>
      </c>
      <c r="BF21" s="41" t="n"/>
      <c r="BG21" s="57" t="n"/>
      <c r="BH21" s="83" t="n"/>
      <c r="BI21" s="57" t="n"/>
      <c r="BJ21" s="58" t="n">
        <v>0.3506944444444444</v>
      </c>
      <c r="BK21" s="58" t="n">
        <v>0.7513888888888889</v>
      </c>
      <c r="BL21" s="83">
        <f>MOD(BK21-BJ21,1)*24</f>
        <v/>
      </c>
      <c r="BM21" s="57" t="n">
        <v>1</v>
      </c>
      <c r="BN21" s="58" t="n">
        <v>0.3451388888888889</v>
      </c>
      <c r="BO21" s="58" t="n">
        <v>0.7527777777777778</v>
      </c>
      <c r="BP21" s="83">
        <f>MOD(BO21-BN21,1)*24</f>
        <v/>
      </c>
      <c r="BQ21" s="57" t="n">
        <v>1</v>
      </c>
      <c r="BR21" s="58" t="n">
        <v>0.3409722222222222</v>
      </c>
      <c r="BS21" s="58" t="n">
        <v>0.7520833333333333</v>
      </c>
      <c r="BT21" s="83">
        <f>MOD(BS21-BR21,1)*24</f>
        <v/>
      </c>
      <c r="BU21" s="57" t="n">
        <v>1</v>
      </c>
      <c r="BV21" s="58" t="n">
        <v>0.3402777777777778</v>
      </c>
      <c r="BW21" s="60" t="n">
        <v>0.7513888888888889</v>
      </c>
      <c r="BX21" s="83">
        <f>MOD(BW21-BV21,1)*24</f>
        <v/>
      </c>
      <c r="BY21" s="41" t="n">
        <v>1</v>
      </c>
      <c r="BZ21" s="41" t="n"/>
      <c r="CA21" s="41" t="n"/>
      <c r="CB21" s="83" t="n"/>
      <c r="CC21" s="41" t="n"/>
      <c r="CD21" s="41" t="n"/>
      <c r="CE21" s="57" t="n"/>
      <c r="CF21" s="83" t="n"/>
      <c r="CG21" s="57" t="n"/>
      <c r="CH21" s="58" t="n">
        <v>0.3465277777777778</v>
      </c>
      <c r="CI21" s="58" t="n">
        <v>0.7583333333333333</v>
      </c>
      <c r="CJ21" s="83">
        <f>MOD(CI21-CH21,1)*24</f>
        <v/>
      </c>
      <c r="CK21" s="57" t="n">
        <v>1</v>
      </c>
      <c r="CL21" s="58" t="n">
        <v>0.3472222222222222</v>
      </c>
      <c r="CM21" s="58" t="n">
        <v>0.7756944444444445</v>
      </c>
      <c r="CN21" s="83">
        <f>MOD(CM21-CL21,1)*24</f>
        <v/>
      </c>
      <c r="CO21" s="57" t="n">
        <v>1</v>
      </c>
      <c r="CP21" s="58" t="n">
        <v>0.34375</v>
      </c>
      <c r="CQ21" s="58" t="n">
        <v>0.7506944444444444</v>
      </c>
      <c r="CR21" s="83">
        <f>MOD(CQ21-CP21,1)*24</f>
        <v/>
      </c>
      <c r="CS21" s="57" t="n">
        <v>1</v>
      </c>
      <c r="CT21" s="58" t="n">
        <v>0.3416666666666667</v>
      </c>
      <c r="CU21" s="58" t="n">
        <v>0.7520833333333333</v>
      </c>
      <c r="CV21" s="83">
        <f>MOD(CU21-CT21,1)*24</f>
        <v/>
      </c>
      <c r="CW21" s="57" t="n">
        <v>1</v>
      </c>
      <c r="CX21" s="41" t="n"/>
      <c r="CY21" s="57" t="n"/>
      <c r="CZ21" s="83" t="n"/>
      <c r="DA21" s="57" t="n"/>
      <c r="DB21" s="58" t="n">
        <v>0.3416666666666667</v>
      </c>
      <c r="DC21" s="58" t="n">
        <v>0.7666666666666667</v>
      </c>
      <c r="DD21" s="83">
        <f>MOD(DC21-DB21,1)*24</f>
        <v/>
      </c>
      <c r="DE21" s="57" t="n">
        <v>1</v>
      </c>
      <c r="DF21" s="58" t="n">
        <v>0.3409722222222222</v>
      </c>
      <c r="DG21" s="58" t="n">
        <v>0.7659722222222223</v>
      </c>
      <c r="DH21" s="83">
        <f>MOD(DG21-DF21,1)*24</f>
        <v/>
      </c>
      <c r="DI21" s="41" t="n">
        <v>1</v>
      </c>
      <c r="DJ21" s="58" t="n">
        <v>0.35</v>
      </c>
      <c r="DK21" s="58" t="n">
        <v>0.7659722222222223</v>
      </c>
      <c r="DL21" s="83">
        <f>MOD(DK21-DJ21,1)*24</f>
        <v/>
      </c>
      <c r="DM21" s="57" t="n">
        <v>1</v>
      </c>
      <c r="DN21" s="58" t="n">
        <v>0.3465277777777778</v>
      </c>
      <c r="DO21" s="58" t="n">
        <v>0.9277777777777778</v>
      </c>
      <c r="DP21" s="83">
        <f>MOD(DO21-DN21,1)*24</f>
        <v/>
      </c>
      <c r="DQ21" s="57" t="n">
        <v>1</v>
      </c>
      <c r="DR21" s="61" t="n">
        <v>0.9840277777777777</v>
      </c>
      <c r="DS21" s="65" t="n"/>
      <c r="DT21" s="83" t="n"/>
      <c r="DU21" s="41" t="n">
        <v>0.5</v>
      </c>
      <c r="DV21" s="61" t="n"/>
      <c r="DW21" s="65" t="n"/>
      <c r="DX21" s="83" t="n"/>
      <c r="DY21" s="41" t="n"/>
      <c r="DZ21" s="84">
        <f>H21+L21+P21+T21+X21+AB21+AF21+AJ21+AN21+AR21+AV21+AZ21+BD21+BH21+BL21+BP21+BT21+BX21+CB21+CF21+CJ21+CN21+CR21+CV21+CZ21+DD21+DH21+DL21+DP21+DT21</f>
        <v/>
      </c>
      <c r="EA21" s="84">
        <f>I21+M21+Q21+U21+Y21+AC21+AG21+AK21+AO21+AS21+AW21+BA21+BE21+BI21+BM21+BQ21+BU21+BY21+CC21+CG21+CK21+CO21+CS21+CW21+DA21+DE21+DI21+DM21+DQ21+DU21</f>
        <v/>
      </c>
    </row>
    <row r="22" ht="59" customFormat="1" customHeight="1" s="54">
      <c r="A22" s="55" t="inlineStr">
        <is>
          <t>五楼</t>
        </is>
      </c>
      <c r="B22" s="56" t="inlineStr">
        <is>
          <t>贺悦</t>
        </is>
      </c>
      <c r="C22" s="41" t="n">
        <v>23</v>
      </c>
      <c r="D22" s="41" t="inlineStr">
        <is>
          <t>信息部</t>
        </is>
      </c>
      <c r="E22" s="57" t="inlineStr">
        <is>
          <t>信息部</t>
        </is>
      </c>
      <c r="F22" s="57" t="inlineStr">
        <is>
          <t>08:24</t>
        </is>
      </c>
      <c r="G22" s="58" t="n">
        <v>0.7513888888888889</v>
      </c>
      <c r="H22" s="83">
        <f>MOD(G22-F22,1)*24</f>
        <v/>
      </c>
      <c r="I22" s="57" t="n">
        <v>1</v>
      </c>
      <c r="J22" s="58" t="n">
        <v>0.3513888888888889</v>
      </c>
      <c r="K22" s="58" t="n">
        <v>0.75625</v>
      </c>
      <c r="L22" s="83">
        <f>MOD(K22-J22,1)*24</f>
        <v/>
      </c>
      <c r="M22" s="57" t="n">
        <v>1</v>
      </c>
      <c r="N22" s="58" t="n">
        <v>0.3465277777777778</v>
      </c>
      <c r="O22" s="58" t="n">
        <v>0.7520833333333333</v>
      </c>
      <c r="P22" s="83">
        <f>MOD(O22-N22,1)*24</f>
        <v/>
      </c>
      <c r="Q22" s="57" t="n">
        <v>1</v>
      </c>
      <c r="R22" s="58" t="n">
        <v>0.3506944444444444</v>
      </c>
      <c r="S22" s="58" t="n">
        <v>0.7548611111111111</v>
      </c>
      <c r="T22" s="83">
        <f>MOD(S22-R22,1)*24</f>
        <v/>
      </c>
      <c r="U22" s="57" t="n">
        <v>1</v>
      </c>
      <c r="V22" s="58" t="n">
        <v>0.35</v>
      </c>
      <c r="W22" s="58" t="n">
        <v>0.7625</v>
      </c>
      <c r="X22" s="83">
        <f>MOD(W22-V22,1)*24</f>
        <v/>
      </c>
      <c r="Y22" s="57" t="n">
        <v>1</v>
      </c>
      <c r="Z22" s="58" t="n">
        <v>0.3506944444444444</v>
      </c>
      <c r="AA22" s="60" t="n">
        <v>0.7513888888888889</v>
      </c>
      <c r="AB22" s="83">
        <f>MOD(AA22-Z22,1)*24</f>
        <v/>
      </c>
      <c r="AC22" s="41" t="n">
        <v>1</v>
      </c>
      <c r="AD22" s="41" t="n"/>
      <c r="AE22" s="57" t="n"/>
      <c r="AF22" s="83" t="n"/>
      <c r="AG22" s="57" t="n"/>
      <c r="AH22" s="58" t="n">
        <v>0.3493055555555555</v>
      </c>
      <c r="AI22" s="58" t="n">
        <v>0.7506944444444444</v>
      </c>
      <c r="AJ22" s="83">
        <f>MOD(AI22-AH22,1)*24</f>
        <v/>
      </c>
      <c r="AK22" s="57" t="n">
        <v>1</v>
      </c>
      <c r="AL22" s="58" t="n">
        <v>0.3486111111111111</v>
      </c>
      <c r="AM22" s="58" t="n">
        <v>0.7513888888888889</v>
      </c>
      <c r="AN22" s="83">
        <f>MOD(AM22-AL22,1)*24</f>
        <v/>
      </c>
      <c r="AO22" s="57" t="n">
        <v>1</v>
      </c>
      <c r="AP22" s="58" t="n">
        <v>0.3506944444444444</v>
      </c>
      <c r="AQ22" s="58" t="n">
        <v>0.7506944444444444</v>
      </c>
      <c r="AR22" s="83">
        <f>MOD(AQ22-AP22,1)*24</f>
        <v/>
      </c>
      <c r="AS22" s="57" t="n">
        <v>1</v>
      </c>
      <c r="AT22" s="58" t="n">
        <v>0.3513888888888889</v>
      </c>
      <c r="AU22" s="58" t="n">
        <v>0.7520833333333333</v>
      </c>
      <c r="AV22" s="83">
        <f>MOD(AU22-AT22,1)*24</f>
        <v/>
      </c>
      <c r="AW22" s="57" t="n">
        <v>1</v>
      </c>
      <c r="AX22" s="58" t="n">
        <v>0.35</v>
      </c>
      <c r="AY22" s="58" t="n">
        <v>0.7625</v>
      </c>
      <c r="AZ22" s="83">
        <f>MOD(AY22-AX22,1)*24</f>
        <v/>
      </c>
      <c r="BA22" s="57" t="n">
        <v>1</v>
      </c>
      <c r="BB22" s="58" t="n">
        <v>0.3520833333333334</v>
      </c>
      <c r="BC22" s="60" t="n">
        <v>0.75</v>
      </c>
      <c r="BD22" s="83">
        <f>MOD(BC22-BB22,1)*24</f>
        <v/>
      </c>
      <c r="BE22" s="41" t="n">
        <v>1</v>
      </c>
      <c r="BF22" s="41" t="n"/>
      <c r="BG22" s="57" t="n"/>
      <c r="BH22" s="83" t="n"/>
      <c r="BI22" s="57" t="n"/>
      <c r="BJ22" s="58" t="n">
        <v>0.3493055555555555</v>
      </c>
      <c r="BK22" s="58" t="n">
        <v>0.7604166666666666</v>
      </c>
      <c r="BL22" s="83">
        <f>MOD(BK22-BJ22,1)*24</f>
        <v/>
      </c>
      <c r="BM22" s="57" t="n">
        <v>1</v>
      </c>
      <c r="BN22" s="58" t="n">
        <v>0.35</v>
      </c>
      <c r="BO22" s="58" t="n">
        <v>0.7541666666666667</v>
      </c>
      <c r="BP22" s="83">
        <f>MOD(BO22-BN22,1)*24</f>
        <v/>
      </c>
      <c r="BQ22" s="57" t="n">
        <v>1</v>
      </c>
      <c r="BR22" s="58" t="n">
        <v>0.3513888888888889</v>
      </c>
      <c r="BS22" s="58" t="n">
        <v>0.7513888888888889</v>
      </c>
      <c r="BT22" s="83">
        <f>MOD(BS22-BR22,1)*24</f>
        <v/>
      </c>
      <c r="BU22" s="57" t="n">
        <v>1</v>
      </c>
      <c r="BV22" s="58" t="n">
        <v>0.3527777777777778</v>
      </c>
      <c r="BW22" s="60" t="n">
        <v>0.7513888888888889</v>
      </c>
      <c r="BX22" s="83">
        <f>MOD(BW22-BV22,1)*24</f>
        <v/>
      </c>
      <c r="BY22" s="41" t="n">
        <v>1</v>
      </c>
      <c r="BZ22" s="41" t="n"/>
      <c r="CA22" s="41" t="n"/>
      <c r="CB22" s="83" t="n"/>
      <c r="CC22" s="41" t="n"/>
      <c r="CD22" s="41" t="n"/>
      <c r="CE22" s="57" t="n"/>
      <c r="CF22" s="83" t="n"/>
      <c r="CG22" s="57" t="n"/>
      <c r="CH22" s="58" t="n">
        <v>0.3520833333333334</v>
      </c>
      <c r="CI22" s="58" t="n">
        <v>0.7534722222222222</v>
      </c>
      <c r="CJ22" s="83">
        <f>MOD(CI22-CH22,1)*24</f>
        <v/>
      </c>
      <c r="CK22" s="57" t="n">
        <v>1</v>
      </c>
      <c r="CL22" s="58" t="n">
        <v>0.35</v>
      </c>
      <c r="CM22" s="58" t="n">
        <v>0.7548611111111111</v>
      </c>
      <c r="CN22" s="83">
        <f>MOD(CM22-CL22,1)*24</f>
        <v/>
      </c>
      <c r="CO22" s="57" t="n">
        <v>1</v>
      </c>
      <c r="CP22" s="58" t="n">
        <v>0.3527777777777778</v>
      </c>
      <c r="CQ22" s="58" t="n">
        <v>0.7986111111111112</v>
      </c>
      <c r="CR22" s="83">
        <f>MOD(CQ22-CP22,1)*24</f>
        <v/>
      </c>
      <c r="CS22" s="57" t="n">
        <v>1</v>
      </c>
      <c r="CT22" s="58" t="n">
        <v>0.3534722222222222</v>
      </c>
      <c r="CU22" s="58" t="n">
        <v>0.7986111111111112</v>
      </c>
      <c r="CV22" s="83">
        <f>MOD(CU22-CT22,1)*24</f>
        <v/>
      </c>
      <c r="CW22" s="57" t="n">
        <v>1</v>
      </c>
      <c r="CX22" s="58" t="n">
        <v>0.35</v>
      </c>
      <c r="CY22" s="57" t="n"/>
      <c r="CZ22" s="83">
        <f>MOD(CY22-CX22,1)*24</f>
        <v/>
      </c>
      <c r="DA22" s="57" t="n">
        <v>0.5</v>
      </c>
      <c r="DB22" s="58" t="n">
        <v>0.3527777777777778</v>
      </c>
      <c r="DC22" s="58" t="n">
        <v>0.7895833333333333</v>
      </c>
      <c r="DD22" s="83">
        <f>MOD(DC22-DB22,1)*24</f>
        <v/>
      </c>
      <c r="DE22" s="57" t="n">
        <v>1</v>
      </c>
      <c r="DF22" s="58" t="n">
        <v>0.3520833333333334</v>
      </c>
      <c r="DG22" s="60" t="n">
        <v>0.7513888888888889</v>
      </c>
      <c r="DH22" s="83">
        <f>MOD(DG22-DF22,1)*24</f>
        <v/>
      </c>
      <c r="DI22" s="41" t="n">
        <v>1</v>
      </c>
      <c r="DJ22" s="41" t="n"/>
      <c r="DK22" s="41" t="n"/>
      <c r="DL22" s="83" t="n"/>
      <c r="DM22" s="41" t="n"/>
      <c r="DN22" s="58" t="n">
        <v>0.35</v>
      </c>
      <c r="DO22" s="58" t="n">
        <v>0.7597222222222222</v>
      </c>
      <c r="DP22" s="83">
        <f>MOD(DO22-DN22,1)*24</f>
        <v/>
      </c>
      <c r="DQ22" s="57" t="n">
        <v>1</v>
      </c>
      <c r="DR22" s="61" t="n">
        <v>0.3520833333333334</v>
      </c>
      <c r="DS22" s="62" t="n">
        <v>0.7555555555555555</v>
      </c>
      <c r="DT22" s="83">
        <f>MOD(DS22-DR22,1)*24</f>
        <v/>
      </c>
      <c r="DU22" s="41" t="n">
        <v>1</v>
      </c>
      <c r="DV22" s="61" t="n"/>
      <c r="DW22" s="62" t="n"/>
      <c r="DX22" s="83" t="n"/>
      <c r="DY22" s="41" t="n"/>
      <c r="DZ22" s="84">
        <f>H22+L22+P22+T22+X22+AB22+AF22+AJ22+AN22+AR22+AV22+AZ22+BD22+BH22+BL22+BP22+BT22+BX22+CB22+CF22+CJ22+CN22+CR22+CV22+CZ22+DD22+DH22+DL22+DP22+DT22</f>
        <v/>
      </c>
      <c r="EA22" s="84">
        <f>I22+M22+Q22+U22+Y22+AC22+AG22+AK22+AO22+AS22+AW22+BA22+BE22+BI22+BM22+BQ22+BU22+BY22+CC22+CG22+CK22+CO22+CS22+CW22+DA22+DE22+DI22+DM22+DQ22+DU22</f>
        <v/>
      </c>
    </row>
    <row r="23" ht="59" customFormat="1" customHeight="1" s="54">
      <c r="A23" s="55" t="inlineStr">
        <is>
          <t>五楼</t>
        </is>
      </c>
      <c r="B23" s="56" t="inlineStr">
        <is>
          <t>莫娇</t>
        </is>
      </c>
      <c r="C23" s="41" t="n">
        <v>24</v>
      </c>
      <c r="D23" s="41" t="inlineStr">
        <is>
          <t>订单部</t>
        </is>
      </c>
      <c r="E23" s="57" t="inlineStr">
        <is>
          <t>接单报价组</t>
        </is>
      </c>
      <c r="F23" s="57" t="inlineStr">
        <is>
          <t>08:25</t>
        </is>
      </c>
      <c r="G23" s="58" t="n">
        <v>0.7506944444444444</v>
      </c>
      <c r="H23" s="83">
        <f>MOD(G23-F23,1)*24</f>
        <v/>
      </c>
      <c r="I23" s="57" t="n">
        <v>1</v>
      </c>
      <c r="J23" s="58" t="n">
        <v>0.3513888888888889</v>
      </c>
      <c r="K23" s="60" t="n">
        <v>0.7506944444444444</v>
      </c>
      <c r="L23" s="83">
        <f>MOD(K23-J23,1)*24</f>
        <v/>
      </c>
      <c r="M23" s="57" t="n">
        <v>1</v>
      </c>
      <c r="N23" s="41" t="n"/>
      <c r="O23" s="57" t="n"/>
      <c r="P23" s="83" t="n"/>
      <c r="Q23" s="57" t="n"/>
      <c r="R23" s="58" t="n">
        <v>0.3479166666666667</v>
      </c>
      <c r="S23" s="58" t="n">
        <v>0.7506944444444444</v>
      </c>
      <c r="T23" s="83">
        <f>MOD(S23-R23,1)*24</f>
        <v/>
      </c>
      <c r="U23" s="57" t="n">
        <v>1</v>
      </c>
      <c r="V23" s="58" t="n">
        <v>0.3486111111111111</v>
      </c>
      <c r="W23" s="58" t="n">
        <v>0.7506944444444444</v>
      </c>
      <c r="X23" s="83">
        <f>MOD(W23-V23,1)*24</f>
        <v/>
      </c>
      <c r="Y23" s="57" t="n">
        <v>1</v>
      </c>
      <c r="Z23" s="58" t="n">
        <v>0.3493055555555555</v>
      </c>
      <c r="AA23" s="58" t="n">
        <v>0.7506944444444444</v>
      </c>
      <c r="AB23" s="83">
        <f>MOD(AA23-Z23,1)*24</f>
        <v/>
      </c>
      <c r="AC23" s="41" t="n">
        <v>1</v>
      </c>
      <c r="AD23" s="58" t="n">
        <v>0.35</v>
      </c>
      <c r="AE23" s="58" t="n">
        <v>0.7506944444444444</v>
      </c>
      <c r="AF23" s="83">
        <f>MOD(AE23-AD23,1)*24</f>
        <v/>
      </c>
      <c r="AG23" s="57" t="n">
        <v>1</v>
      </c>
      <c r="AH23" s="58" t="n">
        <v>0.3527777777777778</v>
      </c>
      <c r="AI23" s="58" t="n">
        <v>0.7513888888888889</v>
      </c>
      <c r="AJ23" s="83">
        <f>MOD(AI23-AH23,1)*24</f>
        <v/>
      </c>
      <c r="AK23" s="57" t="n">
        <v>1</v>
      </c>
      <c r="AL23" s="58" t="n">
        <v>0.3493055555555555</v>
      </c>
      <c r="AM23" s="58" t="n">
        <v>0.7506944444444444</v>
      </c>
      <c r="AN23" s="83">
        <f>MOD(AM23-AL23,1)*24</f>
        <v/>
      </c>
      <c r="AO23" s="57" t="n">
        <v>1</v>
      </c>
      <c r="AP23" s="58" t="n">
        <v>0.35</v>
      </c>
      <c r="AQ23" s="58" t="n">
        <v>0.7506944444444444</v>
      </c>
      <c r="AR23" s="83">
        <f>MOD(AQ23-AP23,1)*24</f>
        <v/>
      </c>
      <c r="AS23" s="57" t="n">
        <v>1</v>
      </c>
      <c r="AT23" s="58" t="n">
        <v>0.3486111111111111</v>
      </c>
      <c r="AU23" s="58" t="n">
        <v>0.7506944444444444</v>
      </c>
      <c r="AV23" s="83">
        <f>MOD(AU23-AT23,1)*24</f>
        <v/>
      </c>
      <c r="AW23" s="57" t="n">
        <v>1</v>
      </c>
      <c r="AX23" s="58" t="n">
        <v>0.3486111111111111</v>
      </c>
      <c r="AY23" s="58" t="n">
        <v>0.7513888888888889</v>
      </c>
      <c r="AZ23" s="83">
        <f>MOD(AY23-AX23,1)*24</f>
        <v/>
      </c>
      <c r="BA23" s="57" t="n">
        <v>1</v>
      </c>
      <c r="BB23" s="58" t="n">
        <v>0.3493055555555555</v>
      </c>
      <c r="BC23" s="60" t="n">
        <v>0.7506944444444444</v>
      </c>
      <c r="BD23" s="83">
        <f>MOD(BC23-BB23,1)*24</f>
        <v/>
      </c>
      <c r="BE23" s="41" t="n">
        <v>1</v>
      </c>
      <c r="BF23" s="41" t="n"/>
      <c r="BG23" s="57" t="n"/>
      <c r="BH23" s="83" t="n"/>
      <c r="BI23" s="57" t="n"/>
      <c r="BJ23" s="58" t="n">
        <v>0.3472222222222222</v>
      </c>
      <c r="BK23" s="58" t="n">
        <v>0.7513888888888889</v>
      </c>
      <c r="BL23" s="83">
        <f>MOD(BK23-BJ23,1)*24</f>
        <v/>
      </c>
      <c r="BM23" s="57" t="n">
        <v>1</v>
      </c>
      <c r="BN23" s="58" t="n">
        <v>0.3479166666666667</v>
      </c>
      <c r="BO23" s="58" t="n">
        <v>0.7506944444444444</v>
      </c>
      <c r="BP23" s="83">
        <f>MOD(BO23-BN23,1)*24</f>
        <v/>
      </c>
      <c r="BQ23" s="57" t="n">
        <v>1</v>
      </c>
      <c r="BR23" s="58" t="n">
        <v>0.3506944444444444</v>
      </c>
      <c r="BS23" s="58" t="n">
        <v>0.7506944444444444</v>
      </c>
      <c r="BT23" s="83">
        <f>MOD(BS23-BR23,1)*24</f>
        <v/>
      </c>
      <c r="BU23" s="57" t="n">
        <v>1</v>
      </c>
      <c r="BV23" s="58" t="n">
        <v>0.3493055555555555</v>
      </c>
      <c r="BW23" s="60" t="n">
        <v>0.7506944444444444</v>
      </c>
      <c r="BX23" s="83">
        <f>MOD(BW23-BV23,1)*24</f>
        <v/>
      </c>
      <c r="BY23" s="41" t="n">
        <v>1</v>
      </c>
      <c r="BZ23" s="41" t="n"/>
      <c r="CA23" s="41" t="n"/>
      <c r="CB23" s="83" t="n"/>
      <c r="CC23" s="41" t="n"/>
      <c r="CD23" s="41" t="n"/>
      <c r="CE23" s="57" t="n"/>
      <c r="CF23" s="83" t="n"/>
      <c r="CG23" s="57" t="n"/>
      <c r="CH23" s="58" t="n">
        <v>0.3486111111111111</v>
      </c>
      <c r="CI23" s="58" t="n">
        <v>0.7506944444444444</v>
      </c>
      <c r="CJ23" s="83">
        <f>MOD(CI23-CH23,1)*24</f>
        <v/>
      </c>
      <c r="CK23" s="57" t="n">
        <v>1</v>
      </c>
      <c r="CL23" s="58" t="n">
        <v>0.35</v>
      </c>
      <c r="CM23" s="58" t="n">
        <v>0.7513888888888889</v>
      </c>
      <c r="CN23" s="83">
        <f>MOD(CM23-CL23,1)*24</f>
        <v/>
      </c>
      <c r="CO23" s="57" t="n">
        <v>1</v>
      </c>
      <c r="CP23" s="58" t="n">
        <v>0.3472222222222222</v>
      </c>
      <c r="CQ23" s="58" t="n">
        <v>0.7506944444444444</v>
      </c>
      <c r="CR23" s="83">
        <f>MOD(CQ23-CP23,1)*24</f>
        <v/>
      </c>
      <c r="CS23" s="57" t="n">
        <v>1</v>
      </c>
      <c r="CT23" s="58" t="n">
        <v>0.3458333333333333</v>
      </c>
      <c r="CU23" s="58" t="n">
        <v>0.7506944444444444</v>
      </c>
      <c r="CV23" s="83">
        <f>MOD(CU23-CT23,1)*24</f>
        <v/>
      </c>
      <c r="CW23" s="57" t="n">
        <v>1</v>
      </c>
      <c r="CX23" s="58" t="n">
        <v>0.35</v>
      </c>
      <c r="CY23" s="60" t="n">
        <v>0.7506944444444444</v>
      </c>
      <c r="CZ23" s="83">
        <f>MOD(CY23-CX23,1)*24</f>
        <v/>
      </c>
      <c r="DA23" s="57" t="n">
        <v>1</v>
      </c>
      <c r="DB23" s="41" t="n"/>
      <c r="DC23" s="41" t="n"/>
      <c r="DD23" s="83" t="n"/>
      <c r="DE23" s="41" t="n"/>
      <c r="DF23" s="58" t="n">
        <v>0.3465277777777778</v>
      </c>
      <c r="DG23" s="58" t="n">
        <v>0.7506944444444444</v>
      </c>
      <c r="DH23" s="83">
        <f>MOD(DG23-DF23,1)*24</f>
        <v/>
      </c>
      <c r="DI23" s="41" t="n">
        <v>1</v>
      </c>
      <c r="DJ23" s="58" t="n">
        <v>0.3409722222222222</v>
      </c>
      <c r="DK23" s="58" t="n">
        <v>0.7506944444444444</v>
      </c>
      <c r="DL23" s="83">
        <f>MOD(DK23-DJ23,1)*24</f>
        <v/>
      </c>
      <c r="DM23" s="57" t="n">
        <v>1</v>
      </c>
      <c r="DN23" s="58" t="n">
        <v>0.3506944444444444</v>
      </c>
      <c r="DO23" s="58" t="n">
        <v>0.7506944444444444</v>
      </c>
      <c r="DP23" s="83">
        <f>MOD(DO23-DN23,1)*24</f>
        <v/>
      </c>
      <c r="DQ23" s="57" t="n">
        <v>1</v>
      </c>
      <c r="DR23" s="61" t="n">
        <v>0.3472222222222222</v>
      </c>
      <c r="DS23" s="62" t="n">
        <v>0.9673611111111111</v>
      </c>
      <c r="DT23" s="83">
        <f>MOD(DS23-DR23,1)*24</f>
        <v/>
      </c>
      <c r="DU23" s="41" t="n">
        <v>1</v>
      </c>
      <c r="DV23" s="61" t="n"/>
      <c r="DW23" s="62" t="n"/>
      <c r="DX23" s="83" t="n"/>
      <c r="DY23" s="41" t="n"/>
      <c r="DZ23" s="84">
        <f>H23+L23+P23+T23+X23+AB23+AF23+AJ23+AN23+AR23+AV23+AZ23+BD23+BH23+BL23+BP23+BT23+BX23+CB23+CF23+CJ23+CN23+CR23+CV23+CZ23+DD23+DH23+DL23+DP23+DT23</f>
        <v/>
      </c>
      <c r="EA23" s="84">
        <f>I23+M23+Q23+U23+Y23+AC23+AG23+AK23+AO23+AS23+AW23+BA23+BE23+BI23+BM23+BQ23+BU23+BY23+CC23+CG23+CK23+CO23+CS23+CW23+DA23+DE23+DI23+DM23+DQ23+DU23</f>
        <v/>
      </c>
    </row>
    <row r="24" ht="59" customFormat="1" customHeight="1" s="54">
      <c r="A24" s="55" t="inlineStr">
        <is>
          <t>五楼</t>
        </is>
      </c>
      <c r="B24" s="56" t="inlineStr">
        <is>
          <t>田建锋</t>
        </is>
      </c>
      <c r="C24" s="41" t="n">
        <v>26</v>
      </c>
      <c r="D24" s="41" t="inlineStr">
        <is>
          <t>订单部</t>
        </is>
      </c>
      <c r="E24" s="57" t="inlineStr">
        <is>
          <t>审单组</t>
        </is>
      </c>
      <c r="F24" s="57" t="inlineStr">
        <is>
          <t>08:13</t>
        </is>
      </c>
      <c r="G24" s="58" t="n">
        <v>0.7958333333333333</v>
      </c>
      <c r="H24" s="83">
        <f>MOD(G24-F24,1)*24</f>
        <v/>
      </c>
      <c r="I24" s="57" t="n">
        <v>1</v>
      </c>
      <c r="J24" s="58" t="n">
        <v>0.3465277777777778</v>
      </c>
      <c r="K24" s="58" t="n">
        <v>0.5</v>
      </c>
      <c r="L24" s="83">
        <f>MOD(K24-J24,1)*24</f>
        <v/>
      </c>
      <c r="M24" s="57" t="n">
        <v>0.5</v>
      </c>
      <c r="N24" s="58" t="n">
        <v>0.3479166666666667</v>
      </c>
      <c r="O24" s="58" t="n">
        <v>0.7513888888888889</v>
      </c>
      <c r="P24" s="83">
        <f>MOD(O24-N24,1)*24</f>
        <v/>
      </c>
      <c r="Q24" s="57" t="n">
        <v>1</v>
      </c>
      <c r="R24" s="58" t="n">
        <v>0.3486111111111111</v>
      </c>
      <c r="S24" s="58" t="n">
        <v>0.8111111111111111</v>
      </c>
      <c r="T24" s="83">
        <f>MOD(S24-R24,1)*24</f>
        <v/>
      </c>
      <c r="U24" s="57" t="n">
        <v>1</v>
      </c>
      <c r="V24" s="58" t="n">
        <v>0.3402777777777778</v>
      </c>
      <c r="W24" s="58" t="n">
        <v>0.7611111111111111</v>
      </c>
      <c r="X24" s="83">
        <f>MOD(W24-V24,1)*24</f>
        <v/>
      </c>
      <c r="Y24" s="57" t="n">
        <v>1</v>
      </c>
      <c r="Z24" s="58" t="n">
        <v>0.7569444444444444</v>
      </c>
      <c r="AA24" s="57" t="n"/>
      <c r="AB24" s="83" t="n"/>
      <c r="AC24" s="57" t="n">
        <v>0.5</v>
      </c>
      <c r="AD24" s="58" t="n">
        <v>0.3472222222222222</v>
      </c>
      <c r="AE24" s="58" t="n">
        <v>0.75</v>
      </c>
      <c r="AF24" s="83">
        <f>MOD(AE24-AD24,1)*24</f>
        <v/>
      </c>
      <c r="AG24" s="57" t="n">
        <v>1</v>
      </c>
      <c r="AH24" s="58" t="n">
        <v>0.3458333333333333</v>
      </c>
      <c r="AI24" s="58" t="n">
        <v>0.7513888888888889</v>
      </c>
      <c r="AJ24" s="83">
        <f>MOD(AI24-AH24,1)*24</f>
        <v/>
      </c>
      <c r="AK24" s="57" t="n">
        <v>1</v>
      </c>
      <c r="AL24" s="58" t="n">
        <v>0.3465277777777778</v>
      </c>
      <c r="AM24" s="58" t="n">
        <v>0.5</v>
      </c>
      <c r="AN24" s="83">
        <f>MOD(AM24-AL24,1)*24</f>
        <v/>
      </c>
      <c r="AO24" s="57" t="n">
        <v>0.5</v>
      </c>
      <c r="AP24" s="58" t="n">
        <v>0.3458333333333333</v>
      </c>
      <c r="AQ24" s="58" t="n">
        <v>0.7805555555555556</v>
      </c>
      <c r="AR24" s="83">
        <f>MOD(AQ24-AP24,1)*24</f>
        <v/>
      </c>
      <c r="AS24" s="57" t="n">
        <v>1</v>
      </c>
      <c r="AT24" s="58" t="n">
        <v>0.3402777777777778</v>
      </c>
      <c r="AU24" s="58" t="n">
        <v>0.7583333333333333</v>
      </c>
      <c r="AV24" s="83">
        <f>MOD(AU24-AT24,1)*24</f>
        <v/>
      </c>
      <c r="AW24" s="57" t="n">
        <v>1</v>
      </c>
      <c r="AX24" s="58" t="n">
        <v>0.3444444444444444</v>
      </c>
      <c r="AY24" s="58" t="n">
        <v>0.7576388888888889</v>
      </c>
      <c r="AZ24" s="83">
        <f>MOD(AY24-AX24,1)*24</f>
        <v/>
      </c>
      <c r="BA24" s="57" t="n">
        <v>1</v>
      </c>
      <c r="BB24" s="58" t="n">
        <v>0.3451388888888889</v>
      </c>
      <c r="BC24" s="60" t="n">
        <v>0.7645833333333333</v>
      </c>
      <c r="BD24" s="83">
        <f>MOD(BC24-BB24,1)*24</f>
        <v/>
      </c>
      <c r="BE24" s="41" t="n">
        <v>1</v>
      </c>
      <c r="BF24" s="41" t="n"/>
      <c r="BG24" s="57" t="n"/>
      <c r="BH24" s="83" t="n"/>
      <c r="BI24" s="57" t="n"/>
      <c r="BJ24" s="58" t="n">
        <v>0.3430555555555556</v>
      </c>
      <c r="BK24" s="58" t="n">
        <v>0.7513888888888889</v>
      </c>
      <c r="BL24" s="83">
        <f>MOD(BK24-BJ24,1)*24</f>
        <v/>
      </c>
      <c r="BM24" s="57" t="n">
        <v>1</v>
      </c>
      <c r="BN24" s="58" t="n">
        <v>0.3451388888888889</v>
      </c>
      <c r="BO24" s="58" t="n">
        <v>0.7541666666666667</v>
      </c>
      <c r="BP24" s="83">
        <f>MOD(BO24-BN24,1)*24</f>
        <v/>
      </c>
      <c r="BQ24" s="57" t="n">
        <v>1</v>
      </c>
      <c r="BR24" s="58" t="n">
        <v>0.3506944444444444</v>
      </c>
      <c r="BS24" s="58" t="n">
        <v>0.7520833333333333</v>
      </c>
      <c r="BT24" s="83">
        <f>MOD(BS24-BR24,1)*24</f>
        <v/>
      </c>
      <c r="BU24" s="57" t="n">
        <v>1</v>
      </c>
      <c r="BV24" s="58" t="n">
        <v>0.3451388888888889</v>
      </c>
      <c r="BW24" s="60" t="n">
        <v>0.7506944444444444</v>
      </c>
      <c r="BX24" s="83">
        <f>MOD(BW24-BV24,1)*24</f>
        <v/>
      </c>
      <c r="BY24" s="41" t="n">
        <v>1</v>
      </c>
      <c r="BZ24" s="41" t="n"/>
      <c r="CA24" s="57" t="n"/>
      <c r="CB24" s="83" t="n"/>
      <c r="CC24" s="57" t="n"/>
      <c r="CD24" s="58" t="n">
        <v>0.3409722222222222</v>
      </c>
      <c r="CE24" s="58" t="n">
        <v>0.7506944444444444</v>
      </c>
      <c r="CF24" s="83">
        <f>MOD(CE24-CD24,1)*24</f>
        <v/>
      </c>
      <c r="CG24" s="57" t="n">
        <v>1</v>
      </c>
      <c r="CH24" s="58" t="n">
        <v>0.3465277777777778</v>
      </c>
      <c r="CI24" s="58" t="n">
        <v>0.7555555555555555</v>
      </c>
      <c r="CJ24" s="83">
        <f>MOD(CI24-CH24,1)*24</f>
        <v/>
      </c>
      <c r="CK24" s="57" t="n">
        <v>1</v>
      </c>
      <c r="CL24" s="58" t="n">
        <v>0.3458333333333333</v>
      </c>
      <c r="CM24" s="58" t="n">
        <v>0.5006944444444444</v>
      </c>
      <c r="CN24" s="83">
        <f>MOD(CM24-CL24,1)*24</f>
        <v/>
      </c>
      <c r="CO24" s="57" t="n">
        <v>0.5</v>
      </c>
      <c r="CP24" s="58" t="n">
        <v>0.3458333333333333</v>
      </c>
      <c r="CQ24" s="58" t="n">
        <v>0.7506944444444444</v>
      </c>
      <c r="CR24" s="83">
        <f>MOD(CQ24-CP24,1)*24</f>
        <v/>
      </c>
      <c r="CS24" s="57" t="n">
        <v>1</v>
      </c>
      <c r="CT24" s="58" t="n">
        <v>0.34375</v>
      </c>
      <c r="CU24" s="58" t="n">
        <v>0.7583333333333333</v>
      </c>
      <c r="CV24" s="83">
        <f>MOD(CU24-CT24,1)*24</f>
        <v/>
      </c>
      <c r="CW24" s="57" t="n">
        <v>1</v>
      </c>
      <c r="CX24" s="58" t="n">
        <v>0.3493055555555555</v>
      </c>
      <c r="CY24" s="60" t="n">
        <v>0.7506944444444444</v>
      </c>
      <c r="CZ24" s="83">
        <f>MOD(CY24-CX24,1)*24</f>
        <v/>
      </c>
      <c r="DA24" s="57" t="n">
        <v>1</v>
      </c>
      <c r="DB24" s="41" t="n"/>
      <c r="DC24" s="41" t="n"/>
      <c r="DD24" s="83" t="n"/>
      <c r="DE24" s="41" t="n"/>
      <c r="DF24" s="58" t="n">
        <v>0.3458333333333333</v>
      </c>
      <c r="DG24" s="58" t="n">
        <v>0.75625</v>
      </c>
      <c r="DH24" s="83">
        <f>MOD(DG24-DF24,1)*24</f>
        <v/>
      </c>
      <c r="DI24" s="41" t="n">
        <v>1</v>
      </c>
      <c r="DJ24" s="58" t="n">
        <v>0.34375</v>
      </c>
      <c r="DK24" s="58" t="n">
        <v>0.7659722222222223</v>
      </c>
      <c r="DL24" s="83">
        <f>MOD(DK24-DJ24,1)*24</f>
        <v/>
      </c>
      <c r="DM24" s="57" t="n">
        <v>1</v>
      </c>
      <c r="DN24" s="58" t="n">
        <v>0.3423611111111111</v>
      </c>
      <c r="DO24" s="58" t="n">
        <v>0.9236111111111112</v>
      </c>
      <c r="DP24" s="83">
        <f>MOD(DO24-DN24,1)*24</f>
        <v/>
      </c>
      <c r="DQ24" s="57" t="n">
        <v>1</v>
      </c>
      <c r="DR24" s="61" t="n">
        <v>0.3430555555555556</v>
      </c>
      <c r="DS24" s="62" t="n">
        <v>0.9409722222222222</v>
      </c>
      <c r="DT24" s="83">
        <f>MOD(DS24-DR24,1)*24</f>
        <v/>
      </c>
      <c r="DU24" s="41" t="n">
        <v>1</v>
      </c>
      <c r="DV24" s="61" t="n"/>
      <c r="DW24" s="62" t="n"/>
      <c r="DX24" s="83" t="n"/>
      <c r="DY24" s="41" t="n"/>
      <c r="DZ24" s="84">
        <f>H24+L24+P24+T24+X24+AB24+AF24+AJ24+AN24+AR24+AV24+AZ24+BD24+BH24+BL24+BP24+BT24+BX24+CB24+CF24+CJ24+CN24+CR24+CV24+CZ24+DD24+DH24+DL24+DP24+DT24</f>
        <v/>
      </c>
      <c r="EA24" s="84">
        <f>I24+M24+Q24+U24+Y24+AC24+AG24+AK24+AO24+AS24+AW24+BA24+BE24+BI24+BM24+BQ24+BU24+BY24+CC24+CG24+CK24+CO24+CS24+CW24+DA24+DE24+DI24+DM24+DQ24+DU24</f>
        <v/>
      </c>
    </row>
    <row r="25" ht="59" customFormat="1" customHeight="1" s="54">
      <c r="A25" s="55" t="inlineStr">
        <is>
          <t>五楼</t>
        </is>
      </c>
      <c r="B25" s="56" t="inlineStr">
        <is>
          <t>李红波</t>
        </is>
      </c>
      <c r="C25" s="41" t="n">
        <v>27</v>
      </c>
      <c r="D25" s="41" t="inlineStr">
        <is>
          <t>订单部</t>
        </is>
      </c>
      <c r="E25" s="57" t="inlineStr">
        <is>
          <t>审单组</t>
        </is>
      </c>
      <c r="F25" s="57" t="inlineStr">
        <is>
          <t>08:23</t>
        </is>
      </c>
      <c r="G25" s="58" t="n">
        <v>0.7520833333333333</v>
      </c>
      <c r="H25" s="83">
        <f>MOD(G25-F25,1)*24</f>
        <v/>
      </c>
      <c r="I25" s="57" t="n">
        <v>1</v>
      </c>
      <c r="J25" s="58" t="n">
        <v>0.35</v>
      </c>
      <c r="K25" s="58" t="n">
        <v>0.7513888888888889</v>
      </c>
      <c r="L25" s="83">
        <f>MOD(K25-J25,1)*24</f>
        <v/>
      </c>
      <c r="M25" s="57" t="n">
        <v>1</v>
      </c>
      <c r="N25" s="58" t="n">
        <v>0.3444444444444444</v>
      </c>
      <c r="O25" s="58" t="n">
        <v>0.7513888888888889</v>
      </c>
      <c r="P25" s="83">
        <f>MOD(O25-N25,1)*24</f>
        <v/>
      </c>
      <c r="Q25" s="57" t="n">
        <v>1</v>
      </c>
      <c r="R25" s="58" t="n">
        <v>0.34375</v>
      </c>
      <c r="S25" s="58" t="n">
        <v>0.7534722222222222</v>
      </c>
      <c r="T25" s="83">
        <f>MOD(S25-R25,1)*24</f>
        <v/>
      </c>
      <c r="U25" s="57" t="n">
        <v>1</v>
      </c>
      <c r="V25" s="58" t="n">
        <v>0.3430555555555556</v>
      </c>
      <c r="W25" s="58" t="n">
        <v>0.7555555555555555</v>
      </c>
      <c r="X25" s="83">
        <f>MOD(W25-V25,1)*24</f>
        <v/>
      </c>
      <c r="Y25" s="57" t="n">
        <v>1</v>
      </c>
      <c r="Z25" s="58" t="n">
        <v>0.3444444444444444</v>
      </c>
      <c r="AA25" s="60" t="n">
        <v>0.7513888888888889</v>
      </c>
      <c r="AB25" s="83">
        <f>MOD(AA25-Z25,1)*24</f>
        <v/>
      </c>
      <c r="AC25" s="41" t="n">
        <v>1</v>
      </c>
      <c r="AD25" s="41" t="n"/>
      <c r="AE25" s="57" t="n"/>
      <c r="AF25" s="83" t="n"/>
      <c r="AG25" s="57" t="n"/>
      <c r="AH25" s="58" t="n">
        <v>0.3388888888888889</v>
      </c>
      <c r="AI25" s="58" t="n">
        <v>0.7541666666666667</v>
      </c>
      <c r="AJ25" s="83">
        <f>MOD(AI25-AH25,1)*24</f>
        <v/>
      </c>
      <c r="AK25" s="57" t="n">
        <v>1</v>
      </c>
      <c r="AL25" s="58" t="n">
        <v>0.3472222222222222</v>
      </c>
      <c r="AM25" s="58" t="n">
        <v>0.7555555555555555</v>
      </c>
      <c r="AN25" s="83">
        <f>MOD(AM25-AL25,1)*24</f>
        <v/>
      </c>
      <c r="AO25" s="57" t="n">
        <v>1</v>
      </c>
      <c r="AP25" s="58" t="n">
        <v>0.3493055555555555</v>
      </c>
      <c r="AQ25" s="58" t="n">
        <v>0.7534722222222222</v>
      </c>
      <c r="AR25" s="83">
        <f>MOD(AQ25-AP25,1)*24</f>
        <v/>
      </c>
      <c r="AS25" s="57" t="n">
        <v>1</v>
      </c>
      <c r="AT25" s="58" t="n">
        <v>0.34375</v>
      </c>
      <c r="AU25" s="58" t="n">
        <v>0.7590277777777777</v>
      </c>
      <c r="AV25" s="83">
        <f>MOD(AU25-AT25,1)*24</f>
        <v/>
      </c>
      <c r="AW25" s="57" t="n">
        <v>1</v>
      </c>
      <c r="AX25" s="58" t="n">
        <v>0.3472222222222222</v>
      </c>
      <c r="AY25" s="58" t="n">
        <v>0.7527777777777778</v>
      </c>
      <c r="AZ25" s="83">
        <f>MOD(AY25-AX25,1)*24</f>
        <v/>
      </c>
      <c r="BA25" s="57" t="n">
        <v>1</v>
      </c>
      <c r="BB25" s="58" t="n">
        <v>0.3444444444444444</v>
      </c>
      <c r="BC25" s="60" t="n">
        <v>0.7527777777777778</v>
      </c>
      <c r="BD25" s="83">
        <f>MOD(BC25-BB25,1)*24</f>
        <v/>
      </c>
      <c r="BE25" s="41" t="n">
        <v>1</v>
      </c>
      <c r="BF25" s="41" t="n"/>
      <c r="BG25" s="57" t="n"/>
      <c r="BH25" s="83" t="n"/>
      <c r="BI25" s="57" t="n"/>
      <c r="BJ25" s="58" t="n">
        <v>0.3430555555555556</v>
      </c>
      <c r="BK25" s="58" t="n">
        <v>0.7520833333333333</v>
      </c>
      <c r="BL25" s="83">
        <f>MOD(BK25-BJ25,1)*24</f>
        <v/>
      </c>
      <c r="BM25" s="57" t="n">
        <v>1</v>
      </c>
      <c r="BN25" s="58" t="n">
        <v>0.3465277777777778</v>
      </c>
      <c r="BO25" s="58" t="n">
        <v>0.7513888888888889</v>
      </c>
      <c r="BP25" s="83">
        <f>MOD(BO25-BN25,1)*24</f>
        <v/>
      </c>
      <c r="BQ25" s="57" t="n">
        <v>1</v>
      </c>
      <c r="BR25" s="58" t="n">
        <v>0.3465277777777778</v>
      </c>
      <c r="BS25" s="58" t="n">
        <v>0.7680555555555556</v>
      </c>
      <c r="BT25" s="83">
        <f>MOD(BS25-BR25,1)*24</f>
        <v/>
      </c>
      <c r="BU25" s="57" t="n">
        <v>1</v>
      </c>
      <c r="BV25" s="58" t="n">
        <v>0.3416666666666667</v>
      </c>
      <c r="BW25" s="60" t="n">
        <v>0.7513888888888889</v>
      </c>
      <c r="BX25" s="83">
        <f>MOD(BW25-BV25,1)*24</f>
        <v/>
      </c>
      <c r="BY25" s="41" t="n">
        <v>1</v>
      </c>
      <c r="BZ25" s="41" t="n"/>
      <c r="CA25" s="41" t="n"/>
      <c r="CB25" s="83" t="n"/>
      <c r="CC25" s="41" t="n"/>
      <c r="CD25" s="41" t="n"/>
      <c r="CE25" s="57" t="n"/>
      <c r="CF25" s="83" t="n"/>
      <c r="CG25" s="57" t="n"/>
      <c r="CH25" s="58" t="n">
        <v>0.3423611111111111</v>
      </c>
      <c r="CI25" s="58" t="n">
        <v>0.7583333333333333</v>
      </c>
      <c r="CJ25" s="83">
        <f>MOD(CI25-CH25,1)*24</f>
        <v/>
      </c>
      <c r="CK25" s="57" t="n">
        <v>1</v>
      </c>
      <c r="CL25" s="58" t="n">
        <v>0.35</v>
      </c>
      <c r="CM25" s="58" t="n">
        <v>0.7548611111111111</v>
      </c>
      <c r="CN25" s="83">
        <f>MOD(CM25-CL25,1)*24</f>
        <v/>
      </c>
      <c r="CO25" s="57" t="n">
        <v>1</v>
      </c>
      <c r="CP25" s="58" t="n">
        <v>0.3423611111111111</v>
      </c>
      <c r="CQ25" s="58" t="n">
        <v>0.7506944444444444</v>
      </c>
      <c r="CR25" s="83">
        <f>MOD(CQ25-CP25,1)*24</f>
        <v/>
      </c>
      <c r="CS25" s="57" t="n">
        <v>1</v>
      </c>
      <c r="CT25" s="58" t="n">
        <v>0.3465277777777778</v>
      </c>
      <c r="CU25" s="58" t="n">
        <v>0.7506944444444444</v>
      </c>
      <c r="CV25" s="83">
        <f>MOD(CU25-CT25,1)*24</f>
        <v/>
      </c>
      <c r="CW25" s="57" t="n">
        <v>1</v>
      </c>
      <c r="CX25" s="58" t="n">
        <v>0.3423611111111111</v>
      </c>
      <c r="CY25" s="58" t="n">
        <v>0.7569444444444444</v>
      </c>
      <c r="CZ25" s="83">
        <f>MOD(CY25-CX25,1)*24</f>
        <v/>
      </c>
      <c r="DA25" s="57" t="n">
        <v>1</v>
      </c>
      <c r="DB25" s="58" t="n">
        <v>0.3451388888888889</v>
      </c>
      <c r="DC25" s="58" t="n">
        <v>0.7527777777777778</v>
      </c>
      <c r="DD25" s="83">
        <f>MOD(DC25-DB25,1)*24</f>
        <v/>
      </c>
      <c r="DE25" s="57" t="n">
        <v>1</v>
      </c>
      <c r="DF25" s="58" t="n">
        <v>0.3451388888888889</v>
      </c>
      <c r="DG25" s="41" t="n"/>
      <c r="DH25" s="83">
        <f>MOD(DG25-DF25,1)*24</f>
        <v/>
      </c>
      <c r="DI25" s="41" t="n">
        <v>1</v>
      </c>
      <c r="DJ25" s="41" t="n"/>
      <c r="DK25" s="41" t="n"/>
      <c r="DL25" s="83" t="n"/>
      <c r="DM25" s="41" t="n"/>
      <c r="DN25" s="58" t="n">
        <v>0.3458333333333333</v>
      </c>
      <c r="DO25" s="58" t="n">
        <v>0.75625</v>
      </c>
      <c r="DP25" s="83">
        <f>MOD(DO25-DN25,1)*24</f>
        <v/>
      </c>
      <c r="DQ25" s="57" t="n">
        <v>1</v>
      </c>
      <c r="DR25" s="61" t="n">
        <v>0.3472222222222222</v>
      </c>
      <c r="DS25" s="62" t="n">
        <v>0.7805555555555556</v>
      </c>
      <c r="DT25" s="83">
        <f>MOD(DS25-DR25,1)*24</f>
        <v/>
      </c>
      <c r="DU25" s="41" t="n">
        <v>1</v>
      </c>
      <c r="DV25" s="61" t="n"/>
      <c r="DW25" s="62" t="n"/>
      <c r="DX25" s="83" t="n"/>
      <c r="DY25" s="41" t="n"/>
      <c r="DZ25" s="84">
        <f>H25+L25+P25+T25+X25+AB25+AF25+AJ25+AN25+AR25+AV25+AZ25+BD25+BH25+BL25+BP25+BT25+BX25+CB25+CF25+CJ25+CN25+CR25+CV25+CZ25+DD25+DH25+DL25+DP25+DT25</f>
        <v/>
      </c>
      <c r="EA25" s="84">
        <f>I25+M25+Q25+U25+Y25+AC25+AG25+AK25+AO25+AS25+AW25+BA25+BE25+BI25+BM25+BQ25+BU25+BY25+CC25+CG25+CK25+CO25+CS25+CW25+DA25+DE25+DI25+DM25+DQ25+DU25</f>
        <v/>
      </c>
    </row>
    <row r="26" ht="59" customFormat="1" customHeight="1" s="54">
      <c r="A26" s="55" t="inlineStr">
        <is>
          <t>五楼</t>
        </is>
      </c>
      <c r="B26" s="56" t="inlineStr">
        <is>
          <t>陈明会</t>
        </is>
      </c>
      <c r="C26" s="41" t="n">
        <v>28</v>
      </c>
      <c r="D26" s="41" t="inlineStr">
        <is>
          <t>综合部</t>
        </is>
      </c>
      <c r="E26" s="57" t="inlineStr">
        <is>
          <t>财务核价</t>
        </is>
      </c>
      <c r="F26" s="57" t="inlineStr">
        <is>
          <t>08:16</t>
        </is>
      </c>
      <c r="G26" s="58" t="n">
        <v>0.7541666666666667</v>
      </c>
      <c r="H26" s="83">
        <f>MOD(G26-F26,1)*24</f>
        <v/>
      </c>
      <c r="I26" s="57" t="n">
        <v>1</v>
      </c>
      <c r="J26" s="58" t="n">
        <v>0.3277777777777778</v>
      </c>
      <c r="K26" s="58" t="n">
        <v>0.7513888888888889</v>
      </c>
      <c r="L26" s="83">
        <f>MOD(K26-J26,1)*24</f>
        <v/>
      </c>
      <c r="M26" s="57" t="n">
        <v>1</v>
      </c>
      <c r="N26" s="58" t="n">
        <v>0.3430555555555556</v>
      </c>
      <c r="O26" s="58" t="n">
        <v>0.7590277777777777</v>
      </c>
      <c r="P26" s="83">
        <f>MOD(O26-N26,1)*24</f>
        <v/>
      </c>
      <c r="Q26" s="57" t="n">
        <v>1</v>
      </c>
      <c r="R26" s="58" t="n">
        <v>0.3263888888888889</v>
      </c>
      <c r="S26" s="58" t="n">
        <v>0.8</v>
      </c>
      <c r="T26" s="83">
        <f>MOD(S26-R26,1)*24</f>
        <v/>
      </c>
      <c r="U26" s="57" t="n">
        <v>1</v>
      </c>
      <c r="V26" s="58" t="n">
        <v>0.3458333333333333</v>
      </c>
      <c r="W26" s="58" t="n">
        <v>0.7576388888888889</v>
      </c>
      <c r="X26" s="83">
        <f>MOD(W26-V26,1)*24</f>
        <v/>
      </c>
      <c r="Y26" s="57" t="n">
        <v>1</v>
      </c>
      <c r="Z26" s="58" t="n">
        <v>0.3423611111111111</v>
      </c>
      <c r="AA26" s="60" t="n">
        <v>0.7513888888888889</v>
      </c>
      <c r="AB26" s="83">
        <f>MOD(AA26-Z26,1)*24</f>
        <v/>
      </c>
      <c r="AC26" s="41" t="n">
        <v>1</v>
      </c>
      <c r="AD26" s="41" t="n"/>
      <c r="AE26" s="57" t="n"/>
      <c r="AF26" s="83" t="n"/>
      <c r="AG26" s="57" t="n"/>
      <c r="AH26" s="58" t="n">
        <v>0.3458333333333333</v>
      </c>
      <c r="AI26" s="58" t="n">
        <v>0.7659722222222223</v>
      </c>
      <c r="AJ26" s="83">
        <f>MOD(AI26-AH26,1)*24</f>
        <v/>
      </c>
      <c r="AK26" s="57" t="n">
        <v>1</v>
      </c>
      <c r="AL26" s="58" t="n">
        <v>0.3444444444444444</v>
      </c>
      <c r="AM26" s="58" t="n">
        <v>0.7576388888888889</v>
      </c>
      <c r="AN26" s="83">
        <f>MOD(AM26-AL26,1)*24</f>
        <v/>
      </c>
      <c r="AO26" s="57" t="n">
        <v>1</v>
      </c>
      <c r="AP26" s="58" t="n">
        <v>0.3409722222222222</v>
      </c>
      <c r="AQ26" s="58" t="n">
        <v>0.75625</v>
      </c>
      <c r="AR26" s="83">
        <f>MOD(AQ26-AP26,1)*24</f>
        <v/>
      </c>
      <c r="AS26" s="57" t="n">
        <v>1</v>
      </c>
      <c r="AT26" s="58" t="n">
        <v>0.3243055555555556</v>
      </c>
      <c r="AU26" s="58" t="n">
        <v>0.7520833333333333</v>
      </c>
      <c r="AV26" s="83">
        <f>MOD(AU26-AT26,1)*24</f>
        <v/>
      </c>
      <c r="AW26" s="57" t="n">
        <v>1</v>
      </c>
      <c r="AX26" s="58" t="n">
        <v>0.3388888888888889</v>
      </c>
      <c r="AY26" s="58" t="n">
        <v>0.7527777777777778</v>
      </c>
      <c r="AZ26" s="83">
        <f>MOD(AY26-AX26,1)*24</f>
        <v/>
      </c>
      <c r="BA26" s="57" t="n">
        <v>1</v>
      </c>
      <c r="BB26" s="58" t="n">
        <v>0.3444444444444444</v>
      </c>
      <c r="BC26" s="60" t="n">
        <v>0.7520833333333333</v>
      </c>
      <c r="BD26" s="83">
        <f>MOD(BC26-BB26,1)*24</f>
        <v/>
      </c>
      <c r="BE26" s="41" t="n">
        <v>1</v>
      </c>
      <c r="BF26" s="41" t="n"/>
      <c r="BG26" s="57" t="n"/>
      <c r="BH26" s="83" t="n"/>
      <c r="BI26" s="57" t="n"/>
      <c r="BJ26" s="58" t="n">
        <v>0.34375</v>
      </c>
      <c r="BK26" s="58" t="n">
        <v>0.7527777777777778</v>
      </c>
      <c r="BL26" s="83">
        <f>MOD(BK26-BJ26,1)*24</f>
        <v/>
      </c>
      <c r="BM26" s="57" t="n">
        <v>1</v>
      </c>
      <c r="BN26" s="58" t="n">
        <v>0.3347222222222222</v>
      </c>
      <c r="BO26" s="58" t="n">
        <v>0.7520833333333333</v>
      </c>
      <c r="BP26" s="83">
        <f>MOD(BO26-BN26,1)*24</f>
        <v/>
      </c>
      <c r="BQ26" s="57" t="n">
        <v>1</v>
      </c>
      <c r="BR26" s="58" t="n">
        <v>0.3277777777777778</v>
      </c>
      <c r="BS26" s="58" t="n">
        <v>0.7513888888888889</v>
      </c>
      <c r="BT26" s="83">
        <f>MOD(BS26-BR26,1)*24</f>
        <v/>
      </c>
      <c r="BU26" s="57" t="n">
        <v>1</v>
      </c>
      <c r="BV26" s="58" t="n">
        <v>0.3347222222222222</v>
      </c>
      <c r="BW26" s="60" t="n">
        <v>0.7534722222222222</v>
      </c>
      <c r="BX26" s="83">
        <f>MOD(BW26-BV26,1)*24</f>
        <v/>
      </c>
      <c r="BY26" s="41" t="n">
        <v>1</v>
      </c>
      <c r="BZ26" s="41" t="n"/>
      <c r="CA26" s="41" t="n"/>
      <c r="CB26" s="83" t="n"/>
      <c r="CC26" s="41" t="n"/>
      <c r="CD26" s="41" t="n"/>
      <c r="CE26" s="57" t="n"/>
      <c r="CF26" s="83" t="n"/>
      <c r="CG26" s="57" t="n"/>
      <c r="CH26" s="58" t="n">
        <v>0.3368055555555556</v>
      </c>
      <c r="CI26" s="58" t="n">
        <v>0.75</v>
      </c>
      <c r="CJ26" s="83">
        <f>MOD(CI26-CH26,1)*24</f>
        <v/>
      </c>
      <c r="CK26" s="57" t="n">
        <v>1</v>
      </c>
      <c r="CL26" s="58" t="n">
        <v>0.3409722222222222</v>
      </c>
      <c r="CM26" s="58" t="n">
        <v>0.7520833333333333</v>
      </c>
      <c r="CN26" s="83">
        <f>MOD(CM26-CL26,1)*24</f>
        <v/>
      </c>
      <c r="CO26" s="57" t="n">
        <v>1</v>
      </c>
      <c r="CP26" s="58" t="n">
        <v>0.3263888888888889</v>
      </c>
      <c r="CQ26" s="58" t="n">
        <v>0.7555555555555555</v>
      </c>
      <c r="CR26" s="83">
        <f>MOD(CQ26-CP26,1)*24</f>
        <v/>
      </c>
      <c r="CS26" s="57" t="n">
        <v>1</v>
      </c>
      <c r="CT26" s="58" t="n">
        <v>0.3340277777777778</v>
      </c>
      <c r="CU26" s="58" t="n">
        <v>0.7520833333333333</v>
      </c>
      <c r="CV26" s="83">
        <f>MOD(CU26-CT26,1)*24</f>
        <v/>
      </c>
      <c r="CW26" s="57" t="n">
        <v>1</v>
      </c>
      <c r="CX26" s="58" t="n">
        <v>0.3451388888888889</v>
      </c>
      <c r="CY26" s="58" t="n">
        <v>0.76875</v>
      </c>
      <c r="CZ26" s="83">
        <f>MOD(CY26-CX26,1)*24</f>
        <v/>
      </c>
      <c r="DA26" s="57" t="n">
        <v>1</v>
      </c>
      <c r="DB26" s="58" t="n">
        <v>0.3340277777777778</v>
      </c>
      <c r="DC26" s="58" t="n">
        <v>0.7583333333333333</v>
      </c>
      <c r="DD26" s="83">
        <f>MOD(DC26-DB26,1)*24</f>
        <v/>
      </c>
      <c r="DE26" s="57" t="n">
        <v>1</v>
      </c>
      <c r="DF26" s="58" t="n">
        <v>0.3423611111111111</v>
      </c>
      <c r="DG26" s="60" t="n">
        <v>0.7569444444444444</v>
      </c>
      <c r="DH26" s="83">
        <f>MOD(DG26-DF26,1)*24</f>
        <v/>
      </c>
      <c r="DI26" s="41" t="n">
        <v>1</v>
      </c>
      <c r="DJ26" s="41" t="n"/>
      <c r="DK26" s="41" t="n"/>
      <c r="DL26" s="83" t="n"/>
      <c r="DM26" s="41" t="n"/>
      <c r="DN26" s="58" t="n">
        <v>0.34375</v>
      </c>
      <c r="DO26" s="58" t="n">
        <v>0.8027777777777778</v>
      </c>
      <c r="DP26" s="83">
        <f>MOD(DO26-DN26,1)*24</f>
        <v/>
      </c>
      <c r="DQ26" s="57" t="n">
        <v>1</v>
      </c>
      <c r="DR26" s="61" t="n">
        <v>0.3458333333333333</v>
      </c>
      <c r="DS26" s="62" t="n">
        <v>0.8736111111111111</v>
      </c>
      <c r="DT26" s="83">
        <f>MOD(DS26-DR26,1)*24</f>
        <v/>
      </c>
      <c r="DU26" s="41" t="n">
        <v>1</v>
      </c>
      <c r="DV26" s="61" t="n"/>
      <c r="DW26" s="62" t="n"/>
      <c r="DX26" s="83" t="n"/>
      <c r="DY26" s="41" t="n"/>
      <c r="DZ26" s="84">
        <f>H26+L26+P26+T26+X26+AB26+AF26+AJ26+AN26+AR26+AV26+AZ26+BD26+BH26+BL26+BP26+BT26+BX26+CB26+CF26+CJ26+CN26+CR26+CV26+CZ26+DD26+DH26+DL26+DP26+DT26</f>
        <v/>
      </c>
      <c r="EA26" s="84">
        <f>I26+M26+Q26+U26+Y26+AC26+AG26+AK26+AO26+AS26+AW26+BA26+BE26+BI26+BM26+BQ26+BU26+BY26+CC26+CG26+CK26+CO26+CS26+CW26+DA26+DE26+DI26+DM26+DQ26+DU26</f>
        <v/>
      </c>
    </row>
    <row r="27" ht="59" customFormat="1" customHeight="1" s="54">
      <c r="A27" s="55" t="inlineStr">
        <is>
          <t>五楼</t>
        </is>
      </c>
      <c r="B27" s="56" t="inlineStr">
        <is>
          <t>张金彬</t>
        </is>
      </c>
      <c r="C27" s="41" t="n">
        <v>29</v>
      </c>
      <c r="D27" s="41" t="inlineStr">
        <is>
          <t>设计部</t>
        </is>
      </c>
      <c r="E27" s="57" t="inlineStr">
        <is>
          <t>设计组</t>
        </is>
      </c>
      <c r="F27" s="57" t="inlineStr">
        <is>
          <t>08:20</t>
        </is>
      </c>
      <c r="G27" s="58" t="n">
        <v>0.7569444444444444</v>
      </c>
      <c r="H27" s="83">
        <f>MOD(G27-F27,1)*24</f>
        <v/>
      </c>
      <c r="I27" s="57" t="n">
        <v>1</v>
      </c>
      <c r="J27" s="58" t="n">
        <v>0.3520833333333334</v>
      </c>
      <c r="K27" s="58" t="n">
        <v>0.7548611111111111</v>
      </c>
      <c r="L27" s="83">
        <f>MOD(K27-J27,1)*24</f>
        <v/>
      </c>
      <c r="M27" s="57" t="n">
        <v>1</v>
      </c>
      <c r="N27" s="58" t="n">
        <v>0.3479166666666667</v>
      </c>
      <c r="O27" s="58" t="n">
        <v>0.7569444444444444</v>
      </c>
      <c r="P27" s="83">
        <f>MOD(O27-N27,1)*24</f>
        <v/>
      </c>
      <c r="Q27" s="57" t="n">
        <v>1</v>
      </c>
      <c r="R27" s="58" t="n">
        <v>0.3479166666666667</v>
      </c>
      <c r="S27" s="58" t="n">
        <v>0.8194444444444444</v>
      </c>
      <c r="T27" s="83">
        <f>MOD(S27-R27,1)*24</f>
        <v/>
      </c>
      <c r="U27" s="57" t="n">
        <v>1</v>
      </c>
      <c r="V27" s="58" t="n">
        <v>0.3472222222222222</v>
      </c>
      <c r="W27" s="58" t="n">
        <v>0.7597222222222222</v>
      </c>
      <c r="X27" s="83">
        <f>MOD(W27-V27,1)*24</f>
        <v/>
      </c>
      <c r="Y27" s="57" t="n">
        <v>1</v>
      </c>
      <c r="Z27" s="58" t="n">
        <v>0.3479166666666667</v>
      </c>
      <c r="AA27" s="60" t="n">
        <v>0.7583333333333333</v>
      </c>
      <c r="AB27" s="83">
        <f>MOD(AA27-Z27,1)*24</f>
        <v/>
      </c>
      <c r="AC27" s="41" t="n">
        <v>1</v>
      </c>
      <c r="AD27" s="41" t="n"/>
      <c r="AE27" s="57" t="n"/>
      <c r="AF27" s="83" t="n"/>
      <c r="AG27" s="57" t="n"/>
      <c r="AH27" s="58" t="n">
        <v>0.7520833333333333</v>
      </c>
      <c r="AI27" s="57" t="n"/>
      <c r="AJ27" s="83" t="n"/>
      <c r="AK27" s="57" t="n">
        <v>0.5</v>
      </c>
      <c r="AL27" s="58" t="n">
        <v>0.3520833333333334</v>
      </c>
      <c r="AM27" s="58" t="n">
        <v>0.7527777777777778</v>
      </c>
      <c r="AN27" s="83">
        <f>MOD(AM27-AL27,1)*24</f>
        <v/>
      </c>
      <c r="AO27" s="57" t="n">
        <v>1</v>
      </c>
      <c r="AP27" s="58" t="n">
        <v>0.35</v>
      </c>
      <c r="AQ27" s="58" t="n">
        <v>0.9069444444444444</v>
      </c>
      <c r="AR27" s="83">
        <f>MOD(AQ27-AP27,1)*24</f>
        <v/>
      </c>
      <c r="AS27" s="57" t="n">
        <v>1</v>
      </c>
      <c r="AT27" s="58" t="n">
        <v>0.3527777777777778</v>
      </c>
      <c r="AU27" s="58" t="n">
        <v>0.7541666666666667</v>
      </c>
      <c r="AV27" s="83">
        <f>MOD(AU27-AT27,1)*24</f>
        <v/>
      </c>
      <c r="AW27" s="57" t="n">
        <v>1</v>
      </c>
      <c r="AX27" s="58" t="n">
        <v>0.3472222222222222</v>
      </c>
      <c r="AY27" s="58" t="n">
        <v>0.7520833333333333</v>
      </c>
      <c r="AZ27" s="83">
        <f>MOD(AY27-AX27,1)*24</f>
        <v/>
      </c>
      <c r="BA27" s="57" t="n">
        <v>1</v>
      </c>
      <c r="BB27" s="58" t="n">
        <v>0.3465277777777778</v>
      </c>
      <c r="BC27" s="60" t="n">
        <v>0.7506944444444444</v>
      </c>
      <c r="BD27" s="83">
        <f>MOD(BC27-BB27,1)*24</f>
        <v/>
      </c>
      <c r="BE27" s="41" t="n">
        <v>1</v>
      </c>
      <c r="BF27" s="41" t="n"/>
      <c r="BG27" s="57" t="n"/>
      <c r="BH27" s="83" t="n"/>
      <c r="BI27" s="57" t="n"/>
      <c r="BJ27" s="58" t="n">
        <v>0.3534722222222222</v>
      </c>
      <c r="BK27" s="58" t="n">
        <v>0.7520833333333333</v>
      </c>
      <c r="BL27" s="83">
        <f>MOD(BK27-BJ27,1)*24</f>
        <v/>
      </c>
      <c r="BM27" s="57" t="n">
        <v>1</v>
      </c>
      <c r="BN27" s="58" t="n">
        <v>0.3493055555555555</v>
      </c>
      <c r="BO27" s="58" t="n">
        <v>0.7520833333333333</v>
      </c>
      <c r="BP27" s="83">
        <f>MOD(BO27-BN27,1)*24</f>
        <v/>
      </c>
      <c r="BQ27" s="57" t="n">
        <v>1</v>
      </c>
      <c r="BR27" s="58" t="n">
        <v>0.3493055555555555</v>
      </c>
      <c r="BS27" s="58" t="n">
        <v>0.7527777777777778</v>
      </c>
      <c r="BT27" s="83">
        <f>MOD(BS27-BR27,1)*24</f>
        <v/>
      </c>
      <c r="BU27" s="57" t="n">
        <v>1</v>
      </c>
      <c r="BV27" s="58" t="n">
        <v>0.3493055555555555</v>
      </c>
      <c r="BW27" s="60" t="n">
        <v>0.7555555555555555</v>
      </c>
      <c r="BX27" s="83">
        <f>MOD(BW27-BV27,1)*24</f>
        <v/>
      </c>
      <c r="BY27" s="41" t="n">
        <v>1</v>
      </c>
      <c r="BZ27" s="41" t="n"/>
      <c r="CA27" s="41" t="n"/>
      <c r="CB27" s="83" t="n"/>
      <c r="CC27" s="41" t="n"/>
      <c r="CD27" s="41" t="n"/>
      <c r="CE27" s="57" t="n"/>
      <c r="CF27" s="83" t="n"/>
      <c r="CG27" s="57" t="n"/>
      <c r="CH27" s="58" t="n">
        <v>0.35</v>
      </c>
      <c r="CI27" s="58" t="n">
        <v>0.7569444444444444</v>
      </c>
      <c r="CJ27" s="83">
        <f>MOD(CI27-CH27,1)*24</f>
        <v/>
      </c>
      <c r="CK27" s="57" t="n">
        <v>1</v>
      </c>
      <c r="CL27" s="58" t="n">
        <v>0.3493055555555555</v>
      </c>
      <c r="CM27" s="58" t="n">
        <v>0.7541666666666667</v>
      </c>
      <c r="CN27" s="83">
        <f>MOD(CM27-CL27,1)*24</f>
        <v/>
      </c>
      <c r="CO27" s="57" t="n">
        <v>1</v>
      </c>
      <c r="CP27" s="58" t="n">
        <v>0.3493055555555555</v>
      </c>
      <c r="CQ27" s="58" t="n">
        <v>0.7597222222222222</v>
      </c>
      <c r="CR27" s="83">
        <f>MOD(CQ27-CP27,1)*24</f>
        <v/>
      </c>
      <c r="CS27" s="57" t="n">
        <v>1</v>
      </c>
      <c r="CT27" s="58" t="n">
        <v>0.35</v>
      </c>
      <c r="CU27" s="58" t="n">
        <v>0.7513888888888889</v>
      </c>
      <c r="CV27" s="83">
        <f>MOD(CU27-CT27,1)*24</f>
        <v/>
      </c>
      <c r="CW27" s="57" t="n">
        <v>1</v>
      </c>
      <c r="CX27" s="58" t="n">
        <v>0.3493055555555555</v>
      </c>
      <c r="CY27" s="58" t="n">
        <v>0.7618055555555555</v>
      </c>
      <c r="CZ27" s="83">
        <f>MOD(CY27-CX27,1)*24</f>
        <v/>
      </c>
      <c r="DA27" s="57" t="n">
        <v>1</v>
      </c>
      <c r="DB27" s="58" t="n">
        <v>0.35</v>
      </c>
      <c r="DC27" s="58" t="n">
        <v>0.7569444444444444</v>
      </c>
      <c r="DD27" s="83">
        <f>MOD(DC27-DB27,1)*24</f>
        <v/>
      </c>
      <c r="DE27" s="57" t="n">
        <v>1</v>
      </c>
      <c r="DF27" s="58" t="n">
        <v>0.3451388888888889</v>
      </c>
      <c r="DG27" s="60" t="n">
        <v>0.7520833333333333</v>
      </c>
      <c r="DH27" s="83">
        <f>MOD(DG27-DF27,1)*24</f>
        <v/>
      </c>
      <c r="DI27" s="41" t="n">
        <v>1</v>
      </c>
      <c r="DJ27" s="41" t="n"/>
      <c r="DK27" s="41" t="n"/>
      <c r="DL27" s="83" t="n"/>
      <c r="DM27" s="41" t="n"/>
      <c r="DN27" s="58" t="n">
        <v>0.3486111111111111</v>
      </c>
      <c r="DO27" s="58" t="n">
        <v>0.7541666666666667</v>
      </c>
      <c r="DP27" s="83">
        <f>MOD(DO27-DN27,1)*24</f>
        <v/>
      </c>
      <c r="DQ27" s="57" t="n">
        <v>1</v>
      </c>
      <c r="DR27" s="61" t="n">
        <v>0.3472222222222222</v>
      </c>
      <c r="DS27" s="62" t="n">
        <v>0.7701388888888889</v>
      </c>
      <c r="DT27" s="83">
        <f>MOD(DS27-DR27,1)*24</f>
        <v/>
      </c>
      <c r="DU27" s="41" t="n">
        <v>1</v>
      </c>
      <c r="DV27" s="61" t="n"/>
      <c r="DW27" s="62" t="n"/>
      <c r="DX27" s="83" t="n"/>
      <c r="DY27" s="41" t="n"/>
      <c r="DZ27" s="84">
        <f>H27+L27+P27+T27+X27+AB27+AF27+AJ27+AN27+AR27+AV27+AZ27+BD27+BH27+BL27+BP27+BT27+BX27+CB27+CF27+CJ27+CN27+CR27+CV27+CZ27+DD27+DH27+DL27+DP27+DT27</f>
        <v/>
      </c>
      <c r="EA27" s="84">
        <f>I27+M27+Q27+U27+Y27+AC27+AG27+AK27+AO27+AS27+AW27+BA27+BE27+BI27+BM27+BQ27+BU27+BY27+CC27+CG27+CK27+CO27+CS27+CW27+DA27+DE27+DI27+DM27+DQ27+DU27</f>
        <v/>
      </c>
    </row>
    <row r="28" ht="59" customFormat="1" customHeight="1" s="54">
      <c r="A28" s="55" t="inlineStr">
        <is>
          <t>五楼</t>
        </is>
      </c>
      <c r="B28" s="56" t="inlineStr">
        <is>
          <t>吕丹丹</t>
        </is>
      </c>
      <c r="C28" s="41" t="n">
        <v>31</v>
      </c>
      <c r="D28" s="41" t="inlineStr">
        <is>
          <t>订单部</t>
        </is>
      </c>
      <c r="E28" s="57" t="inlineStr">
        <is>
          <t>接单报价组</t>
        </is>
      </c>
      <c r="F28" s="57" t="inlineStr">
        <is>
          <t>08:26</t>
        </is>
      </c>
      <c r="G28" s="58" t="n">
        <v>0.7506944444444444</v>
      </c>
      <c r="H28" s="83">
        <f>MOD(G28-F28,1)*24</f>
        <v/>
      </c>
      <c r="I28" s="57" t="n">
        <v>1</v>
      </c>
      <c r="J28" s="58" t="n">
        <v>0.3513888888888889</v>
      </c>
      <c r="K28" s="60" t="n">
        <v>0.7506944444444444</v>
      </c>
      <c r="L28" s="83">
        <f>MOD(K28-J28,1)*24</f>
        <v/>
      </c>
      <c r="M28" s="57" t="n">
        <v>1</v>
      </c>
      <c r="N28" s="41" t="n"/>
      <c r="O28" s="57" t="n"/>
      <c r="P28" s="83" t="n"/>
      <c r="Q28" s="57" t="n"/>
      <c r="R28" s="58" t="n">
        <v>0.3479166666666667</v>
      </c>
      <c r="S28" s="58" t="n">
        <v>0.7506944444444444</v>
      </c>
      <c r="T28" s="83">
        <f>MOD(S28-R28,1)*24</f>
        <v/>
      </c>
      <c r="U28" s="57" t="n">
        <v>1</v>
      </c>
      <c r="V28" s="58" t="n">
        <v>0.3486111111111111</v>
      </c>
      <c r="W28" s="58" t="n">
        <v>0.75</v>
      </c>
      <c r="X28" s="83">
        <f>MOD(W28-V28,1)*24</f>
        <v/>
      </c>
      <c r="Y28" s="57" t="n">
        <v>1</v>
      </c>
      <c r="Z28" s="58" t="n">
        <v>0.3493055555555555</v>
      </c>
      <c r="AA28" s="58" t="n">
        <v>0.7506944444444444</v>
      </c>
      <c r="AB28" s="83">
        <f>MOD(AA28-Z28,1)*24</f>
        <v/>
      </c>
      <c r="AC28" s="41" t="n">
        <v>1</v>
      </c>
      <c r="AD28" s="58" t="n">
        <v>0.35</v>
      </c>
      <c r="AE28" s="58" t="n">
        <v>0.7506944444444444</v>
      </c>
      <c r="AF28" s="83">
        <f>MOD(AE28-AD28,1)*24</f>
        <v/>
      </c>
      <c r="AG28" s="57" t="n">
        <v>1</v>
      </c>
      <c r="AH28" s="58" t="n">
        <v>0.3527777777777778</v>
      </c>
      <c r="AI28" s="58" t="n">
        <v>0.7506944444444444</v>
      </c>
      <c r="AJ28" s="83">
        <f>MOD(AI28-AH28,1)*24</f>
        <v/>
      </c>
      <c r="AK28" s="57" t="n">
        <v>1</v>
      </c>
      <c r="AL28" s="58" t="n">
        <v>0.3493055555555555</v>
      </c>
      <c r="AM28" s="58" t="n">
        <v>0.7506944444444444</v>
      </c>
      <c r="AN28" s="83">
        <f>MOD(AM28-AL28,1)*24</f>
        <v/>
      </c>
      <c r="AO28" s="57" t="n">
        <v>1</v>
      </c>
      <c r="AP28" s="58" t="n">
        <v>0.35</v>
      </c>
      <c r="AQ28" s="58" t="n">
        <v>0.7506944444444444</v>
      </c>
      <c r="AR28" s="83">
        <f>MOD(AQ28-AP28,1)*24</f>
        <v/>
      </c>
      <c r="AS28" s="57" t="n">
        <v>1</v>
      </c>
      <c r="AT28" s="58" t="n">
        <v>0.3486111111111111</v>
      </c>
      <c r="AU28" s="58" t="n">
        <v>0.7513888888888889</v>
      </c>
      <c r="AV28" s="83">
        <f>MOD(AU28-AT28,1)*24</f>
        <v/>
      </c>
      <c r="AW28" s="57" t="n">
        <v>1</v>
      </c>
      <c r="AX28" s="58" t="n">
        <v>0.3486111111111111</v>
      </c>
      <c r="AY28" s="58" t="n">
        <v>0.7506944444444444</v>
      </c>
      <c r="AZ28" s="83">
        <f>MOD(AY28-AX28,1)*24</f>
        <v/>
      </c>
      <c r="BA28" s="57" t="n">
        <v>1</v>
      </c>
      <c r="BB28" s="58" t="n">
        <v>0.3493055555555555</v>
      </c>
      <c r="BC28" s="60" t="n">
        <v>0.7506944444444444</v>
      </c>
      <c r="BD28" s="83">
        <f>MOD(BC28-BB28,1)*24</f>
        <v/>
      </c>
      <c r="BE28" s="41" t="n">
        <v>1</v>
      </c>
      <c r="BF28" s="41" t="n"/>
      <c r="BG28" s="57" t="n"/>
      <c r="BH28" s="83" t="n"/>
      <c r="BI28" s="57" t="n"/>
      <c r="BJ28" s="58" t="n">
        <v>0.3479166666666667</v>
      </c>
      <c r="BK28" s="58" t="n">
        <v>0.7506944444444444</v>
      </c>
      <c r="BL28" s="83">
        <f>MOD(BK28-BJ28,1)*24</f>
        <v/>
      </c>
      <c r="BM28" s="57" t="n">
        <v>1</v>
      </c>
      <c r="BN28" s="58" t="n">
        <v>0.3479166666666667</v>
      </c>
      <c r="BO28" s="58" t="n">
        <v>0.7506944444444444</v>
      </c>
      <c r="BP28" s="83">
        <f>MOD(BO28-BN28,1)*24</f>
        <v/>
      </c>
      <c r="BQ28" s="57" t="n">
        <v>1</v>
      </c>
      <c r="BR28" s="58" t="n">
        <v>0.3506944444444444</v>
      </c>
      <c r="BS28" s="58" t="n">
        <v>0.7513888888888889</v>
      </c>
      <c r="BT28" s="83">
        <f>MOD(BS28-BR28,1)*24</f>
        <v/>
      </c>
      <c r="BU28" s="57" t="n">
        <v>1</v>
      </c>
      <c r="BV28" s="58" t="n">
        <v>0.3493055555555555</v>
      </c>
      <c r="BW28" s="60" t="n">
        <v>0.7506944444444444</v>
      </c>
      <c r="BX28" s="83">
        <f>MOD(BW28-BV28,1)*24</f>
        <v/>
      </c>
      <c r="BY28" s="41" t="n">
        <v>1</v>
      </c>
      <c r="BZ28" s="41" t="n"/>
      <c r="CA28" s="41" t="n"/>
      <c r="CB28" s="83" t="n"/>
      <c r="CC28" s="41" t="n"/>
      <c r="CD28" s="41" t="n"/>
      <c r="CE28" s="57" t="n"/>
      <c r="CF28" s="83" t="n"/>
      <c r="CG28" s="57" t="n"/>
      <c r="CH28" s="58" t="n">
        <v>0.3486111111111111</v>
      </c>
      <c r="CI28" s="58" t="n">
        <v>0.7506944444444444</v>
      </c>
      <c r="CJ28" s="83">
        <f>MOD(CI28-CH28,1)*24</f>
        <v/>
      </c>
      <c r="CK28" s="57" t="n">
        <v>1</v>
      </c>
      <c r="CL28" s="58" t="n">
        <v>0.35</v>
      </c>
      <c r="CM28" s="58" t="n">
        <v>0.7513888888888889</v>
      </c>
      <c r="CN28" s="83">
        <f>MOD(CM28-CL28,1)*24</f>
        <v/>
      </c>
      <c r="CO28" s="57" t="n">
        <v>1</v>
      </c>
      <c r="CP28" s="58" t="n">
        <v>0.3479166666666667</v>
      </c>
      <c r="CQ28" s="58" t="n">
        <v>0.7506944444444444</v>
      </c>
      <c r="CR28" s="83">
        <f>MOD(CQ28-CP28,1)*24</f>
        <v/>
      </c>
      <c r="CS28" s="57" t="n">
        <v>1</v>
      </c>
      <c r="CT28" s="58" t="n">
        <v>0.3458333333333333</v>
      </c>
      <c r="CU28" s="58" t="n">
        <v>0.7513888888888889</v>
      </c>
      <c r="CV28" s="83">
        <f>MOD(CU28-CT28,1)*24</f>
        <v/>
      </c>
      <c r="CW28" s="57" t="n">
        <v>1</v>
      </c>
      <c r="CX28" s="58" t="n">
        <v>0.35</v>
      </c>
      <c r="CY28" s="58" t="n">
        <v>0.7506944444444444</v>
      </c>
      <c r="CZ28" s="83">
        <f>MOD(CY28-CX28,1)*24</f>
        <v/>
      </c>
      <c r="DA28" s="57" t="n">
        <v>1</v>
      </c>
      <c r="DB28" s="58" t="n">
        <v>0.3527777777777778</v>
      </c>
      <c r="DC28" s="58" t="n">
        <v>0.7506944444444444</v>
      </c>
      <c r="DD28" s="83">
        <f>MOD(DC28-DB28,1)*24</f>
        <v/>
      </c>
      <c r="DE28" s="57" t="n">
        <v>1</v>
      </c>
      <c r="DF28" s="58" t="n">
        <v>0.3465277777777778</v>
      </c>
      <c r="DG28" s="60" t="n">
        <v>0.7506944444444444</v>
      </c>
      <c r="DH28" s="83">
        <f>MOD(DG28-DF28,1)*24</f>
        <v/>
      </c>
      <c r="DI28" s="41" t="n">
        <v>1</v>
      </c>
      <c r="DJ28" s="41" t="n"/>
      <c r="DK28" s="41" t="n"/>
      <c r="DL28" s="83" t="n"/>
      <c r="DM28" s="41" t="n"/>
      <c r="DN28" s="58" t="n">
        <v>0.3506944444444444</v>
      </c>
      <c r="DO28" s="58" t="n">
        <v>0.7527777777777778</v>
      </c>
      <c r="DP28" s="83">
        <f>MOD(DO28-DN28,1)*24</f>
        <v/>
      </c>
      <c r="DQ28" s="57" t="n">
        <v>1</v>
      </c>
      <c r="DR28" s="61" t="n">
        <v>0.3472222222222222</v>
      </c>
      <c r="DS28" s="62" t="n">
        <v>0.7666666666666667</v>
      </c>
      <c r="DT28" s="83">
        <f>MOD(DS28-DR28,1)*24</f>
        <v/>
      </c>
      <c r="DU28" s="41" t="n">
        <v>1</v>
      </c>
      <c r="DV28" s="61" t="n"/>
      <c r="DW28" s="62" t="n"/>
      <c r="DX28" s="83" t="n"/>
      <c r="DY28" s="41" t="n"/>
      <c r="DZ28" s="84">
        <f>H28+L28+P28+T28+X28+AB28+AF28+AJ28+AN28+AR28+AV28+AZ28+BD28+BH28+BL28+BP28+BT28+BX28+CB28+CF28+CJ28+CN28+CR28+CV28+CZ28+DD28+DH28+DL28+DP28+DT28</f>
        <v/>
      </c>
      <c r="EA28" s="84">
        <f>I28+M28+Q28+U28+Y28+AC28+AG28+AK28+AO28+AS28+AW28+BA28+BE28+BI28+BM28+BQ28+BU28+BY28+CC28+CG28+CK28+CO28+CS28+CW28+DA28+DE28+DI28+DM28+DQ28+DU28</f>
        <v/>
      </c>
    </row>
    <row r="29" ht="59" customFormat="1" customHeight="1" s="54">
      <c r="A29" s="55" t="inlineStr">
        <is>
          <t>五楼</t>
        </is>
      </c>
      <c r="B29" s="56" t="inlineStr">
        <is>
          <t>李光义</t>
        </is>
      </c>
      <c r="C29" s="41" t="n">
        <v>32</v>
      </c>
      <c r="D29" s="41" t="inlineStr">
        <is>
          <t>综合部</t>
        </is>
      </c>
      <c r="E29" s="57" t="inlineStr">
        <is>
          <t>固豪售后</t>
        </is>
      </c>
      <c r="F29" s="57" t="inlineStr">
        <is>
          <t>08:29</t>
        </is>
      </c>
      <c r="G29" s="58" t="n">
        <v>0.7513888888888889</v>
      </c>
      <c r="H29" s="83">
        <f>MOD(G29-F29,1)*24</f>
        <v/>
      </c>
      <c r="I29" s="57" t="n">
        <v>1</v>
      </c>
      <c r="J29" s="58" t="n">
        <v>0.3506944444444444</v>
      </c>
      <c r="K29" s="58" t="n">
        <v>0.7506944444444444</v>
      </c>
      <c r="L29" s="83">
        <f>MOD(K29-J29,1)*24</f>
        <v/>
      </c>
      <c r="M29" s="57" t="n">
        <v>1</v>
      </c>
      <c r="N29" s="58" t="n">
        <v>0.3520833333333334</v>
      </c>
      <c r="O29" s="58" t="n">
        <v>0.7506944444444444</v>
      </c>
      <c r="P29" s="83">
        <f>MOD(O29-N29,1)*24</f>
        <v/>
      </c>
      <c r="Q29" s="57" t="n">
        <v>1</v>
      </c>
      <c r="R29" s="58" t="n">
        <v>0.325</v>
      </c>
      <c r="S29" s="58" t="n">
        <v>0.7597222222222222</v>
      </c>
      <c r="T29" s="83">
        <f>MOD(S29-R29,1)*24</f>
        <v/>
      </c>
      <c r="U29" s="57" t="n">
        <v>1</v>
      </c>
      <c r="V29" s="58" t="n">
        <v>0.3340277777777778</v>
      </c>
      <c r="W29" s="58" t="n">
        <v>0.8493055555555555</v>
      </c>
      <c r="X29" s="83">
        <f>MOD(W29-V29,1)*24</f>
        <v/>
      </c>
      <c r="Y29" s="57" t="n">
        <v>1</v>
      </c>
      <c r="Z29" s="58" t="n">
        <v>0.3506944444444444</v>
      </c>
      <c r="AA29" s="60" t="n">
        <v>0.7548611111111111</v>
      </c>
      <c r="AB29" s="83">
        <f>MOD(AA29-Z29,1)*24</f>
        <v/>
      </c>
      <c r="AC29" s="41" t="n">
        <v>1</v>
      </c>
      <c r="AD29" s="41" t="n"/>
      <c r="AE29" s="57" t="n"/>
      <c r="AF29" s="83" t="n"/>
      <c r="AG29" s="57" t="n"/>
      <c r="AH29" s="58" t="n">
        <v>0.3395833333333333</v>
      </c>
      <c r="AI29" s="58" t="n">
        <v>0.7520833333333333</v>
      </c>
      <c r="AJ29" s="83">
        <f>MOD(AI29-AH29,1)*24</f>
        <v/>
      </c>
      <c r="AK29" s="57" t="n">
        <v>1</v>
      </c>
      <c r="AL29" s="58" t="n">
        <v>0.3479166666666667</v>
      </c>
      <c r="AM29" s="58" t="n">
        <v>0.7506944444444444</v>
      </c>
      <c r="AN29" s="83">
        <f>MOD(AM29-AL29,1)*24</f>
        <v/>
      </c>
      <c r="AO29" s="57" t="n">
        <v>1</v>
      </c>
      <c r="AP29" s="58" t="n">
        <v>0.35</v>
      </c>
      <c r="AQ29" s="58" t="n">
        <v>0.7506944444444444</v>
      </c>
      <c r="AR29" s="83">
        <f>MOD(AQ29-AP29,1)*24</f>
        <v/>
      </c>
      <c r="AS29" s="57" t="n">
        <v>1</v>
      </c>
      <c r="AT29" s="58" t="n">
        <v>0.3375</v>
      </c>
      <c r="AU29" s="58" t="n">
        <v>0.7701388888888889</v>
      </c>
      <c r="AV29" s="83">
        <f>MOD(AU29-AT29,1)*24</f>
        <v/>
      </c>
      <c r="AW29" s="57" t="n">
        <v>1</v>
      </c>
      <c r="AX29" s="58" t="n">
        <v>0.3340277777777778</v>
      </c>
      <c r="AY29" s="58" t="n">
        <v>0.8611111111111112</v>
      </c>
      <c r="AZ29" s="83">
        <f>MOD(AY29-AX29,1)*24</f>
        <v/>
      </c>
      <c r="BA29" s="57" t="n">
        <v>1</v>
      </c>
      <c r="BB29" s="58" t="n">
        <v>0.3347222222222222</v>
      </c>
      <c r="BC29" s="60" t="n">
        <v>0.75</v>
      </c>
      <c r="BD29" s="83">
        <f>MOD(BC29-BB29,1)*24</f>
        <v/>
      </c>
      <c r="BE29" s="41" t="n">
        <v>1</v>
      </c>
      <c r="BF29" s="41" t="n"/>
      <c r="BG29" s="57" t="n"/>
      <c r="BH29" s="83" t="n"/>
      <c r="BI29" s="57" t="n"/>
      <c r="BJ29" s="58" t="n">
        <v>0.3368055555555556</v>
      </c>
      <c r="BK29" s="58" t="n">
        <v>0.7506944444444444</v>
      </c>
      <c r="BL29" s="83">
        <f>MOD(BK29-BJ29,1)*24</f>
        <v/>
      </c>
      <c r="BM29" s="57" t="n">
        <v>1</v>
      </c>
      <c r="BN29" s="58" t="n">
        <v>0.3375</v>
      </c>
      <c r="BO29" s="58" t="n">
        <v>0.7513888888888889</v>
      </c>
      <c r="BP29" s="83">
        <f>MOD(BO29-BN29,1)*24</f>
        <v/>
      </c>
      <c r="BQ29" s="57" t="n">
        <v>1</v>
      </c>
      <c r="BR29" s="58" t="n">
        <v>0.3388888888888889</v>
      </c>
      <c r="BS29" s="58" t="n">
        <v>0.7611111111111111</v>
      </c>
      <c r="BT29" s="83">
        <f>MOD(BS29-BR29,1)*24</f>
        <v/>
      </c>
      <c r="BU29" s="57" t="n">
        <v>1</v>
      </c>
      <c r="BV29" s="58" t="n">
        <v>0.33125</v>
      </c>
      <c r="BW29" s="60" t="n">
        <v>0.7520833333333333</v>
      </c>
      <c r="BX29" s="83">
        <f>MOD(BW29-BV29,1)*24</f>
        <v/>
      </c>
      <c r="BY29" s="41" t="n">
        <v>1</v>
      </c>
      <c r="BZ29" s="41" t="n"/>
      <c r="CA29" s="41" t="n"/>
      <c r="CB29" s="83" t="n"/>
      <c r="CC29" s="41" t="n"/>
      <c r="CD29" s="41" t="n"/>
      <c r="CE29" s="57" t="n"/>
      <c r="CF29" s="83" t="n"/>
      <c r="CG29" s="57" t="n"/>
      <c r="CH29" s="58" t="n">
        <v>0.3527777777777778</v>
      </c>
      <c r="CI29" s="58" t="n">
        <v>0.7513888888888889</v>
      </c>
      <c r="CJ29" s="83">
        <f>MOD(CI29-CH29,1)*24</f>
        <v/>
      </c>
      <c r="CK29" s="57" t="n">
        <v>1</v>
      </c>
      <c r="CL29" s="58" t="n">
        <v>0.3361111111111111</v>
      </c>
      <c r="CM29" s="58" t="n">
        <v>0.7534722222222222</v>
      </c>
      <c r="CN29" s="83">
        <f>MOD(CM29-CL29,1)*24</f>
        <v/>
      </c>
      <c r="CO29" s="57" t="n">
        <v>1</v>
      </c>
      <c r="CP29" s="58" t="n">
        <v>0.3513888888888889</v>
      </c>
      <c r="CQ29" s="58" t="n">
        <v>0.8854166666666666</v>
      </c>
      <c r="CR29" s="83">
        <f>MOD(CQ29-CP29,1)*24</f>
        <v/>
      </c>
      <c r="CS29" s="57" t="n">
        <v>1</v>
      </c>
      <c r="CT29" s="58" t="n">
        <v>0.3388888888888889</v>
      </c>
      <c r="CU29" s="58" t="n">
        <v>0.7534722222222222</v>
      </c>
      <c r="CV29" s="83">
        <f>MOD(CU29-CT29,1)*24</f>
        <v/>
      </c>
      <c r="CW29" s="57" t="n">
        <v>1</v>
      </c>
      <c r="CX29" s="58" t="n">
        <v>0.3340277777777778</v>
      </c>
      <c r="CY29" s="58" t="n">
        <v>0.7840277777777778</v>
      </c>
      <c r="CZ29" s="83">
        <f>MOD(CY29-CX29,1)*24</f>
        <v/>
      </c>
      <c r="DA29" s="57" t="n">
        <v>1</v>
      </c>
      <c r="DB29" s="58" t="n">
        <v>0.3527777777777778</v>
      </c>
      <c r="DC29" s="58" t="n">
        <v>0.8902777777777777</v>
      </c>
      <c r="DD29" s="83">
        <f>MOD(DC29-DB29,1)*24</f>
        <v/>
      </c>
      <c r="DE29" s="57" t="n">
        <v>1</v>
      </c>
      <c r="DF29" s="58" t="n">
        <v>0.3520833333333334</v>
      </c>
      <c r="DG29" s="60" t="n">
        <v>0.7513888888888889</v>
      </c>
      <c r="DH29" s="83">
        <f>MOD(DG29-DF29,1)*24</f>
        <v/>
      </c>
      <c r="DI29" s="41" t="n">
        <v>1</v>
      </c>
      <c r="DJ29" s="41" t="n"/>
      <c r="DK29" s="41" t="n"/>
      <c r="DL29" s="83" t="n"/>
      <c r="DM29" s="41" t="n"/>
      <c r="DN29" s="58" t="n">
        <v>0.3520833333333334</v>
      </c>
      <c r="DO29" s="58" t="n">
        <v>0.7513888888888889</v>
      </c>
      <c r="DP29" s="83">
        <f>MOD(DO29-DN29,1)*24</f>
        <v/>
      </c>
      <c r="DQ29" s="57" t="n">
        <v>1</v>
      </c>
      <c r="DR29" s="61" t="n">
        <v>0.3256944444444445</v>
      </c>
      <c r="DS29" s="62" t="n">
        <v>0.7513888888888889</v>
      </c>
      <c r="DT29" s="83">
        <f>MOD(DS29-DR29,1)*24</f>
        <v/>
      </c>
      <c r="DU29" s="41" t="n">
        <v>1</v>
      </c>
      <c r="DV29" s="61" t="n"/>
      <c r="DW29" s="62" t="n"/>
      <c r="DX29" s="83" t="n"/>
      <c r="DY29" s="41" t="n"/>
      <c r="DZ29" s="84">
        <f>H29+L29+P29+T29+X29+AB29+AF29+AJ29+AN29+AR29+AV29+AZ29+BD29+BH29+BL29+BP29+BT29+BX29+CB29+CF29+CJ29+CN29+CR29+CV29+CZ29+DD29+DH29+DL29+DP29+DT29</f>
        <v/>
      </c>
      <c r="EA29" s="84">
        <f>I29+M29+Q29+U29+Y29+AC29+AG29+AK29+AO29+AS29+AW29+BA29+BE29+BI29+BM29+BQ29+BU29+BY29+CC29+CG29+CK29+CO29+CS29+CW29+DA29+DE29+DI29+DM29+DQ29+DU29</f>
        <v/>
      </c>
    </row>
    <row r="30" ht="59" customFormat="1" customHeight="1" s="54">
      <c r="A30" s="55" t="inlineStr">
        <is>
          <t>五楼</t>
        </is>
      </c>
      <c r="B30" s="56" t="inlineStr">
        <is>
          <t>李光义</t>
        </is>
      </c>
      <c r="C30" s="41" t="n">
        <v>32</v>
      </c>
      <c r="D30" s="41" t="inlineStr">
        <is>
          <t>综合部</t>
        </is>
      </c>
      <c r="E30" s="57" t="inlineStr">
        <is>
          <t>固豪售后</t>
        </is>
      </c>
      <c r="F30" s="41" t="n"/>
      <c r="G30" s="41" t="n"/>
      <c r="H30" s="83" t="n"/>
      <c r="I30" s="41" t="n"/>
      <c r="J30" s="41" t="n"/>
      <c r="K30" s="41" t="n"/>
      <c r="L30" s="83" t="n"/>
      <c r="M30" s="41" t="n"/>
      <c r="N30" s="41" t="n"/>
      <c r="O30" s="41" t="n"/>
      <c r="P30" s="83" t="n"/>
      <c r="Q30" s="41" t="n"/>
      <c r="R30" s="41" t="n"/>
      <c r="S30" s="41" t="n"/>
      <c r="T30" s="83" t="n"/>
      <c r="U30" s="41" t="n"/>
      <c r="V30" s="41" t="n"/>
      <c r="W30" s="41" t="n"/>
      <c r="X30" s="83" t="n"/>
      <c r="Y30" s="41" t="n"/>
      <c r="Z30" s="41" t="n"/>
      <c r="AA30" s="41" t="n"/>
      <c r="AB30" s="83" t="n"/>
      <c r="AC30" s="41" t="n"/>
      <c r="AD30" s="41" t="n"/>
      <c r="AE30" s="41" t="n"/>
      <c r="AF30" s="83" t="n"/>
      <c r="AG30" s="41" t="n"/>
      <c r="AH30" s="41" t="n"/>
      <c r="AI30" s="41" t="n"/>
      <c r="AJ30" s="83" t="n"/>
      <c r="AK30" s="41" t="n"/>
      <c r="AL30" s="41" t="n"/>
      <c r="AM30" s="41" t="n"/>
      <c r="AN30" s="83" t="n"/>
      <c r="AO30" s="41" t="n"/>
      <c r="AP30" s="41" t="n"/>
      <c r="AQ30" s="57" t="n"/>
      <c r="AR30" s="83" t="n"/>
      <c r="AS30" s="57" t="n"/>
      <c r="AT30" s="58" t="n"/>
      <c r="AU30" s="41" t="n"/>
      <c r="AV30" s="83" t="n"/>
      <c r="AW30" s="41" t="n"/>
      <c r="AX30" s="41" t="n"/>
      <c r="AY30" s="41" t="n"/>
      <c r="AZ30" s="83" t="n"/>
      <c r="BA30" s="41" t="n"/>
      <c r="BB30" s="41" t="n"/>
      <c r="BC30" s="41" t="n"/>
      <c r="BD30" s="83" t="n"/>
      <c r="BE30" s="41" t="n"/>
      <c r="BF30" s="41" t="n"/>
      <c r="BG30" s="57" t="n"/>
      <c r="BH30" s="83" t="n"/>
      <c r="BI30" s="57" t="n"/>
      <c r="BJ30" s="58" t="n"/>
      <c r="BK30" s="41" t="n"/>
      <c r="BL30" s="83" t="n"/>
      <c r="BM30" s="41" t="n"/>
      <c r="BN30" s="41" t="n"/>
      <c r="BO30" s="41" t="n"/>
      <c r="BP30" s="83" t="n"/>
      <c r="BQ30" s="41" t="n"/>
      <c r="BR30" s="41" t="n"/>
      <c r="BS30" s="41" t="n"/>
      <c r="BT30" s="83" t="n"/>
      <c r="BU30" s="41" t="n"/>
      <c r="BV30" s="41" t="n"/>
      <c r="BW30" s="41" t="n"/>
      <c r="BX30" s="83" t="n"/>
      <c r="BY30" s="41" t="n"/>
      <c r="BZ30" s="41" t="n"/>
      <c r="CA30" s="41" t="n"/>
      <c r="CB30" s="83" t="n"/>
      <c r="CC30" s="41" t="n"/>
      <c r="CD30" s="41" t="n"/>
      <c r="CE30" s="41" t="n"/>
      <c r="CF30" s="83" t="n"/>
      <c r="CG30" s="41" t="n"/>
      <c r="CH30" s="41" t="n"/>
      <c r="CI30" s="41" t="n"/>
      <c r="CJ30" s="83" t="n"/>
      <c r="CK30" s="41" t="n"/>
      <c r="CL30" s="41" t="n"/>
      <c r="CM30" s="41" t="n"/>
      <c r="CN30" s="83" t="n"/>
      <c r="CO30" s="41" t="n"/>
      <c r="CP30" s="41" t="n"/>
      <c r="CQ30" s="41" t="n"/>
      <c r="CR30" s="83" t="n"/>
      <c r="CS30" s="41" t="n"/>
      <c r="CT30" s="41" t="n"/>
      <c r="CU30" s="41" t="n"/>
      <c r="CV30" s="83" t="n"/>
      <c r="CW30" s="41" t="n"/>
      <c r="CX30" s="58" t="n"/>
      <c r="CY30" s="41" t="n"/>
      <c r="CZ30" s="83" t="n"/>
      <c r="DA30" s="41" t="n"/>
      <c r="DB30" s="41" t="n"/>
      <c r="DC30" s="41" t="n"/>
      <c r="DD30" s="83" t="n"/>
      <c r="DE30" s="41" t="n"/>
      <c r="DF30" s="41" t="n"/>
      <c r="DG30" s="41" t="n"/>
      <c r="DH30" s="83" t="n"/>
      <c r="DI30" s="41" t="n"/>
      <c r="DJ30" s="41" t="n"/>
      <c r="DK30" s="41" t="n"/>
      <c r="DL30" s="83" t="n"/>
      <c r="DM30" s="41" t="n"/>
      <c r="DN30" s="41" t="n"/>
      <c r="DO30" s="41" t="n"/>
      <c r="DP30" s="83" t="n"/>
      <c r="DQ30" s="41" t="n"/>
      <c r="DR30" s="64" t="n"/>
      <c r="DS30" s="65" t="n"/>
      <c r="DT30" s="83" t="n"/>
      <c r="DU30" s="66" t="n"/>
      <c r="DV30" s="64" t="n"/>
      <c r="DW30" s="65" t="n"/>
      <c r="DX30" s="83" t="n"/>
      <c r="DY30" s="66" t="n"/>
      <c r="DZ30" s="84" t="n"/>
      <c r="EA30" s="84" t="n"/>
    </row>
    <row r="31" ht="59" customFormat="1" customHeight="1" s="54">
      <c r="A31" s="55" t="inlineStr">
        <is>
          <t>五楼</t>
        </is>
      </c>
      <c r="B31" s="56" t="inlineStr">
        <is>
          <t>匡启素</t>
        </is>
      </c>
      <c r="C31" s="41" t="n">
        <v>33</v>
      </c>
      <c r="D31" s="41" t="inlineStr">
        <is>
          <t>综合部</t>
        </is>
      </c>
      <c r="E31" s="57" t="inlineStr">
        <is>
          <t>综合部</t>
        </is>
      </c>
      <c r="F31" s="57" t="inlineStr">
        <is>
          <t>08:16</t>
        </is>
      </c>
      <c r="G31" s="58" t="n">
        <v>0.7659722222222223</v>
      </c>
      <c r="H31" s="83">
        <f>MOD(G31-F31,1)*24</f>
        <v/>
      </c>
      <c r="I31" s="57" t="n">
        <v>1</v>
      </c>
      <c r="J31" s="58" t="n">
        <v>0.3416666666666667</v>
      </c>
      <c r="K31" s="58" t="n">
        <v>0.8631944444444445</v>
      </c>
      <c r="L31" s="83">
        <f>MOD(K31-J31,1)*24</f>
        <v/>
      </c>
      <c r="M31" s="57" t="n">
        <v>1</v>
      </c>
      <c r="N31" s="58" t="n">
        <v>0.3368055555555556</v>
      </c>
      <c r="O31" s="58" t="n">
        <v>0.7854166666666667</v>
      </c>
      <c r="P31" s="83">
        <f>MOD(O31-N31,1)*24</f>
        <v/>
      </c>
      <c r="Q31" s="57" t="n">
        <v>1</v>
      </c>
      <c r="R31" s="58" t="n">
        <v>0.3388888888888889</v>
      </c>
      <c r="S31" s="58" t="n">
        <v>0.8</v>
      </c>
      <c r="T31" s="83">
        <f>MOD(S31-R31,1)*24</f>
        <v/>
      </c>
      <c r="U31" s="57" t="n">
        <v>1</v>
      </c>
      <c r="V31" s="58" t="n">
        <v>0.3256944444444445</v>
      </c>
      <c r="W31" s="58" t="n">
        <v>0.8708333333333333</v>
      </c>
      <c r="X31" s="83">
        <f>MOD(W31-V31,1)*24</f>
        <v/>
      </c>
      <c r="Y31" s="57" t="n">
        <v>1</v>
      </c>
      <c r="Z31" s="58" t="n">
        <v>0.3395833333333333</v>
      </c>
      <c r="AA31" s="60" t="n">
        <v>0.7965277777777777</v>
      </c>
      <c r="AB31" s="83">
        <f>MOD(AA31-Z31,1)*24</f>
        <v/>
      </c>
      <c r="AC31" s="41" t="n">
        <v>1</v>
      </c>
      <c r="AD31" s="41" t="n"/>
      <c r="AE31" s="57" t="n"/>
      <c r="AF31" s="83" t="n"/>
      <c r="AG31" s="57" t="n"/>
      <c r="AH31" s="58" t="n">
        <v>0.3305555555555555</v>
      </c>
      <c r="AI31" s="58" t="n">
        <v>0.7861111111111111</v>
      </c>
      <c r="AJ31" s="83">
        <f>MOD(AI31-AH31,1)*24</f>
        <v/>
      </c>
      <c r="AK31" s="57" t="n">
        <v>1</v>
      </c>
      <c r="AL31" s="58" t="n">
        <v>0.3375</v>
      </c>
      <c r="AM31" s="58" t="n">
        <v>0.8798611111111111</v>
      </c>
      <c r="AN31" s="83">
        <f>MOD(AM31-AL31,1)*24</f>
        <v/>
      </c>
      <c r="AO31" s="57" t="n">
        <v>1</v>
      </c>
      <c r="AP31" s="58" t="n">
        <v>0.3458333333333333</v>
      </c>
      <c r="AQ31" s="58" t="n">
        <v>0.75625</v>
      </c>
      <c r="AR31" s="83">
        <f>MOD(AQ31-AP31,1)*24</f>
        <v/>
      </c>
      <c r="AS31" s="57" t="n">
        <v>1</v>
      </c>
      <c r="AT31" s="58" t="n">
        <v>0.3444444444444444</v>
      </c>
      <c r="AU31" s="58" t="n">
        <v>0.7861111111111111</v>
      </c>
      <c r="AV31" s="83">
        <f>MOD(AU31-AT31,1)*24</f>
        <v/>
      </c>
      <c r="AW31" s="57" t="n">
        <v>1</v>
      </c>
      <c r="AX31" s="58" t="n">
        <v>0.3277777777777778</v>
      </c>
      <c r="AY31" s="58" t="n">
        <v>0.8680555555555556</v>
      </c>
      <c r="AZ31" s="83">
        <f>MOD(AY31-AX31,1)*24</f>
        <v/>
      </c>
      <c r="BA31" s="57" t="n">
        <v>1</v>
      </c>
      <c r="BB31" s="58" t="n">
        <v>0.33125</v>
      </c>
      <c r="BC31" s="60" t="n">
        <v>0.7604166666666666</v>
      </c>
      <c r="BD31" s="83">
        <f>MOD(BC31-BB31,1)*24</f>
        <v/>
      </c>
      <c r="BE31" s="41" t="n">
        <v>1</v>
      </c>
      <c r="BF31" s="41" t="n"/>
      <c r="BG31" s="57" t="n"/>
      <c r="BH31" s="83" t="n"/>
      <c r="BI31" s="57" t="n"/>
      <c r="BJ31" s="58" t="n">
        <v>0.3347222222222222</v>
      </c>
      <c r="BK31" s="58" t="n">
        <v>0.7847222222222222</v>
      </c>
      <c r="BL31" s="83">
        <f>MOD(BK31-BJ31,1)*24</f>
        <v/>
      </c>
      <c r="BM31" s="57" t="n">
        <v>1</v>
      </c>
      <c r="BN31" s="58" t="n">
        <v>0.3409722222222222</v>
      </c>
      <c r="BO31" s="57" t="n"/>
      <c r="BP31" s="83" t="n"/>
      <c r="BQ31" s="57" t="n">
        <v>0.5</v>
      </c>
      <c r="BR31" s="58" t="n">
        <v>0.3395833333333333</v>
      </c>
      <c r="BS31" s="58" t="n">
        <v>0.7604166666666666</v>
      </c>
      <c r="BT31" s="83">
        <f>MOD(BS31-BR31,1)*24</f>
        <v/>
      </c>
      <c r="BU31" s="57" t="n">
        <v>1</v>
      </c>
      <c r="BV31" s="58" t="n">
        <v>0.34375</v>
      </c>
      <c r="BW31" s="60" t="n">
        <v>0.75625</v>
      </c>
      <c r="BX31" s="83">
        <f>MOD(BW31-BV31,1)*24</f>
        <v/>
      </c>
      <c r="BY31" s="41" t="n">
        <v>1</v>
      </c>
      <c r="BZ31" s="41" t="n"/>
      <c r="CA31" s="41" t="n"/>
      <c r="CB31" s="83" t="n"/>
      <c r="CC31" s="41" t="n"/>
      <c r="CD31" s="41" t="n"/>
      <c r="CE31" s="57" t="n"/>
      <c r="CF31" s="83" t="n"/>
      <c r="CG31" s="57" t="n"/>
      <c r="CH31" s="58" t="n">
        <v>0.3340277777777778</v>
      </c>
      <c r="CI31" s="58" t="n">
        <v>0.7576388888888889</v>
      </c>
      <c r="CJ31" s="83">
        <f>MOD(CI31-CH31,1)*24</f>
        <v/>
      </c>
      <c r="CK31" s="57" t="n">
        <v>1</v>
      </c>
      <c r="CL31" s="58" t="n">
        <v>0.3194444444444444</v>
      </c>
      <c r="CM31" s="58" t="n">
        <v>0.7645833333333333</v>
      </c>
      <c r="CN31" s="83">
        <f>MOD(CM31-CL31,1)*24</f>
        <v/>
      </c>
      <c r="CO31" s="57" t="n">
        <v>1</v>
      </c>
      <c r="CP31" s="58" t="n">
        <v>0.33125</v>
      </c>
      <c r="CQ31" s="58" t="n">
        <v>0.8909722222222223</v>
      </c>
      <c r="CR31" s="83">
        <f>MOD(CQ31-CP31,1)*24</f>
        <v/>
      </c>
      <c r="CS31" s="57" t="n">
        <v>1</v>
      </c>
      <c r="CT31" s="58" t="n">
        <v>0.3340277777777778</v>
      </c>
      <c r="CU31" s="58" t="n">
        <v>0.7819444444444444</v>
      </c>
      <c r="CV31" s="83">
        <f>MOD(CU31-CT31,1)*24</f>
        <v/>
      </c>
      <c r="CW31" s="57" t="n">
        <v>1</v>
      </c>
      <c r="CX31" s="58" t="n">
        <v>0.3430555555555556</v>
      </c>
      <c r="CY31" s="58" t="n">
        <v>0.7909722222222222</v>
      </c>
      <c r="CZ31" s="83">
        <f>MOD(CY31-CX31,1)*24</f>
        <v/>
      </c>
      <c r="DA31" s="57" t="n">
        <v>1</v>
      </c>
      <c r="DB31" s="58" t="n">
        <v>0.3361111111111111</v>
      </c>
      <c r="DC31" s="58" t="n">
        <v>0.9055555555555556</v>
      </c>
      <c r="DD31" s="83">
        <f>MOD(DC31-DB31,1)*24</f>
        <v/>
      </c>
      <c r="DE31" s="57" t="n">
        <v>1</v>
      </c>
      <c r="DF31" s="58" t="n">
        <v>0.3465277777777778</v>
      </c>
      <c r="DG31" s="60" t="n">
        <v>0.7722222222222223</v>
      </c>
      <c r="DH31" s="83">
        <f>MOD(DG31-DF31,1)*24</f>
        <v/>
      </c>
      <c r="DI31" s="41" t="n">
        <v>1</v>
      </c>
      <c r="DJ31" s="41" t="n"/>
      <c r="DK31" s="41" t="n"/>
      <c r="DL31" s="83" t="n"/>
      <c r="DM31" s="41" t="n"/>
      <c r="DN31" s="58" t="n">
        <v>0.3194444444444444</v>
      </c>
      <c r="DO31" s="58" t="n">
        <v>0.8638888888888889</v>
      </c>
      <c r="DP31" s="83">
        <f>MOD(DO31-DN31,1)*24</f>
        <v/>
      </c>
      <c r="DQ31" s="57" t="n">
        <v>1</v>
      </c>
      <c r="DR31" s="61" t="n">
        <v>0.3409722222222222</v>
      </c>
      <c r="DS31" s="62" t="n">
        <v>0.9277777777777778</v>
      </c>
      <c r="DT31" s="83">
        <f>MOD(DS31-DR31,1)*24</f>
        <v/>
      </c>
      <c r="DU31" s="41" t="n">
        <v>1</v>
      </c>
      <c r="DV31" s="61" t="n"/>
      <c r="DW31" s="62" t="n"/>
      <c r="DX31" s="83" t="n"/>
      <c r="DY31" s="41" t="n"/>
      <c r="DZ31" s="84">
        <f>H31+L31+P31+T31+X31+AB31+AF31+AJ31+AN31+AR31+AV31+AZ31+BD31+BH31+BL31+BP31+BT31+BX31+CB31+CF31+CJ31+CN31+CR31+CV31+CZ31+DD31+DH31+DL31+DP31+DT31</f>
        <v/>
      </c>
      <c r="EA31" s="84">
        <f>I31+M31+Q31+U31+Y31+AC31+AG31+AK31+AO31+AS31+AW31+BA31+BE31+BI31+BM31+BQ31+BU31+BY31+CC31+CG31+CK31+CO31+CS31+CW31+DA31+DE31+DI31+DM31+DQ31+DU31</f>
        <v/>
      </c>
    </row>
    <row r="32" ht="59" customFormat="1" customHeight="1" s="54">
      <c r="A32" s="55" t="inlineStr">
        <is>
          <t>五楼</t>
        </is>
      </c>
      <c r="B32" s="56" t="inlineStr">
        <is>
          <t>兰媛</t>
        </is>
      </c>
      <c r="C32" s="41" t="n">
        <v>35</v>
      </c>
      <c r="D32" s="41" t="inlineStr">
        <is>
          <t>综合部</t>
        </is>
      </c>
      <c r="E32" s="57" t="inlineStr">
        <is>
          <t>财务核价</t>
        </is>
      </c>
      <c r="F32" s="57" t="inlineStr">
        <is>
          <t>08:25</t>
        </is>
      </c>
      <c r="G32" s="58" t="n">
        <v>0.7513888888888889</v>
      </c>
      <c r="H32" s="83">
        <f>MOD(G32-F32,1)*24</f>
        <v/>
      </c>
      <c r="I32" s="57" t="n">
        <v>1</v>
      </c>
      <c r="J32" s="58" t="n">
        <v>0.3506944444444444</v>
      </c>
      <c r="K32" s="58" t="n">
        <v>0.7520833333333333</v>
      </c>
      <c r="L32" s="83">
        <f>MOD(K32-J32,1)*24</f>
        <v/>
      </c>
      <c r="M32" s="57" t="n">
        <v>1</v>
      </c>
      <c r="N32" s="58" t="n">
        <v>0.35</v>
      </c>
      <c r="O32" s="58" t="n">
        <v>0.7590277777777777</v>
      </c>
      <c r="P32" s="83">
        <f>MOD(O32-N32,1)*24</f>
        <v/>
      </c>
      <c r="Q32" s="57" t="n">
        <v>1</v>
      </c>
      <c r="R32" s="58" t="n">
        <v>0.35</v>
      </c>
      <c r="S32" s="58" t="n">
        <v>0.7555555555555555</v>
      </c>
      <c r="T32" s="83">
        <f>MOD(S32-R32,1)*24</f>
        <v/>
      </c>
      <c r="U32" s="57" t="n">
        <v>1</v>
      </c>
      <c r="V32" s="58" t="n">
        <v>0.35</v>
      </c>
      <c r="W32" s="58" t="n">
        <v>0.7506944444444444</v>
      </c>
      <c r="X32" s="83">
        <f>MOD(W32-V32,1)*24</f>
        <v/>
      </c>
      <c r="Y32" s="57" t="n">
        <v>1</v>
      </c>
      <c r="Z32" s="58" t="n">
        <v>0.35</v>
      </c>
      <c r="AA32" s="60" t="n">
        <v>0.7520833333333333</v>
      </c>
      <c r="AB32" s="83">
        <f>MOD(AA32-Z32,1)*24</f>
        <v/>
      </c>
      <c r="AC32" s="41" t="n">
        <v>1</v>
      </c>
      <c r="AD32" s="41" t="n"/>
      <c r="AE32" s="57" t="n"/>
      <c r="AF32" s="83" t="n"/>
      <c r="AG32" s="57" t="n"/>
      <c r="AH32" s="58" t="n">
        <v>0.3486111111111111</v>
      </c>
      <c r="AI32" s="58" t="n">
        <v>0.7513888888888889</v>
      </c>
      <c r="AJ32" s="83">
        <f>MOD(AI32-AH32,1)*24</f>
        <v/>
      </c>
      <c r="AK32" s="57" t="n">
        <v>1</v>
      </c>
      <c r="AL32" s="58" t="n">
        <v>0.3493055555555555</v>
      </c>
      <c r="AM32" s="58" t="n">
        <v>0.7513888888888889</v>
      </c>
      <c r="AN32" s="83">
        <f>MOD(AM32-AL32,1)*24</f>
        <v/>
      </c>
      <c r="AO32" s="57" t="n">
        <v>1</v>
      </c>
      <c r="AP32" s="58" t="n">
        <v>0.35</v>
      </c>
      <c r="AQ32" s="58" t="n">
        <v>0.7513888888888889</v>
      </c>
      <c r="AR32" s="83">
        <f>MOD(AQ32-AP32,1)*24</f>
        <v/>
      </c>
      <c r="AS32" s="57" t="n">
        <v>1</v>
      </c>
      <c r="AT32" s="58" t="n">
        <v>0.3458333333333333</v>
      </c>
      <c r="AU32" s="58" t="n">
        <v>0.7513888888888889</v>
      </c>
      <c r="AV32" s="83">
        <f>MOD(AU32-AT32,1)*24</f>
        <v/>
      </c>
      <c r="AW32" s="57" t="n">
        <v>1</v>
      </c>
      <c r="AX32" s="58" t="n">
        <v>0.3479166666666667</v>
      </c>
      <c r="AY32" s="60" t="n">
        <v>0.7527777777777778</v>
      </c>
      <c r="AZ32" s="83">
        <f>MOD(AY32-AX32,1)*24</f>
        <v/>
      </c>
      <c r="BA32" s="57" t="n">
        <v>1</v>
      </c>
      <c r="BB32" s="41" t="n"/>
      <c r="BC32" s="57" t="n"/>
      <c r="BD32" s="83" t="n"/>
      <c r="BE32" s="57" t="n"/>
      <c r="BF32" s="58" t="n">
        <v>0.3506944444444444</v>
      </c>
      <c r="BG32" s="58" t="n">
        <v>0.7513888888888889</v>
      </c>
      <c r="BH32" s="83">
        <f>MOD(BG32-BF32,1)*24</f>
        <v/>
      </c>
      <c r="BI32" s="57" t="n">
        <v>1</v>
      </c>
      <c r="BJ32" s="58" t="n">
        <v>0.3486111111111111</v>
      </c>
      <c r="BK32" s="58" t="n">
        <v>0.7513888888888889</v>
      </c>
      <c r="BL32" s="83">
        <f>MOD(BK32-BJ32,1)*24</f>
        <v/>
      </c>
      <c r="BM32" s="57" t="n">
        <v>1</v>
      </c>
      <c r="BN32" s="58" t="n">
        <v>0.3493055555555555</v>
      </c>
      <c r="BO32" s="58" t="n">
        <v>0.7520833333333333</v>
      </c>
      <c r="BP32" s="83">
        <f>MOD(BO32-BN32,1)*24</f>
        <v/>
      </c>
      <c r="BQ32" s="57" t="n">
        <v>1</v>
      </c>
      <c r="BR32" s="58" t="n">
        <v>0.3493055555555555</v>
      </c>
      <c r="BS32" s="58" t="n">
        <v>0.7513888888888889</v>
      </c>
      <c r="BT32" s="83">
        <f>MOD(BS32-BR32,1)*24</f>
        <v/>
      </c>
      <c r="BU32" s="57" t="n">
        <v>1</v>
      </c>
      <c r="BV32" s="58" t="n">
        <v>0.35</v>
      </c>
      <c r="BW32" s="60" t="n">
        <v>0.7513888888888889</v>
      </c>
      <c r="BX32" s="83">
        <f>MOD(BW32-BV32,1)*24</f>
        <v/>
      </c>
      <c r="BY32" s="41" t="n">
        <v>1</v>
      </c>
      <c r="BZ32" s="41" t="n"/>
      <c r="CA32" s="41" t="n"/>
      <c r="CB32" s="83" t="n"/>
      <c r="CC32" s="41" t="n"/>
      <c r="CD32" s="41" t="n"/>
      <c r="CE32" s="57" t="n"/>
      <c r="CF32" s="83" t="n"/>
      <c r="CG32" s="57" t="n"/>
      <c r="CH32" s="58" t="n">
        <v>0.3493055555555555</v>
      </c>
      <c r="CI32" s="58" t="n">
        <v>0.7513888888888889</v>
      </c>
      <c r="CJ32" s="83">
        <f>MOD(CI32-CH32,1)*24</f>
        <v/>
      </c>
      <c r="CK32" s="57" t="n">
        <v>1</v>
      </c>
      <c r="CL32" s="58" t="n">
        <v>0.3493055555555555</v>
      </c>
      <c r="CM32" s="58" t="n">
        <v>0.7520833333333333</v>
      </c>
      <c r="CN32" s="83">
        <f>MOD(CM32-CL32,1)*24</f>
        <v/>
      </c>
      <c r="CO32" s="57" t="n">
        <v>1</v>
      </c>
      <c r="CP32" s="58" t="n">
        <v>0.3479166666666667</v>
      </c>
      <c r="CQ32" s="58" t="n">
        <v>0.7527777777777778</v>
      </c>
      <c r="CR32" s="83">
        <f>MOD(CQ32-CP32,1)*24</f>
        <v/>
      </c>
      <c r="CS32" s="57" t="n">
        <v>1</v>
      </c>
      <c r="CT32" s="58" t="n">
        <v>0.3493055555555555</v>
      </c>
      <c r="CU32" s="58" t="n">
        <v>0.7513888888888889</v>
      </c>
      <c r="CV32" s="83">
        <f>MOD(CU32-CT32,1)*24</f>
        <v/>
      </c>
      <c r="CW32" s="57" t="n">
        <v>1</v>
      </c>
      <c r="CX32" s="58" t="n">
        <v>0.3493055555555555</v>
      </c>
      <c r="CY32" s="58" t="n">
        <v>0.7534722222222222</v>
      </c>
      <c r="CZ32" s="83">
        <f>MOD(CY32-CX32,1)*24</f>
        <v/>
      </c>
      <c r="DA32" s="57" t="n">
        <v>1</v>
      </c>
      <c r="DB32" s="58" t="n">
        <v>0.3472222222222222</v>
      </c>
      <c r="DC32" s="58" t="n">
        <v>0.7597222222222222</v>
      </c>
      <c r="DD32" s="83">
        <f>MOD(DC32-DB32,1)*24</f>
        <v/>
      </c>
      <c r="DE32" s="57" t="n">
        <v>1</v>
      </c>
      <c r="DF32" s="58" t="n">
        <v>0.35</v>
      </c>
      <c r="DG32" s="60" t="n">
        <v>0.7659722222222223</v>
      </c>
      <c r="DH32" s="83">
        <f>MOD(DG32-DF32,1)*24</f>
        <v/>
      </c>
      <c r="DI32" s="41" t="n">
        <v>1</v>
      </c>
      <c r="DJ32" s="41" t="n"/>
      <c r="DK32" s="41" t="n"/>
      <c r="DL32" s="83" t="n"/>
      <c r="DM32" s="41" t="n"/>
      <c r="DN32" s="58" t="n">
        <v>0.3486111111111111</v>
      </c>
      <c r="DO32" s="58" t="n">
        <v>0.7791666666666667</v>
      </c>
      <c r="DP32" s="83">
        <f>MOD(DO32-DN32,1)*24</f>
        <v/>
      </c>
      <c r="DQ32" s="57" t="n">
        <v>1</v>
      </c>
      <c r="DR32" s="61" t="n">
        <v>0.35</v>
      </c>
      <c r="DS32" s="62" t="n">
        <v>0.7694444444444445</v>
      </c>
      <c r="DT32" s="83">
        <f>MOD(DS32-DR32,1)*24</f>
        <v/>
      </c>
      <c r="DU32" s="41" t="n">
        <v>1</v>
      </c>
      <c r="DV32" s="61" t="n"/>
      <c r="DW32" s="62" t="n"/>
      <c r="DX32" s="83" t="n"/>
      <c r="DY32" s="41" t="n"/>
      <c r="DZ32" s="84">
        <f>H32+L32+P32+T32+X32+AB32+AF32+AJ32+AN32+AR32+AV32+AZ32+BD32+BH32+BL32+BP32+BT32+BX32+CB32+CF32+CJ32+CN32+CR32+CV32+CZ32+DD32+DH32+DL32+DP32+DT32</f>
        <v/>
      </c>
      <c r="EA32" s="84">
        <f>I32+M32+Q32+U32+Y32+AC32+AG32+AK32+AO32+AS32+AW32+BA32+BE32+BI32+BM32+BQ32+BU32+BY32+CC32+CG32+CK32+CO32+CS32+CW32+DA32+DE32+DI32+DM32+DQ32+DU32</f>
        <v/>
      </c>
    </row>
    <row r="33" ht="59" customFormat="1" customHeight="1" s="54">
      <c r="A33" s="55" t="inlineStr">
        <is>
          <t>五楼</t>
        </is>
      </c>
      <c r="B33" s="56" t="inlineStr">
        <is>
          <t>兰媛</t>
        </is>
      </c>
      <c r="C33" s="41" t="n">
        <v>35</v>
      </c>
      <c r="D33" s="41" t="inlineStr">
        <is>
          <t>综合部</t>
        </is>
      </c>
      <c r="E33" s="57" t="inlineStr">
        <is>
          <t>财务核价</t>
        </is>
      </c>
      <c r="F33" s="41" t="n"/>
      <c r="G33" s="41" t="n"/>
      <c r="H33" s="83" t="n"/>
      <c r="I33" s="41" t="n"/>
      <c r="J33" s="41" t="n"/>
      <c r="K33" s="41" t="n"/>
      <c r="L33" s="83" t="n"/>
      <c r="M33" s="41" t="n"/>
      <c r="N33" s="41" t="n"/>
      <c r="O33" s="41" t="n"/>
      <c r="P33" s="83" t="n"/>
      <c r="Q33" s="41" t="n"/>
      <c r="R33" s="41" t="n"/>
      <c r="S33" s="41" t="n"/>
      <c r="T33" s="83" t="n"/>
      <c r="U33" s="41" t="n"/>
      <c r="V33" s="41" t="n"/>
      <c r="W33" s="41" t="n"/>
      <c r="X33" s="83" t="n"/>
      <c r="Y33" s="41" t="n"/>
      <c r="Z33" s="41" t="n"/>
      <c r="AA33" s="41" t="n"/>
      <c r="AB33" s="83" t="n"/>
      <c r="AC33" s="41" t="n"/>
      <c r="AD33" s="41" t="n"/>
      <c r="AE33" s="41" t="n"/>
      <c r="AF33" s="83" t="n"/>
      <c r="AG33" s="41" t="n"/>
      <c r="AH33" s="41" t="n"/>
      <c r="AI33" s="41" t="n"/>
      <c r="AJ33" s="83" t="n"/>
      <c r="AK33" s="41" t="n"/>
      <c r="AL33" s="41" t="n"/>
      <c r="AM33" s="41" t="n"/>
      <c r="AN33" s="83" t="n"/>
      <c r="AO33" s="41" t="n"/>
      <c r="AP33" s="41" t="n"/>
      <c r="AQ33" s="41" t="n"/>
      <c r="AR33" s="83" t="n"/>
      <c r="AS33" s="41" t="n"/>
      <c r="AT33" s="41" t="n"/>
      <c r="AU33" s="41" t="n"/>
      <c r="AV33" s="83" t="n"/>
      <c r="AW33" s="41" t="n"/>
      <c r="AX33" s="41" t="n"/>
      <c r="AY33" s="41" t="n"/>
      <c r="AZ33" s="83" t="n"/>
      <c r="BA33" s="41" t="n"/>
      <c r="BB33" s="41" t="n"/>
      <c r="BC33" s="41" t="n"/>
      <c r="BD33" s="83" t="n"/>
      <c r="BE33" s="41" t="n"/>
      <c r="BF33" s="41" t="n"/>
      <c r="BG33" s="41" t="n"/>
      <c r="BH33" s="83" t="n"/>
      <c r="BI33" s="41" t="n"/>
      <c r="BJ33" s="41" t="n"/>
      <c r="BK33" s="41" t="n"/>
      <c r="BL33" s="83" t="n"/>
      <c r="BM33" s="41" t="n"/>
      <c r="BN33" s="41" t="n"/>
      <c r="BO33" s="41" t="n"/>
      <c r="BP33" s="83" t="n"/>
      <c r="BQ33" s="41" t="n"/>
      <c r="BR33" s="41" t="n"/>
      <c r="BS33" s="41" t="n"/>
      <c r="BT33" s="83" t="n"/>
      <c r="BU33" s="41" t="n"/>
      <c r="BV33" s="41" t="n"/>
      <c r="BW33" s="41" t="n"/>
      <c r="BX33" s="83" t="n"/>
      <c r="BY33" s="41" t="n"/>
      <c r="BZ33" s="41" t="n"/>
      <c r="CA33" s="41" t="n"/>
      <c r="CB33" s="83" t="n"/>
      <c r="CC33" s="41" t="n"/>
      <c r="CD33" s="41" t="n"/>
      <c r="CE33" s="41" t="n"/>
      <c r="CF33" s="83" t="n"/>
      <c r="CG33" s="41" t="n"/>
      <c r="CH33" s="41" t="n"/>
      <c r="CI33" s="41" t="n"/>
      <c r="CJ33" s="83" t="n"/>
      <c r="CK33" s="41" t="n"/>
      <c r="CL33" s="41" t="n"/>
      <c r="CM33" s="41" t="n"/>
      <c r="CN33" s="83" t="n"/>
      <c r="CO33" s="41" t="n"/>
      <c r="CP33" s="41" t="n"/>
      <c r="CQ33" s="41" t="n"/>
      <c r="CR33" s="83" t="n"/>
      <c r="CS33" s="41" t="n"/>
      <c r="CT33" s="41" t="n"/>
      <c r="CU33" s="41" t="n"/>
      <c r="CV33" s="83" t="n"/>
      <c r="CW33" s="41" t="n"/>
      <c r="CX33" s="41" t="n"/>
      <c r="CY33" s="57" t="n"/>
      <c r="CZ33" s="83" t="n"/>
      <c r="DA33" s="57" t="n"/>
      <c r="DB33" s="58" t="n"/>
      <c r="DC33" s="57" t="n"/>
      <c r="DD33" s="83" t="n"/>
      <c r="DE33" s="57" t="n"/>
      <c r="DF33" s="41" t="n"/>
      <c r="DG33" s="41" t="n"/>
      <c r="DH33" s="83" t="n"/>
      <c r="DI33" s="41" t="n"/>
      <c r="DJ33" s="41" t="n"/>
      <c r="DK33" s="41" t="n"/>
      <c r="DL33" s="83" t="n"/>
      <c r="DM33" s="41" t="n"/>
      <c r="DN33" s="41" t="n"/>
      <c r="DO33" s="41" t="n"/>
      <c r="DP33" s="83" t="n"/>
      <c r="DQ33" s="41" t="n"/>
      <c r="DR33" s="64" t="n"/>
      <c r="DS33" s="65" t="n"/>
      <c r="DT33" s="83" t="n"/>
      <c r="DU33" s="66" t="n"/>
      <c r="DV33" s="64" t="n"/>
      <c r="DW33" s="65" t="n"/>
      <c r="DX33" s="83" t="n"/>
      <c r="DY33" s="66" t="n"/>
      <c r="DZ33" s="84" t="n"/>
      <c r="EA33" s="84" t="n"/>
    </row>
    <row r="34" ht="59" customFormat="1" customHeight="1" s="54">
      <c r="A34" s="55" t="inlineStr">
        <is>
          <t>五楼</t>
        </is>
      </c>
      <c r="B34" s="56" t="inlineStr">
        <is>
          <t>方宇</t>
        </is>
      </c>
      <c r="C34" s="41" t="n">
        <v>36</v>
      </c>
      <c r="D34" s="41" t="inlineStr">
        <is>
          <t>订单部</t>
        </is>
      </c>
      <c r="E34" s="57" t="inlineStr">
        <is>
          <t>接单报价组</t>
        </is>
      </c>
      <c r="F34" s="57" t="inlineStr">
        <is>
          <t>08:11</t>
        </is>
      </c>
      <c r="G34" s="58" t="n">
        <v>0.7506944444444444</v>
      </c>
      <c r="H34" s="83">
        <f>MOD(G34-F34,1)*24</f>
        <v/>
      </c>
      <c r="I34" s="57" t="n">
        <v>1</v>
      </c>
      <c r="J34" s="58" t="n">
        <v>0.3423611111111111</v>
      </c>
      <c r="K34" s="58" t="n">
        <v>0.75</v>
      </c>
      <c r="L34" s="83">
        <f>MOD(K34-J34,1)*24</f>
        <v/>
      </c>
      <c r="M34" s="57" t="n">
        <v>1</v>
      </c>
      <c r="N34" s="58" t="n">
        <v>0.3423611111111111</v>
      </c>
      <c r="O34" s="58" t="n">
        <v>0.7506944444444444</v>
      </c>
      <c r="P34" s="83">
        <f>MOD(O34-N34,1)*24</f>
        <v/>
      </c>
      <c r="Q34" s="57" t="n">
        <v>1</v>
      </c>
      <c r="R34" s="58" t="n">
        <v>0.34375</v>
      </c>
      <c r="S34" s="58" t="n">
        <v>0.7527777777777778</v>
      </c>
      <c r="T34" s="83">
        <f>MOD(S34-R34,1)*24</f>
        <v/>
      </c>
      <c r="U34" s="57" t="n">
        <v>1</v>
      </c>
      <c r="V34" s="58" t="n">
        <v>0.3444444444444444</v>
      </c>
      <c r="W34" s="58" t="n">
        <v>0.75</v>
      </c>
      <c r="X34" s="83">
        <f>MOD(W34-V34,1)*24</f>
        <v/>
      </c>
      <c r="Y34" s="57" t="n">
        <v>1</v>
      </c>
      <c r="Z34" s="58" t="n">
        <v>0.3451388888888889</v>
      </c>
      <c r="AA34" s="60" t="n">
        <v>0.7506944444444444</v>
      </c>
      <c r="AB34" s="83">
        <f>MOD(AA34-Z34,1)*24</f>
        <v/>
      </c>
      <c r="AC34" s="41" t="n">
        <v>1</v>
      </c>
      <c r="AD34" s="41" t="n"/>
      <c r="AE34" s="57" t="n"/>
      <c r="AF34" s="83" t="n"/>
      <c r="AG34" s="57" t="n"/>
      <c r="AH34" s="58" t="n">
        <v>0.3479166666666667</v>
      </c>
      <c r="AI34" s="58" t="n">
        <v>0.75</v>
      </c>
      <c r="AJ34" s="83">
        <f>MOD(AI34-AH34,1)*24</f>
        <v/>
      </c>
      <c r="AK34" s="57" t="n">
        <v>1</v>
      </c>
      <c r="AL34" s="58" t="n">
        <v>0.3493055555555555</v>
      </c>
      <c r="AM34" s="58" t="n">
        <v>0.75</v>
      </c>
      <c r="AN34" s="83">
        <f>MOD(AM34-AL34,1)*24</f>
        <v/>
      </c>
      <c r="AO34" s="57" t="n">
        <v>1</v>
      </c>
      <c r="AP34" s="58" t="n">
        <v>0.3444444444444444</v>
      </c>
      <c r="AQ34" s="58" t="n">
        <v>0.7506944444444444</v>
      </c>
      <c r="AR34" s="83">
        <f>MOD(AQ34-AP34,1)*24</f>
        <v/>
      </c>
      <c r="AS34" s="57" t="n">
        <v>1</v>
      </c>
      <c r="AT34" s="58" t="n">
        <v>0.3451388888888889</v>
      </c>
      <c r="AU34" s="58" t="n">
        <v>0.75</v>
      </c>
      <c r="AV34" s="83">
        <f>MOD(AU34-AT34,1)*24</f>
        <v/>
      </c>
      <c r="AW34" s="57" t="n">
        <v>1</v>
      </c>
      <c r="AX34" s="58" t="n">
        <v>0.3409722222222222</v>
      </c>
      <c r="AY34" s="58" t="n">
        <v>0.75</v>
      </c>
      <c r="AZ34" s="83">
        <f>MOD(AY34-AX34,1)*24</f>
        <v/>
      </c>
      <c r="BA34" s="57" t="n">
        <v>1</v>
      </c>
      <c r="BB34" s="58" t="n">
        <v>0.3465277777777778</v>
      </c>
      <c r="BC34" s="60" t="n">
        <v>0.7534722222222222</v>
      </c>
      <c r="BD34" s="83">
        <f>MOD(BC34-BB34,1)*24</f>
        <v/>
      </c>
      <c r="BE34" s="41" t="n">
        <v>1</v>
      </c>
      <c r="BF34" s="41" t="n"/>
      <c r="BG34" s="57" t="n"/>
      <c r="BH34" s="83" t="n"/>
      <c r="BI34" s="57" t="n"/>
      <c r="BJ34" s="58" t="n">
        <v>0.3430555555555556</v>
      </c>
      <c r="BK34" s="58" t="n">
        <v>0.75</v>
      </c>
      <c r="BL34" s="83">
        <f>MOD(BK34-BJ34,1)*24</f>
        <v/>
      </c>
      <c r="BM34" s="57" t="n">
        <v>1</v>
      </c>
      <c r="BN34" s="58" t="n">
        <v>0.3472222222222222</v>
      </c>
      <c r="BO34" s="58" t="n">
        <v>0.75</v>
      </c>
      <c r="BP34" s="83">
        <f>MOD(BO34-BN34,1)*24</f>
        <v/>
      </c>
      <c r="BQ34" s="57" t="n">
        <v>1</v>
      </c>
      <c r="BR34" s="58" t="n">
        <v>0.3451388888888889</v>
      </c>
      <c r="BS34" s="58" t="n">
        <v>0.75</v>
      </c>
      <c r="BT34" s="83">
        <f>MOD(BS34-BR34,1)*24</f>
        <v/>
      </c>
      <c r="BU34" s="57" t="n">
        <v>1</v>
      </c>
      <c r="BV34" s="58" t="n">
        <v>0.3451388888888889</v>
      </c>
      <c r="BW34" s="60" t="n">
        <v>0.7506944444444444</v>
      </c>
      <c r="BX34" s="83">
        <f>MOD(BW34-BV34,1)*24</f>
        <v/>
      </c>
      <c r="BY34" s="41" t="n">
        <v>1</v>
      </c>
      <c r="BZ34" s="41" t="n"/>
      <c r="CA34" s="41" t="n"/>
      <c r="CB34" s="83" t="n"/>
      <c r="CC34" s="41" t="n"/>
      <c r="CD34" s="41" t="n"/>
      <c r="CE34" s="57" t="n"/>
      <c r="CF34" s="83" t="n"/>
      <c r="CG34" s="57" t="n"/>
      <c r="CH34" s="58" t="n">
        <v>0.3451388888888889</v>
      </c>
      <c r="CI34" s="58" t="n">
        <v>0.75</v>
      </c>
      <c r="CJ34" s="83">
        <f>MOD(CI34-CH34,1)*24</f>
        <v/>
      </c>
      <c r="CK34" s="57" t="n">
        <v>1</v>
      </c>
      <c r="CL34" s="58" t="n">
        <v>0.3423611111111111</v>
      </c>
      <c r="CM34" s="58" t="n">
        <v>0.75</v>
      </c>
      <c r="CN34" s="83">
        <f>MOD(CM34-CL34,1)*24</f>
        <v/>
      </c>
      <c r="CO34" s="57" t="n">
        <v>1</v>
      </c>
      <c r="CP34" s="58" t="n">
        <v>0.3381944444444445</v>
      </c>
      <c r="CQ34" s="60" t="n">
        <v>0.8215277777777777</v>
      </c>
      <c r="CR34" s="83">
        <f>MOD(CQ34-CP34,1)*24</f>
        <v/>
      </c>
      <c r="CS34" s="57" t="n">
        <v>1</v>
      </c>
      <c r="CT34" s="41" t="n"/>
      <c r="CU34" s="41" t="n"/>
      <c r="CV34" s="83" t="n"/>
      <c r="CW34" s="41" t="n"/>
      <c r="CX34" s="58" t="n">
        <v>0.3416666666666667</v>
      </c>
      <c r="CY34" s="58" t="n">
        <v>0.7506944444444444</v>
      </c>
      <c r="CZ34" s="83">
        <f>MOD(CY34-CX34,1)*24</f>
        <v/>
      </c>
      <c r="DA34" s="57" t="n">
        <v>1</v>
      </c>
      <c r="DB34" s="58" t="n">
        <v>0.3451388888888889</v>
      </c>
      <c r="DC34" s="58" t="n">
        <v>0.7506944444444444</v>
      </c>
      <c r="DD34" s="83">
        <f>MOD(DC34-DB34,1)*24</f>
        <v/>
      </c>
      <c r="DE34" s="57" t="n">
        <v>1</v>
      </c>
      <c r="DF34" s="58" t="n">
        <v>0.3513888888888889</v>
      </c>
      <c r="DG34" s="58" t="n">
        <v>0.7506944444444444</v>
      </c>
      <c r="DH34" s="83">
        <f>MOD(DG34-DF34,1)*24</f>
        <v/>
      </c>
      <c r="DI34" s="41" t="n">
        <v>1</v>
      </c>
      <c r="DJ34" s="58" t="n">
        <v>0.35</v>
      </c>
      <c r="DK34" s="58" t="n">
        <v>0.75</v>
      </c>
      <c r="DL34" s="83">
        <f>MOD(DK34-DJ34,1)*24</f>
        <v/>
      </c>
      <c r="DM34" s="57" t="n">
        <v>1</v>
      </c>
      <c r="DN34" s="58" t="n">
        <v>0.3451388888888889</v>
      </c>
      <c r="DO34" s="58" t="n">
        <v>0.7506944444444444</v>
      </c>
      <c r="DP34" s="83">
        <f>MOD(DO34-DN34,1)*24</f>
        <v/>
      </c>
      <c r="DQ34" s="57" t="n">
        <v>1</v>
      </c>
      <c r="DR34" s="61" t="n">
        <v>0.3409722222222222</v>
      </c>
      <c r="DS34" s="62" t="n">
        <v>0.7506944444444444</v>
      </c>
      <c r="DT34" s="83">
        <f>MOD(DS34-DR34,1)*24</f>
        <v/>
      </c>
      <c r="DU34" s="41" t="n">
        <v>1</v>
      </c>
      <c r="DV34" s="61" t="n"/>
      <c r="DW34" s="62" t="n"/>
      <c r="DX34" s="83" t="n"/>
      <c r="DY34" s="41" t="n"/>
      <c r="DZ34" s="84">
        <f>H34+L34+P34+T34+X34+AB34+AF34+AJ34+AN34+AR34+AV34+AZ34+BD34+BH34+BL34+BP34+BT34+BX34+CB34+CF34+CJ34+CN34+CR34+CV34+CZ34+DD34+DH34+DL34+DP34+DT34</f>
        <v/>
      </c>
      <c r="EA34" s="84">
        <f>I34+M34+Q34+U34+Y34+AC34+AG34+AK34+AO34+AS34+AW34+BA34+BE34+BI34+BM34+BQ34+BU34+BY34+CC34+CG34+CK34+CO34+CS34+CW34+DA34+DE34+DI34+DM34+DQ34+DU34</f>
        <v/>
      </c>
    </row>
    <row r="35" ht="59" customFormat="1" customHeight="1" s="54">
      <c r="A35" s="55" t="inlineStr">
        <is>
          <t>五楼</t>
        </is>
      </c>
      <c r="B35" s="56" t="inlineStr">
        <is>
          <t>莫永兵</t>
        </is>
      </c>
      <c r="C35" s="41" t="n">
        <v>37</v>
      </c>
      <c r="D35" s="41" t="inlineStr">
        <is>
          <t>板式车间</t>
        </is>
      </c>
      <c r="E35" s="57" t="inlineStr">
        <is>
          <t>板式车间</t>
        </is>
      </c>
      <c r="F35" s="57" t="inlineStr">
        <is>
          <t>08:14</t>
        </is>
      </c>
      <c r="G35" s="58" t="n">
        <v>0.9916666666666667</v>
      </c>
      <c r="H35" s="83">
        <f>MOD(G35-F35,1)*24</f>
        <v/>
      </c>
      <c r="I35" s="57" t="n">
        <v>1</v>
      </c>
      <c r="J35" s="58" t="n">
        <v>0.3472222222222222</v>
      </c>
      <c r="K35" s="58" t="n">
        <v>0.9930555555555556</v>
      </c>
      <c r="L35" s="83">
        <f>MOD(K35-J35,1)*24</f>
        <v/>
      </c>
      <c r="M35" s="57" t="n">
        <v>1</v>
      </c>
      <c r="N35" s="58" t="n">
        <v>0.9986111111111111</v>
      </c>
      <c r="O35" s="57" t="n"/>
      <c r="P35" s="83" t="n"/>
      <c r="Q35" s="57" t="n">
        <v>0.5</v>
      </c>
      <c r="R35" s="58" t="n">
        <v>0.3479166666666667</v>
      </c>
      <c r="S35" s="58" t="n">
        <v>0.9909722222222223</v>
      </c>
      <c r="T35" s="83">
        <f>MOD(S35-R35,1)*24</f>
        <v/>
      </c>
      <c r="U35" s="57" t="n">
        <v>1</v>
      </c>
      <c r="V35" s="58" t="n">
        <v>0.3465277777777778</v>
      </c>
      <c r="W35" s="58" t="n">
        <v>0.9569444444444445</v>
      </c>
      <c r="X35" s="83">
        <f>MOD(W35-V35,1)*24</f>
        <v/>
      </c>
      <c r="Y35" s="57" t="n">
        <v>1</v>
      </c>
      <c r="Z35" s="58" t="n">
        <v>0.3444444444444444</v>
      </c>
      <c r="AA35" s="58" t="n">
        <v>0.9298611111111111</v>
      </c>
      <c r="AB35" s="83">
        <f>MOD(AA35-Z35,1)*24</f>
        <v/>
      </c>
      <c r="AC35" s="41" t="n">
        <v>1</v>
      </c>
      <c r="AD35" s="58" t="n">
        <v>0.8159722222222222</v>
      </c>
      <c r="AE35" s="57" t="n"/>
      <c r="AF35" s="83" t="n"/>
      <c r="AG35" s="57" t="n">
        <v>0.5</v>
      </c>
      <c r="AH35" s="58" t="n">
        <v>0.3430555555555556</v>
      </c>
      <c r="AI35" s="58" t="n">
        <v>0.9541666666666667</v>
      </c>
      <c r="AJ35" s="83">
        <f>MOD(AI35-AH35,1)*24</f>
        <v/>
      </c>
      <c r="AK35" s="57" t="n">
        <v>1</v>
      </c>
      <c r="AL35" s="58" t="n">
        <v>0.3479166666666667</v>
      </c>
      <c r="AM35" s="58" t="n">
        <v>0.94375</v>
      </c>
      <c r="AN35" s="83">
        <f>MOD(AM35-AL35,1)*24</f>
        <v/>
      </c>
      <c r="AO35" s="57" t="n">
        <v>1</v>
      </c>
      <c r="AP35" s="58" t="n">
        <v>0.3472222222222222</v>
      </c>
      <c r="AQ35" s="58" t="n">
        <v>0.9555555555555556</v>
      </c>
      <c r="AR35" s="83">
        <f>MOD(AQ35-AP35,1)*24</f>
        <v/>
      </c>
      <c r="AS35" s="57" t="n">
        <v>1</v>
      </c>
      <c r="AT35" s="58" t="n">
        <v>0.34375</v>
      </c>
      <c r="AU35" s="57" t="n"/>
      <c r="AV35" s="83" t="n"/>
      <c r="AW35" s="57" t="n">
        <v>0.5</v>
      </c>
      <c r="AX35" s="58" t="n">
        <v>0.2625</v>
      </c>
      <c r="AY35" s="58" t="n">
        <v>0.9166666666666666</v>
      </c>
      <c r="AZ35" s="83">
        <f>MOD(AY35-AX35,1)*24</f>
        <v/>
      </c>
      <c r="BA35" s="57" t="n">
        <v>1</v>
      </c>
      <c r="BB35" s="58" t="n">
        <v>0.35</v>
      </c>
      <c r="BC35" s="58" t="n">
        <v>0.8465277777777778</v>
      </c>
      <c r="BD35" s="83">
        <f>MOD(BC35-BB35,1)*24</f>
        <v/>
      </c>
      <c r="BE35" s="41" t="n">
        <v>1</v>
      </c>
      <c r="BF35" s="58" t="n">
        <v>0.7951388888888888</v>
      </c>
      <c r="BG35" s="57" t="n"/>
      <c r="BI35" s="83" t="n">
        <v>0.5</v>
      </c>
      <c r="BJ35" s="58" t="n">
        <v>0.3430555555555556</v>
      </c>
      <c r="BK35" s="58" t="n">
        <v>0.9465277777777777</v>
      </c>
      <c r="BL35" s="83">
        <f>MOD(BK35-BJ35,1)*24</f>
        <v/>
      </c>
      <c r="BM35" s="57" t="n">
        <v>1</v>
      </c>
      <c r="BN35" s="58" t="n">
        <v>0.3506944444444444</v>
      </c>
      <c r="BO35" s="58" t="n">
        <v>0.8902777777777777</v>
      </c>
      <c r="BP35" s="83">
        <f>MOD(BO35-BN35,1)*24</f>
        <v/>
      </c>
      <c r="BQ35" s="57" t="n">
        <v>1</v>
      </c>
      <c r="BR35" s="58" t="n">
        <v>0.3472222222222222</v>
      </c>
      <c r="BS35" s="58" t="n">
        <v>0.9048611111111111</v>
      </c>
      <c r="BT35" s="83">
        <f>MOD(BS35-BR35,1)*24</f>
        <v/>
      </c>
      <c r="BU35" s="57" t="n">
        <v>1</v>
      </c>
      <c r="BV35" s="58" t="n">
        <v>0.8076388888888889</v>
      </c>
      <c r="BW35" s="57" t="n"/>
      <c r="BX35" s="83" t="n"/>
      <c r="BY35" s="57" t="n">
        <v>0.5</v>
      </c>
      <c r="BZ35" s="58" t="n">
        <v>0.83125</v>
      </c>
      <c r="CA35" s="57" t="n"/>
      <c r="CB35" s="83" t="n"/>
      <c r="CC35" s="57" t="n">
        <v>0.5</v>
      </c>
      <c r="CD35" s="58" t="n">
        <v>0.3527777777777778</v>
      </c>
      <c r="CE35" s="58" t="n">
        <v>0.7881944444444444</v>
      </c>
      <c r="CF35" s="83">
        <f>MOD(CE35-CD35,1)*24</f>
        <v/>
      </c>
      <c r="CG35" s="57" t="n">
        <v>1</v>
      </c>
      <c r="CH35" s="58" t="n">
        <v>0.3472222222222222</v>
      </c>
      <c r="CI35" s="58" t="n">
        <v>0.81875</v>
      </c>
      <c r="CJ35" s="83">
        <f>MOD(CI35-CH35,1)*24</f>
        <v/>
      </c>
      <c r="CK35" s="57" t="n">
        <v>1</v>
      </c>
      <c r="CL35" s="58" t="n">
        <v>0.3472222222222222</v>
      </c>
      <c r="CM35" s="58" t="n">
        <v>0.8652777777777778</v>
      </c>
      <c r="CN35" s="83">
        <f>MOD(CM35-CL35,1)*24</f>
        <v/>
      </c>
      <c r="CO35" s="57" t="n">
        <v>1</v>
      </c>
      <c r="CP35" s="58" t="n">
        <v>0.3430555555555556</v>
      </c>
      <c r="CQ35" s="58" t="n">
        <v>0.8951388888888889</v>
      </c>
      <c r="CR35" s="83">
        <f>MOD(CQ35-CP35,1)*24</f>
        <v/>
      </c>
      <c r="CS35" s="57" t="n">
        <v>1</v>
      </c>
      <c r="CT35" s="58" t="n">
        <v>0.3395833333333333</v>
      </c>
      <c r="CU35" s="58" t="n">
        <v>0.8555555555555555</v>
      </c>
      <c r="CV35" s="83">
        <f>MOD(CU35-CT35,1)*24</f>
        <v/>
      </c>
      <c r="CW35" s="57" t="n">
        <v>1</v>
      </c>
      <c r="CX35" s="58" t="n">
        <v>0.3395833333333333</v>
      </c>
      <c r="CY35" s="58" t="n">
        <v>0.8986111111111111</v>
      </c>
      <c r="CZ35" s="83">
        <f>MOD(CY35-CX35,1)*24</f>
        <v/>
      </c>
      <c r="DA35" s="57" t="n">
        <v>1</v>
      </c>
      <c r="DB35" s="58" t="n">
        <v>0.3444444444444444</v>
      </c>
      <c r="DC35" s="58" t="n">
        <v>0.9375</v>
      </c>
      <c r="DD35" s="83">
        <f>MOD(DC35-DB35,1)*24</f>
        <v/>
      </c>
      <c r="DE35" s="57" t="n">
        <v>1</v>
      </c>
      <c r="DF35" s="58" t="n">
        <v>0.34375</v>
      </c>
      <c r="DG35" s="58" t="n">
        <v>0.8166666666666667</v>
      </c>
      <c r="DH35" s="83">
        <f>MOD(DG35-DF35,1)*24</f>
        <v/>
      </c>
      <c r="DI35" s="41" t="n">
        <v>1</v>
      </c>
      <c r="DJ35" s="58" t="n">
        <v>0.3458333333333333</v>
      </c>
      <c r="DK35" s="58" t="n">
        <v>0.8152777777777778</v>
      </c>
      <c r="DL35" s="83">
        <f>MOD(DK35-DJ35,1)*24</f>
        <v/>
      </c>
      <c r="DM35" s="57" t="n">
        <v>1</v>
      </c>
      <c r="DN35" s="58" t="n">
        <v>0.3444444444444444</v>
      </c>
      <c r="DO35" s="58" t="n">
        <v>0.9354166666666667</v>
      </c>
      <c r="DP35" s="83">
        <f>MOD(DO35-DN35,1)*24</f>
        <v/>
      </c>
      <c r="DQ35" s="57" t="n">
        <v>1</v>
      </c>
      <c r="DR35" s="61" t="n">
        <v>0.35</v>
      </c>
      <c r="DS35" s="62" t="n">
        <v>0.9868055555555556</v>
      </c>
      <c r="DT35" s="83">
        <f>MOD(DS35-DR35,1)*24</f>
        <v/>
      </c>
      <c r="DU35" s="41" t="n">
        <v>1</v>
      </c>
      <c r="DV35" s="61" t="n"/>
      <c r="DW35" s="62" t="n"/>
      <c r="DX35" s="83" t="n"/>
      <c r="DY35" s="41" t="n"/>
      <c r="DZ35" s="84">
        <f>H35+L35+P35+T35+X35+AB35+AF35+AJ35+AN35+AR35+AV35+AZ35+BD35+BH35+BL35+BP35+BT35+BX35+CB35+CF35+CJ35+CN35+CR35+CV35+CZ35+DD35+DH35+DL35+DP35+DT35</f>
        <v/>
      </c>
      <c r="EA35" s="84">
        <f>I35+M35+Q35+U35+Y35+AC35+AG35+AK35+AO35+AS35+AW35+BA35+BE35+BI35+BM35+BQ35+BU35+BY35+CC35+CG35+CK35+CO35+CS35+CW35+DA35+DE35+DI35+DM35+DQ35+DU35</f>
        <v/>
      </c>
    </row>
    <row r="36" ht="59" customFormat="1" customHeight="1" s="54">
      <c r="A36" s="55" t="inlineStr">
        <is>
          <t>五楼</t>
        </is>
      </c>
      <c r="B36" s="56" t="inlineStr">
        <is>
          <t>冯钰超</t>
        </is>
      </c>
      <c r="C36" s="41" t="n">
        <v>38</v>
      </c>
      <c r="D36" s="41" t="inlineStr">
        <is>
          <t>设计部</t>
        </is>
      </c>
      <c r="E36" s="57" t="inlineStr">
        <is>
          <t>设计组</t>
        </is>
      </c>
      <c r="F36" s="57" t="inlineStr">
        <is>
          <t>08:24</t>
        </is>
      </c>
      <c r="G36" s="58" t="n">
        <v>0.7555555555555555</v>
      </c>
      <c r="H36" s="83">
        <f>MOD(G36-F36,1)*24</f>
        <v/>
      </c>
      <c r="I36" s="57" t="n">
        <v>1</v>
      </c>
      <c r="J36" s="58" t="n">
        <v>0.3472222222222222</v>
      </c>
      <c r="K36" s="58" t="n">
        <v>0.75625</v>
      </c>
      <c r="L36" s="83">
        <f>MOD(K36-J36,1)*24</f>
        <v/>
      </c>
      <c r="M36" s="57" t="n">
        <v>1</v>
      </c>
      <c r="N36" s="58" t="n">
        <v>0.3493055555555555</v>
      </c>
      <c r="O36" s="58" t="n">
        <v>0.75625</v>
      </c>
      <c r="P36" s="83">
        <f>MOD(O36-N36,1)*24</f>
        <v/>
      </c>
      <c r="Q36" s="57" t="n">
        <v>1</v>
      </c>
      <c r="R36" s="58" t="n">
        <v>0.3486111111111111</v>
      </c>
      <c r="S36" s="58" t="n">
        <v>0.7520833333333333</v>
      </c>
      <c r="T36" s="83">
        <f>MOD(S36-R36,1)*24</f>
        <v/>
      </c>
      <c r="U36" s="57" t="n">
        <v>1</v>
      </c>
      <c r="V36" s="58" t="n">
        <v>0.3493055555555555</v>
      </c>
      <c r="W36" s="58" t="n">
        <v>0.7506944444444444</v>
      </c>
      <c r="X36" s="83">
        <f>MOD(W36-V36,1)*24</f>
        <v/>
      </c>
      <c r="Y36" s="57" t="n">
        <v>1</v>
      </c>
      <c r="Z36" s="58" t="n">
        <v>0.3493055555555555</v>
      </c>
      <c r="AA36" s="60" t="n">
        <v>0.7506944444444444</v>
      </c>
      <c r="AB36" s="83">
        <f>MOD(AA36-Z36,1)*24</f>
        <v/>
      </c>
      <c r="AC36" s="41" t="n">
        <v>1</v>
      </c>
      <c r="AD36" s="41" t="n"/>
      <c r="AE36" s="57" t="n"/>
      <c r="AF36" s="83" t="n"/>
      <c r="AG36" s="57" t="n"/>
      <c r="AH36" s="58" t="n">
        <v>0.3479166666666667</v>
      </c>
      <c r="AI36" s="58" t="n">
        <v>0.7520833333333333</v>
      </c>
      <c r="AJ36" s="83">
        <f>MOD(AI36-AH36,1)*24</f>
        <v/>
      </c>
      <c r="AK36" s="57" t="n">
        <v>1</v>
      </c>
      <c r="AL36" s="58" t="n">
        <v>0.3493055555555555</v>
      </c>
      <c r="AM36" s="58" t="n">
        <v>0.7520833333333333</v>
      </c>
      <c r="AN36" s="83">
        <f>MOD(AM36-AL36,1)*24</f>
        <v/>
      </c>
      <c r="AO36" s="57" t="n">
        <v>1</v>
      </c>
      <c r="AP36" s="58" t="n">
        <v>0.3506944444444444</v>
      </c>
      <c r="AQ36" s="58" t="n">
        <v>0.7736111111111111</v>
      </c>
      <c r="AR36" s="83">
        <f>MOD(AQ36-AP36,1)*24</f>
        <v/>
      </c>
      <c r="AS36" s="57" t="n">
        <v>1</v>
      </c>
      <c r="AT36" s="58" t="n">
        <v>0.3479166666666667</v>
      </c>
      <c r="AU36" s="58" t="n">
        <v>0.7659722222222223</v>
      </c>
      <c r="AV36" s="83">
        <f>MOD(AU36-AT36,1)*24</f>
        <v/>
      </c>
      <c r="AW36" s="57" t="n">
        <v>1</v>
      </c>
      <c r="AX36" s="58" t="n">
        <v>0.3479166666666667</v>
      </c>
      <c r="AY36" s="58" t="n">
        <v>0.7576388888888889</v>
      </c>
      <c r="AZ36" s="83">
        <f>MOD(AY36-AX36,1)*24</f>
        <v/>
      </c>
      <c r="BA36" s="57" t="n">
        <v>1</v>
      </c>
      <c r="BB36" s="58" t="n">
        <v>0.35</v>
      </c>
      <c r="BC36" s="58" t="n">
        <v>0.7506944444444444</v>
      </c>
      <c r="BD36" s="83">
        <f>MOD(BC36-BB36,1)*24</f>
        <v/>
      </c>
      <c r="BE36" s="41" t="n">
        <v>1</v>
      </c>
      <c r="BF36" s="58" t="n">
        <v>0.3493055555555555</v>
      </c>
      <c r="BG36" s="58" t="n">
        <v>0.75</v>
      </c>
      <c r="BH36" s="83">
        <f>MOD(BG36-BF36,1)*24</f>
        <v/>
      </c>
      <c r="BI36" s="57" t="n">
        <v>1</v>
      </c>
      <c r="BJ36" s="58" t="n">
        <v>0.3486111111111111</v>
      </c>
      <c r="BK36" s="58" t="n">
        <v>0.7513888888888889</v>
      </c>
      <c r="BL36" s="83">
        <f>MOD(BK36-BJ36,1)*24</f>
        <v/>
      </c>
      <c r="BM36" s="57" t="n">
        <v>1</v>
      </c>
      <c r="BN36" s="58" t="n">
        <v>0.3493055555555555</v>
      </c>
      <c r="BO36" s="58" t="n">
        <v>0.7951388888888888</v>
      </c>
      <c r="BP36" s="83">
        <f>MOD(BO36-BN36,1)*24</f>
        <v/>
      </c>
      <c r="BQ36" s="57" t="n">
        <v>1</v>
      </c>
      <c r="BR36" s="58" t="n">
        <v>0.3451388888888889</v>
      </c>
      <c r="BS36" s="58" t="n">
        <v>0.7520833333333333</v>
      </c>
      <c r="BT36" s="83">
        <f>MOD(BS36-BR36,1)*24</f>
        <v/>
      </c>
      <c r="BU36" s="57" t="n">
        <v>1</v>
      </c>
      <c r="BV36" s="58" t="n">
        <v>0.3486111111111111</v>
      </c>
      <c r="BW36" s="60" t="n">
        <v>0.75</v>
      </c>
      <c r="BX36" s="83">
        <f>MOD(BW36-BV36,1)*24</f>
        <v/>
      </c>
      <c r="BY36" s="41" t="n">
        <v>1</v>
      </c>
      <c r="BZ36" s="41" t="n"/>
      <c r="CA36" s="41" t="n"/>
      <c r="CB36" s="83" t="n"/>
      <c r="CC36" s="41" t="n"/>
      <c r="CD36" s="41" t="n"/>
      <c r="CE36" s="57" t="n"/>
      <c r="CF36" s="83" t="n"/>
      <c r="CG36" s="57" t="n"/>
      <c r="CH36" s="58" t="n">
        <v>0.35</v>
      </c>
      <c r="CI36" s="58" t="n">
        <v>0.7548611111111111</v>
      </c>
      <c r="CJ36" s="83">
        <f>MOD(CI36-CH36,1)*24</f>
        <v/>
      </c>
      <c r="CK36" s="57" t="n">
        <v>1</v>
      </c>
      <c r="CL36" s="58" t="n">
        <v>0.35</v>
      </c>
      <c r="CM36" s="58" t="n">
        <v>0.7756944444444445</v>
      </c>
      <c r="CN36" s="83">
        <f>MOD(CM36-CL36,1)*24</f>
        <v/>
      </c>
      <c r="CO36" s="57" t="n">
        <v>1</v>
      </c>
      <c r="CP36" s="58" t="n">
        <v>0.3486111111111111</v>
      </c>
      <c r="CQ36" s="58" t="n">
        <v>0.7736111111111111</v>
      </c>
      <c r="CR36" s="83">
        <f>MOD(CQ36-CP36,1)*24</f>
        <v/>
      </c>
      <c r="CS36" s="57" t="n">
        <v>1</v>
      </c>
      <c r="CT36" s="58" t="n">
        <v>0.35</v>
      </c>
      <c r="CU36" s="58" t="n">
        <v>0.7506944444444444</v>
      </c>
      <c r="CV36" s="83">
        <f>MOD(CU36-CT36,1)*24</f>
        <v/>
      </c>
      <c r="CW36" s="57" t="n">
        <v>1</v>
      </c>
      <c r="CX36" s="58" t="n">
        <v>0.3493055555555555</v>
      </c>
      <c r="CY36" s="58" t="n">
        <v>0.7520833333333333</v>
      </c>
      <c r="CZ36" s="83">
        <f>MOD(CY36-CX36,1)*24</f>
        <v/>
      </c>
      <c r="DA36" s="57" t="n">
        <v>1</v>
      </c>
      <c r="DB36" s="58" t="n">
        <v>0.3506944444444444</v>
      </c>
      <c r="DC36" s="58" t="n">
        <v>0.7701388888888889</v>
      </c>
      <c r="DD36" s="83">
        <f>MOD(DC36-DB36,1)*24</f>
        <v/>
      </c>
      <c r="DE36" s="57" t="n">
        <v>1</v>
      </c>
      <c r="DF36" s="58" t="n">
        <v>0.35</v>
      </c>
      <c r="DG36" s="60" t="n">
        <v>0.78125</v>
      </c>
      <c r="DH36" s="83">
        <f>MOD(DG36-DF36,1)*24</f>
        <v/>
      </c>
      <c r="DI36" s="41" t="n">
        <v>1</v>
      </c>
      <c r="DJ36" s="41" t="n"/>
      <c r="DK36" s="41" t="n"/>
      <c r="DL36" s="83" t="n"/>
      <c r="DM36" s="41" t="n"/>
      <c r="DN36" s="58" t="n">
        <v>0.3486111111111111</v>
      </c>
      <c r="DO36" s="58" t="n">
        <v>0.8361111111111111</v>
      </c>
      <c r="DP36" s="83">
        <f>MOD(DO36-DN36,1)*24</f>
        <v/>
      </c>
      <c r="DQ36" s="57" t="n">
        <v>1</v>
      </c>
      <c r="DR36" s="61" t="n">
        <v>0.3486111111111111</v>
      </c>
      <c r="DS36" s="62" t="n">
        <v>0.7743055555555556</v>
      </c>
      <c r="DT36" s="83">
        <f>MOD(DS36-DR36,1)*24</f>
        <v/>
      </c>
      <c r="DU36" s="41" t="n">
        <v>1</v>
      </c>
      <c r="DV36" s="61" t="n"/>
      <c r="DW36" s="62" t="n"/>
      <c r="DX36" s="83" t="n"/>
      <c r="DY36" s="41" t="n"/>
      <c r="DZ36" s="84">
        <f>H36+L36+P36+T36+X36+AB36+AF36+AJ36+AN36+AR36+AV36+AZ36+BD36+BH36+BL36+BP36+BT36+BX36+CB36+CF36+CJ36+CN36+CR36+CV36+CZ36+DD36+DH36+DL36+DP36+DT36</f>
        <v/>
      </c>
      <c r="EA36" s="84">
        <f>I36+M36+Q36+U36+Y36+AC36+AG36+AK36+AO36+AS36+AW36+BA36+BE36+BI36+BM36+BQ36+BU36+BY36+CC36+CG36+CK36+CO36+CS36+CW36+DA36+DE36+DI36+DM36+DQ36+DU36</f>
        <v/>
      </c>
    </row>
    <row r="37" ht="59" customFormat="1" customHeight="1" s="54">
      <c r="A37" s="55" t="inlineStr">
        <is>
          <t>五楼</t>
        </is>
      </c>
      <c r="B37" s="56" t="inlineStr">
        <is>
          <t>黄华</t>
        </is>
      </c>
      <c r="C37" s="41" t="n">
        <v>39</v>
      </c>
      <c r="D37" s="41" t="inlineStr">
        <is>
          <t>设计部</t>
        </is>
      </c>
      <c r="E37" s="57" t="inlineStr">
        <is>
          <t>设计组</t>
        </is>
      </c>
      <c r="F37" s="57" t="inlineStr">
        <is>
          <t>08:26</t>
        </is>
      </c>
      <c r="G37" s="58" t="n">
        <v>0.7569444444444444</v>
      </c>
      <c r="H37" s="83">
        <f>MOD(G37-F37,1)*24</f>
        <v/>
      </c>
      <c r="I37" s="57" t="n">
        <v>1</v>
      </c>
      <c r="J37" s="58" t="n">
        <v>0.35</v>
      </c>
      <c r="K37" s="58" t="n">
        <v>0.7555555555555555</v>
      </c>
      <c r="L37" s="83">
        <f>MOD(K37-J37,1)*24</f>
        <v/>
      </c>
      <c r="M37" s="57" t="n">
        <v>1</v>
      </c>
      <c r="N37" s="58" t="n">
        <v>0.35</v>
      </c>
      <c r="O37" s="58" t="n">
        <v>0.7611111111111111</v>
      </c>
      <c r="P37" s="83">
        <f>MOD(O37-N37,1)*24</f>
        <v/>
      </c>
      <c r="Q37" s="57" t="n">
        <v>1</v>
      </c>
      <c r="R37" s="58" t="n">
        <v>0.3472222222222222</v>
      </c>
      <c r="S37" s="58" t="n">
        <v>0.8340277777777778</v>
      </c>
      <c r="T37" s="83">
        <f>MOD(S37-R37,1)*24</f>
        <v/>
      </c>
      <c r="U37" s="57" t="n">
        <v>1</v>
      </c>
      <c r="V37" s="58" t="n">
        <v>0.3479166666666667</v>
      </c>
      <c r="W37" s="58" t="n">
        <v>0.8423611111111111</v>
      </c>
      <c r="X37" s="83">
        <f>MOD(W37-V37,1)*24</f>
        <v/>
      </c>
      <c r="Y37" s="57" t="n">
        <v>1</v>
      </c>
      <c r="Z37" s="58" t="n">
        <v>0.3472222222222222</v>
      </c>
      <c r="AA37" s="60" t="n">
        <v>0.8486111111111111</v>
      </c>
      <c r="AB37" s="83">
        <f>MOD(AA37-Z37,1)*24</f>
        <v/>
      </c>
      <c r="AC37" s="41" t="n">
        <v>1</v>
      </c>
      <c r="AD37" s="41" t="n"/>
      <c r="AE37" s="57" t="n"/>
      <c r="AF37" s="83" t="n"/>
      <c r="AG37" s="57" t="n"/>
      <c r="AH37" s="58" t="n">
        <v>0.3513888888888889</v>
      </c>
      <c r="AI37" s="58" t="n">
        <v>0.7576388888888889</v>
      </c>
      <c r="AJ37" s="83">
        <f>MOD(AI37-AH37,1)*24</f>
        <v/>
      </c>
      <c r="AK37" s="57" t="n">
        <v>1</v>
      </c>
      <c r="AL37" s="58" t="n">
        <v>0.35</v>
      </c>
      <c r="AM37" s="58" t="n">
        <v>0.7534722222222222</v>
      </c>
      <c r="AN37" s="83">
        <f>MOD(AM37-AL37,1)*24</f>
        <v/>
      </c>
      <c r="AO37" s="57" t="n">
        <v>1</v>
      </c>
      <c r="AP37" s="58" t="n">
        <v>0.3472222222222222</v>
      </c>
      <c r="AQ37" s="58" t="n">
        <v>0.7541666666666667</v>
      </c>
      <c r="AR37" s="83">
        <f>MOD(AQ37-AP37,1)*24</f>
        <v/>
      </c>
      <c r="AS37" s="57" t="n">
        <v>1</v>
      </c>
      <c r="AT37" s="58" t="n">
        <v>0.3479166666666667</v>
      </c>
      <c r="AU37" s="58" t="n">
        <v>0.7513888888888889</v>
      </c>
      <c r="AV37" s="83">
        <f>MOD(AU37-AT37,1)*24</f>
        <v/>
      </c>
      <c r="AW37" s="57" t="n">
        <v>1</v>
      </c>
      <c r="AX37" s="58" t="n">
        <v>0.3472222222222222</v>
      </c>
      <c r="AY37" s="58" t="n">
        <v>0.7513888888888889</v>
      </c>
      <c r="AZ37" s="83">
        <f>MOD(AY37-AX37,1)*24</f>
        <v/>
      </c>
      <c r="BA37" s="57" t="n">
        <v>1</v>
      </c>
      <c r="BB37" s="58" t="n">
        <v>0.3465277777777778</v>
      </c>
      <c r="BC37" s="60" t="n">
        <v>0.7506944444444444</v>
      </c>
      <c r="BD37" s="83">
        <f>MOD(BC37-BB37,1)*24</f>
        <v/>
      </c>
      <c r="BE37" s="41" t="n">
        <v>1</v>
      </c>
      <c r="BF37" s="41" t="n"/>
      <c r="BG37" s="57" t="n"/>
      <c r="BH37" s="83" t="n"/>
      <c r="BI37" s="57" t="n"/>
      <c r="BJ37" s="58" t="n">
        <v>0.35</v>
      </c>
      <c r="BK37" s="58" t="n">
        <v>0.7541666666666667</v>
      </c>
      <c r="BL37" s="83">
        <f>MOD(BK37-BJ37,1)*24</f>
        <v/>
      </c>
      <c r="BM37" s="57" t="n">
        <v>1</v>
      </c>
      <c r="BN37" s="58" t="n">
        <v>0.3493055555555555</v>
      </c>
      <c r="BO37" s="58" t="n">
        <v>0.7541666666666667</v>
      </c>
      <c r="BP37" s="83">
        <f>MOD(BO37-BN37,1)*24</f>
        <v/>
      </c>
      <c r="BQ37" s="57" t="n">
        <v>1</v>
      </c>
      <c r="BR37" s="58" t="n">
        <v>0.35</v>
      </c>
      <c r="BS37" s="58" t="n">
        <v>0.7534722222222222</v>
      </c>
      <c r="BT37" s="83">
        <f>MOD(BS37-BR37,1)*24</f>
        <v/>
      </c>
      <c r="BU37" s="57" t="n">
        <v>1</v>
      </c>
      <c r="BV37" s="58" t="n">
        <v>0.3493055555555555</v>
      </c>
      <c r="BW37" s="60" t="n">
        <v>0.7548611111111111</v>
      </c>
      <c r="BX37" s="83">
        <f>MOD(BW37-BV37,1)*24</f>
        <v/>
      </c>
      <c r="BY37" s="41" t="n">
        <v>1</v>
      </c>
      <c r="BZ37" s="41" t="n"/>
      <c r="CA37" s="41" t="n"/>
      <c r="CB37" s="83" t="n"/>
      <c r="CC37" s="41" t="n"/>
      <c r="CD37" s="41" t="n"/>
      <c r="CE37" s="57" t="n"/>
      <c r="CF37" s="83" t="n"/>
      <c r="CG37" s="57" t="n"/>
      <c r="CH37" s="58" t="n">
        <v>0.3479166666666667</v>
      </c>
      <c r="CI37" s="58" t="n">
        <v>0.7520833333333333</v>
      </c>
      <c r="CJ37" s="83">
        <f>MOD(CI37-CH37,1)*24</f>
        <v/>
      </c>
      <c r="CK37" s="57" t="n">
        <v>1</v>
      </c>
      <c r="CL37" s="58" t="n">
        <v>0.3513888888888889</v>
      </c>
      <c r="CM37" s="57" t="n"/>
      <c r="CN37" s="83">
        <f>MOD(CM37-CL37,1)*24</f>
        <v/>
      </c>
      <c r="CO37" s="57" t="n">
        <v>0.5</v>
      </c>
      <c r="CP37" s="58" t="n">
        <v>0.3506944444444444</v>
      </c>
      <c r="CQ37" s="58" t="n">
        <v>0.7548611111111111</v>
      </c>
      <c r="CR37" s="83">
        <f>MOD(CQ37-CP37,1)*24</f>
        <v/>
      </c>
      <c r="CS37" s="57" t="n">
        <v>1</v>
      </c>
      <c r="CT37" s="58" t="n">
        <v>0.35</v>
      </c>
      <c r="CU37" s="58" t="n">
        <v>0.7506944444444444</v>
      </c>
      <c r="CV37" s="83">
        <f>MOD(CU37-CT37,1)*24</f>
        <v/>
      </c>
      <c r="CW37" s="57" t="n">
        <v>1</v>
      </c>
      <c r="CX37" s="58" t="n">
        <v>0.3486111111111111</v>
      </c>
      <c r="CY37" s="58" t="n">
        <v>0.7527777777777778</v>
      </c>
      <c r="CZ37" s="83">
        <f>MOD(CY37-CX37,1)*24</f>
        <v/>
      </c>
      <c r="DA37" s="57" t="n">
        <v>1</v>
      </c>
      <c r="DB37" s="58" t="n">
        <v>0.3493055555555555</v>
      </c>
      <c r="DC37" s="58" t="n">
        <v>0.7548611111111111</v>
      </c>
      <c r="DD37" s="83">
        <f>MOD(DC37-DB37,1)*24</f>
        <v/>
      </c>
      <c r="DE37" s="57" t="n">
        <v>1</v>
      </c>
      <c r="DF37" s="58" t="n">
        <v>0.35</v>
      </c>
      <c r="DG37" s="41" t="n"/>
      <c r="DH37" s="83">
        <f>MOD(DG37-DF37,1)*24</f>
        <v/>
      </c>
      <c r="DI37" s="41" t="n">
        <v>1</v>
      </c>
      <c r="DJ37" s="41" t="n"/>
      <c r="DK37" s="41" t="n"/>
      <c r="DL37" s="83" t="n"/>
      <c r="DM37" s="41" t="n"/>
      <c r="DN37" s="58" t="n">
        <v>0.35</v>
      </c>
      <c r="DO37" s="58" t="n">
        <v>0.7520833333333333</v>
      </c>
      <c r="DP37" s="83">
        <f>MOD(DO37-DN37,1)*24</f>
        <v/>
      </c>
      <c r="DQ37" s="57" t="n">
        <v>1</v>
      </c>
      <c r="DR37" s="61" t="n">
        <v>0.3486111111111111</v>
      </c>
      <c r="DS37" s="65" t="n"/>
      <c r="DT37" s="83" t="n"/>
      <c r="DU37" s="41" t="n">
        <v>0.5</v>
      </c>
      <c r="DV37" s="61" t="n"/>
      <c r="DW37" s="65" t="n"/>
      <c r="DX37" s="83" t="n"/>
      <c r="DY37" s="41" t="n"/>
      <c r="DZ37" s="84">
        <f>H37+L37+P37+T37+X37+AB37+AF37+AJ37+AN37+AR37+AV37+AZ37+BD37+BH37+BL37+BP37+BT37+BX37+CB37+CF37+CJ37+CN37+CR37+CV37+CZ37+DD37+DH37+DL37+DP37+DT37</f>
        <v/>
      </c>
      <c r="EA37" s="84">
        <f>I37+M37+Q37+U37+Y37+AC37+AG37+AK37+AO37+AS37+AW37+BA37+BE37+BI37+BM37+BQ37+BU37+BY37+CC37+CG37+CK37+CO37+CS37+CW37+DA37+DE37+DI37+DM37+DQ37+DU37</f>
        <v/>
      </c>
    </row>
    <row r="38" ht="59" customFormat="1" customHeight="1" s="54">
      <c r="A38" s="55" t="inlineStr">
        <is>
          <t>五楼</t>
        </is>
      </c>
      <c r="B38" s="56" t="inlineStr">
        <is>
          <t>黄华</t>
        </is>
      </c>
      <c r="C38" s="41" t="n">
        <v>39</v>
      </c>
      <c r="D38" s="41" t="inlineStr">
        <is>
          <t>设计部</t>
        </is>
      </c>
      <c r="E38" s="57" t="inlineStr">
        <is>
          <t>设计组</t>
        </is>
      </c>
      <c r="F38" s="41" t="n"/>
      <c r="G38" s="41" t="n"/>
      <c r="H38" s="83" t="n"/>
      <c r="I38" s="41" t="n"/>
      <c r="J38" s="41" t="n"/>
      <c r="K38" s="41" t="n"/>
      <c r="L38" s="83" t="n"/>
      <c r="M38" s="41" t="n"/>
      <c r="N38" s="41" t="n"/>
      <c r="O38" s="57" t="n"/>
      <c r="P38" s="83" t="n"/>
      <c r="Q38" s="57" t="n"/>
      <c r="S38" s="57" t="n"/>
      <c r="T38" s="83" t="n"/>
      <c r="U38" s="57" t="n"/>
      <c r="V38" s="41" t="n"/>
      <c r="W38" s="57" t="n"/>
      <c r="X38" s="83" t="n"/>
      <c r="Y38" s="57" t="n"/>
      <c r="Z38" s="58" t="n"/>
      <c r="AB38" s="83" t="n"/>
      <c r="AC38" s="41" t="n"/>
      <c r="AD38" s="41" t="n"/>
      <c r="AE38" s="41" t="n"/>
      <c r="AF38" s="83" t="n"/>
      <c r="AG38" s="41" t="n"/>
      <c r="AH38" s="41" t="n"/>
      <c r="AI38" s="41" t="n"/>
      <c r="AJ38" s="83" t="n"/>
      <c r="AK38" s="41" t="n"/>
      <c r="AL38" s="41" t="n"/>
      <c r="AM38" s="41" t="n"/>
      <c r="AN38" s="83" t="n"/>
      <c r="AO38" s="41" t="n"/>
      <c r="AP38" s="41" t="n"/>
      <c r="AQ38" s="41" t="n"/>
      <c r="AR38" s="83" t="n"/>
      <c r="AS38" s="41" t="n"/>
      <c r="AT38" s="41" t="n"/>
      <c r="AU38" s="41" t="n"/>
      <c r="AV38" s="83" t="n"/>
      <c r="AW38" s="41" t="n"/>
      <c r="AX38" s="41" t="n"/>
      <c r="AY38" s="41" t="n"/>
      <c r="AZ38" s="83" t="n"/>
      <c r="BA38" s="41" t="n"/>
      <c r="BB38" s="41" t="n"/>
      <c r="BC38" s="41" t="n"/>
      <c r="BD38" s="83" t="n"/>
      <c r="BE38" s="41" t="n"/>
      <c r="BF38" s="41" t="n"/>
      <c r="BG38" s="41" t="n"/>
      <c r="BH38" s="83" t="n"/>
      <c r="BI38" s="41" t="n"/>
      <c r="BJ38" s="41" t="n"/>
      <c r="BK38" s="41" t="n"/>
      <c r="BL38" s="83" t="n"/>
      <c r="BM38" s="41" t="n"/>
      <c r="BN38" s="41" t="n"/>
      <c r="BO38" s="41" t="n"/>
      <c r="BP38" s="83" t="n"/>
      <c r="BQ38" s="41" t="n"/>
      <c r="BR38" s="41" t="n"/>
      <c r="BS38" s="41" t="n"/>
      <c r="BT38" s="83" t="n"/>
      <c r="BU38" s="41" t="n"/>
      <c r="BV38" s="41" t="n"/>
      <c r="BW38" s="41" t="n"/>
      <c r="BX38" s="83" t="n"/>
      <c r="BY38" s="41" t="n"/>
      <c r="BZ38" s="41" t="n"/>
      <c r="CA38" s="41" t="n"/>
      <c r="CB38" s="83" t="n"/>
      <c r="CC38" s="41" t="n"/>
      <c r="CD38" s="41" t="n"/>
      <c r="CE38" s="41" t="n"/>
      <c r="CF38" s="83" t="n"/>
      <c r="CG38" s="41" t="n"/>
      <c r="CH38" s="41" t="n"/>
      <c r="CI38" s="41" t="n"/>
      <c r="CJ38" s="83" t="n"/>
      <c r="CK38" s="41" t="n"/>
      <c r="CL38" s="41" t="n"/>
      <c r="CM38" s="41" t="n"/>
      <c r="CN38" s="83" t="n"/>
      <c r="CO38" s="41" t="n"/>
      <c r="CP38" s="41" t="n"/>
      <c r="CQ38" s="41" t="n"/>
      <c r="CR38" s="83" t="n"/>
      <c r="CS38" s="41" t="n"/>
      <c r="CT38" s="41" t="n"/>
      <c r="CU38" s="41" t="n"/>
      <c r="CV38" s="83" t="n"/>
      <c r="CW38" s="41" t="n"/>
      <c r="CX38" s="41" t="n"/>
      <c r="CY38" s="41" t="n"/>
      <c r="CZ38" s="83" t="n"/>
      <c r="DA38" s="41" t="n"/>
      <c r="DB38" s="41" t="n"/>
      <c r="DC38" s="41" t="n"/>
      <c r="DD38" s="83" t="n"/>
      <c r="DE38" s="41" t="n"/>
      <c r="DF38" s="41" t="n"/>
      <c r="DG38" s="41" t="n"/>
      <c r="DH38" s="83" t="n"/>
      <c r="DI38" s="41" t="n"/>
      <c r="DJ38" s="41" t="n"/>
      <c r="DK38" s="41" t="n"/>
      <c r="DL38" s="83" t="n"/>
      <c r="DM38" s="41" t="n"/>
      <c r="DN38" s="41" t="n"/>
      <c r="DO38" s="41" t="n"/>
      <c r="DP38" s="83" t="n"/>
      <c r="DQ38" s="41" t="n"/>
      <c r="DR38" s="64" t="n"/>
      <c r="DS38" s="65" t="n"/>
      <c r="DT38" s="83" t="n"/>
      <c r="DU38" s="66" t="n"/>
      <c r="DV38" s="64" t="n"/>
      <c r="DW38" s="65" t="n"/>
      <c r="DX38" s="83" t="n"/>
      <c r="DY38" s="66" t="n"/>
      <c r="DZ38" s="84" t="n"/>
      <c r="EA38" s="84" t="n"/>
    </row>
    <row r="39" ht="59" customFormat="1" customHeight="1" s="54">
      <c r="A39" s="55" t="inlineStr">
        <is>
          <t>五楼</t>
        </is>
      </c>
      <c r="B39" s="56" t="inlineStr">
        <is>
          <t>康波</t>
        </is>
      </c>
      <c r="C39" s="41" t="n">
        <v>41</v>
      </c>
      <c r="D39" s="41" t="inlineStr">
        <is>
          <t>设计部</t>
        </is>
      </c>
      <c r="E39" s="57" t="inlineStr">
        <is>
          <t>设计组</t>
        </is>
      </c>
      <c r="F39" s="57" t="inlineStr">
        <is>
          <t>07:46</t>
        </is>
      </c>
      <c r="G39" s="58" t="n">
        <v>0.8256944444444444</v>
      </c>
      <c r="H39" s="83">
        <f>MOD(G39-F39,1)*24</f>
        <v/>
      </c>
      <c r="I39" s="57" t="n">
        <v>1</v>
      </c>
      <c r="J39" s="58" t="n">
        <v>0.3423611111111111</v>
      </c>
      <c r="K39" s="58" t="n">
        <v>0.8583333333333333</v>
      </c>
      <c r="L39" s="83">
        <f>MOD(K39-J39,1)*24</f>
        <v/>
      </c>
      <c r="M39" s="57" t="n">
        <v>1</v>
      </c>
      <c r="N39" s="58" t="n">
        <v>0.3388888888888889</v>
      </c>
      <c r="O39" s="58" t="n">
        <v>0.8451388888888889</v>
      </c>
      <c r="P39" s="83">
        <f>MOD(O39-N39,1)*24</f>
        <v/>
      </c>
      <c r="Q39" s="57" t="n">
        <v>1</v>
      </c>
      <c r="R39" s="58" t="n">
        <v>0.3486111111111111</v>
      </c>
      <c r="S39" s="58" t="n">
        <v>0.8263888888888888</v>
      </c>
      <c r="T39" s="83">
        <f>MOD(S39-R39,1)*24</f>
        <v/>
      </c>
      <c r="U39" s="57" t="n">
        <v>1</v>
      </c>
      <c r="V39" s="58" t="n">
        <v>0.3243055555555556</v>
      </c>
      <c r="W39" s="58" t="n">
        <v>0.7506944444444444</v>
      </c>
      <c r="X39" s="83">
        <f>MOD(W39-V39,1)*24</f>
        <v/>
      </c>
      <c r="Y39" s="57" t="n">
        <v>1</v>
      </c>
      <c r="Z39" s="58" t="n">
        <v>0.3347222222222222</v>
      </c>
      <c r="AA39" s="60" t="n">
        <v>0.7638888888888888</v>
      </c>
      <c r="AB39" s="83">
        <f>MOD(AA39-Z39,1)*24</f>
        <v/>
      </c>
      <c r="AC39" s="41" t="n">
        <v>1</v>
      </c>
      <c r="AD39" s="41" t="n"/>
      <c r="AE39" s="57" t="n"/>
      <c r="AF39" s="83" t="n"/>
      <c r="AG39" s="57" t="n"/>
      <c r="AH39" s="58" t="n">
        <v>0.3395833333333333</v>
      </c>
      <c r="AI39" s="58" t="n">
        <v>0.7763888888888889</v>
      </c>
      <c r="AJ39" s="83">
        <f>MOD(AI39-AH39,1)*24</f>
        <v/>
      </c>
      <c r="AK39" s="57" t="n">
        <v>1</v>
      </c>
      <c r="AL39" s="58" t="n">
        <v>0.3243055555555556</v>
      </c>
      <c r="AM39" s="58" t="n">
        <v>0.7506944444444444</v>
      </c>
      <c r="AN39" s="83">
        <f>MOD(AM39-AL39,1)*24</f>
        <v/>
      </c>
      <c r="AO39" s="57" t="n">
        <v>1</v>
      </c>
      <c r="AP39" s="58" t="n">
        <v>0.34375</v>
      </c>
      <c r="AQ39" s="58" t="n">
        <v>0.7520833333333333</v>
      </c>
      <c r="AR39" s="83">
        <f>MOD(AQ39-AP39,1)*24</f>
        <v/>
      </c>
      <c r="AS39" s="57" t="n">
        <v>1</v>
      </c>
      <c r="AT39" s="58" t="n">
        <v>0.3326388888888889</v>
      </c>
      <c r="AU39" s="58" t="n">
        <v>0.8159722222222222</v>
      </c>
      <c r="AV39" s="83">
        <f>MOD(AU39-AT39,1)*24</f>
        <v/>
      </c>
      <c r="AW39" s="57" t="n">
        <v>1</v>
      </c>
      <c r="AX39" s="58" t="n">
        <v>0.3368055555555556</v>
      </c>
      <c r="AY39" s="58" t="n">
        <v>0.7583333333333333</v>
      </c>
      <c r="AZ39" s="83">
        <f>MOD(AY39-AX39,1)*24</f>
        <v/>
      </c>
      <c r="BA39" s="57" t="n">
        <v>1</v>
      </c>
      <c r="BB39" s="58" t="n">
        <v>0.3395833333333333</v>
      </c>
      <c r="BC39" s="60" t="n">
        <v>0.7527777777777778</v>
      </c>
      <c r="BD39" s="83">
        <f>MOD(BC39-BB39,1)*24</f>
        <v/>
      </c>
      <c r="BE39" s="41" t="n">
        <v>1</v>
      </c>
      <c r="BF39" s="41" t="n"/>
      <c r="BG39" s="57" t="n"/>
      <c r="BH39" s="83" t="n"/>
      <c r="BI39" s="57" t="n"/>
      <c r="BJ39" s="58" t="n">
        <v>0.3388888888888889</v>
      </c>
      <c r="BK39" s="58" t="n">
        <v>0.8458333333333333</v>
      </c>
      <c r="BL39" s="83">
        <f>MOD(BK39-BJ39,1)*24</f>
        <v/>
      </c>
      <c r="BM39" s="57" t="n">
        <v>1</v>
      </c>
      <c r="BN39" s="58" t="n">
        <v>0.3402777777777778</v>
      </c>
      <c r="BO39" s="58" t="n">
        <v>0.8375</v>
      </c>
      <c r="BP39" s="83">
        <f>MOD(BO39-BN39,1)*24</f>
        <v/>
      </c>
      <c r="BQ39" s="57" t="n">
        <v>1</v>
      </c>
      <c r="BR39" s="58" t="n">
        <v>0.3256944444444445</v>
      </c>
      <c r="BS39" s="58" t="n">
        <v>0.7666666666666667</v>
      </c>
      <c r="BT39" s="83">
        <f>MOD(BS39-BR39,1)*24</f>
        <v/>
      </c>
      <c r="BU39" s="57" t="n">
        <v>1</v>
      </c>
      <c r="BV39" s="58" t="n">
        <v>0.3222222222222222</v>
      </c>
      <c r="BW39" s="60" t="n">
        <v>0.75</v>
      </c>
      <c r="BX39" s="83">
        <f>MOD(BW39-BV39,1)*24</f>
        <v/>
      </c>
      <c r="BY39" s="41" t="n">
        <v>1</v>
      </c>
      <c r="BZ39" s="41" t="n"/>
      <c r="CA39" s="41" t="n"/>
      <c r="CB39" s="83" t="n"/>
      <c r="CC39" s="41" t="n"/>
      <c r="CD39" s="41" t="n"/>
      <c r="CE39" s="57" t="n"/>
      <c r="CF39" s="83" t="n"/>
      <c r="CG39" s="57" t="n"/>
      <c r="CH39" s="58" t="n">
        <v>0.3416666666666667</v>
      </c>
      <c r="CI39" s="58" t="n">
        <v>0.7520833333333333</v>
      </c>
      <c r="CJ39" s="83">
        <f>MOD(CI39-CH39,1)*24</f>
        <v/>
      </c>
      <c r="CK39" s="57" t="n">
        <v>1</v>
      </c>
      <c r="CL39" s="58" t="n">
        <v>0.3388888888888889</v>
      </c>
      <c r="CM39" s="58" t="n">
        <v>0.8118055555555556</v>
      </c>
      <c r="CN39" s="83">
        <f>MOD(CM39-CL39,1)*24</f>
        <v/>
      </c>
      <c r="CO39" s="57" t="n">
        <v>1</v>
      </c>
      <c r="CP39" s="58" t="n">
        <v>0.3423611111111111</v>
      </c>
      <c r="CQ39" s="58" t="n">
        <v>0.7638888888888888</v>
      </c>
      <c r="CR39" s="83">
        <f>MOD(CQ39-CP39,1)*24</f>
        <v/>
      </c>
      <c r="CS39" s="57" t="n">
        <v>1</v>
      </c>
      <c r="CT39" s="58" t="n">
        <v>0.3402777777777778</v>
      </c>
      <c r="CU39" s="58" t="n">
        <v>0.7895833333333333</v>
      </c>
      <c r="CV39" s="83">
        <f>MOD(CU39-CT39,1)*24</f>
        <v/>
      </c>
      <c r="CW39" s="57" t="n">
        <v>1</v>
      </c>
      <c r="CX39" s="58" t="n">
        <v>0.3395833333333333</v>
      </c>
      <c r="CY39" s="58" t="n">
        <v>0.7854166666666667</v>
      </c>
      <c r="CZ39" s="83">
        <f>MOD(CY39-CX39,1)*24</f>
        <v/>
      </c>
      <c r="DA39" s="57" t="n">
        <v>1</v>
      </c>
      <c r="DB39" s="58" t="n">
        <v>0.3416666666666667</v>
      </c>
      <c r="DC39" s="58" t="n">
        <v>0.8388888888888889</v>
      </c>
      <c r="DD39" s="83">
        <f>MOD(DC39-DB39,1)*24</f>
        <v/>
      </c>
      <c r="DE39" s="57" t="n">
        <v>1</v>
      </c>
      <c r="DF39" s="58" t="n">
        <v>0.3361111111111111</v>
      </c>
      <c r="DG39" s="58" t="n">
        <v>0.825</v>
      </c>
      <c r="DH39" s="83">
        <f>MOD(DG39-DF39,1)*24</f>
        <v/>
      </c>
      <c r="DI39" s="41" t="n">
        <v>1</v>
      </c>
      <c r="DJ39" s="58" t="n">
        <v>0.3354166666666666</v>
      </c>
      <c r="DK39" s="57" t="n"/>
      <c r="DL39" s="83" t="n"/>
      <c r="DM39" s="57" t="n">
        <v>0.5</v>
      </c>
      <c r="DN39" s="58" t="n">
        <v>0.3402777777777778</v>
      </c>
      <c r="DO39" s="58" t="n">
        <v>0.8319444444444445</v>
      </c>
      <c r="DP39" s="83">
        <f>MOD(DO39-DN39,1)*24</f>
        <v/>
      </c>
      <c r="DQ39" s="57" t="n">
        <v>1</v>
      </c>
      <c r="DR39" s="61" t="n">
        <v>0.3361111111111111</v>
      </c>
      <c r="DS39" s="62" t="n">
        <v>0.7569444444444444</v>
      </c>
      <c r="DT39" s="83">
        <f>MOD(DS39-DR39,1)*24</f>
        <v/>
      </c>
      <c r="DU39" s="41" t="n">
        <v>1</v>
      </c>
      <c r="DV39" s="61" t="n"/>
      <c r="DW39" s="62" t="n"/>
      <c r="DX39" s="83" t="n"/>
      <c r="DY39" s="41" t="n"/>
      <c r="DZ39" s="84">
        <f>H39+L39+P39+T39+X39+AB39+AF39+AJ39+AN39+AR39+AV39+AZ39+BD39+BH39+BL39+BP39+BT39+BX39+CB39+CF39+CJ39+CN39+CR39+CV39+CZ39+DD39+DH39+DL39+DP39+DT39</f>
        <v/>
      </c>
      <c r="EA39" s="84">
        <f>I39+M39+Q39+U39+Y39+AC39+AG39+AK39+AO39+AS39+AW39+BA39+BE39+BI39+BM39+BQ39+BU39+BY39+CC39+CG39+CK39+CO39+CS39+CW39+DA39+DE39+DI39+DM39+DQ39+DU39</f>
        <v/>
      </c>
    </row>
    <row r="40" ht="59" customFormat="1" customHeight="1" s="54">
      <c r="A40" s="55" t="inlineStr">
        <is>
          <t>五楼</t>
        </is>
      </c>
      <c r="B40" s="56" t="inlineStr">
        <is>
          <t>罗雨</t>
        </is>
      </c>
      <c r="C40" s="41" t="n">
        <v>43</v>
      </c>
      <c r="D40" s="41" t="inlineStr">
        <is>
          <t>设计部</t>
        </is>
      </c>
      <c r="E40" s="57" t="inlineStr">
        <is>
          <t>设计组</t>
        </is>
      </c>
      <c r="F40" s="57" t="inlineStr">
        <is>
          <t>08:26</t>
        </is>
      </c>
      <c r="G40" s="60" t="n">
        <v>0.7520833333333333</v>
      </c>
      <c r="H40" s="83">
        <f>MOD(G40-F40,1)*24</f>
        <v/>
      </c>
      <c r="I40" s="57" t="n">
        <v>1</v>
      </c>
      <c r="J40" s="41" t="n"/>
      <c r="K40" s="57" t="n"/>
      <c r="L40" s="83" t="n"/>
      <c r="M40" s="57" t="n"/>
      <c r="N40" s="58" t="n">
        <v>0.3506944444444444</v>
      </c>
      <c r="O40" s="58" t="n">
        <v>0.7548611111111111</v>
      </c>
      <c r="P40" s="83">
        <f>MOD(O40-N40,1)*24</f>
        <v/>
      </c>
      <c r="Q40" s="57" t="n">
        <v>1</v>
      </c>
      <c r="R40" s="58" t="n">
        <v>0.3520833333333334</v>
      </c>
      <c r="S40" s="58" t="n">
        <v>0.7576388888888889</v>
      </c>
      <c r="T40" s="83">
        <f>MOD(S40-R40,1)*24</f>
        <v/>
      </c>
      <c r="U40" s="57" t="n">
        <v>1</v>
      </c>
      <c r="V40" s="58" t="n">
        <v>0.3506944444444444</v>
      </c>
      <c r="W40" s="60" t="n">
        <v>0.7868055555555555</v>
      </c>
      <c r="X40" s="83">
        <f>MOD(W40-V40,1)*24</f>
        <v/>
      </c>
      <c r="Y40" s="57" t="n">
        <v>1</v>
      </c>
      <c r="Z40" s="41" t="n"/>
      <c r="AA40" s="57" t="n"/>
      <c r="AB40" s="83" t="n"/>
      <c r="AC40" s="57" t="n"/>
      <c r="AD40" s="58" t="n">
        <v>0.3479166666666667</v>
      </c>
      <c r="AE40" s="58" t="n">
        <v>0.7534722222222222</v>
      </c>
      <c r="AF40" s="83">
        <f>MOD(AE40-AD40,1)*24</f>
        <v/>
      </c>
      <c r="AG40" s="57" t="n">
        <v>1</v>
      </c>
      <c r="AH40" s="58" t="n">
        <v>0.3506944444444444</v>
      </c>
      <c r="AI40" s="58" t="n">
        <v>0.7527777777777778</v>
      </c>
      <c r="AJ40" s="83">
        <f>MOD(AI40-AH40,1)*24</f>
        <v/>
      </c>
      <c r="AK40" s="57" t="n">
        <v>1</v>
      </c>
      <c r="AL40" s="58" t="n">
        <v>0.3472222222222222</v>
      </c>
      <c r="AM40" s="58" t="n">
        <v>0.7513888888888889</v>
      </c>
      <c r="AN40" s="83">
        <f>MOD(AM40-AL40,1)*24</f>
        <v/>
      </c>
      <c r="AO40" s="57" t="n">
        <v>1</v>
      </c>
      <c r="AP40" s="58" t="n">
        <v>0.3527777777777778</v>
      </c>
      <c r="AQ40" s="58" t="n">
        <v>0.7520833333333333</v>
      </c>
      <c r="AR40" s="83">
        <f>MOD(AQ40-AP40,1)*24</f>
        <v/>
      </c>
      <c r="AS40" s="57" t="n">
        <v>1</v>
      </c>
      <c r="AT40" s="58" t="n">
        <v>0.3451388888888889</v>
      </c>
      <c r="AU40" s="58" t="n">
        <v>0.7513888888888889</v>
      </c>
      <c r="AV40" s="83">
        <f>MOD(AU40-AT40,1)*24</f>
        <v/>
      </c>
      <c r="AW40" s="57" t="n">
        <v>1</v>
      </c>
      <c r="AX40" s="58" t="n">
        <v>0.3493055555555555</v>
      </c>
      <c r="AY40" s="58" t="n">
        <v>0.7513888888888889</v>
      </c>
      <c r="AZ40" s="83">
        <f>MOD(AY40-AX40,1)*24</f>
        <v/>
      </c>
      <c r="BA40" s="57" t="n">
        <v>1</v>
      </c>
      <c r="BB40" s="58" t="n">
        <v>0.35</v>
      </c>
      <c r="BC40" s="41" t="n"/>
      <c r="BD40" s="83" t="n"/>
      <c r="BE40" s="41" t="n">
        <v>0.5</v>
      </c>
      <c r="BF40" s="41" t="n"/>
      <c r="BG40" s="57" t="n"/>
      <c r="BH40" s="83" t="n"/>
      <c r="BI40" s="57" t="n"/>
      <c r="BJ40" s="58" t="n">
        <v>0.3534722222222222</v>
      </c>
      <c r="BK40" s="58" t="n">
        <v>0.7520833333333333</v>
      </c>
      <c r="BL40" s="83">
        <f>MOD(BK40-BJ40,1)*24</f>
        <v/>
      </c>
      <c r="BM40" s="57" t="n">
        <v>1</v>
      </c>
      <c r="BN40" s="58" t="n">
        <v>0.35</v>
      </c>
      <c r="BO40" s="58" t="n">
        <v>0.7527777777777778</v>
      </c>
      <c r="BP40" s="83">
        <f>MOD(BO40-BN40,1)*24</f>
        <v/>
      </c>
      <c r="BQ40" s="57" t="n">
        <v>1</v>
      </c>
      <c r="BR40" s="58" t="n">
        <v>0.3527777777777778</v>
      </c>
      <c r="BS40" s="58" t="n">
        <v>0.7513888888888889</v>
      </c>
      <c r="BT40" s="83">
        <f>MOD(BS40-BR40,1)*24</f>
        <v/>
      </c>
      <c r="BU40" s="57" t="n">
        <v>1</v>
      </c>
      <c r="BV40" s="58" t="n">
        <v>0.3493055555555555</v>
      </c>
      <c r="BW40" s="60" t="n">
        <v>0.7541666666666667</v>
      </c>
      <c r="BX40" s="83">
        <f>MOD(BW40-BV40,1)*24</f>
        <v/>
      </c>
      <c r="BY40" s="41" t="n">
        <v>1</v>
      </c>
      <c r="BZ40" s="41" t="n"/>
      <c r="CA40" s="41" t="n"/>
      <c r="CB40" s="83" t="n"/>
      <c r="CC40" s="41" t="n"/>
      <c r="CD40" s="41" t="n"/>
      <c r="CE40" s="57" t="n"/>
      <c r="CF40" s="83" t="n"/>
      <c r="CG40" s="57" t="n"/>
      <c r="CH40" s="58" t="n">
        <v>0.3472222222222222</v>
      </c>
      <c r="CI40" s="58" t="n">
        <v>0.7548611111111111</v>
      </c>
      <c r="CJ40" s="83">
        <f>MOD(CI40-CH40,1)*24</f>
        <v/>
      </c>
      <c r="CK40" s="57" t="n">
        <v>1</v>
      </c>
      <c r="CL40" s="58" t="n">
        <v>0.3583333333333333</v>
      </c>
      <c r="CM40" s="58" t="n">
        <v>0.7555555555555555</v>
      </c>
      <c r="CN40" s="83">
        <f>MOD(CM40-CL40,1)*24</f>
        <v/>
      </c>
      <c r="CO40" s="57" t="n">
        <v>1</v>
      </c>
      <c r="CP40" s="58" t="n">
        <v>0.34375</v>
      </c>
      <c r="CQ40" s="58" t="n">
        <v>0.7534722222222222</v>
      </c>
      <c r="CR40" s="83">
        <f>MOD(CQ40-CP40,1)*24</f>
        <v/>
      </c>
      <c r="CS40" s="57" t="n">
        <v>1</v>
      </c>
      <c r="CT40" s="58" t="n">
        <v>0.3458333333333333</v>
      </c>
      <c r="CU40" s="58" t="n">
        <v>0.7541666666666667</v>
      </c>
      <c r="CV40" s="83">
        <f>MOD(CU40-CT40,1)*24</f>
        <v/>
      </c>
      <c r="CW40" s="57" t="n">
        <v>1</v>
      </c>
      <c r="CX40" s="58" t="n">
        <v>0.34375</v>
      </c>
      <c r="CY40" s="58" t="n">
        <v>0.7520833333333333</v>
      </c>
      <c r="CZ40" s="83">
        <f>MOD(CY40-CX40,1)*24</f>
        <v/>
      </c>
      <c r="DA40" s="57" t="n">
        <v>1</v>
      </c>
      <c r="DB40" s="58" t="n">
        <v>0.3486111111111111</v>
      </c>
      <c r="DC40" s="58" t="n">
        <v>0.7604166666666666</v>
      </c>
      <c r="DD40" s="83">
        <f>MOD(DC40-DB40,1)*24</f>
        <v/>
      </c>
      <c r="DE40" s="57" t="n">
        <v>1</v>
      </c>
      <c r="DF40" s="41" t="n"/>
      <c r="DG40" s="57" t="n"/>
      <c r="DH40" s="83" t="n"/>
      <c r="DI40" s="57" t="n"/>
      <c r="DJ40" s="58" t="n">
        <v>0.3506944444444444</v>
      </c>
      <c r="DK40" s="58" t="n">
        <v>0.7513888888888889</v>
      </c>
      <c r="DL40" s="83">
        <f>MOD(DK40-DJ40,1)*24</f>
        <v/>
      </c>
      <c r="DM40" s="57" t="n">
        <v>1</v>
      </c>
      <c r="DN40" s="58" t="n">
        <v>0.3409722222222222</v>
      </c>
      <c r="DO40" s="58" t="n">
        <v>0.9590277777777778</v>
      </c>
      <c r="DP40" s="83">
        <f>MOD(DO40-DN40,1)*24</f>
        <v/>
      </c>
      <c r="DQ40" s="57" t="n">
        <v>1</v>
      </c>
      <c r="DR40" s="61" t="n">
        <v>0.3506944444444444</v>
      </c>
      <c r="DS40" s="62" t="n">
        <v>0.7548611111111111</v>
      </c>
      <c r="DT40" s="83">
        <f>MOD(DS40-DR40,1)*24</f>
        <v/>
      </c>
      <c r="DU40" s="41" t="n">
        <v>1</v>
      </c>
      <c r="DV40" s="61" t="n"/>
      <c r="DW40" s="62" t="n"/>
      <c r="DX40" s="83" t="n"/>
      <c r="DY40" s="41" t="n"/>
      <c r="DZ40" s="84">
        <f>H40+L40+P40+T40+X40+AB40+AF40+AJ40+AN40+AR40+AV40+AZ40+BD40+BH40+BL40+BP40+BT40+BX40+CB40+CF40+CJ40+CN40+CR40+CV40+CZ40+DD40+DH40+DL40+DP40+DT40</f>
        <v/>
      </c>
      <c r="EA40" s="84">
        <f>I40+M40+Q40+U40+Y40+AC40+AG40+AK40+AO40+AS40+AW40+BA40+BE40+BI40+BM40+BQ40+BU40+BY40+CC40+CG40+CK40+CO40+CS40+CW40+DA40+DE40+DI40+DM40+DQ40+DU40</f>
        <v/>
      </c>
    </row>
    <row r="41" ht="59" customFormat="1" customHeight="1" s="54">
      <c r="A41" s="55" t="inlineStr">
        <is>
          <t>五楼</t>
        </is>
      </c>
      <c r="B41" s="56" t="inlineStr">
        <is>
          <t>谭勇</t>
        </is>
      </c>
      <c r="C41" s="41" t="n">
        <v>44</v>
      </c>
      <c r="D41" s="41" t="inlineStr">
        <is>
          <t>设计部</t>
        </is>
      </c>
      <c r="E41" s="57" t="inlineStr">
        <is>
          <t>设计组</t>
        </is>
      </c>
      <c r="F41" s="57" t="inlineStr">
        <is>
          <t>08:26</t>
        </is>
      </c>
      <c r="G41" s="58" t="n">
        <v>0.7618055555555555</v>
      </c>
      <c r="H41" s="83">
        <f>MOD(G41-F41,1)*24</f>
        <v/>
      </c>
      <c r="I41" s="57" t="n">
        <v>1</v>
      </c>
      <c r="J41" s="58" t="n">
        <v>0.3520833333333334</v>
      </c>
      <c r="K41" s="58" t="n">
        <v>0.7548611111111111</v>
      </c>
      <c r="L41" s="83">
        <f>MOD(K41-J41,1)*24</f>
        <v/>
      </c>
      <c r="M41" s="57" t="n">
        <v>1</v>
      </c>
      <c r="N41" s="58" t="n">
        <v>0.3479166666666667</v>
      </c>
      <c r="O41" s="58" t="n">
        <v>0.7548611111111111</v>
      </c>
      <c r="P41" s="83">
        <f>MOD(O41-N41,1)*24</f>
        <v/>
      </c>
      <c r="Q41" s="57" t="n">
        <v>1</v>
      </c>
      <c r="R41" s="58" t="n">
        <v>0.3479166666666667</v>
      </c>
      <c r="S41" s="58" t="n">
        <v>0.8194444444444444</v>
      </c>
      <c r="T41" s="83">
        <f>MOD(S41-R41,1)*24</f>
        <v/>
      </c>
      <c r="U41" s="57" t="n">
        <v>1</v>
      </c>
      <c r="V41" s="58" t="n">
        <v>0.3472222222222222</v>
      </c>
      <c r="W41" s="58" t="n">
        <v>0.7604166666666666</v>
      </c>
      <c r="X41" s="83">
        <f>MOD(W41-V41,1)*24</f>
        <v/>
      </c>
      <c r="Y41" s="57" t="n">
        <v>1</v>
      </c>
      <c r="Z41" s="58" t="n">
        <v>0.3479166666666667</v>
      </c>
      <c r="AA41" s="60" t="n">
        <v>0.7576388888888889</v>
      </c>
      <c r="AB41" s="83">
        <f>MOD(AA41-Z41,1)*24</f>
        <v/>
      </c>
      <c r="AC41" s="41" t="n">
        <v>1</v>
      </c>
      <c r="AD41" s="41" t="n"/>
      <c r="AE41" s="57" t="n"/>
      <c r="AF41" s="83" t="n"/>
      <c r="AG41" s="57" t="n"/>
      <c r="AH41" s="58" t="n">
        <v>0.7520833333333333</v>
      </c>
      <c r="AI41" s="57" t="n"/>
      <c r="AJ41" s="83" t="n"/>
      <c r="AK41" s="57" t="n">
        <v>0.5</v>
      </c>
      <c r="AL41" s="58" t="n">
        <v>0.3520833333333334</v>
      </c>
      <c r="AM41" s="58" t="n">
        <v>0.7527777777777778</v>
      </c>
      <c r="AN41" s="83">
        <f>MOD(AM41-AL41,1)*24</f>
        <v/>
      </c>
      <c r="AO41" s="57" t="n">
        <v>1</v>
      </c>
      <c r="AP41" s="58" t="n">
        <v>0.35</v>
      </c>
      <c r="AQ41" s="58" t="n">
        <v>0.7520833333333333</v>
      </c>
      <c r="AR41" s="83">
        <f>MOD(AQ41-AP41,1)*24</f>
        <v/>
      </c>
      <c r="AS41" s="57" t="n">
        <v>1</v>
      </c>
      <c r="AT41" s="58" t="n">
        <v>0.3527777777777778</v>
      </c>
      <c r="AU41" s="58" t="n">
        <v>0.7541666666666667</v>
      </c>
      <c r="AV41" s="83">
        <f>MOD(AU41-AT41,1)*24</f>
        <v/>
      </c>
      <c r="AW41" s="57" t="n">
        <v>1</v>
      </c>
      <c r="AX41" s="58" t="n">
        <v>0.3472222222222222</v>
      </c>
      <c r="AY41" s="60" t="n">
        <v>0.7534722222222222</v>
      </c>
      <c r="AZ41" s="83">
        <f>MOD(AY41-AX41,1)*24</f>
        <v/>
      </c>
      <c r="BA41" s="57" t="n">
        <v>1</v>
      </c>
      <c r="BB41" s="41" t="n"/>
      <c r="BC41" s="57" t="n"/>
      <c r="BD41" s="83" t="n"/>
      <c r="BE41" s="57" t="n"/>
      <c r="BF41" s="58" t="n">
        <v>0.3520833333333334</v>
      </c>
      <c r="BG41" s="57" t="n"/>
      <c r="BH41" s="83" t="n"/>
      <c r="BI41" s="57" t="n">
        <v>0.5</v>
      </c>
      <c r="BJ41" s="58" t="n">
        <v>0.3534722222222222</v>
      </c>
      <c r="BK41" s="58" t="n">
        <v>0.7534722222222222</v>
      </c>
      <c r="BL41" s="83">
        <f>MOD(BK41-BJ41,1)*24</f>
        <v/>
      </c>
      <c r="BM41" s="57" t="n">
        <v>1</v>
      </c>
      <c r="BN41" s="58" t="n">
        <v>0.3493055555555555</v>
      </c>
      <c r="BO41" s="58" t="n">
        <v>0.7520833333333333</v>
      </c>
      <c r="BP41" s="83">
        <f>MOD(BO41-BN41,1)*24</f>
        <v/>
      </c>
      <c r="BQ41" s="57" t="n">
        <v>1</v>
      </c>
      <c r="BR41" s="58" t="n">
        <v>0.3493055555555555</v>
      </c>
      <c r="BS41" s="58" t="n">
        <v>0.7527777777777778</v>
      </c>
      <c r="BT41" s="83">
        <f>MOD(BS41-BR41,1)*24</f>
        <v/>
      </c>
      <c r="BU41" s="57" t="n">
        <v>1</v>
      </c>
      <c r="BV41" s="58" t="n">
        <v>0.3506944444444444</v>
      </c>
      <c r="BW41" s="58" t="n">
        <v>0.7555555555555555</v>
      </c>
      <c r="BX41" s="83">
        <f>MOD(BW41-BV41,1)*24</f>
        <v/>
      </c>
      <c r="BY41" s="41" t="n">
        <v>1</v>
      </c>
      <c r="BZ41" s="41" t="n"/>
      <c r="CA41" s="41" t="n"/>
      <c r="CB41" s="83" t="n"/>
      <c r="CC41" s="41" t="n"/>
      <c r="CD41" s="41" t="n"/>
      <c r="CE41" s="57" t="n"/>
      <c r="CF41" s="83" t="n"/>
      <c r="CG41" s="57" t="n"/>
      <c r="CH41" s="58" t="n">
        <v>0.35</v>
      </c>
      <c r="CI41" s="58" t="n">
        <v>0.7569444444444444</v>
      </c>
      <c r="CJ41" s="83">
        <f>MOD(CI41-CH41,1)*24</f>
        <v/>
      </c>
      <c r="CK41" s="57" t="n">
        <v>1</v>
      </c>
      <c r="CL41" s="58" t="n">
        <v>0.3493055555555555</v>
      </c>
      <c r="CM41" s="58" t="n">
        <v>0.7541666666666667</v>
      </c>
      <c r="CN41" s="83">
        <f>MOD(CM41-CL41,1)*24</f>
        <v/>
      </c>
      <c r="CO41" s="57" t="n">
        <v>1</v>
      </c>
      <c r="CP41" s="58" t="n">
        <v>0.3493055555555555</v>
      </c>
      <c r="CQ41" s="58" t="n">
        <v>0.7597222222222222</v>
      </c>
      <c r="CR41" s="83">
        <f>MOD(CQ41-CP41,1)*24</f>
        <v/>
      </c>
      <c r="CS41" s="57" t="n">
        <v>1</v>
      </c>
      <c r="CT41" s="58" t="n">
        <v>0.35</v>
      </c>
      <c r="CU41" s="58" t="n">
        <v>0.7513888888888889</v>
      </c>
      <c r="CV41" s="83">
        <f>MOD(CU41-CT41,1)*24</f>
        <v/>
      </c>
      <c r="CW41" s="57" t="n">
        <v>1</v>
      </c>
      <c r="CX41" s="58" t="n">
        <v>0.3493055555555555</v>
      </c>
      <c r="CY41" s="58" t="n">
        <v>0.7631944444444444</v>
      </c>
      <c r="CZ41" s="83">
        <f>MOD(CY41-CX41,1)*24</f>
        <v/>
      </c>
      <c r="DA41" s="57" t="n">
        <v>1</v>
      </c>
      <c r="DB41" s="58" t="n">
        <v>0.35</v>
      </c>
      <c r="DC41" s="58" t="n">
        <v>0.7569444444444444</v>
      </c>
      <c r="DD41" s="83">
        <f>MOD(DC41-DB41,1)*24</f>
        <v/>
      </c>
      <c r="DE41" s="57" t="n">
        <v>1</v>
      </c>
      <c r="DF41" s="58" t="n">
        <v>0.3444444444444444</v>
      </c>
      <c r="DG41" s="60" t="n">
        <v>0.7520833333333333</v>
      </c>
      <c r="DH41" s="83">
        <f>MOD(DG41-DF41,1)*24</f>
        <v/>
      </c>
      <c r="DI41" s="41" t="n">
        <v>1</v>
      </c>
      <c r="DJ41" s="41" t="n"/>
      <c r="DK41" s="41" t="n"/>
      <c r="DL41" s="83" t="n"/>
      <c r="DM41" s="41" t="n"/>
      <c r="DN41" s="58" t="n">
        <v>0.3486111111111111</v>
      </c>
      <c r="DO41" s="58" t="n">
        <v>0.7541666666666667</v>
      </c>
      <c r="DP41" s="83">
        <f>MOD(DO41-DN41,1)*24</f>
        <v/>
      </c>
      <c r="DQ41" s="57" t="n">
        <v>1</v>
      </c>
      <c r="DR41" s="61" t="n">
        <v>0.3472222222222222</v>
      </c>
      <c r="DS41" s="62" t="n">
        <v>0.7701388888888889</v>
      </c>
      <c r="DT41" s="83">
        <f>MOD(DS41-DR41,1)*24</f>
        <v/>
      </c>
      <c r="DU41" s="41" t="n">
        <v>1</v>
      </c>
      <c r="DV41" s="61" t="n"/>
      <c r="DW41" s="62" t="n"/>
      <c r="DX41" s="83" t="n"/>
      <c r="DY41" s="41" t="n"/>
      <c r="DZ41" s="84">
        <f>H41+L41+P41+T41+X41+AB41+AF41+AJ41+AN41+AR41+AV41+AZ41+BD41+BH41+BL41+BP41+BT41+BX41+CB41+CF41+CJ41+CN41+CR41+CV41+CZ41+DD41+DH41+DL41+DP41+DT41</f>
        <v/>
      </c>
      <c r="EA41" s="84">
        <f>I41+M41+Q41+U41+Y41+AC41+AG41+AK41+AO41+AS41+AW41+BA41+BE41+BI41+BM41+BQ41+BU41+BY41+CC41+CG41+CK41+CO41+CS41+CW41+DA41+DE41+DI41+DM41+DQ41+DU41</f>
        <v/>
      </c>
    </row>
    <row r="42" ht="59" customFormat="1" customHeight="1" s="54">
      <c r="A42" s="55" t="inlineStr">
        <is>
          <t>五楼</t>
        </is>
      </c>
      <c r="B42" s="56" t="inlineStr">
        <is>
          <t>谭勇</t>
        </is>
      </c>
      <c r="C42" s="41" t="n">
        <v>44</v>
      </c>
      <c r="D42" s="41" t="inlineStr">
        <is>
          <t>设计部</t>
        </is>
      </c>
      <c r="E42" s="57" t="inlineStr">
        <is>
          <t>设计组</t>
        </is>
      </c>
      <c r="F42" s="41" t="n"/>
      <c r="G42" s="41" t="n"/>
      <c r="H42" s="83" t="n"/>
      <c r="I42" s="41" t="n"/>
      <c r="J42" s="41" t="n"/>
      <c r="K42" s="57" t="n"/>
      <c r="L42" s="83" t="n"/>
      <c r="M42" s="57" t="n"/>
      <c r="O42" s="41" t="n"/>
      <c r="P42" s="83" t="n"/>
      <c r="Q42" s="41" t="n"/>
      <c r="R42" s="41" t="n"/>
      <c r="S42" s="41" t="n"/>
      <c r="T42" s="83" t="n"/>
      <c r="U42" s="41" t="n"/>
      <c r="V42" s="41" t="n"/>
      <c r="W42" s="41" t="n"/>
      <c r="X42" s="83" t="n"/>
      <c r="Y42" s="41" t="n"/>
      <c r="Z42" s="41" t="n"/>
      <c r="AA42" s="41" t="n"/>
      <c r="AB42" s="83" t="n"/>
      <c r="AC42" s="41" t="n"/>
      <c r="AD42" s="41" t="n"/>
      <c r="AE42" s="41" t="n"/>
      <c r="AF42" s="83" t="n"/>
      <c r="AG42" s="41" t="n"/>
      <c r="AH42" s="41" t="n"/>
      <c r="AI42" s="41" t="n"/>
      <c r="AJ42" s="83" t="n"/>
      <c r="AK42" s="41" t="n"/>
      <c r="AL42" s="41" t="n"/>
      <c r="AM42" s="41" t="n"/>
      <c r="AN42" s="83" t="n"/>
      <c r="AO42" s="41" t="n"/>
      <c r="AP42" s="41" t="n"/>
      <c r="AQ42" s="41" t="n"/>
      <c r="AR42" s="83" t="n"/>
      <c r="AS42" s="41" t="n"/>
      <c r="AT42" s="41" t="n"/>
      <c r="AU42" s="41" t="n"/>
      <c r="AV42" s="83" t="n"/>
      <c r="AW42" s="41" t="n"/>
      <c r="AX42" s="41" t="n"/>
      <c r="AY42" s="41" t="n"/>
      <c r="AZ42" s="83" t="n"/>
      <c r="BA42" s="41" t="n"/>
      <c r="BB42" s="41" t="n"/>
      <c r="BC42" s="41" t="n"/>
      <c r="BD42" s="83" t="n"/>
      <c r="BE42" s="41" t="n"/>
      <c r="BF42" s="41" t="n"/>
      <c r="BG42" s="41" t="n"/>
      <c r="BH42" s="83" t="n"/>
      <c r="BI42" s="41" t="n"/>
      <c r="BJ42" s="41" t="n"/>
      <c r="BK42" s="41" t="n"/>
      <c r="BL42" s="83" t="n"/>
      <c r="BM42" s="41" t="n"/>
      <c r="BN42" s="41" t="n"/>
      <c r="BO42" s="57" t="n"/>
      <c r="BP42" s="83" t="n"/>
      <c r="BQ42" s="57" t="n"/>
      <c r="BS42" s="57" t="n"/>
      <c r="BT42" s="83" t="n"/>
      <c r="BU42" s="57" t="n"/>
      <c r="BW42" s="41" t="n"/>
      <c r="BX42" s="83" t="n"/>
      <c r="BY42" s="41" t="n"/>
      <c r="BZ42" s="41" t="n"/>
      <c r="CA42" s="41" t="n"/>
      <c r="CB42" s="83" t="n"/>
      <c r="CC42" s="41" t="n"/>
      <c r="CD42" s="41" t="n"/>
      <c r="CE42" s="41" t="n"/>
      <c r="CF42" s="83" t="n"/>
      <c r="CG42" s="41" t="n"/>
      <c r="CH42" s="41" t="n"/>
      <c r="CI42" s="41" t="n"/>
      <c r="CJ42" s="83" t="n"/>
      <c r="CK42" s="41" t="n"/>
      <c r="CL42" s="41" t="n"/>
      <c r="CM42" s="41" t="n"/>
      <c r="CN42" s="83" t="n"/>
      <c r="CO42" s="41" t="n"/>
      <c r="CP42" s="41" t="n"/>
      <c r="CQ42" s="41" t="n"/>
      <c r="CR42" s="83" t="n"/>
      <c r="CS42" s="41" t="n"/>
      <c r="CT42" s="41" t="n"/>
      <c r="CU42" s="41" t="n"/>
      <c r="CV42" s="83" t="n"/>
      <c r="CW42" s="41" t="n"/>
      <c r="CX42" s="41" t="n"/>
      <c r="CY42" s="41" t="n"/>
      <c r="CZ42" s="83" t="n"/>
      <c r="DA42" s="41" t="n"/>
      <c r="DB42" s="41" t="n"/>
      <c r="DC42" s="41" t="n"/>
      <c r="DD42" s="83" t="n"/>
      <c r="DE42" s="41" t="n"/>
      <c r="DF42" s="41" t="n"/>
      <c r="DG42" s="41" t="n"/>
      <c r="DH42" s="83" t="n"/>
      <c r="DI42" s="41" t="n"/>
      <c r="DJ42" s="41" t="n"/>
      <c r="DK42" s="41" t="n"/>
      <c r="DL42" s="83" t="n"/>
      <c r="DM42" s="41" t="n"/>
      <c r="DN42" s="41" t="n"/>
      <c r="DO42" s="41" t="n"/>
      <c r="DP42" s="83" t="n"/>
      <c r="DQ42" s="41" t="n"/>
      <c r="DR42" s="64" t="n"/>
      <c r="DS42" s="65" t="n"/>
      <c r="DT42" s="83" t="n"/>
      <c r="DU42" s="66" t="n"/>
      <c r="DV42" s="64" t="n"/>
      <c r="DW42" s="65" t="n"/>
      <c r="DX42" s="83" t="n"/>
      <c r="DY42" s="66" t="n"/>
      <c r="DZ42" s="84" t="n"/>
      <c r="EA42" s="84" t="n"/>
    </row>
    <row r="43" ht="59" customFormat="1" customHeight="1" s="54">
      <c r="A43" s="55" t="inlineStr">
        <is>
          <t>五楼</t>
        </is>
      </c>
      <c r="B43" s="56" t="inlineStr">
        <is>
          <t>田鹏飞</t>
        </is>
      </c>
      <c r="C43" s="41" t="n">
        <v>46</v>
      </c>
      <c r="D43" s="41" t="inlineStr">
        <is>
          <t>订单部</t>
        </is>
      </c>
      <c r="E43" s="57" t="inlineStr">
        <is>
          <t>订单部</t>
        </is>
      </c>
      <c r="F43" s="57" t="inlineStr">
        <is>
          <t>08:18</t>
        </is>
      </c>
      <c r="G43" s="58" t="n">
        <v>0.8263888888888888</v>
      </c>
      <c r="H43" s="83">
        <f>MOD(G43-F43,1)*24</f>
        <v/>
      </c>
      <c r="I43" s="57" t="n">
        <v>1</v>
      </c>
      <c r="J43" s="58" t="n">
        <v>0.3493055555555555</v>
      </c>
      <c r="K43" s="58" t="n">
        <v>0.8833333333333333</v>
      </c>
      <c r="L43" s="83">
        <f>MOD(K43-J43,1)*24</f>
        <v/>
      </c>
      <c r="M43" s="57" t="n">
        <v>1</v>
      </c>
      <c r="N43" s="58" t="n">
        <v>0.3513888888888889</v>
      </c>
      <c r="O43" s="58" t="n">
        <v>0.8923611111111112</v>
      </c>
      <c r="P43" s="83">
        <f>MOD(O43-N43,1)*24</f>
        <v/>
      </c>
      <c r="Q43" s="57" t="n">
        <v>1</v>
      </c>
      <c r="R43" s="58" t="n">
        <v>0.3506944444444444</v>
      </c>
      <c r="S43" s="58" t="n">
        <v>0.8493055555555555</v>
      </c>
      <c r="T43" s="83">
        <f>MOD(S43-R43,1)*24</f>
        <v/>
      </c>
      <c r="U43" s="57" t="n">
        <v>1</v>
      </c>
      <c r="V43" s="58" t="n">
        <v>0.3479166666666667</v>
      </c>
      <c r="W43" s="58" t="n">
        <v>0.89375</v>
      </c>
      <c r="X43" s="83">
        <f>MOD(W43-V43,1)*24</f>
        <v/>
      </c>
      <c r="Y43" s="57" t="n">
        <v>1</v>
      </c>
      <c r="Z43" s="58" t="n">
        <v>0.3486111111111111</v>
      </c>
      <c r="AA43" s="60" t="n">
        <v>0.7506944444444444</v>
      </c>
      <c r="AB43" s="83">
        <f>MOD(AA43-Z43,1)*24</f>
        <v/>
      </c>
      <c r="AC43" s="41" t="n">
        <v>1</v>
      </c>
      <c r="AD43" s="41" t="n"/>
      <c r="AE43" s="57" t="n"/>
      <c r="AF43" s="83" t="n"/>
      <c r="AG43" s="57" t="n"/>
      <c r="AH43" s="58" t="n">
        <v>0.3479166666666667</v>
      </c>
      <c r="AI43" s="58" t="n">
        <v>0.8569444444444444</v>
      </c>
      <c r="AJ43" s="83">
        <f>MOD(AI43-AH43,1)*24</f>
        <v/>
      </c>
      <c r="AK43" s="57" t="n">
        <v>1</v>
      </c>
      <c r="AL43" s="58" t="n">
        <v>0.35</v>
      </c>
      <c r="AM43" s="58" t="n">
        <v>0.8875</v>
      </c>
      <c r="AN43" s="83">
        <f>MOD(AM43-AL43,1)*24</f>
        <v/>
      </c>
      <c r="AO43" s="57" t="n">
        <v>1</v>
      </c>
      <c r="AP43" s="58" t="n">
        <v>0.3486111111111111</v>
      </c>
      <c r="AQ43" s="58" t="n">
        <v>0.7513888888888889</v>
      </c>
      <c r="AR43" s="83">
        <f>MOD(AQ43-AP43,1)*24</f>
        <v/>
      </c>
      <c r="AS43" s="57" t="n">
        <v>1</v>
      </c>
      <c r="AT43" s="58" t="n">
        <v>0.3402777777777778</v>
      </c>
      <c r="AU43" s="58" t="n">
        <v>0.8444444444444444</v>
      </c>
      <c r="AV43" s="83">
        <f>MOD(AU43-AT43,1)*24</f>
        <v/>
      </c>
      <c r="AW43" s="57" t="n">
        <v>1</v>
      </c>
      <c r="AX43" s="58" t="n">
        <v>0.3458333333333333</v>
      </c>
      <c r="AY43" s="58" t="n">
        <v>0.8902777777777777</v>
      </c>
      <c r="AZ43" s="83">
        <f>MOD(AY43-AX43,1)*24</f>
        <v/>
      </c>
      <c r="BA43" s="57" t="n">
        <v>1</v>
      </c>
      <c r="BB43" s="58" t="n">
        <v>0.3472222222222222</v>
      </c>
      <c r="BC43" s="60" t="n">
        <v>0.7513888888888889</v>
      </c>
      <c r="BD43" s="83">
        <f>MOD(BC43-BB43,1)*24</f>
        <v/>
      </c>
      <c r="BE43" s="41" t="n">
        <v>1</v>
      </c>
      <c r="BF43" s="41" t="n"/>
      <c r="BG43" s="57" t="n"/>
      <c r="BH43" s="83" t="n"/>
      <c r="BI43" s="57" t="n"/>
      <c r="BJ43" s="58" t="n">
        <v>0.3451388888888889</v>
      </c>
      <c r="BK43" s="58" t="n">
        <v>0.8388888888888889</v>
      </c>
      <c r="BL43" s="83">
        <f>MOD(BK43-BJ43,1)*24</f>
        <v/>
      </c>
      <c r="BM43" s="57" t="n">
        <v>1</v>
      </c>
      <c r="BN43" s="58" t="n">
        <v>0.3486111111111111</v>
      </c>
      <c r="BO43" s="58" t="n">
        <v>0.8243055555555555</v>
      </c>
      <c r="BP43" s="83">
        <f>MOD(BO43-BN43,1)*24</f>
        <v/>
      </c>
      <c r="BQ43" s="57" t="n">
        <v>1</v>
      </c>
      <c r="BR43" s="58" t="n">
        <v>0.3465277777777778</v>
      </c>
      <c r="BS43" s="58" t="n">
        <v>0.7701388888888889</v>
      </c>
      <c r="BT43" s="83">
        <f>MOD(BS43-BR43,1)*24</f>
        <v/>
      </c>
      <c r="BU43" s="57" t="n">
        <v>1</v>
      </c>
      <c r="BV43" s="58" t="n">
        <v>0.3465277777777778</v>
      </c>
      <c r="BW43" s="60" t="n">
        <v>0.7520833333333333</v>
      </c>
      <c r="BX43" s="83">
        <f>MOD(BW43-BV43,1)*24</f>
        <v/>
      </c>
      <c r="BY43" s="41" t="n">
        <v>1</v>
      </c>
      <c r="BZ43" s="41" t="n"/>
      <c r="CA43" s="41" t="n"/>
      <c r="CB43" s="83" t="n"/>
      <c r="CC43" s="41" t="n"/>
      <c r="CD43" s="41" t="n"/>
      <c r="CE43" s="57" t="n"/>
      <c r="CF43" s="83" t="n"/>
      <c r="CG43" s="57" t="n"/>
      <c r="CH43" s="58" t="n">
        <v>0.3486111111111111</v>
      </c>
      <c r="CI43" s="58" t="n">
        <v>0.775</v>
      </c>
      <c r="CJ43" s="83">
        <f>MOD(CI43-CH43,1)*24</f>
        <v/>
      </c>
      <c r="CK43" s="57" t="n">
        <v>1</v>
      </c>
      <c r="CL43" s="58" t="n">
        <v>0.3472222222222222</v>
      </c>
      <c r="CM43" s="58" t="n">
        <v>0.8402777777777778</v>
      </c>
      <c r="CN43" s="83">
        <f>MOD(CM43-CL43,1)*24</f>
        <v/>
      </c>
      <c r="CO43" s="57" t="n">
        <v>1</v>
      </c>
      <c r="CP43" s="58" t="n">
        <v>0.3520833333333334</v>
      </c>
      <c r="CQ43" s="58" t="n">
        <v>0.9125</v>
      </c>
      <c r="CR43" s="83">
        <f>MOD(CQ43-CP43,1)*24</f>
        <v/>
      </c>
      <c r="CS43" s="57" t="n">
        <v>1</v>
      </c>
      <c r="CT43" s="58" t="n">
        <v>0.3451388888888889</v>
      </c>
      <c r="CU43" s="58" t="n">
        <v>0.7520833333333333</v>
      </c>
      <c r="CV43" s="83">
        <f>MOD(CU43-CT43,1)*24</f>
        <v/>
      </c>
      <c r="CW43" s="57" t="n">
        <v>1</v>
      </c>
      <c r="CX43" s="58" t="n">
        <v>0.35</v>
      </c>
      <c r="CY43" s="58" t="n">
        <v>0.9104166666666667</v>
      </c>
      <c r="CZ43" s="83">
        <f>MOD(CY43-CX43,1)*24</f>
        <v/>
      </c>
      <c r="DA43" s="57" t="n">
        <v>1</v>
      </c>
      <c r="DB43" s="58" t="n">
        <v>0.3520833333333334</v>
      </c>
      <c r="DC43" s="58" t="n">
        <v>0.9020833333333333</v>
      </c>
      <c r="DD43" s="83">
        <f>MOD(DC43-DB43,1)*24</f>
        <v/>
      </c>
      <c r="DE43" s="57" t="n">
        <v>1</v>
      </c>
      <c r="DF43" s="58" t="n">
        <v>0.3486111111111111</v>
      </c>
      <c r="DG43" s="60" t="n">
        <v>0.7520833333333333</v>
      </c>
      <c r="DH43" s="83">
        <f>MOD(DG43-DF43,1)*24</f>
        <v/>
      </c>
      <c r="DI43" s="41" t="n">
        <v>1</v>
      </c>
      <c r="DJ43" s="41" t="n"/>
      <c r="DK43" s="41" t="n"/>
      <c r="DL43" s="83" t="n"/>
      <c r="DM43" s="41" t="n"/>
      <c r="DN43" s="58" t="n">
        <v>0.3506944444444444</v>
      </c>
      <c r="DO43" s="58" t="n">
        <v>0.9256944444444445</v>
      </c>
      <c r="DP43" s="83">
        <f>MOD(DO43-DN43,1)*24</f>
        <v/>
      </c>
      <c r="DQ43" s="57" t="n">
        <v>1</v>
      </c>
      <c r="DR43" s="61" t="n">
        <v>0.3493055555555555</v>
      </c>
      <c r="DS43" s="62" t="n">
        <v>0.9770833333333333</v>
      </c>
      <c r="DT43" s="83">
        <f>MOD(DS43-DR43,1)*24</f>
        <v/>
      </c>
      <c r="DU43" s="41" t="n">
        <v>1</v>
      </c>
      <c r="DV43" s="61" t="n"/>
      <c r="DW43" s="62" t="n"/>
      <c r="DX43" s="83" t="n"/>
      <c r="DY43" s="41" t="n"/>
      <c r="DZ43" s="84">
        <f>H43+L43+P43+T43+X43+AB43+AF43+AJ43+AN43+AR43+AV43+AZ43+BD43+BH43+BL43+BP43+BT43+BX43+CB43+CF43+CJ43+CN43+CR43+CV43+CZ43+DD43+DH43+DL43+DP43+DT43</f>
        <v/>
      </c>
      <c r="EA43" s="84">
        <f>I43+M43+Q43+U43+Y43+AC43+AG43+AK43+AO43+AS43+AW43+BA43+BE43+BI43+BM43+BQ43+BU43+BY43+CC43+CG43+CK43+CO43+CS43+CW43+DA43+DE43+DI43+DM43+DQ43+DU43</f>
        <v/>
      </c>
    </row>
    <row r="44" ht="59" customFormat="1" customHeight="1" s="54">
      <c r="A44" s="55" t="inlineStr">
        <is>
          <t>五楼</t>
        </is>
      </c>
      <c r="B44" s="56" t="inlineStr">
        <is>
          <t>谢灵</t>
        </is>
      </c>
      <c r="C44" s="41" t="n">
        <v>49</v>
      </c>
      <c r="D44" s="41" t="inlineStr">
        <is>
          <t>订单部</t>
        </is>
      </c>
      <c r="E44" s="57" t="inlineStr">
        <is>
          <t>接单报价组</t>
        </is>
      </c>
      <c r="F44" s="57" t="inlineStr">
        <is>
          <t>08:16</t>
        </is>
      </c>
      <c r="G44" s="58" t="n">
        <v>0.75</v>
      </c>
      <c r="H44" s="83">
        <f>MOD(G44-F44,1)*24</f>
        <v/>
      </c>
      <c r="I44" s="57" t="n">
        <v>1</v>
      </c>
      <c r="J44" s="58" t="n">
        <v>0.35</v>
      </c>
      <c r="K44" s="58" t="n">
        <v>0.7875</v>
      </c>
      <c r="L44" s="83">
        <f>MOD(K44-J44,1)*24</f>
        <v/>
      </c>
      <c r="M44" s="57" t="n">
        <v>1</v>
      </c>
      <c r="N44" s="58" t="n">
        <v>0.3513888888888889</v>
      </c>
      <c r="O44" s="58" t="n">
        <v>0.7513888888888889</v>
      </c>
      <c r="P44" s="83">
        <f>MOD(O44-N44,1)*24</f>
        <v/>
      </c>
      <c r="Q44" s="57" t="n">
        <v>1</v>
      </c>
      <c r="R44" s="58" t="n">
        <v>0.3430555555555556</v>
      </c>
      <c r="S44" s="58" t="n">
        <v>0.7506944444444444</v>
      </c>
      <c r="T44" s="83">
        <f>MOD(S44-R44,1)*24</f>
        <v/>
      </c>
      <c r="U44" s="57" t="n">
        <v>1</v>
      </c>
      <c r="V44" s="58" t="n">
        <v>0.3479166666666667</v>
      </c>
      <c r="W44" s="58" t="n">
        <v>0.7576388888888889</v>
      </c>
      <c r="X44" s="83">
        <f>MOD(W44-V44,1)*24</f>
        <v/>
      </c>
      <c r="Y44" s="57" t="n">
        <v>1</v>
      </c>
      <c r="Z44" s="58" t="n">
        <v>0.3520833333333334</v>
      </c>
      <c r="AA44" s="60" t="n">
        <v>0.8576388888888888</v>
      </c>
      <c r="AB44" s="83">
        <f>MOD(AA44-Z44,1)*24</f>
        <v/>
      </c>
      <c r="AC44" s="41" t="n">
        <v>1</v>
      </c>
      <c r="AD44" s="41" t="n"/>
      <c r="AE44" s="57" t="n"/>
      <c r="AF44" s="83" t="n"/>
      <c r="AG44" s="57" t="n"/>
      <c r="AH44" s="58" t="n">
        <v>0.3451388888888889</v>
      </c>
      <c r="AI44" s="58" t="n">
        <v>0.7673611111111112</v>
      </c>
      <c r="AJ44" s="83">
        <f>MOD(AI44-AH44,1)*24</f>
        <v/>
      </c>
      <c r="AK44" s="57" t="n">
        <v>1</v>
      </c>
      <c r="AL44" s="58" t="n">
        <v>0.3479166666666667</v>
      </c>
      <c r="AM44" s="58" t="n">
        <v>0.7534722222222222</v>
      </c>
      <c r="AN44" s="83">
        <f>MOD(AM44-AL44,1)*24</f>
        <v/>
      </c>
      <c r="AO44" s="57" t="n">
        <v>1</v>
      </c>
      <c r="AP44" s="58" t="n">
        <v>0.3527777777777778</v>
      </c>
      <c r="AQ44" s="58" t="n">
        <v>0.7666666666666667</v>
      </c>
      <c r="AR44" s="83">
        <f>MOD(AQ44-AP44,1)*24</f>
        <v/>
      </c>
      <c r="AS44" s="57" t="n">
        <v>1</v>
      </c>
      <c r="AT44" s="58" t="n">
        <v>0.3520833333333334</v>
      </c>
      <c r="AU44" s="58" t="n">
        <v>0.7673611111111112</v>
      </c>
      <c r="AV44" s="83">
        <f>MOD(AU44-AT44,1)*24</f>
        <v/>
      </c>
      <c r="AW44" s="57" t="n">
        <v>1</v>
      </c>
      <c r="AX44" s="58" t="n">
        <v>0.3479166666666667</v>
      </c>
      <c r="AY44" s="58" t="n">
        <v>0.7513888888888889</v>
      </c>
      <c r="AZ44" s="83">
        <f>MOD(AY44-AX44,1)*24</f>
        <v/>
      </c>
      <c r="BA44" s="57" t="n">
        <v>1</v>
      </c>
      <c r="BB44" s="58" t="n">
        <v>0.3520833333333334</v>
      </c>
      <c r="BC44" s="60" t="n">
        <v>0.7513888888888889</v>
      </c>
      <c r="BD44" s="83">
        <f>MOD(BC44-BB44,1)*24</f>
        <v/>
      </c>
      <c r="BE44" s="41" t="n">
        <v>1</v>
      </c>
      <c r="BF44" s="41" t="n"/>
      <c r="BG44" s="57" t="n"/>
      <c r="BH44" s="83" t="n"/>
      <c r="BI44" s="57" t="n"/>
      <c r="BJ44" s="58" t="n">
        <v>0.3513888888888889</v>
      </c>
      <c r="BK44" s="58" t="n">
        <v>0.75</v>
      </c>
      <c r="BL44" s="83">
        <f>MOD(BK44-BJ44,1)*24</f>
        <v/>
      </c>
      <c r="BM44" s="57" t="n">
        <v>1</v>
      </c>
      <c r="BN44" s="58" t="n">
        <v>0.3527777777777778</v>
      </c>
      <c r="BO44" s="58" t="n">
        <v>0.7506944444444444</v>
      </c>
      <c r="BP44" s="83">
        <f>MOD(BO44-BN44,1)*24</f>
        <v/>
      </c>
      <c r="BQ44" s="57" t="n">
        <v>1</v>
      </c>
      <c r="BR44" s="58" t="n">
        <v>0.3527777777777778</v>
      </c>
      <c r="BS44" s="58" t="n">
        <v>0.75</v>
      </c>
      <c r="BT44" s="83">
        <f>MOD(BS44-BR44,1)*24</f>
        <v/>
      </c>
      <c r="BU44" s="57" t="n">
        <v>1</v>
      </c>
      <c r="BV44" s="58" t="n">
        <v>0.3527777777777778</v>
      </c>
      <c r="BW44" s="60" t="n">
        <v>0.7625</v>
      </c>
      <c r="BX44" s="83">
        <f>MOD(BW44-BV44,1)*24</f>
        <v/>
      </c>
      <c r="BY44" s="41" t="n">
        <v>1</v>
      </c>
      <c r="BZ44" s="41" t="n"/>
      <c r="CA44" s="41" t="n"/>
      <c r="CB44" s="83" t="n"/>
      <c r="CC44" s="41" t="n"/>
      <c r="CD44" s="41" t="n"/>
      <c r="CE44" s="57" t="n"/>
      <c r="CF44" s="83" t="n"/>
      <c r="CG44" s="57" t="n"/>
      <c r="CH44" s="58" t="n">
        <v>0.3527777777777778</v>
      </c>
      <c r="CI44" s="58" t="n">
        <v>0.75</v>
      </c>
      <c r="CJ44" s="83">
        <f>MOD(CI44-CH44,1)*24</f>
        <v/>
      </c>
      <c r="CK44" s="57" t="n">
        <v>1</v>
      </c>
      <c r="CL44" s="58" t="n">
        <v>0.3479166666666667</v>
      </c>
      <c r="CM44" s="58" t="n">
        <v>0.7576388888888889</v>
      </c>
      <c r="CN44" s="83">
        <f>MOD(CM44-CL44,1)*24</f>
        <v/>
      </c>
      <c r="CO44" s="57" t="n">
        <v>1</v>
      </c>
      <c r="CP44" s="58" t="n">
        <v>0.3534722222222222</v>
      </c>
      <c r="CQ44" s="58" t="n">
        <v>0.75</v>
      </c>
      <c r="CR44" s="83">
        <f>MOD(CQ44-CP44,1)*24</f>
        <v/>
      </c>
      <c r="CS44" s="57" t="n">
        <v>1</v>
      </c>
      <c r="CT44" s="58" t="n">
        <v>0.3493055555555555</v>
      </c>
      <c r="CU44" s="58" t="n">
        <v>0.7548611111111111</v>
      </c>
      <c r="CV44" s="83">
        <f>MOD(CU44-CT44,1)*24</f>
        <v/>
      </c>
      <c r="CW44" s="57" t="n">
        <v>1</v>
      </c>
      <c r="CX44" s="58" t="n">
        <v>0.35</v>
      </c>
      <c r="CY44" s="58" t="n">
        <v>0.7506944444444444</v>
      </c>
      <c r="CZ44" s="83">
        <f>MOD(CY44-CX44,1)*24</f>
        <v/>
      </c>
      <c r="DA44" s="57" t="n">
        <v>1</v>
      </c>
      <c r="DB44" s="58" t="n">
        <v>0.3513888888888889</v>
      </c>
      <c r="DC44" s="58" t="n">
        <v>0.7534722222222222</v>
      </c>
      <c r="DD44" s="83">
        <f>MOD(DC44-DB44,1)*24</f>
        <v/>
      </c>
      <c r="DE44" s="57" t="n">
        <v>1</v>
      </c>
      <c r="DF44" s="58" t="n">
        <v>0.3479166666666667</v>
      </c>
      <c r="DG44" s="60" t="n">
        <v>0.8673611111111111</v>
      </c>
      <c r="DH44" s="83">
        <f>MOD(DG44-DF44,1)*24</f>
        <v/>
      </c>
      <c r="DI44" s="41" t="n">
        <v>1</v>
      </c>
      <c r="DJ44" s="41" t="n"/>
      <c r="DK44" s="41" t="n"/>
      <c r="DL44" s="83" t="n"/>
      <c r="DM44" s="41" t="n"/>
      <c r="DN44" s="58" t="n">
        <v>0.3527777777777778</v>
      </c>
      <c r="DO44" s="58" t="n">
        <v>0.7659722222222223</v>
      </c>
      <c r="DP44" s="83">
        <f>MOD(DO44-DN44,1)*24</f>
        <v/>
      </c>
      <c r="DQ44" s="57" t="n">
        <v>1</v>
      </c>
      <c r="DR44" s="61" t="n">
        <v>0.3486111111111111</v>
      </c>
      <c r="DS44" s="62" t="n">
        <v>0.86875</v>
      </c>
      <c r="DT44" s="83">
        <f>MOD(DS44-DR44,1)*24</f>
        <v/>
      </c>
      <c r="DU44" s="41" t="n">
        <v>1</v>
      </c>
      <c r="DV44" s="61" t="n"/>
      <c r="DW44" s="62" t="n"/>
      <c r="DX44" s="83" t="n"/>
      <c r="DY44" s="41" t="n"/>
      <c r="DZ44" s="84">
        <f>H44+L44+P44+T44+X44+AB44+AF44+AJ44+AN44+AR44+AV44+AZ44+BD44+BH44+BL44+BP44+BT44+BX44+CB44+CF44+CJ44+CN44+CR44+CV44+CZ44+DD44+DH44+DL44+DP44+DT44</f>
        <v/>
      </c>
      <c r="EA44" s="84">
        <f>I44+M44+Q44+U44+Y44+AC44+AG44+AK44+AO44+AS44+AW44+BA44+BE44+BI44+BM44+BQ44+BU44+BY44+CC44+CG44+CK44+CO44+CS44+CW44+DA44+DE44+DI44+DM44+DQ44+DU44</f>
        <v/>
      </c>
    </row>
    <row r="45" ht="59" customFormat="1" customHeight="1" s="54">
      <c r="A45" s="55" t="inlineStr">
        <is>
          <t>五楼</t>
        </is>
      </c>
      <c r="B45" s="56" t="inlineStr">
        <is>
          <t>周朝会</t>
        </is>
      </c>
      <c r="C45" s="41" t="n">
        <v>50</v>
      </c>
      <c r="D45" s="41" t="inlineStr">
        <is>
          <t>人力行政部</t>
        </is>
      </c>
      <c r="E45" s="57" t="inlineStr">
        <is>
          <t>人力行政部</t>
        </is>
      </c>
      <c r="F45" s="57" t="inlineStr">
        <is>
          <t>07:31</t>
        </is>
      </c>
      <c r="G45" s="58" t="n">
        <v>0.75</v>
      </c>
      <c r="H45" s="83">
        <f>MOD(G45-F45,1)*24</f>
        <v/>
      </c>
      <c r="I45" s="57" t="n">
        <v>1</v>
      </c>
      <c r="J45" s="58" t="n">
        <v>0.3159722222222222</v>
      </c>
      <c r="K45" s="58" t="n">
        <v>0.7527777777777778</v>
      </c>
      <c r="L45" s="83">
        <f>MOD(K45-J45,1)*24</f>
        <v/>
      </c>
      <c r="M45" s="57" t="n">
        <v>1</v>
      </c>
      <c r="N45" s="58" t="n">
        <v>0.3326388888888889</v>
      </c>
      <c r="O45" s="58" t="n">
        <v>0.75</v>
      </c>
      <c r="P45" s="83">
        <f>MOD(O45-N45,1)*24</f>
        <v/>
      </c>
      <c r="Q45" s="57" t="n">
        <v>1</v>
      </c>
      <c r="R45" s="58" t="n">
        <v>0.3229166666666667</v>
      </c>
      <c r="S45" s="58" t="n">
        <v>0.75</v>
      </c>
      <c r="T45" s="83">
        <f>MOD(S45-R45,1)*24</f>
        <v/>
      </c>
      <c r="U45" s="57" t="n">
        <v>1</v>
      </c>
      <c r="V45" s="58" t="n">
        <v>0.325</v>
      </c>
      <c r="W45" s="58" t="n">
        <v>0.75</v>
      </c>
      <c r="X45" s="83">
        <f>MOD(W45-V45,1)*24</f>
        <v/>
      </c>
      <c r="Y45" s="57" t="n">
        <v>1</v>
      </c>
      <c r="Z45" s="58" t="n">
        <v>0.3229166666666667</v>
      </c>
      <c r="AA45" s="58" t="n">
        <v>0.7527777777777778</v>
      </c>
      <c r="AB45" s="83">
        <f>MOD(AA45-Z45,1)*24</f>
        <v/>
      </c>
      <c r="AC45" s="41" t="n">
        <v>1</v>
      </c>
      <c r="AD45" s="58" t="n">
        <v>0.3361111111111111</v>
      </c>
      <c r="AE45" s="58" t="n">
        <v>0.475</v>
      </c>
      <c r="AF45" s="83">
        <f>MOD(AE45-AD45,1)*24</f>
        <v/>
      </c>
      <c r="AG45" s="57" t="n">
        <v>0.5</v>
      </c>
      <c r="AH45" s="58" t="n">
        <v>0.3222222222222222</v>
      </c>
      <c r="AI45" s="58" t="n">
        <v>0.75</v>
      </c>
      <c r="AJ45" s="83">
        <f>MOD(AI45-AH45,1)*24</f>
        <v/>
      </c>
      <c r="AK45" s="57" t="n">
        <v>1</v>
      </c>
      <c r="AL45" s="58" t="n">
        <v>0.3222222222222222</v>
      </c>
      <c r="AM45" s="57" t="n"/>
      <c r="AN45" s="83">
        <f>MOD(AM45-AL45,1)*24</f>
        <v/>
      </c>
      <c r="AO45" s="57" t="n">
        <v>1</v>
      </c>
      <c r="AP45" s="58" t="n">
        <v>0.3243055555555556</v>
      </c>
      <c r="AQ45" s="58" t="n">
        <v>0.7506944444444444</v>
      </c>
      <c r="AR45" s="83">
        <f>MOD(AQ45-AP45,1)*24</f>
        <v/>
      </c>
      <c r="AS45" s="57" t="n">
        <v>1</v>
      </c>
      <c r="AT45" s="58" t="n">
        <v>0.3208333333333334</v>
      </c>
      <c r="AU45" s="58" t="n">
        <v>0.75</v>
      </c>
      <c r="AV45" s="83">
        <f>MOD(AU45-AT45,1)*24</f>
        <v/>
      </c>
      <c r="AW45" s="57" t="n">
        <v>1</v>
      </c>
      <c r="AX45" s="58" t="n">
        <v>0.31875</v>
      </c>
      <c r="AY45" s="58" t="n">
        <v>0.75</v>
      </c>
      <c r="AZ45" s="83">
        <f>MOD(AY45-AX45,1)*24</f>
        <v/>
      </c>
      <c r="BA45" s="57" t="n">
        <v>1</v>
      </c>
      <c r="BB45" s="58" t="n">
        <v>0.325</v>
      </c>
      <c r="BC45" s="58" t="n">
        <v>0.75</v>
      </c>
      <c r="BD45" s="83">
        <f>MOD(BC45-BB45,1)*24</f>
        <v/>
      </c>
      <c r="BE45" s="41" t="n">
        <v>1</v>
      </c>
      <c r="BF45" s="58" t="n">
        <v>0.3236111111111111</v>
      </c>
      <c r="BG45" s="58" t="n">
        <v>0.4659722222222222</v>
      </c>
      <c r="BH45" s="83">
        <f>MOD(BG45-BF45,1)*24</f>
        <v/>
      </c>
      <c r="BI45" s="57" t="n">
        <v>0.5</v>
      </c>
      <c r="BJ45" s="58" t="n">
        <v>0.3194444444444444</v>
      </c>
      <c r="BK45" s="58" t="n">
        <v>0.7506944444444444</v>
      </c>
      <c r="BL45" s="83">
        <f>MOD(BK45-BJ45,1)*24</f>
        <v/>
      </c>
      <c r="BM45" s="57" t="n">
        <v>1</v>
      </c>
      <c r="BN45" s="58" t="n">
        <v>0.3222222222222222</v>
      </c>
      <c r="BO45" s="58" t="n">
        <v>0.8805555555555555</v>
      </c>
      <c r="BP45" s="83">
        <f>MOD(BO45-BN45,1)*24</f>
        <v/>
      </c>
      <c r="BQ45" s="57" t="n">
        <v>1</v>
      </c>
      <c r="BR45" s="58" t="n">
        <v>0.3215277777777778</v>
      </c>
      <c r="BS45" s="58" t="n">
        <v>0.7513888888888889</v>
      </c>
      <c r="BT45" s="83">
        <f>MOD(BS45-BR45,1)*24</f>
        <v/>
      </c>
      <c r="BU45" s="57" t="n">
        <v>1</v>
      </c>
      <c r="BV45" s="58" t="n">
        <v>0.3243055555555556</v>
      </c>
      <c r="BW45" s="60" t="n">
        <v>0.7513888888888889</v>
      </c>
      <c r="BX45" s="83">
        <f>MOD(BW45-BV45,1)*24</f>
        <v/>
      </c>
      <c r="BY45" s="41" t="n">
        <v>1</v>
      </c>
      <c r="BZ45" s="41" t="n"/>
      <c r="CA45" s="57" t="n"/>
      <c r="CB45" s="83" t="n"/>
      <c r="CC45" s="57" t="n"/>
      <c r="CD45" s="58" t="n">
        <v>0.3222222222222222</v>
      </c>
      <c r="CE45" s="58" t="n">
        <v>0.4597222222222222</v>
      </c>
      <c r="CF45" s="83" t="n"/>
      <c r="CG45" s="57" t="n"/>
      <c r="CH45" s="58" t="n">
        <v>0.3152777777777778</v>
      </c>
      <c r="CI45" s="58" t="n">
        <v>0.7520833333333333</v>
      </c>
      <c r="CJ45" s="83">
        <f>MOD(CI45-CH45,1)*24</f>
        <v/>
      </c>
      <c r="CK45" s="57" t="n">
        <v>1</v>
      </c>
      <c r="CL45" s="58" t="n">
        <v>0.3229166666666667</v>
      </c>
      <c r="CM45" s="58" t="n">
        <v>0.75</v>
      </c>
      <c r="CN45" s="83">
        <f>MOD(CM45-CL45,1)*24</f>
        <v/>
      </c>
      <c r="CO45" s="57" t="n">
        <v>1</v>
      </c>
      <c r="CP45" s="58" t="n">
        <v>0.3229166666666667</v>
      </c>
      <c r="CQ45" s="58" t="n">
        <v>0.7513888888888889</v>
      </c>
      <c r="CR45" s="83">
        <f>MOD(CQ45-CP45,1)*24</f>
        <v/>
      </c>
      <c r="CS45" s="57" t="n">
        <v>1</v>
      </c>
      <c r="CT45" s="58" t="n">
        <v>0.3152777777777778</v>
      </c>
      <c r="CU45" s="58" t="n">
        <v>0.7506944444444444</v>
      </c>
      <c r="CV45" s="83">
        <f>MOD(CU45-CT45,1)*24</f>
        <v/>
      </c>
      <c r="CW45" s="57" t="n">
        <v>1</v>
      </c>
      <c r="CX45" s="58" t="n">
        <v>0.325</v>
      </c>
      <c r="CY45" s="58" t="n">
        <v>0.75</v>
      </c>
      <c r="CZ45" s="83">
        <f>MOD(CY45-CX45,1)*24</f>
        <v/>
      </c>
      <c r="DA45" s="57" t="n">
        <v>1</v>
      </c>
      <c r="DB45" s="58" t="n">
        <v>0.3236111111111111</v>
      </c>
      <c r="DC45" s="58" t="n">
        <v>0.75</v>
      </c>
      <c r="DD45" s="83">
        <f>MOD(DC45-DB45,1)*24</f>
        <v/>
      </c>
      <c r="DE45" s="57" t="n">
        <v>1</v>
      </c>
      <c r="DF45" s="58" t="n">
        <v>0.3243055555555556</v>
      </c>
      <c r="DG45" s="58" t="n">
        <v>0.75</v>
      </c>
      <c r="DH45" s="83">
        <f>MOD(DG45-DF45,1)*24</f>
        <v/>
      </c>
      <c r="DI45" s="41" t="n">
        <v>1</v>
      </c>
      <c r="DJ45" s="58" t="n">
        <v>0.33125</v>
      </c>
      <c r="DK45" s="58" t="n">
        <v>0.4604166666666666</v>
      </c>
      <c r="DL45" s="83">
        <f>MOD(DK45-DJ45,1)*24</f>
        <v/>
      </c>
      <c r="DM45" s="57" t="n">
        <v>0.5</v>
      </c>
      <c r="DN45" s="58" t="n">
        <v>0.3229166666666667</v>
      </c>
      <c r="DO45" s="58" t="n">
        <v>0.7506944444444444</v>
      </c>
      <c r="DP45" s="83">
        <f>MOD(DO45-DN45,1)*24</f>
        <v/>
      </c>
      <c r="DQ45" s="57" t="n">
        <v>1</v>
      </c>
      <c r="DR45" s="61" t="n">
        <v>0.3201388888888889</v>
      </c>
      <c r="DS45" s="62" t="n">
        <v>0.7513888888888889</v>
      </c>
      <c r="DT45" s="83">
        <f>MOD(DS45-DR45,1)*24</f>
        <v/>
      </c>
      <c r="DU45" s="41" t="n">
        <v>1</v>
      </c>
      <c r="DV45" s="61" t="n"/>
      <c r="DW45" s="62" t="n"/>
      <c r="DX45" s="83" t="n"/>
      <c r="DY45" s="41" t="n"/>
      <c r="DZ45" s="84">
        <f>H45+L45+P45+T45+X45+AB45+AF45+AJ45+AN45+AR45+AV45+AZ45+BD45+BH45+BL45+BP45+BT45+BX45+CB45+CF45+CJ45+CN45+CR45+CV45+CZ45+DD45+DH45+DL45+DP45+DT45</f>
        <v/>
      </c>
      <c r="EA45" s="84">
        <f>I45+M45+Q45+U45+Y45+AC45+AG45+AK45+AO45+AS45+AW45+BA45+BE45+BI45+BM45+BQ45+BU45+BY45+CC45+CG45+CK45+CO45+CS45+CW45+DA45+DE45+DI45+DM45+DQ45+DU45</f>
        <v/>
      </c>
    </row>
    <row r="46" ht="59" customFormat="1" customHeight="1" s="54">
      <c r="A46" s="55" t="inlineStr">
        <is>
          <t>五楼</t>
        </is>
      </c>
      <c r="B46" s="56" t="inlineStr">
        <is>
          <t>伍梦柯</t>
        </is>
      </c>
      <c r="C46" s="41" t="n">
        <v>51</v>
      </c>
      <c r="D46" s="41" t="inlineStr">
        <is>
          <t>设计部</t>
        </is>
      </c>
      <c r="E46" s="57" t="inlineStr">
        <is>
          <t>设计组</t>
        </is>
      </c>
      <c r="F46" s="57" t="inlineStr">
        <is>
          <t>18:12</t>
        </is>
      </c>
      <c r="G46" s="57" t="n"/>
      <c r="H46" s="83">
        <f>MOD(G46-F46,1)*24</f>
        <v/>
      </c>
      <c r="I46" s="57" t="n">
        <v>0.5</v>
      </c>
      <c r="J46" s="58" t="n">
        <v>0.3534722222222222</v>
      </c>
      <c r="K46" s="58" t="n">
        <v>0.7520833333333333</v>
      </c>
      <c r="L46" s="83">
        <f>MOD(K46-J46,1)*24</f>
        <v/>
      </c>
      <c r="M46" s="57" t="n">
        <v>1</v>
      </c>
      <c r="N46" s="58" t="n">
        <v>0.3548611111111111</v>
      </c>
      <c r="O46" s="58" t="n">
        <v>0.9527777777777777</v>
      </c>
      <c r="P46" s="83">
        <f>MOD(O46-N46,1)*24</f>
        <v/>
      </c>
      <c r="Q46" s="57" t="n">
        <v>1</v>
      </c>
      <c r="R46" s="58" t="n">
        <v>0.3548611111111111</v>
      </c>
      <c r="S46" s="58" t="n">
        <v>0.9243055555555556</v>
      </c>
      <c r="T46" s="83">
        <f>MOD(S46-R46,1)*24</f>
        <v/>
      </c>
      <c r="U46" s="57" t="n">
        <v>1</v>
      </c>
      <c r="V46" s="58" t="n">
        <v>0.3534722222222222</v>
      </c>
      <c r="W46" s="58" t="n">
        <v>0.7597222222222222</v>
      </c>
      <c r="X46" s="83">
        <f>MOD(W46-V46,1)*24</f>
        <v/>
      </c>
      <c r="Y46" s="57" t="n">
        <v>1</v>
      </c>
      <c r="Z46" s="58" t="n">
        <v>0.3534722222222222</v>
      </c>
      <c r="AA46" s="58" t="n">
        <v>0.7541666666666667</v>
      </c>
      <c r="AB46" s="83">
        <f>MOD(AA46-Z46,1)*24</f>
        <v/>
      </c>
      <c r="AC46" s="41" t="n">
        <v>1</v>
      </c>
      <c r="AD46" s="58" t="n">
        <v>0.3541666666666667</v>
      </c>
      <c r="AE46" s="58" t="n">
        <v>0.7534722222222222</v>
      </c>
      <c r="AF46" s="83">
        <f>MOD(AE46-AD46,1)*24</f>
        <v/>
      </c>
      <c r="AG46" s="57" t="n">
        <v>1</v>
      </c>
      <c r="AH46" s="58" t="n">
        <v>0.3527777777777778</v>
      </c>
      <c r="AI46" s="60" t="n">
        <v>0.7736111111111111</v>
      </c>
      <c r="AJ46" s="83">
        <f>MOD(AI46-AH46,1)*24</f>
        <v/>
      </c>
      <c r="AK46" s="57" t="n">
        <v>1</v>
      </c>
      <c r="AL46" s="41" t="n"/>
      <c r="AM46" s="57" t="n"/>
      <c r="AN46" s="83" t="n"/>
      <c r="AO46" s="57" t="n"/>
      <c r="AP46" s="58" t="n">
        <v>0.3541666666666667</v>
      </c>
      <c r="AQ46" s="58" t="n">
        <v>0.90625</v>
      </c>
      <c r="AR46" s="83">
        <f>MOD(AQ46-AP46,1)*24</f>
        <v/>
      </c>
      <c r="AS46" s="57" t="n">
        <v>1</v>
      </c>
      <c r="AT46" s="58" t="n">
        <v>0.3534722222222222</v>
      </c>
      <c r="AU46" s="58" t="n">
        <v>0.7743055555555556</v>
      </c>
      <c r="AV46" s="83">
        <f>MOD(AU46-AT46,1)*24</f>
        <v/>
      </c>
      <c r="AW46" s="57" t="n">
        <v>1</v>
      </c>
      <c r="AX46" s="58" t="n">
        <v>0.3534722222222222</v>
      </c>
      <c r="AY46" s="58" t="n">
        <v>0.7631944444444444</v>
      </c>
      <c r="AZ46" s="83">
        <f>MOD(AY46-AX46,1)*24</f>
        <v/>
      </c>
      <c r="BA46" s="57" t="n">
        <v>1</v>
      </c>
      <c r="BB46" s="58" t="n">
        <v>0.3527777777777778</v>
      </c>
      <c r="BC46" s="60" t="n">
        <v>0.7520833333333333</v>
      </c>
      <c r="BD46" s="83">
        <f>MOD(BC46-BB46,1)*24</f>
        <v/>
      </c>
      <c r="BE46" s="41" t="n">
        <v>1</v>
      </c>
      <c r="BF46" s="41" t="n"/>
      <c r="BG46" s="41" t="n"/>
      <c r="BH46" s="83" t="n"/>
      <c r="BI46" s="41" t="n"/>
      <c r="BJ46" s="41" t="n"/>
      <c r="BK46" s="57" t="n"/>
      <c r="BL46" s="83" t="n"/>
      <c r="BM46" s="57" t="n"/>
      <c r="BO46" s="83" t="inlineStr">
        <is>
          <t>21:08</t>
        </is>
      </c>
      <c r="BP46" s="83" t="n"/>
      <c r="BQ46" s="57" t="n">
        <v>0.5</v>
      </c>
      <c r="BR46" s="58" t="n">
        <v>0.3534722222222222</v>
      </c>
      <c r="BS46" s="58" t="n">
        <v>0.9694444444444444</v>
      </c>
      <c r="BT46" s="83">
        <f>MOD(BS46-BR46,1)*24</f>
        <v/>
      </c>
      <c r="BU46" s="57" t="n">
        <v>1</v>
      </c>
      <c r="BV46" s="58" t="n">
        <v>0.3534722222222222</v>
      </c>
      <c r="BW46" s="57" t="n"/>
      <c r="BX46" s="83" t="n"/>
      <c r="BY46" s="41" t="n">
        <v>0.5</v>
      </c>
      <c r="BZ46" s="58" t="n">
        <v>0.009722222222222222</v>
      </c>
      <c r="CA46" s="60" t="n">
        <v>0.3548611111111111</v>
      </c>
      <c r="CB46" s="83">
        <f>MOD(CA46-BZ46,1)*24</f>
        <v/>
      </c>
      <c r="CC46" s="41" t="n">
        <v>1</v>
      </c>
      <c r="CD46" s="41" t="n"/>
      <c r="CE46" s="57" t="n"/>
      <c r="CF46" s="83" t="n"/>
      <c r="CG46" s="57" t="n"/>
      <c r="CH46" s="58" t="n">
        <v>0.3548611111111111</v>
      </c>
      <c r="CI46" s="58" t="n">
        <v>0.8888888888888888</v>
      </c>
      <c r="CJ46" s="83">
        <f>MOD(CI46-CH46,1)*24</f>
        <v/>
      </c>
      <c r="CK46" s="57" t="n">
        <v>1</v>
      </c>
      <c r="CL46" s="58" t="n">
        <v>0.3555555555555556</v>
      </c>
      <c r="CM46" s="58" t="n">
        <v>0.8972222222222223</v>
      </c>
      <c r="CN46" s="83">
        <f>MOD(CM46-CL46,1)*24</f>
        <v/>
      </c>
      <c r="CO46" s="57" t="n">
        <v>1</v>
      </c>
      <c r="CP46" s="58" t="n">
        <v>0.3534722222222222</v>
      </c>
      <c r="CQ46" s="58" t="n">
        <v>0.9868055555555556</v>
      </c>
      <c r="CR46" s="83">
        <f>MOD(CQ46-CP46,1)*24</f>
        <v/>
      </c>
      <c r="CS46" s="57" t="n">
        <v>1</v>
      </c>
      <c r="CT46" s="58" t="n">
        <v>0.3541666666666667</v>
      </c>
      <c r="CU46" s="58" t="n">
        <v>0.9923611111111111</v>
      </c>
      <c r="CV46" s="83">
        <f>MOD(CU46-CT46,1)*24</f>
        <v/>
      </c>
      <c r="CW46" s="57" t="n">
        <v>1</v>
      </c>
      <c r="CX46" s="58" t="n">
        <v>0.3534722222222222</v>
      </c>
      <c r="CY46" s="57" t="n"/>
      <c r="CZ46" s="83" t="n"/>
      <c r="DA46" s="57" t="n">
        <v>0.5</v>
      </c>
      <c r="DB46" s="58" t="n">
        <v>0.004861111111111111</v>
      </c>
      <c r="DC46" s="58" t="n">
        <v>0.9145833333333333</v>
      </c>
      <c r="DD46" s="83">
        <f>MOD(DC46-DB46,1)*24</f>
        <v/>
      </c>
      <c r="DE46" s="57" t="n">
        <v>1</v>
      </c>
      <c r="DF46" s="58" t="n">
        <v>0.3541666666666667</v>
      </c>
      <c r="DG46" s="58" t="n">
        <v>0.8652777777777778</v>
      </c>
      <c r="DH46" s="83">
        <f>MOD(DG46-DF46,1)*24</f>
        <v/>
      </c>
      <c r="DI46" s="41" t="n">
        <v>1</v>
      </c>
      <c r="DJ46" s="58" t="n">
        <v>0.8381944444444445</v>
      </c>
      <c r="DK46" s="57" t="n"/>
      <c r="DL46" s="83" t="n"/>
      <c r="DM46" s="57" t="n">
        <v>0.5</v>
      </c>
      <c r="DN46" s="58" t="n">
        <v>0.3541666666666667</v>
      </c>
      <c r="DO46" s="58" t="n">
        <v>0.9465277777777777</v>
      </c>
      <c r="DP46" s="83">
        <f>MOD(DO46-DN46,1)*24</f>
        <v/>
      </c>
      <c r="DQ46" s="57" t="n">
        <v>1</v>
      </c>
      <c r="DR46" s="61" t="n">
        <v>0.3506944444444444</v>
      </c>
      <c r="DS46" s="62" t="n">
        <v>0.7541666666666667</v>
      </c>
      <c r="DT46" s="83">
        <f>MOD(DS46-DR46,1)*24</f>
        <v/>
      </c>
      <c r="DU46" s="41" t="n">
        <v>1</v>
      </c>
      <c r="DV46" s="61" t="n"/>
      <c r="DW46" s="62" t="n"/>
      <c r="DX46" s="83" t="n"/>
      <c r="DY46" s="41" t="n"/>
      <c r="DZ46" s="84">
        <f>H46+L46+P46+T46+X46+AB46+AF46+AJ46+AN46+AR46+AV46+AZ46+BD46+BH46+BL46+BP46+BT46+BX46+CB46+CF46+CJ46+CN46+CR46+CV46+CZ46+DD46+DH46+DL46+DP46+DT46</f>
        <v/>
      </c>
      <c r="EA46" s="84">
        <f>I46+M46+Q46+U46+Y46+AC46+AG46+AK46+AO46+AS46+AW46+BA46+BE46+BI46+BM46+BQ46+BU46+BY46+CC46+CG46+CK46+CO46+CS46+CW46+DA46+DE46+DI46+DM46+DQ46+DU46</f>
        <v/>
      </c>
    </row>
    <row r="47" ht="59" customFormat="1" customHeight="1" s="54">
      <c r="A47" s="55" t="inlineStr">
        <is>
          <t>五楼</t>
        </is>
      </c>
      <c r="B47" s="56" t="inlineStr">
        <is>
          <t>伍梦柯</t>
        </is>
      </c>
      <c r="C47" s="41" t="n">
        <v>51</v>
      </c>
      <c r="D47" s="41" t="inlineStr">
        <is>
          <t>设计部</t>
        </is>
      </c>
      <c r="E47" s="57" t="inlineStr">
        <is>
          <t>设计组</t>
        </is>
      </c>
      <c r="F47" s="41" t="n"/>
      <c r="G47" s="57" t="n"/>
      <c r="H47" s="83" t="n"/>
      <c r="I47" s="57" t="n"/>
      <c r="J47" s="58" t="n"/>
      <c r="K47" s="41" t="n"/>
      <c r="L47" s="83" t="n"/>
      <c r="M47" s="57" t="n"/>
      <c r="N47" s="41" t="n"/>
      <c r="O47" s="41" t="n"/>
      <c r="P47" s="83" t="n"/>
      <c r="Q47" s="41" t="n"/>
      <c r="R47" s="41" t="n"/>
      <c r="S47" s="41" t="n"/>
      <c r="T47" s="83" t="n"/>
      <c r="U47" s="41" t="n"/>
      <c r="V47" s="41" t="n"/>
      <c r="W47" s="41" t="n"/>
      <c r="X47" s="83" t="n"/>
      <c r="Y47" s="41" t="n"/>
      <c r="Z47" s="41" t="n"/>
      <c r="AA47" s="41" t="n"/>
      <c r="AB47" s="83" t="n"/>
      <c r="AC47" s="41" t="n"/>
      <c r="AD47" s="41" t="n"/>
      <c r="AE47" s="41" t="n"/>
      <c r="AF47" s="83" t="n"/>
      <c r="AG47" s="41" t="n"/>
      <c r="AH47" s="41" t="n"/>
      <c r="AI47" s="41" t="n"/>
      <c r="AJ47" s="83" t="n"/>
      <c r="AK47" s="41" t="n"/>
      <c r="AL47" s="41" t="n"/>
      <c r="AM47" s="41" t="n"/>
      <c r="AN47" s="83" t="n"/>
      <c r="AO47" s="41" t="n"/>
      <c r="AP47" s="41" t="n"/>
      <c r="AQ47" s="41" t="n"/>
      <c r="AR47" s="83" t="n"/>
      <c r="AS47" s="41" t="n"/>
      <c r="AT47" s="41" t="n"/>
      <c r="AU47" s="41" t="n"/>
      <c r="AV47" s="83" t="n"/>
      <c r="AW47" s="41" t="n"/>
      <c r="AX47" s="41" t="n"/>
      <c r="AY47" s="41" t="n"/>
      <c r="AZ47" s="83" t="n"/>
      <c r="BA47" s="41" t="n"/>
      <c r="BB47" s="41" t="n"/>
      <c r="BC47" s="41" t="n"/>
      <c r="BD47" s="83" t="n"/>
      <c r="BE47" s="41" t="n"/>
      <c r="BF47" s="41" t="n"/>
      <c r="BG47" s="41" t="n"/>
      <c r="BH47" s="83" t="n"/>
      <c r="BI47" s="41" t="n"/>
      <c r="BJ47" s="41" t="n"/>
      <c r="BK47" s="41" t="n"/>
      <c r="BL47" s="83" t="n"/>
      <c r="BM47" s="41" t="n"/>
      <c r="BN47" s="41" t="n"/>
      <c r="BO47" s="41" t="n"/>
      <c r="BP47" s="83" t="n"/>
      <c r="BQ47" s="41" t="n"/>
      <c r="BR47" s="41" t="n"/>
      <c r="BS47" s="41" t="n"/>
      <c r="BT47" s="83" t="n"/>
      <c r="BU47" s="41" t="n"/>
      <c r="BV47" s="41" t="n"/>
      <c r="BW47" s="41" t="n"/>
      <c r="BX47" s="83" t="n"/>
      <c r="BY47" s="41" t="n"/>
      <c r="BZ47" s="41" t="n"/>
      <c r="CA47" s="41" t="n"/>
      <c r="CB47" s="83" t="n"/>
      <c r="CC47" s="41" t="n"/>
      <c r="CD47" s="41" t="n"/>
      <c r="CE47" s="41" t="n"/>
      <c r="CF47" s="83" t="n"/>
      <c r="CG47" s="41" t="n"/>
      <c r="CH47" s="41" t="n"/>
      <c r="CI47" s="41" t="n"/>
      <c r="CJ47" s="83" t="n"/>
      <c r="CK47" s="41" t="n"/>
      <c r="CL47" s="41" t="n"/>
      <c r="CM47" s="41" t="n"/>
      <c r="CN47" s="83" t="n"/>
      <c r="CO47" s="41" t="n"/>
      <c r="CP47" s="41" t="n"/>
      <c r="CQ47" s="41" t="n"/>
      <c r="CR47" s="83" t="n"/>
      <c r="CS47" s="41" t="n"/>
      <c r="CT47" s="41" t="n"/>
      <c r="CU47" s="41" t="n"/>
      <c r="CV47" s="83" t="n"/>
      <c r="CW47" s="41" t="n"/>
      <c r="CX47" s="41" t="n"/>
      <c r="CY47" s="57" t="n"/>
      <c r="CZ47" s="83" t="n"/>
      <c r="DA47" s="57" t="n"/>
      <c r="DB47" s="66" t="n"/>
      <c r="DC47" s="57" t="n"/>
      <c r="DD47" s="83" t="n"/>
      <c r="DE47" s="57" t="n"/>
      <c r="DF47" s="41" t="n"/>
      <c r="DG47" s="41" t="n"/>
      <c r="DH47" s="83" t="n"/>
      <c r="DI47" s="41" t="n"/>
      <c r="DJ47" s="41" t="n"/>
      <c r="DK47" s="41" t="n"/>
      <c r="DL47" s="83" t="n"/>
      <c r="DM47" s="41" t="n"/>
      <c r="DO47" s="41" t="n"/>
      <c r="DP47" s="83" t="n"/>
      <c r="DQ47" s="41" t="n"/>
      <c r="DR47" s="64" t="n"/>
      <c r="DS47" s="65" t="n"/>
      <c r="DT47" s="83" t="n"/>
      <c r="DU47" s="66" t="n"/>
      <c r="DV47" s="64" t="n"/>
      <c r="DW47" s="65" t="n"/>
      <c r="DX47" s="83" t="n"/>
      <c r="DY47" s="66" t="n"/>
      <c r="DZ47" s="84" t="n"/>
      <c r="EA47" s="84" t="n"/>
    </row>
    <row r="48" ht="59" customFormat="1" customHeight="1" s="54">
      <c r="A48" s="55" t="inlineStr">
        <is>
          <t>五楼</t>
        </is>
      </c>
      <c r="B48" s="56" t="inlineStr">
        <is>
          <t>李志明</t>
        </is>
      </c>
      <c r="C48" s="41" t="n">
        <v>53</v>
      </c>
      <c r="D48" s="41" t="inlineStr">
        <is>
          <t>人力行政部</t>
        </is>
      </c>
      <c r="E48" s="57" t="inlineStr">
        <is>
          <t>人力行政部</t>
        </is>
      </c>
      <c r="F48" s="57" t="inlineStr">
        <is>
          <t>05:42</t>
        </is>
      </c>
      <c r="G48" s="60" t="n">
        <v>0.4888888888888889</v>
      </c>
      <c r="H48" s="83">
        <f>MOD(G48-F48,1)*24</f>
        <v/>
      </c>
      <c r="I48" s="57" t="n">
        <v>0.5</v>
      </c>
      <c r="J48" s="41" t="n"/>
      <c r="K48" s="57" t="n"/>
      <c r="L48" s="83" t="n"/>
      <c r="M48" s="57" t="n"/>
      <c r="N48" s="58" t="n">
        <v>0.2479166666666667</v>
      </c>
      <c r="O48" s="58" t="n">
        <v>0.7368055555555556</v>
      </c>
      <c r="P48" s="83">
        <f>MOD(O48-N48,1)*24</f>
        <v/>
      </c>
      <c r="Q48" s="57" t="n">
        <v>1</v>
      </c>
      <c r="R48" s="58" t="n">
        <v>0.2506944444444444</v>
      </c>
      <c r="S48" s="58" t="n">
        <v>0.7368055555555556</v>
      </c>
      <c r="T48" s="83">
        <f>MOD(S48-R48,1)*24</f>
        <v/>
      </c>
      <c r="U48" s="57" t="n">
        <v>1</v>
      </c>
      <c r="V48" s="58" t="n">
        <v>0.2486111111111111</v>
      </c>
      <c r="W48" s="58" t="n">
        <v>0.7368055555555556</v>
      </c>
      <c r="X48" s="83">
        <f>MOD(W48-V48,1)*24</f>
        <v/>
      </c>
      <c r="Y48" s="57" t="n">
        <v>1</v>
      </c>
      <c r="Z48" s="58" t="n">
        <v>0.2479166666666667</v>
      </c>
      <c r="AA48" s="58" t="n">
        <v>0.7368055555555556</v>
      </c>
      <c r="AB48" s="83">
        <f>MOD(AA48-Z48,1)*24</f>
        <v/>
      </c>
      <c r="AC48" s="41" t="n">
        <v>1</v>
      </c>
      <c r="AD48" s="58" t="n">
        <v>0.2479166666666667</v>
      </c>
      <c r="AE48" s="58" t="n">
        <v>0.7361111111111112</v>
      </c>
      <c r="AF48" s="83">
        <f>MOD(AE48-AD48,1)*24</f>
        <v/>
      </c>
      <c r="AG48" s="57" t="n">
        <v>1</v>
      </c>
      <c r="AH48" s="58" t="n">
        <v>0.2534722222222222</v>
      </c>
      <c r="AI48" s="60" t="n">
        <v>0.7361111111111112</v>
      </c>
      <c r="AJ48" s="83">
        <f>MOD(AI48-AH48,1)*24</f>
        <v/>
      </c>
      <c r="AK48" s="57" t="n">
        <v>1</v>
      </c>
      <c r="AL48" s="41" t="n"/>
      <c r="AM48" s="57" t="n"/>
      <c r="AN48" s="83" t="n"/>
      <c r="AO48" s="57" t="n"/>
      <c r="AP48" s="58" t="n">
        <v>0.2548611111111111</v>
      </c>
      <c r="AQ48" s="58" t="n">
        <v>0.7340277777777777</v>
      </c>
      <c r="AR48" s="83">
        <f>MOD(AQ48-AP48,1)*24</f>
        <v/>
      </c>
      <c r="AS48" s="57" t="n">
        <v>1</v>
      </c>
      <c r="AT48" s="58" t="n">
        <v>0.2534722222222222</v>
      </c>
      <c r="AU48" s="58" t="n">
        <v>0.7368055555555556</v>
      </c>
      <c r="AV48" s="83">
        <f>MOD(AU48-AT48,1)*24</f>
        <v/>
      </c>
      <c r="AW48" s="57" t="n">
        <v>1</v>
      </c>
      <c r="AX48" s="58" t="n">
        <v>0.25</v>
      </c>
      <c r="AY48" s="58" t="n">
        <v>0.7361111111111112</v>
      </c>
      <c r="AZ48" s="83">
        <f>MOD(AY48-AX48,1)*24</f>
        <v/>
      </c>
      <c r="BA48" s="57" t="n">
        <v>1</v>
      </c>
      <c r="BB48" s="58" t="n">
        <v>0.2534722222222222</v>
      </c>
      <c r="BC48" s="58" t="n">
        <v>0.7354166666666667</v>
      </c>
      <c r="BD48" s="83">
        <f>MOD(BC48-BB48,1)*24</f>
        <v/>
      </c>
      <c r="BE48" s="41" t="n">
        <v>1</v>
      </c>
      <c r="BF48" s="58" t="n">
        <v>0.2520833333333333</v>
      </c>
      <c r="BG48" s="58" t="n">
        <v>0.7361111111111112</v>
      </c>
      <c r="BH48" s="83">
        <f>MOD(BG48-BF48,1)*24</f>
        <v/>
      </c>
      <c r="BI48" s="57" t="n">
        <v>1</v>
      </c>
      <c r="BJ48" s="58" t="n">
        <v>0.2555555555555555</v>
      </c>
      <c r="BK48" s="60" t="n">
        <v>0.7347222222222223</v>
      </c>
      <c r="BL48" s="83">
        <f>MOD(BK48-BJ48,1)*24</f>
        <v/>
      </c>
      <c r="BM48" s="57" t="n">
        <v>1</v>
      </c>
      <c r="BN48" s="41" t="n"/>
      <c r="BO48" s="57" t="n"/>
      <c r="BP48" s="83" t="n"/>
      <c r="BQ48" s="57" t="n"/>
      <c r="BR48" s="58" t="n">
        <v>0.2604166666666667</v>
      </c>
      <c r="BS48" s="58" t="n">
        <v>0.7368055555555556</v>
      </c>
      <c r="BT48" s="83">
        <f>MOD(BS48-BR48,1)*24</f>
        <v/>
      </c>
      <c r="BU48" s="57" t="n">
        <v>1</v>
      </c>
      <c r="BV48" s="58" t="n">
        <v>0.2479166666666667</v>
      </c>
      <c r="BW48" s="58" t="n">
        <v>0.7368055555555556</v>
      </c>
      <c r="BX48" s="83">
        <f>MOD(BW48-BV48,1)*24</f>
        <v/>
      </c>
      <c r="BY48" s="57" t="n">
        <v>1</v>
      </c>
      <c r="BZ48" s="58" t="n">
        <v>0.25</v>
      </c>
      <c r="CA48" s="58" t="n">
        <v>0.7354166666666667</v>
      </c>
      <c r="CB48" s="83">
        <f>MOD(CA48-BZ48,1)*24</f>
        <v/>
      </c>
      <c r="CC48" s="41" t="n">
        <v>1</v>
      </c>
      <c r="CD48" s="58" t="n">
        <v>0.2486111111111111</v>
      </c>
      <c r="CE48" s="58" t="n">
        <v>0.7361111111111112</v>
      </c>
      <c r="CF48" s="83">
        <f>MOD(CE48-CD48,1)*24</f>
        <v/>
      </c>
      <c r="CG48" s="57" t="n">
        <v>1</v>
      </c>
      <c r="CH48" s="58" t="n">
        <v>0.2493055555555556</v>
      </c>
      <c r="CI48" s="58" t="n">
        <v>0.7340277777777777</v>
      </c>
      <c r="CJ48" s="83">
        <f>MOD(CI48-CH48,1)*24</f>
        <v/>
      </c>
      <c r="CK48" s="57" t="n">
        <v>1</v>
      </c>
      <c r="CL48" s="58" t="n">
        <v>0.2548611111111111</v>
      </c>
      <c r="CM48" s="60" t="n">
        <v>0.7361111111111112</v>
      </c>
      <c r="CN48" s="83">
        <f>MOD(CM48-CL48,1)*24</f>
        <v/>
      </c>
      <c r="CO48" s="57" t="n">
        <v>1</v>
      </c>
      <c r="CP48" s="41" t="n"/>
      <c r="CQ48" s="57" t="n"/>
      <c r="CR48" s="83" t="n"/>
      <c r="CS48" s="57" t="n"/>
      <c r="CT48" s="58" t="n">
        <v>0.2527777777777778</v>
      </c>
      <c r="CU48" s="58" t="n">
        <v>0.7375</v>
      </c>
      <c r="CV48" s="83">
        <f>MOD(CU48-CT48,1)*24</f>
        <v/>
      </c>
      <c r="CW48" s="57" t="n">
        <v>1</v>
      </c>
      <c r="CX48" s="58" t="n">
        <v>0.2458333333333333</v>
      </c>
      <c r="CY48" s="58" t="n">
        <v>0.7381944444444445</v>
      </c>
      <c r="CZ48" s="83">
        <f>MOD(CY48-CX48,1)*24</f>
        <v/>
      </c>
      <c r="DA48" s="57" t="n">
        <v>1</v>
      </c>
      <c r="DB48" s="58" t="n">
        <v>0.2666666666666667</v>
      </c>
      <c r="DC48" s="58" t="n">
        <v>0.7368055555555556</v>
      </c>
      <c r="DD48" s="83">
        <f>MOD(DC48-DB48,1)*24</f>
        <v/>
      </c>
      <c r="DE48" s="57" t="n">
        <v>1</v>
      </c>
      <c r="DF48" s="58" t="n">
        <v>0.2513888888888889</v>
      </c>
      <c r="DG48" s="58" t="n">
        <v>0.7375</v>
      </c>
      <c r="DH48" s="83">
        <f>MOD(DG48-DF48,1)*24</f>
        <v/>
      </c>
      <c r="DI48" s="41" t="n">
        <v>1</v>
      </c>
      <c r="DJ48" s="58" t="n">
        <v>0.25</v>
      </c>
      <c r="DK48" s="58" t="n">
        <v>0.7375</v>
      </c>
      <c r="DL48" s="83">
        <f>MOD(DK48-DJ48,1)*24</f>
        <v/>
      </c>
      <c r="DM48" s="57" t="n">
        <v>1</v>
      </c>
      <c r="DN48" s="58" t="n">
        <v>0.2548611111111111</v>
      </c>
      <c r="DO48" s="58" t="n">
        <v>0.7368055555555556</v>
      </c>
      <c r="DP48" s="83">
        <f>MOD(DO48-DN48,1)*24</f>
        <v/>
      </c>
      <c r="DQ48" s="57" t="n">
        <v>1</v>
      </c>
      <c r="DR48" s="61" t="n">
        <v>0.2527777777777778</v>
      </c>
      <c r="DS48" s="62" t="n">
        <v>0.7381944444444445</v>
      </c>
      <c r="DT48" s="83">
        <f>MOD(DS48-DR48,1)*24</f>
        <v/>
      </c>
      <c r="DU48" s="41" t="n">
        <v>1</v>
      </c>
      <c r="DV48" s="61" t="n"/>
      <c r="DW48" s="62" t="n"/>
      <c r="DX48" s="83" t="n"/>
      <c r="DY48" s="41" t="n"/>
      <c r="DZ48" s="84">
        <f>H48+L48+P48+T48+X48+AB48+AF48+AJ48+AN48+AR48+AV48+AZ48+BD48+BH48+BL48+BP48+BT48+BX48+CB48+CF48+CJ48+CN48+CR48+CV48+CZ48+DD48+DH48+DL48+DP48+DT48</f>
        <v/>
      </c>
      <c r="EA48" s="84">
        <f>I48+M48+Q48+U48+Y48+AC48+AG48+AK48+AO48+AS48+AW48+BA48+BE48+BI48+BM48+BQ48+BU48+BY48+CC48+CG48+CK48+CO48+CS48+CW48+DA48+DE48+DI48+DM48+DQ48+DU48</f>
        <v/>
      </c>
    </row>
    <row r="49" ht="59" customFormat="1" customHeight="1" s="54">
      <c r="A49" s="55" t="inlineStr">
        <is>
          <t>五楼</t>
        </is>
      </c>
      <c r="B49" s="56" t="inlineStr">
        <is>
          <t>李志明</t>
        </is>
      </c>
      <c r="C49" s="41" t="n">
        <v>53</v>
      </c>
      <c r="D49" s="41" t="inlineStr">
        <is>
          <t>人力行政部</t>
        </is>
      </c>
      <c r="E49" s="57" t="inlineStr">
        <is>
          <t>人力行政部</t>
        </is>
      </c>
      <c r="F49" s="41" t="n"/>
      <c r="G49" s="41" t="n"/>
      <c r="H49" s="83" t="n"/>
      <c r="I49" s="41" t="n"/>
      <c r="J49" s="41" t="n"/>
      <c r="K49" s="41" t="n"/>
      <c r="L49" s="83" t="n"/>
      <c r="M49" s="41" t="n"/>
      <c r="N49" s="41" t="n"/>
      <c r="O49" s="41" t="n"/>
      <c r="P49" s="83" t="n"/>
      <c r="Q49" s="41" t="n"/>
      <c r="R49" s="41" t="n"/>
      <c r="S49" s="41" t="n"/>
      <c r="T49" s="83" t="n"/>
      <c r="U49" s="41" t="n"/>
      <c r="V49" s="41" t="n"/>
      <c r="W49" s="41" t="n"/>
      <c r="X49" s="83" t="n"/>
      <c r="Y49" s="41" t="n"/>
      <c r="Z49" s="41" t="n"/>
      <c r="AA49" s="41" t="n"/>
      <c r="AB49" s="83" t="n"/>
      <c r="AC49" s="41" t="n"/>
      <c r="AD49" s="41" t="n"/>
      <c r="AE49" s="41" t="n"/>
      <c r="AF49" s="83" t="n"/>
      <c r="AG49" s="41" t="n"/>
      <c r="AH49" s="41" t="n"/>
      <c r="AI49" s="41" t="n"/>
      <c r="AJ49" s="83" t="n"/>
      <c r="AK49" s="41" t="n"/>
      <c r="AL49" s="41" t="n"/>
      <c r="AM49" s="41" t="n"/>
      <c r="AN49" s="83" t="n"/>
      <c r="AO49" s="41" t="n"/>
      <c r="AP49" s="41" t="n"/>
      <c r="AQ49" s="41" t="n"/>
      <c r="AR49" s="83" t="n"/>
      <c r="AS49" s="41" t="n"/>
      <c r="AT49" s="41" t="n"/>
      <c r="AU49" s="41" t="n"/>
      <c r="AV49" s="83" t="n"/>
      <c r="AW49" s="41" t="n"/>
      <c r="AX49" s="41" t="n"/>
      <c r="AY49" s="41" t="n"/>
      <c r="AZ49" s="83" t="n"/>
      <c r="BA49" s="41" t="n"/>
      <c r="BB49" s="41" t="n"/>
      <c r="BC49" s="57" t="n"/>
      <c r="BD49" s="83" t="n"/>
      <c r="BE49" s="57" t="n"/>
      <c r="BG49" s="41" t="n"/>
      <c r="BH49" s="83" t="n"/>
      <c r="BI49" s="41" t="n"/>
      <c r="BJ49" s="41" t="n"/>
      <c r="BK49" s="41" t="n"/>
      <c r="BL49" s="83" t="n"/>
      <c r="BM49" s="41" t="n"/>
      <c r="BN49" s="41" t="n"/>
      <c r="BO49" s="41" t="n"/>
      <c r="BP49" s="83" t="n"/>
      <c r="BQ49" s="41" t="n"/>
      <c r="BR49" s="41" t="n"/>
      <c r="BS49" s="57" t="n"/>
      <c r="BT49" s="83" t="n"/>
      <c r="BU49" s="57" t="n"/>
      <c r="BW49" s="41" t="n"/>
      <c r="BX49" s="83" t="n"/>
      <c r="BY49" s="41" t="n"/>
      <c r="BZ49" s="41" t="n"/>
      <c r="CA49" s="41" t="n"/>
      <c r="CB49" s="83" t="n"/>
      <c r="CC49" s="41" t="n"/>
      <c r="CD49" s="41" t="n"/>
      <c r="CE49" s="41" t="n"/>
      <c r="CF49" s="83" t="n"/>
      <c r="CG49" s="41" t="n"/>
      <c r="CH49" s="41" t="n"/>
      <c r="CI49" s="41" t="n"/>
      <c r="CJ49" s="83" t="n"/>
      <c r="CK49" s="41" t="n"/>
      <c r="CL49" s="41" t="n"/>
      <c r="CM49" s="41" t="n"/>
      <c r="CN49" s="83" t="n"/>
      <c r="CO49" s="41" t="n"/>
      <c r="CP49" s="41" t="n"/>
      <c r="CQ49" s="57" t="n"/>
      <c r="CR49" s="83" t="n"/>
      <c r="CS49" s="57" t="n"/>
      <c r="CU49" s="57" t="n"/>
      <c r="CV49" s="83" t="n"/>
      <c r="CW49" s="57" t="n"/>
      <c r="CY49" s="41" t="n"/>
      <c r="CZ49" s="83" t="n"/>
      <c r="DA49" s="41" t="n"/>
      <c r="DB49" s="41" t="n"/>
      <c r="DC49" s="41" t="n"/>
      <c r="DD49" s="83" t="n"/>
      <c r="DE49" s="41" t="n"/>
      <c r="DF49" s="41" t="n"/>
      <c r="DG49" s="41" t="n"/>
      <c r="DH49" s="83" t="n"/>
      <c r="DI49" s="41" t="n"/>
      <c r="DJ49" s="41" t="n"/>
      <c r="DK49" s="41" t="n"/>
      <c r="DL49" s="83" t="n"/>
      <c r="DM49" s="41" t="n"/>
      <c r="DN49" s="41" t="n"/>
      <c r="DO49" s="41" t="n"/>
      <c r="DP49" s="83" t="n"/>
      <c r="DQ49" s="41" t="n"/>
      <c r="DR49" s="64" t="n"/>
      <c r="DS49" s="65" t="n"/>
      <c r="DT49" s="83" t="n"/>
      <c r="DU49" s="66" t="n"/>
      <c r="DV49" s="64" t="n"/>
      <c r="DW49" s="65" t="n"/>
      <c r="DX49" s="83" t="n"/>
      <c r="DY49" s="66" t="n"/>
      <c r="DZ49" s="84" t="n"/>
      <c r="EA49" s="84" t="n"/>
    </row>
    <row r="50" ht="59" customFormat="1" customHeight="1" s="54">
      <c r="A50" s="55" t="inlineStr">
        <is>
          <t>五楼</t>
        </is>
      </c>
      <c r="B50" s="56" t="inlineStr">
        <is>
          <t>漆娇</t>
        </is>
      </c>
      <c r="C50" s="41" t="n">
        <v>54</v>
      </c>
      <c r="D50" s="41" t="inlineStr">
        <is>
          <t>综合部</t>
        </is>
      </c>
      <c r="E50" s="57" t="inlineStr">
        <is>
          <t>奢匠售后</t>
        </is>
      </c>
      <c r="F50" s="57" t="inlineStr">
        <is>
          <t>08:21</t>
        </is>
      </c>
      <c r="G50" s="58" t="n">
        <v>0.7513888888888889</v>
      </c>
      <c r="H50" s="83">
        <f>MOD(G50-F50,1)*24</f>
        <v/>
      </c>
      <c r="I50" s="57" t="n">
        <v>1</v>
      </c>
      <c r="J50" s="58" t="n">
        <v>0.3368055555555556</v>
      </c>
      <c r="K50" s="58" t="n">
        <v>0.7527777777777778</v>
      </c>
      <c r="L50" s="83">
        <f>MOD(K50-J50,1)*24</f>
        <v/>
      </c>
      <c r="M50" s="57" t="n">
        <v>1</v>
      </c>
      <c r="N50" s="58" t="n">
        <v>0.3305555555555555</v>
      </c>
      <c r="O50" s="58" t="n">
        <v>0.7520833333333333</v>
      </c>
      <c r="P50" s="83">
        <f>MOD(O50-N50,1)*24</f>
        <v/>
      </c>
      <c r="Q50" s="57" t="n">
        <v>1</v>
      </c>
      <c r="R50" s="58" t="n">
        <v>0.35</v>
      </c>
      <c r="S50" s="58" t="n">
        <v>0.7506944444444444</v>
      </c>
      <c r="T50" s="83">
        <f>MOD(S50-R50,1)*24</f>
        <v/>
      </c>
      <c r="U50" s="57" t="n">
        <v>1</v>
      </c>
      <c r="V50" s="58" t="n">
        <v>0.3444444444444444</v>
      </c>
      <c r="W50" s="58" t="n">
        <v>0.8493055555555555</v>
      </c>
      <c r="X50" s="83">
        <f>MOD(W50-V50,1)*24</f>
        <v/>
      </c>
      <c r="Y50" s="57" t="n">
        <v>1</v>
      </c>
      <c r="Z50" s="58" t="n">
        <v>0.3493055555555555</v>
      </c>
      <c r="AA50" s="60" t="n">
        <v>0.7548611111111111</v>
      </c>
      <c r="AB50" s="83">
        <f>MOD(AA50-Z50,1)*24</f>
        <v/>
      </c>
      <c r="AC50" s="41" t="n">
        <v>1</v>
      </c>
      <c r="AD50" s="41" t="n"/>
      <c r="AE50" s="57" t="n"/>
      <c r="AF50" s="83" t="n"/>
      <c r="AG50" s="57" t="n"/>
      <c r="AH50" s="58" t="n">
        <v>0.3458333333333333</v>
      </c>
      <c r="AI50" s="58" t="n">
        <v>0.7520833333333333</v>
      </c>
      <c r="AJ50" s="83">
        <f>MOD(AI50-AH50,1)*24</f>
        <v/>
      </c>
      <c r="AK50" s="57" t="n">
        <v>1</v>
      </c>
      <c r="AL50" s="58" t="n">
        <v>0.35</v>
      </c>
      <c r="AM50" s="58" t="n">
        <v>0.7513888888888889</v>
      </c>
      <c r="AN50" s="83">
        <f>MOD(AM50-AL50,1)*24</f>
        <v/>
      </c>
      <c r="AO50" s="57" t="n">
        <v>1</v>
      </c>
      <c r="AP50" s="58" t="n">
        <v>0.3520833333333334</v>
      </c>
      <c r="AQ50" s="58" t="n">
        <v>0.7548611111111111</v>
      </c>
      <c r="AR50" s="83">
        <f>MOD(AQ50-AP50,1)*24</f>
        <v/>
      </c>
      <c r="AS50" s="57" t="n">
        <v>1</v>
      </c>
      <c r="AT50" s="58" t="n">
        <v>0.3493055555555555</v>
      </c>
      <c r="AU50" s="58" t="n">
        <v>0.7520833333333333</v>
      </c>
      <c r="AV50" s="83">
        <f>MOD(AU50-AT50,1)*24</f>
        <v/>
      </c>
      <c r="AW50" s="57" t="n">
        <v>1</v>
      </c>
      <c r="AX50" s="58" t="n">
        <v>0.3465277777777778</v>
      </c>
      <c r="AY50" s="58" t="n">
        <v>0.8611111111111112</v>
      </c>
      <c r="AZ50" s="83">
        <f>MOD(AY50-AX50,1)*24</f>
        <v/>
      </c>
      <c r="BA50" s="57" t="n">
        <v>1</v>
      </c>
      <c r="BB50" s="58" t="n">
        <v>0.35</v>
      </c>
      <c r="BC50" s="60" t="n">
        <v>0.7527777777777778</v>
      </c>
      <c r="BD50" s="83">
        <f>MOD(BC50-BB50,1)*24</f>
        <v/>
      </c>
      <c r="BE50" s="41" t="n">
        <v>1</v>
      </c>
      <c r="BF50" s="41" t="n"/>
      <c r="BG50" s="57" t="n"/>
      <c r="BH50" s="83" t="n"/>
      <c r="BI50" s="57" t="n"/>
      <c r="BJ50" s="58" t="n">
        <v>0.3368055555555556</v>
      </c>
      <c r="BK50" s="58" t="n">
        <v>0.7534722222222222</v>
      </c>
      <c r="BL50" s="83">
        <f>MOD(BK50-BJ50,1)*24</f>
        <v/>
      </c>
      <c r="BM50" s="57" t="n">
        <v>1</v>
      </c>
      <c r="BN50" s="58" t="n">
        <v>0.35</v>
      </c>
      <c r="BO50" s="58" t="n">
        <v>0.7506944444444444</v>
      </c>
      <c r="BP50" s="83">
        <f>MOD(BO50-BN50,1)*24</f>
        <v/>
      </c>
      <c r="BQ50" s="57" t="n">
        <v>1</v>
      </c>
      <c r="BR50" s="58" t="n">
        <v>0.35</v>
      </c>
      <c r="BS50" s="58" t="n">
        <v>0.7520833333333333</v>
      </c>
      <c r="BT50" s="83">
        <f>MOD(BS50-BR50,1)*24</f>
        <v/>
      </c>
      <c r="BU50" s="57" t="n">
        <v>1</v>
      </c>
      <c r="BV50" s="58" t="n">
        <v>0.3493055555555555</v>
      </c>
      <c r="BW50" s="60" t="n">
        <v>0.7520833333333333</v>
      </c>
      <c r="BX50" s="83">
        <f>MOD(BW50-BV50,1)*24</f>
        <v/>
      </c>
      <c r="BY50" s="41" t="n">
        <v>1</v>
      </c>
      <c r="BZ50" s="41" t="n"/>
      <c r="CA50" s="41" t="n"/>
      <c r="CB50" s="83" t="n"/>
      <c r="CC50" s="41" t="n"/>
      <c r="CD50" s="41" t="n"/>
      <c r="CE50" s="57" t="n"/>
      <c r="CF50" s="83" t="n"/>
      <c r="CG50" s="57" t="n"/>
      <c r="CH50" s="58" t="n">
        <v>0.3465277777777778</v>
      </c>
      <c r="CI50" s="58" t="n">
        <v>0.7513888888888889</v>
      </c>
      <c r="CJ50" s="83">
        <f>MOD(CI50-CH50,1)*24</f>
        <v/>
      </c>
      <c r="CK50" s="57" t="n">
        <v>1</v>
      </c>
      <c r="CL50" s="58" t="n">
        <v>0.3395833333333333</v>
      </c>
      <c r="CM50" s="58" t="n">
        <v>0.7534722222222222</v>
      </c>
      <c r="CN50" s="83">
        <f>MOD(CM50-CL50,1)*24</f>
        <v/>
      </c>
      <c r="CO50" s="57" t="n">
        <v>1</v>
      </c>
      <c r="CP50" s="58" t="n">
        <v>0.3486111111111111</v>
      </c>
      <c r="CQ50" s="58" t="n">
        <v>0.8840277777777777</v>
      </c>
      <c r="CR50" s="83">
        <f>MOD(CQ50-CP50,1)*24</f>
        <v/>
      </c>
      <c r="CS50" s="57" t="n">
        <v>1</v>
      </c>
      <c r="CT50" s="58" t="n">
        <v>0.3513888888888889</v>
      </c>
      <c r="CU50" s="58" t="n">
        <v>0.7513888888888889</v>
      </c>
      <c r="CV50" s="83">
        <f>MOD(CU50-CT50,1)*24</f>
        <v/>
      </c>
      <c r="CW50" s="57" t="n">
        <v>1</v>
      </c>
      <c r="CX50" s="58" t="n">
        <v>0.3381944444444445</v>
      </c>
      <c r="CY50" s="58" t="n">
        <v>0.7583333333333333</v>
      </c>
      <c r="CZ50" s="83">
        <f>MOD(CY50-CX50,1)*24</f>
        <v/>
      </c>
      <c r="DA50" s="57" t="n">
        <v>1</v>
      </c>
      <c r="DB50" s="58" t="n">
        <v>0.3520833333333334</v>
      </c>
      <c r="DC50" s="58" t="n">
        <v>0.8875</v>
      </c>
      <c r="DD50" s="83">
        <f>MOD(DC50-DB50,1)*24</f>
        <v/>
      </c>
      <c r="DE50" s="57" t="n">
        <v>1</v>
      </c>
      <c r="DF50" s="58" t="n">
        <v>0.3472222222222222</v>
      </c>
      <c r="DG50" s="60" t="n">
        <v>0.7513888888888889</v>
      </c>
      <c r="DH50" s="83">
        <f>MOD(DG50-DF50,1)*24</f>
        <v/>
      </c>
      <c r="DI50" s="41" t="n">
        <v>1</v>
      </c>
      <c r="DJ50" s="41" t="n"/>
      <c r="DK50" s="41" t="n"/>
      <c r="DL50" s="83" t="n"/>
      <c r="DM50" s="41" t="n"/>
      <c r="DN50" s="58" t="n">
        <v>0.3451388888888889</v>
      </c>
      <c r="DO50" s="58" t="n">
        <v>0.7513888888888889</v>
      </c>
      <c r="DP50" s="83">
        <f>MOD(DO50-DN50,1)*24</f>
        <v/>
      </c>
      <c r="DQ50" s="57" t="n">
        <v>1</v>
      </c>
      <c r="DR50" s="61" t="n">
        <v>0.3361111111111111</v>
      </c>
      <c r="DS50" s="62" t="n">
        <v>0.7513888888888889</v>
      </c>
      <c r="DT50" s="83">
        <f>MOD(DS50-DR50,1)*24</f>
        <v/>
      </c>
      <c r="DU50" s="41" t="n">
        <v>1</v>
      </c>
      <c r="DV50" s="61" t="n"/>
      <c r="DW50" s="62" t="n"/>
      <c r="DX50" s="83" t="n"/>
      <c r="DY50" s="41" t="n"/>
      <c r="DZ50" s="84">
        <f>H50+L50+P50+T50+X50+AB50+AF50+AJ50+AN50+AR50+AV50+AZ50+BD50+BH50+BL50+BP50+BT50+BX50+CB50+CF50+CJ50+CN50+CR50+CV50+CZ50+DD50+DH50+DL50+DP50+DT50</f>
        <v/>
      </c>
      <c r="EA50" s="84">
        <f>I50+M50+Q50+U50+Y50+AC50+AG50+AK50+AO50+AS50+AW50+BA50+BE50+BI50+BM50+BQ50+BU50+BY50+CC50+CG50+CK50+CO50+CS50+CW50+DA50+DE50+DI50+DM50+DQ50+DU50</f>
        <v/>
      </c>
    </row>
    <row r="51" ht="59" customFormat="1" customHeight="1" s="54">
      <c r="A51" s="55" t="inlineStr">
        <is>
          <t>五楼</t>
        </is>
      </c>
      <c r="B51" s="56" t="inlineStr">
        <is>
          <t>唐良基</t>
        </is>
      </c>
      <c r="C51" s="41" t="n">
        <v>55</v>
      </c>
      <c r="D51" s="41" t="inlineStr">
        <is>
          <t>人力行政部</t>
        </is>
      </c>
      <c r="E51" s="57" t="inlineStr">
        <is>
          <t>人力行政部</t>
        </is>
      </c>
      <c r="F51" s="57" t="inlineStr">
        <is>
          <t>12:03</t>
        </is>
      </c>
      <c r="G51" s="57" t="n"/>
      <c r="H51" s="83" t="n"/>
      <c r="I51" s="57" t="n">
        <v>0.5</v>
      </c>
      <c r="J51" s="58" t="n">
        <v>0.2548611111111111</v>
      </c>
      <c r="K51" s="60" t="n">
        <v>0.7527777777777778</v>
      </c>
      <c r="L51" s="83">
        <f>MOD(K51-J51,1)*24</f>
        <v/>
      </c>
      <c r="M51" s="57" t="n">
        <v>1</v>
      </c>
      <c r="N51" s="41" t="n"/>
      <c r="O51" s="57" t="n"/>
      <c r="P51" s="83" t="n"/>
      <c r="Q51" s="57" t="n"/>
      <c r="R51" s="58" t="n">
        <v>0.2569444444444444</v>
      </c>
      <c r="S51" s="58" t="n">
        <v>0.7527777777777778</v>
      </c>
      <c r="T51" s="83">
        <f>MOD(S51-R51,1)*24</f>
        <v/>
      </c>
      <c r="U51" s="57" t="n">
        <v>1</v>
      </c>
      <c r="V51" s="58" t="n">
        <v>0.2597222222222222</v>
      </c>
      <c r="W51" s="58" t="n">
        <v>0.75625</v>
      </c>
      <c r="X51" s="83">
        <f>MOD(W51-V51,1)*24</f>
        <v/>
      </c>
      <c r="Y51" s="57" t="n">
        <v>1</v>
      </c>
      <c r="Z51" s="58" t="n">
        <v>0.2555555555555555</v>
      </c>
      <c r="AA51" s="58" t="n">
        <v>0.7527777777777778</v>
      </c>
      <c r="AB51" s="83">
        <f>MOD(AA51-Z51,1)*24</f>
        <v/>
      </c>
      <c r="AC51" s="41" t="n">
        <v>1</v>
      </c>
      <c r="AD51" s="58" t="n">
        <v>0.2576388888888889</v>
      </c>
      <c r="AE51" s="58" t="n">
        <v>0.7548611111111111</v>
      </c>
      <c r="AF51" s="83">
        <f>MOD(AE51-AD51,1)*24</f>
        <v/>
      </c>
      <c r="AG51" s="57" t="n">
        <v>1</v>
      </c>
      <c r="AH51" s="58" t="n">
        <v>0.2652777777777778</v>
      </c>
      <c r="AI51" s="58" t="n">
        <v>0.7694444444444445</v>
      </c>
      <c r="AJ51" s="83">
        <f>MOD(AI51-AH51,1)*24</f>
        <v/>
      </c>
      <c r="AK51" s="57" t="n">
        <v>1</v>
      </c>
      <c r="AL51" s="58" t="n">
        <v>0.2583333333333334</v>
      </c>
      <c r="AM51" s="58" t="n">
        <v>0.7555555555555555</v>
      </c>
      <c r="AN51" s="83">
        <f>MOD(AM51-AL51,1)*24</f>
        <v/>
      </c>
      <c r="AO51" s="57" t="n">
        <v>1</v>
      </c>
      <c r="AP51" s="58" t="n">
        <v>0.2569444444444444</v>
      </c>
      <c r="AQ51" s="58" t="n">
        <v>0.7548611111111111</v>
      </c>
      <c r="AR51" s="83">
        <f>MOD(AQ51-AP51,1)*24</f>
        <v/>
      </c>
      <c r="AS51" s="57" t="n">
        <v>1</v>
      </c>
      <c r="AT51" s="58" t="n">
        <v>0.2666666666666667</v>
      </c>
      <c r="AU51" s="58" t="n">
        <v>0.7548611111111111</v>
      </c>
      <c r="AV51" s="83">
        <f>MOD(AU51-AT51,1)*24</f>
        <v/>
      </c>
      <c r="AW51" s="57" t="n">
        <v>1</v>
      </c>
      <c r="AX51" s="58" t="n">
        <v>0.25625</v>
      </c>
      <c r="AY51" s="58" t="n">
        <v>0.7541666666666667</v>
      </c>
      <c r="AZ51" s="83">
        <f>MOD(AY51-AX51,1)*24</f>
        <v/>
      </c>
      <c r="BA51" s="57" t="n">
        <v>1</v>
      </c>
      <c r="BB51" s="58" t="n">
        <v>0.2576388888888889</v>
      </c>
      <c r="BC51" s="58" t="n">
        <v>0.7534722222222222</v>
      </c>
      <c r="BD51" s="83">
        <f>MOD(BC51-BB51,1)*24</f>
        <v/>
      </c>
      <c r="BE51" s="41" t="n">
        <v>1</v>
      </c>
      <c r="BF51" s="58" t="n">
        <v>0.2583333333333334</v>
      </c>
      <c r="BG51" s="60" t="n">
        <v>0.75625</v>
      </c>
      <c r="BH51" s="83">
        <f>MOD(BG51-BF51,1)*24</f>
        <v/>
      </c>
      <c r="BI51" s="57" t="n">
        <v>1</v>
      </c>
      <c r="BJ51" s="41" t="n"/>
      <c r="BK51" s="57" t="n"/>
      <c r="BL51" s="83" t="n"/>
      <c r="BM51" s="57" t="n"/>
      <c r="BN51" s="58" t="n">
        <v>0.2590277777777778</v>
      </c>
      <c r="BO51" s="58" t="n">
        <v>0.7520833333333333</v>
      </c>
      <c r="BP51" s="83">
        <f>MOD(BO51-BN51,1)*24</f>
        <v/>
      </c>
      <c r="BQ51" s="57" t="n">
        <v>1</v>
      </c>
      <c r="BR51" s="58" t="n">
        <v>0.2638888888888889</v>
      </c>
      <c r="BS51" s="58" t="n">
        <v>0.75625</v>
      </c>
      <c r="BT51" s="83">
        <f>MOD(BS51-BR51,1)*24</f>
        <v/>
      </c>
      <c r="BU51" s="57" t="n">
        <v>1</v>
      </c>
      <c r="BV51" s="58" t="n">
        <v>0.2576388888888889</v>
      </c>
      <c r="BW51" s="58" t="n">
        <v>0.7527777777777778</v>
      </c>
      <c r="BX51" s="83">
        <f>MOD(BW51-BV51,1)*24</f>
        <v/>
      </c>
      <c r="BY51" s="41" t="n">
        <v>1</v>
      </c>
      <c r="BZ51" s="58" t="n">
        <v>0.2604166666666667</v>
      </c>
      <c r="CA51" s="58" t="n">
        <v>0.7416666666666667</v>
      </c>
      <c r="CB51" s="83">
        <f>MOD(CA51-BZ51,1)*24</f>
        <v/>
      </c>
      <c r="CC51" s="41" t="n">
        <v>1</v>
      </c>
      <c r="CD51" s="58" t="n">
        <v>0.2513888888888889</v>
      </c>
      <c r="CE51" s="58" t="n">
        <v>0.7513888888888889</v>
      </c>
      <c r="CF51" s="83">
        <f>MOD(CE51-CD51,1)*24</f>
        <v/>
      </c>
      <c r="CG51" s="57" t="n">
        <v>1</v>
      </c>
      <c r="CH51" s="58" t="n">
        <v>0.2597222222222222</v>
      </c>
      <c r="CI51" s="60" t="n">
        <v>0.7513888888888889</v>
      </c>
      <c r="CJ51" s="83">
        <f>MOD(CI51-CH51,1)*24</f>
        <v/>
      </c>
      <c r="CK51" s="57" t="n">
        <v>1</v>
      </c>
      <c r="CL51" s="41" t="n"/>
      <c r="CM51" s="57" t="n"/>
      <c r="CN51" s="83" t="n"/>
      <c r="CO51" s="57" t="n"/>
      <c r="CP51" s="58" t="n">
        <v>0.2520833333333333</v>
      </c>
      <c r="CQ51" s="58" t="n">
        <v>0.7548611111111111</v>
      </c>
      <c r="CR51" s="83">
        <f>MOD(CQ51-CP51,1)*24</f>
        <v/>
      </c>
      <c r="CS51" s="57" t="n">
        <v>1</v>
      </c>
      <c r="CT51" s="58" t="n">
        <v>0.25625</v>
      </c>
      <c r="CU51" s="58" t="n">
        <v>0.7534722222222222</v>
      </c>
      <c r="CV51" s="83">
        <f>MOD(CU51-CT51,1)*24</f>
        <v/>
      </c>
      <c r="CW51" s="57" t="n">
        <v>1</v>
      </c>
      <c r="CX51" s="58" t="n">
        <v>0.2590277777777778</v>
      </c>
      <c r="CY51" s="58" t="n">
        <v>0.7541666666666667</v>
      </c>
      <c r="CZ51" s="83">
        <f>MOD(CY51-CX51,1)*24</f>
        <v/>
      </c>
      <c r="DA51" s="57" t="n">
        <v>1</v>
      </c>
      <c r="DB51" s="58" t="n">
        <v>0.2555555555555555</v>
      </c>
      <c r="DC51" s="58" t="n">
        <v>0.7520833333333333</v>
      </c>
      <c r="DD51" s="83">
        <f>MOD(DC51-DB51,1)*24</f>
        <v/>
      </c>
      <c r="DE51" s="57" t="n">
        <v>1</v>
      </c>
      <c r="DF51" s="58" t="n">
        <v>0.2638888888888889</v>
      </c>
      <c r="DG51" s="60" t="n">
        <v>0.7520833333333333</v>
      </c>
      <c r="DH51" s="83">
        <f>MOD(DG51-DF51,1)*24</f>
        <v/>
      </c>
      <c r="DI51" s="41" t="n">
        <v>1</v>
      </c>
      <c r="DJ51" s="41" t="n"/>
      <c r="DK51" s="41" t="n"/>
      <c r="DL51" s="83" t="n"/>
      <c r="DM51" s="41" t="n"/>
      <c r="DN51" s="58" t="n">
        <v>0.2548611111111111</v>
      </c>
      <c r="DO51" s="58" t="n">
        <v>0.7555555555555555</v>
      </c>
      <c r="DP51" s="83">
        <f>MOD(DO51-DN51,1)*24</f>
        <v/>
      </c>
      <c r="DQ51" s="57" t="n">
        <v>1</v>
      </c>
      <c r="DR51" s="61" t="n">
        <v>0.2569444444444444</v>
      </c>
      <c r="DS51" s="62" t="n">
        <v>0.7569444444444444</v>
      </c>
      <c r="DT51" s="83">
        <f>MOD(DS51-DR51,1)*24</f>
        <v/>
      </c>
      <c r="DU51" s="41" t="n">
        <v>1</v>
      </c>
      <c r="DV51" s="61" t="n"/>
      <c r="DW51" s="62" t="n"/>
      <c r="DX51" s="83" t="n"/>
      <c r="DY51" s="41" t="n"/>
      <c r="DZ51" s="84">
        <f>H51+L51+P51+T51+X51+AB51+AF51+AJ51+AN51+AR51+AV51+AZ51+BD51+BH51+BL51+BP51+BT51+BX51+CB51+CF51+CJ51+CN51+CR51+CV51+CZ51+DD51+DH51+DL51+DP51+DT51</f>
        <v/>
      </c>
      <c r="EA51" s="84">
        <f>I51+M51+Q51+U51+Y51+AC51+AG51+AK51+AO51+AS51+AW51+BA51+BE51+BI51+BM51+BQ51+BU51+BY51+CC51+CG51+CK51+CO51+CS51+CW51+DA51+DE51+DI51+DM51+DQ51+DU51</f>
        <v/>
      </c>
    </row>
    <row r="52" ht="59" customFormat="1" customHeight="1" s="54">
      <c r="A52" s="55" t="inlineStr">
        <is>
          <t>五楼</t>
        </is>
      </c>
      <c r="B52" s="56" t="inlineStr">
        <is>
          <t>刘明</t>
        </is>
      </c>
      <c r="C52" s="41" t="n">
        <v>56</v>
      </c>
      <c r="D52" s="41" t="inlineStr">
        <is>
          <t>人力行政部</t>
        </is>
      </c>
      <c r="E52" s="57" t="inlineStr">
        <is>
          <t>人力行政部</t>
        </is>
      </c>
      <c r="F52" s="57" t="inlineStr">
        <is>
          <t>11:38</t>
        </is>
      </c>
      <c r="G52" s="58" t="n">
        <v>0.7611111111111111</v>
      </c>
      <c r="H52" s="83">
        <f>MOD(G52-F52,1)*24</f>
        <v/>
      </c>
      <c r="I52" s="57" t="n">
        <v>0.5</v>
      </c>
      <c r="J52" s="58" t="n">
        <v>0.2375</v>
      </c>
      <c r="K52" s="58" t="n">
        <v>0.7465277777777778</v>
      </c>
      <c r="L52" s="83">
        <f>MOD(K52-J52,1)*24</f>
        <v/>
      </c>
      <c r="M52" s="57" t="n">
        <v>1</v>
      </c>
      <c r="N52" s="58" t="n">
        <v>0.2493055555555556</v>
      </c>
      <c r="O52" s="58" t="n">
        <v>0.7583333333333333</v>
      </c>
      <c r="P52" s="83">
        <f>MOD(O52-N52,1)*24</f>
        <v/>
      </c>
      <c r="Q52" s="57" t="n">
        <v>1</v>
      </c>
      <c r="R52" s="58" t="n">
        <v>0.2541666666666667</v>
      </c>
      <c r="S52" s="58" t="n">
        <v>0.7465277777777778</v>
      </c>
      <c r="T52" s="83">
        <f>MOD(S52-R52,1)*24</f>
        <v/>
      </c>
      <c r="U52" s="57" t="n">
        <v>1</v>
      </c>
      <c r="V52" s="58" t="n">
        <v>0.2555555555555555</v>
      </c>
      <c r="W52" s="58" t="n">
        <v>0.7493055555555556</v>
      </c>
      <c r="X52" s="83">
        <f>MOD(W52-V52,1)*24</f>
        <v/>
      </c>
      <c r="Y52" s="57" t="n">
        <v>1</v>
      </c>
      <c r="Z52" s="58" t="n">
        <v>0.2541666666666667</v>
      </c>
      <c r="AA52" s="58" t="n">
        <v>0.7479166666666667</v>
      </c>
      <c r="AB52" s="83">
        <f>MOD(AA52-Z52,1)*24</f>
        <v/>
      </c>
      <c r="AC52" s="41" t="n">
        <v>1</v>
      </c>
      <c r="AD52" s="58" t="n">
        <v>0.2520833333333333</v>
      </c>
      <c r="AE52" s="58" t="n">
        <v>0.7409722222222223</v>
      </c>
      <c r="AF52" s="83">
        <f>MOD(AE52-AD52,1)*24</f>
        <v/>
      </c>
      <c r="AG52" s="57" t="n">
        <v>1</v>
      </c>
      <c r="AH52" s="58" t="n">
        <v>0.2659722222222222</v>
      </c>
      <c r="AI52" s="58" t="n">
        <v>0.7631944444444444</v>
      </c>
      <c r="AJ52" s="83">
        <f>MOD(AI52-AH52,1)*24</f>
        <v/>
      </c>
      <c r="AK52" s="57" t="n">
        <v>1</v>
      </c>
      <c r="AL52" s="58" t="n">
        <v>0.2541666666666667</v>
      </c>
      <c r="AM52" s="58" t="n">
        <v>0.7555555555555555</v>
      </c>
      <c r="AN52" s="83">
        <f>MOD(AM52-AL52,1)*24</f>
        <v/>
      </c>
      <c r="AO52" s="57" t="n">
        <v>1</v>
      </c>
      <c r="AP52" s="58" t="n">
        <v>0.2541666666666667</v>
      </c>
      <c r="AQ52" s="58" t="n">
        <v>0.7458333333333333</v>
      </c>
      <c r="AR52" s="83">
        <f>MOD(AQ52-AP52,1)*24</f>
        <v/>
      </c>
      <c r="AS52" s="57" t="n">
        <v>1</v>
      </c>
      <c r="AT52" s="58" t="n">
        <v>0.2569444444444444</v>
      </c>
      <c r="AU52" s="58" t="n">
        <v>0.7486111111111111</v>
      </c>
      <c r="AV52" s="83">
        <f>MOD(AU52-AT52,1)*24</f>
        <v/>
      </c>
      <c r="AW52" s="57" t="n">
        <v>1</v>
      </c>
      <c r="AX52" s="58" t="n">
        <v>0.2541666666666667</v>
      </c>
      <c r="AY52" s="58" t="n">
        <v>0.7465277777777778</v>
      </c>
      <c r="AZ52" s="83">
        <f>MOD(AY52-AX52,1)*24</f>
        <v/>
      </c>
      <c r="BA52" s="57" t="n">
        <v>1</v>
      </c>
      <c r="BB52" s="58" t="n">
        <v>0.25625</v>
      </c>
      <c r="BC52" s="58" t="n">
        <v>0.7458333333333333</v>
      </c>
      <c r="BD52" s="83">
        <f>MOD(BC52-BB52,1)*24</f>
        <v/>
      </c>
      <c r="BE52" s="41" t="n">
        <v>1</v>
      </c>
      <c r="BF52" s="58" t="n">
        <v>0.2534722222222222</v>
      </c>
      <c r="BG52" s="58" t="n">
        <v>0.7458333333333333</v>
      </c>
      <c r="BH52" s="83">
        <f>MOD(BG52-BF52,1)*24</f>
        <v/>
      </c>
      <c r="BI52" s="57" t="n">
        <v>1</v>
      </c>
      <c r="BJ52" s="58" t="n">
        <v>0.2395833333333333</v>
      </c>
      <c r="BK52" s="58" t="n">
        <v>0.7347222222222223</v>
      </c>
      <c r="BL52" s="83">
        <f>MOD(BK52-BJ52,1)*24</f>
        <v/>
      </c>
      <c r="BM52" s="57" t="n">
        <v>1</v>
      </c>
      <c r="BN52" s="58" t="n">
        <v>0.2527777777777778</v>
      </c>
      <c r="BO52" s="58" t="n">
        <v>0.74375</v>
      </c>
      <c r="BP52" s="83">
        <f>MOD(BO52-BN52,1)*24</f>
        <v/>
      </c>
      <c r="BQ52" s="57" t="n">
        <v>1</v>
      </c>
      <c r="BR52" s="58" t="n">
        <v>0.2534722222222222</v>
      </c>
      <c r="BS52" s="58" t="n">
        <v>0.7465277777777778</v>
      </c>
      <c r="BT52" s="83">
        <f>MOD(BS52-BR52,1)*24</f>
        <v/>
      </c>
      <c r="BU52" s="57" t="n">
        <v>1</v>
      </c>
      <c r="BV52" s="58" t="n">
        <v>0.2576388888888889</v>
      </c>
      <c r="BW52" s="58" t="n">
        <v>0.7444444444444445</v>
      </c>
      <c r="BX52" s="83">
        <f>MOD(BW52-BV52,1)*24</f>
        <v/>
      </c>
      <c r="BY52" s="41" t="n">
        <v>1</v>
      </c>
      <c r="BZ52" s="58" t="n">
        <v>0.2569444444444444</v>
      </c>
      <c r="CA52" s="58" t="n">
        <v>0.7451388888888889</v>
      </c>
      <c r="CB52" s="83">
        <f>MOD(CA52-BZ52,1)*24</f>
        <v/>
      </c>
      <c r="CC52" s="41" t="n">
        <v>1</v>
      </c>
      <c r="CD52" s="58" t="n">
        <v>0.2541666666666667</v>
      </c>
      <c r="CE52" s="58" t="n">
        <v>0.7451388888888889</v>
      </c>
      <c r="CF52" s="83">
        <f>MOD(CE52-CD52,1)*24</f>
        <v/>
      </c>
      <c r="CG52" s="57" t="n">
        <v>1</v>
      </c>
      <c r="CH52" s="58" t="n">
        <v>0.2541666666666667</v>
      </c>
      <c r="CI52" s="58" t="n">
        <v>0.7472222222222222</v>
      </c>
      <c r="CJ52" s="83">
        <f>MOD(CI52-CH52,1)*24</f>
        <v/>
      </c>
      <c r="CK52" s="57" t="n">
        <v>1</v>
      </c>
      <c r="CL52" s="58" t="n">
        <v>0.2520833333333333</v>
      </c>
      <c r="CM52" s="58" t="n">
        <v>0.7465277777777778</v>
      </c>
      <c r="CN52" s="83">
        <f>MOD(CM52-CL52,1)*24</f>
        <v/>
      </c>
      <c r="CO52" s="57" t="n">
        <v>1</v>
      </c>
      <c r="CP52" s="58" t="n">
        <v>0.2520833333333333</v>
      </c>
      <c r="CQ52" s="58" t="n">
        <v>0.7548611111111111</v>
      </c>
      <c r="CR52" s="83">
        <f>MOD(CQ52-CP52,1)*24</f>
        <v/>
      </c>
      <c r="CS52" s="57" t="n">
        <v>1</v>
      </c>
      <c r="CT52" s="58" t="n">
        <v>0.2548611111111111</v>
      </c>
      <c r="CU52" s="58" t="n">
        <v>0.7472222222222222</v>
      </c>
      <c r="CV52" s="83">
        <f>MOD(CU52-CT52,1)*24</f>
        <v/>
      </c>
      <c r="CW52" s="57" t="n">
        <v>1</v>
      </c>
      <c r="CX52" s="58" t="n">
        <v>0.25</v>
      </c>
      <c r="CY52" s="58" t="n">
        <v>0.7430555555555556</v>
      </c>
      <c r="CZ52" s="83">
        <f>MOD(CY52-CX52,1)*24</f>
        <v/>
      </c>
      <c r="DA52" s="57" t="n">
        <v>1</v>
      </c>
      <c r="DB52" s="58" t="n">
        <v>0.2534722222222222</v>
      </c>
      <c r="DC52" s="58" t="n">
        <v>0.74375</v>
      </c>
      <c r="DD52" s="83">
        <f>MOD(DC52-DB52,1)*24</f>
        <v/>
      </c>
      <c r="DE52" s="57" t="n">
        <v>1</v>
      </c>
      <c r="DF52" s="58" t="n">
        <v>0.2493055555555556</v>
      </c>
      <c r="DG52" s="58" t="n">
        <v>0.7458333333333333</v>
      </c>
      <c r="DH52" s="83">
        <f>MOD(DG52-DF52,1)*24</f>
        <v/>
      </c>
      <c r="DI52" s="41" t="n">
        <v>1</v>
      </c>
      <c r="DJ52" s="58" t="n">
        <v>0.2472222222222222</v>
      </c>
      <c r="DK52" s="58" t="n">
        <v>0.7333333333333333</v>
      </c>
      <c r="DL52" s="83">
        <f>MOD(DK52-DJ52,1)*24</f>
        <v/>
      </c>
      <c r="DM52" s="57" t="n">
        <v>1</v>
      </c>
      <c r="DN52" s="58" t="n">
        <v>0.2576388888888889</v>
      </c>
      <c r="DO52" s="58" t="n">
        <v>0.7444444444444445</v>
      </c>
      <c r="DP52" s="83">
        <f>MOD(DO52-DN52,1)*24</f>
        <v/>
      </c>
      <c r="DQ52" s="57" t="n">
        <v>1</v>
      </c>
      <c r="DR52" s="61" t="n">
        <v>0.2569444444444444</v>
      </c>
      <c r="DS52" s="62" t="n">
        <v>0.7472222222222222</v>
      </c>
      <c r="DT52" s="83">
        <f>MOD(DS52-DR52,1)*24</f>
        <v/>
      </c>
      <c r="DU52" s="41" t="n">
        <v>1</v>
      </c>
      <c r="DV52" s="61" t="n"/>
      <c r="DW52" s="62" t="n"/>
      <c r="DX52" s="83" t="n"/>
      <c r="DY52" s="41" t="n"/>
      <c r="DZ52" s="84">
        <f>H52+L52+P52+T52+X52+AB52+AF52+AJ52+AN52+AR52+AV52+AZ52+BD52+BH52+BL52+BP52+BT52+BX52+CB52+CF52+CJ52+CN52+CR52+CV52+CZ52+DD52+DH52+DL52+DP52+DT52</f>
        <v/>
      </c>
      <c r="EA52" s="84">
        <f>I52+M52+Q52+U52+Y52+AC52+AG52+AK52+AO52+AS52+AW52+BA52+BE52+BI52+BM52+BQ52+BU52+BY52+CC52+CG52+CK52+CO52+CS52+CW52+DA52+DE52+DI52+DM52+DQ52+DU52</f>
        <v/>
      </c>
    </row>
    <row r="53" ht="59" customFormat="1" customHeight="1" s="54">
      <c r="A53" s="55" t="inlineStr">
        <is>
          <t>五楼</t>
        </is>
      </c>
      <c r="B53" s="56" t="inlineStr">
        <is>
          <t>刘明</t>
        </is>
      </c>
      <c r="C53" s="41" t="n">
        <v>56</v>
      </c>
      <c r="D53" s="41" t="inlineStr">
        <is>
          <t>人力行政部</t>
        </is>
      </c>
      <c r="E53" s="57" t="inlineStr">
        <is>
          <t>人力行政部</t>
        </is>
      </c>
      <c r="F53" s="41" t="n"/>
      <c r="G53" s="41" t="n"/>
      <c r="H53" s="83" t="n"/>
      <c r="I53" s="41" t="n"/>
      <c r="J53" s="41" t="n"/>
      <c r="K53" s="41" t="n"/>
      <c r="L53" s="83" t="n"/>
      <c r="M53" s="41" t="n"/>
      <c r="N53" s="41" t="n"/>
      <c r="O53" s="41" t="n"/>
      <c r="P53" s="83" t="n"/>
      <c r="Q53" s="41" t="n"/>
      <c r="R53" s="41" t="n"/>
      <c r="S53" s="41" t="n"/>
      <c r="T53" s="83" t="n"/>
      <c r="U53" s="41" t="n"/>
      <c r="V53" s="41" t="n"/>
      <c r="W53" s="41" t="n"/>
      <c r="X53" s="83" t="n"/>
      <c r="Y53" s="41" t="n"/>
      <c r="Z53" s="41" t="n"/>
      <c r="AA53" s="41" t="n"/>
      <c r="AB53" s="83" t="n"/>
      <c r="AC53" s="41" t="n"/>
      <c r="AD53" s="41" t="n"/>
      <c r="AE53" s="57" t="n"/>
      <c r="AF53" s="83" t="n"/>
      <c r="AG53" s="57" t="n"/>
      <c r="AH53" s="58" t="n"/>
      <c r="AI53" s="41" t="n"/>
      <c r="AJ53" s="83" t="n"/>
      <c r="AK53" s="41" t="n"/>
      <c r="AL53" s="41" t="n"/>
      <c r="AM53" s="41" t="n"/>
      <c r="AN53" s="83" t="n"/>
      <c r="AO53" s="41" t="n"/>
      <c r="AP53" s="41" t="n"/>
      <c r="AQ53" s="41" t="n"/>
      <c r="AR53" s="83" t="n"/>
      <c r="AS53" s="41" t="n"/>
      <c r="AT53" s="41" t="n"/>
      <c r="AU53" s="41" t="n"/>
      <c r="AV53" s="83" t="n"/>
      <c r="AW53" s="41" t="n"/>
      <c r="AX53" s="41" t="n"/>
      <c r="AY53" s="41" t="n"/>
      <c r="AZ53" s="83" t="n"/>
      <c r="BA53" s="41" t="n"/>
      <c r="BB53" s="41" t="n"/>
      <c r="BC53" s="41" t="n"/>
      <c r="BD53" s="83" t="n"/>
      <c r="BE53" s="41" t="n"/>
      <c r="BF53" s="41" t="n"/>
      <c r="BG53" s="41" t="n"/>
      <c r="BH53" s="83" t="n"/>
      <c r="BI53" s="41" t="n"/>
      <c r="BJ53" s="41" t="n"/>
      <c r="BK53" s="41" t="n"/>
      <c r="BL53" s="83" t="n"/>
      <c r="BM53" s="41" t="n"/>
      <c r="BN53" s="41" t="n"/>
      <c r="BO53" s="41" t="n"/>
      <c r="BP53" s="83" t="n"/>
      <c r="BQ53" s="41" t="n"/>
      <c r="BR53" s="41" t="n"/>
      <c r="BS53" s="41" t="n"/>
      <c r="BT53" s="83" t="n"/>
      <c r="BU53" s="41" t="n"/>
      <c r="BV53" s="41" t="n"/>
      <c r="BW53" s="41" t="n"/>
      <c r="BX53" s="83" t="n"/>
      <c r="BY53" s="41" t="n"/>
      <c r="BZ53" s="41" t="n"/>
      <c r="CA53" s="41" t="n"/>
      <c r="CB53" s="83" t="n"/>
      <c r="CC53" s="41" t="n"/>
      <c r="CD53" s="41" t="n"/>
      <c r="CE53" s="41" t="n"/>
      <c r="CF53" s="83" t="n"/>
      <c r="CG53" s="41" t="n"/>
      <c r="CH53" s="41" t="n"/>
      <c r="CI53" s="41" t="n"/>
      <c r="CJ53" s="83" t="n"/>
      <c r="CK53" s="41" t="n"/>
      <c r="CL53" s="41" t="n"/>
      <c r="CM53" s="41" t="n"/>
      <c r="CN53" s="83" t="n"/>
      <c r="CO53" s="41" t="n"/>
      <c r="CP53" s="41" t="n"/>
      <c r="CQ53" s="41" t="n"/>
      <c r="CR53" s="83" t="n"/>
      <c r="CS53" s="41" t="n"/>
      <c r="CT53" s="41" t="n"/>
      <c r="CU53" s="41" t="n"/>
      <c r="CV53" s="83" t="n"/>
      <c r="CW53" s="41" t="n"/>
      <c r="CX53" s="41" t="n"/>
      <c r="CY53" s="41" t="n"/>
      <c r="CZ53" s="83" t="n"/>
      <c r="DA53" s="41" t="n"/>
      <c r="DB53" s="41" t="n"/>
      <c r="DC53" s="41" t="n"/>
      <c r="DD53" s="83" t="n"/>
      <c r="DE53" s="41" t="n"/>
      <c r="DF53" s="41" t="n"/>
      <c r="DG53" s="41" t="n"/>
      <c r="DH53" s="83" t="n"/>
      <c r="DI53" s="41" t="n"/>
      <c r="DJ53" s="41" t="n"/>
      <c r="DK53" s="41" t="n"/>
      <c r="DL53" s="83" t="n"/>
      <c r="DM53" s="41" t="n"/>
      <c r="DN53" s="41" t="n"/>
      <c r="DO53" s="41" t="n"/>
      <c r="DP53" s="83" t="n"/>
      <c r="DQ53" s="41" t="n"/>
      <c r="DR53" s="64" t="n"/>
      <c r="DS53" s="65" t="n"/>
      <c r="DT53" s="83" t="n"/>
      <c r="DU53" s="66" t="n"/>
      <c r="DV53" s="64" t="n"/>
      <c r="DW53" s="65" t="n"/>
      <c r="DX53" s="83" t="n"/>
      <c r="DY53" s="66" t="n"/>
      <c r="DZ53" s="84" t="n"/>
      <c r="EA53" s="84" t="n"/>
    </row>
    <row r="54" ht="59" customFormat="1" customHeight="1" s="54">
      <c r="A54" s="55" t="inlineStr">
        <is>
          <t>五楼</t>
        </is>
      </c>
      <c r="B54" s="56" t="inlineStr">
        <is>
          <t>高源</t>
        </is>
      </c>
      <c r="C54" s="41" t="n">
        <v>57</v>
      </c>
      <c r="D54" s="67" t="inlineStr">
        <is>
          <t>研发部</t>
        </is>
      </c>
      <c r="E54" s="67" t="inlineStr">
        <is>
          <t>工艺技术部</t>
        </is>
      </c>
      <c r="F54" s="57" t="inlineStr">
        <is>
          <t>08:19</t>
        </is>
      </c>
      <c r="G54" s="58" t="n">
        <v>0.7826388888888889</v>
      </c>
      <c r="H54" s="83">
        <f>MOD(G54-F54,1)*24</f>
        <v/>
      </c>
      <c r="I54" s="57" t="n">
        <v>1</v>
      </c>
      <c r="J54" s="58" t="n">
        <v>0.3472222222222222</v>
      </c>
      <c r="K54" s="58" t="n">
        <v>0.8597222222222223</v>
      </c>
      <c r="L54" s="83">
        <f>MOD(K54-J54,1)*24</f>
        <v/>
      </c>
      <c r="M54" s="57" t="n">
        <v>1</v>
      </c>
      <c r="N54" s="58" t="n">
        <v>0.3444444444444444</v>
      </c>
      <c r="O54" s="58" t="n">
        <v>0.8305555555555556</v>
      </c>
      <c r="P54" s="83">
        <f>MOD(O54-N54,1)*24</f>
        <v/>
      </c>
      <c r="Q54" s="57" t="n">
        <v>1</v>
      </c>
      <c r="R54" s="58" t="n">
        <v>0.3479166666666667</v>
      </c>
      <c r="S54" s="58" t="n">
        <v>0.8520833333333333</v>
      </c>
      <c r="T54" s="83">
        <f>MOD(S54-R54,1)*24</f>
        <v/>
      </c>
      <c r="U54" s="57" t="n">
        <v>1</v>
      </c>
      <c r="V54" s="58" t="n">
        <v>0.3444444444444444</v>
      </c>
      <c r="W54" s="58" t="n">
        <v>0.8527777777777777</v>
      </c>
      <c r="X54" s="83">
        <f>MOD(W54-V54,1)*24</f>
        <v/>
      </c>
      <c r="Y54" s="57" t="n">
        <v>1</v>
      </c>
      <c r="Z54" s="58" t="n">
        <v>0.3305555555555555</v>
      </c>
      <c r="AA54" s="60" t="n">
        <v>0.7743055555555556</v>
      </c>
      <c r="AB54" s="83">
        <f>MOD(AA54-Z54,1)*24</f>
        <v/>
      </c>
      <c r="AC54" s="41" t="n">
        <v>1</v>
      </c>
      <c r="AD54" s="41" t="n"/>
      <c r="AE54" s="57" t="n"/>
      <c r="AF54" s="83" t="n"/>
      <c r="AG54" s="57" t="n"/>
      <c r="AH54" s="58" t="n">
        <v>0.3444444444444444</v>
      </c>
      <c r="AI54" s="58" t="n">
        <v>0.7798611111111111</v>
      </c>
      <c r="AJ54" s="83">
        <f>MOD(AI54-AH54,1)*24</f>
        <v/>
      </c>
      <c r="AK54" s="57" t="n">
        <v>1</v>
      </c>
      <c r="AL54" s="58" t="n">
        <v>0.3465277777777778</v>
      </c>
      <c r="AM54" s="58" t="n">
        <v>0.8736111111111111</v>
      </c>
      <c r="AN54" s="83">
        <f>MOD(AM54-AL54,1)*24</f>
        <v/>
      </c>
      <c r="AO54" s="57" t="n">
        <v>1</v>
      </c>
      <c r="AP54" s="58" t="n">
        <v>0.3444444444444444</v>
      </c>
      <c r="AQ54" s="58" t="n">
        <v>0.76875</v>
      </c>
      <c r="AR54" s="83">
        <f>MOD(AQ54-AP54,1)*24</f>
        <v/>
      </c>
      <c r="AS54" s="57" t="n">
        <v>1</v>
      </c>
      <c r="AT54" s="58" t="n">
        <v>0.3479166666666667</v>
      </c>
      <c r="AU54" s="58" t="n">
        <v>0.7708333333333334</v>
      </c>
      <c r="AV54" s="83">
        <f>MOD(AU54-AT54,1)*24</f>
        <v/>
      </c>
      <c r="AW54" s="57" t="n">
        <v>1</v>
      </c>
      <c r="AX54" s="58" t="n">
        <v>0.3479166666666667</v>
      </c>
      <c r="AY54" s="58" t="n">
        <v>0.8590277777777777</v>
      </c>
      <c r="AZ54" s="83">
        <f>MOD(AY54-AX54,1)*24</f>
        <v/>
      </c>
      <c r="BA54" s="57" t="n">
        <v>1</v>
      </c>
      <c r="BB54" s="58" t="n">
        <v>0.3472222222222222</v>
      </c>
      <c r="BC54" s="60" t="n">
        <v>0.8159722222222222</v>
      </c>
      <c r="BD54" s="83">
        <f>MOD(BC54-BB54,1)*24</f>
        <v/>
      </c>
      <c r="BE54" s="41" t="n">
        <v>1</v>
      </c>
      <c r="BF54" s="41" t="n"/>
      <c r="BG54" s="57" t="n"/>
      <c r="BH54" s="83" t="n"/>
      <c r="BI54" s="57" t="n"/>
      <c r="BJ54" s="58" t="n">
        <v>0.3472222222222222</v>
      </c>
      <c r="BK54" s="58" t="n">
        <v>0.7784722222222222</v>
      </c>
      <c r="BL54" s="83">
        <f>MOD(BK54-BJ54,1)*24</f>
        <v/>
      </c>
      <c r="BM54" s="57" t="n">
        <v>1</v>
      </c>
      <c r="BN54" s="58" t="n">
        <v>0.3465277777777778</v>
      </c>
      <c r="BO54" s="58" t="n">
        <v>0.7625</v>
      </c>
      <c r="BP54" s="83">
        <f>MOD(BO54-BN54,1)*24</f>
        <v/>
      </c>
      <c r="BQ54" s="57" t="n">
        <v>1</v>
      </c>
      <c r="BR54" s="58" t="n">
        <v>0.3493055555555555</v>
      </c>
      <c r="BS54" s="58" t="n">
        <v>0.7708333333333334</v>
      </c>
      <c r="BT54" s="83">
        <f>MOD(BS54-BR54,1)*24</f>
        <v/>
      </c>
      <c r="BU54" s="57" t="n">
        <v>1</v>
      </c>
      <c r="BV54" s="58" t="n">
        <v>0.3416666666666667</v>
      </c>
      <c r="BW54" s="60" t="n">
        <v>0.7506944444444444</v>
      </c>
      <c r="BX54" s="83">
        <f>MOD(BW54-BV54,1)*24</f>
        <v/>
      </c>
      <c r="BY54" s="41" t="n">
        <v>1</v>
      </c>
      <c r="BZ54" s="41" t="n"/>
      <c r="CA54" s="41" t="n"/>
      <c r="CB54" s="83" t="n"/>
      <c r="CC54" s="41" t="n"/>
      <c r="CD54" s="41" t="n"/>
      <c r="CE54" s="57" t="n"/>
      <c r="CF54" s="83" t="n"/>
      <c r="CG54" s="57" t="n"/>
      <c r="CH54" s="58" t="n">
        <v>0.3416666666666667</v>
      </c>
      <c r="CI54" s="58" t="n">
        <v>0.7756944444444445</v>
      </c>
      <c r="CJ54" s="83">
        <f>MOD(CI54-CH54,1)*24</f>
        <v/>
      </c>
      <c r="CK54" s="57" t="n">
        <v>1</v>
      </c>
      <c r="CL54" s="58" t="n">
        <v>0.3465277777777778</v>
      </c>
      <c r="CM54" s="58" t="n">
        <v>0.7729166666666667</v>
      </c>
      <c r="CN54" s="83">
        <f>MOD(CM54-CL54,1)*24</f>
        <v/>
      </c>
      <c r="CO54" s="57" t="n">
        <v>1</v>
      </c>
      <c r="CP54" s="58" t="n">
        <v>0.3444444444444444</v>
      </c>
      <c r="CQ54" s="58" t="n">
        <v>0.7506944444444444</v>
      </c>
      <c r="CR54" s="83">
        <f>MOD(CQ54-CP54,1)*24</f>
        <v/>
      </c>
      <c r="CS54" s="57" t="n">
        <v>1</v>
      </c>
      <c r="CT54" s="58" t="n">
        <v>0.3472222222222222</v>
      </c>
      <c r="CU54" s="58" t="n">
        <v>0.8020833333333334</v>
      </c>
      <c r="CV54" s="83">
        <f>MOD(CU54-CT54,1)*24</f>
        <v/>
      </c>
      <c r="CW54" s="57" t="n">
        <v>1</v>
      </c>
      <c r="CX54" s="58" t="n">
        <v>0.3451388888888889</v>
      </c>
      <c r="CY54" s="58" t="n">
        <v>0.8222222222222222</v>
      </c>
      <c r="CZ54" s="83">
        <f>MOD(CY54-CX54,1)*24</f>
        <v/>
      </c>
      <c r="DA54" s="57" t="n">
        <v>1</v>
      </c>
      <c r="DB54" s="58" t="n">
        <v>0.3458333333333333</v>
      </c>
      <c r="DC54" s="58" t="n">
        <v>0.7652777777777777</v>
      </c>
      <c r="DD54" s="83">
        <f>MOD(DC54-DB54,1)*24</f>
        <v/>
      </c>
      <c r="DE54" s="57" t="n">
        <v>1</v>
      </c>
      <c r="DF54" s="58" t="n">
        <v>0.3451388888888889</v>
      </c>
      <c r="DG54" s="60" t="n">
        <v>0.7513888888888889</v>
      </c>
      <c r="DH54" s="83">
        <f>MOD(DG54-DF54,1)*24</f>
        <v/>
      </c>
      <c r="DI54" s="41" t="n">
        <v>1</v>
      </c>
      <c r="DJ54" s="41" t="n"/>
      <c r="DK54" s="41" t="n"/>
      <c r="DL54" s="83" t="n"/>
      <c r="DM54" s="41" t="n"/>
      <c r="DN54" s="58" t="n">
        <v>0.3444444444444444</v>
      </c>
      <c r="DO54" s="58" t="n">
        <v>0.7805555555555556</v>
      </c>
      <c r="DP54" s="83">
        <f>MOD(DO54-DN54,1)*24</f>
        <v/>
      </c>
      <c r="DQ54" s="57" t="n">
        <v>1</v>
      </c>
      <c r="DR54" s="61" t="n">
        <v>0.3472222222222222</v>
      </c>
      <c r="DS54" s="62" t="n">
        <v>0.7798611111111111</v>
      </c>
      <c r="DT54" s="83">
        <f>MOD(DS54-DR54,1)*24</f>
        <v/>
      </c>
      <c r="DU54" s="41" t="n">
        <v>1</v>
      </c>
      <c r="DV54" s="61" t="n"/>
      <c r="DW54" s="62" t="n"/>
      <c r="DX54" s="83" t="n"/>
      <c r="DY54" s="41" t="n"/>
      <c r="DZ54" s="84">
        <f>H54+L54+P54+T54+X54+AB54+AF54+AJ54+AN54+AR54+AV54+AZ54+BD54+BH54+BL54+BP54+BT54+BX54+CB54+CF54+CJ54+CN54+CR54+CV54+CZ54+DD54+DH54+DL54+DP54+DT54</f>
        <v/>
      </c>
      <c r="EA54" s="84">
        <f>I54+M54+Q54+U54+Y54+AC54+AG54+AK54+AO54+AS54+AW54+BA54+BE54+BI54+BM54+BQ54+BU54+BY54+CC54+CG54+CK54+CO54+CS54+CW54+DA54+DE54+DI54+DM54+DQ54+DU54</f>
        <v/>
      </c>
    </row>
    <row r="55" ht="59" customFormat="1" customHeight="1" s="54">
      <c r="A55" s="55" t="inlineStr">
        <is>
          <t>五楼</t>
        </is>
      </c>
      <c r="B55" s="56" t="inlineStr">
        <is>
          <t>高源</t>
        </is>
      </c>
      <c r="C55" s="41" t="n">
        <v>57</v>
      </c>
      <c r="D55" s="67" t="inlineStr">
        <is>
          <t>研发部</t>
        </is>
      </c>
      <c r="E55" s="67" t="inlineStr">
        <is>
          <t>工艺技术部</t>
        </is>
      </c>
      <c r="F55" s="41" t="n"/>
      <c r="G55" s="41" t="n"/>
      <c r="H55" s="83" t="n"/>
      <c r="I55" s="41" t="n"/>
      <c r="J55" s="41" t="n"/>
      <c r="K55" s="41" t="n"/>
      <c r="L55" s="83" t="n"/>
      <c r="M55" s="41" t="n"/>
      <c r="N55" s="41" t="n"/>
      <c r="O55" s="57" t="n"/>
      <c r="P55" s="83" t="n"/>
      <c r="Q55" s="57" t="n"/>
      <c r="S55" s="57" t="n"/>
      <c r="T55" s="83" t="n"/>
      <c r="U55" s="57" t="n"/>
      <c r="V55" s="41" t="n"/>
      <c r="W55" s="41" t="n"/>
      <c r="X55" s="83" t="n"/>
      <c r="Y55" s="41" t="n"/>
      <c r="Z55" s="41" t="n"/>
      <c r="AA55" s="41" t="n"/>
      <c r="AB55" s="83" t="n"/>
      <c r="AC55" s="41" t="n"/>
      <c r="AD55" s="41" t="n"/>
      <c r="AE55" s="41" t="n"/>
      <c r="AF55" s="83" t="n"/>
      <c r="AG55" s="41" t="n"/>
      <c r="AH55" s="41" t="n"/>
      <c r="AI55" s="41" t="n"/>
      <c r="AJ55" s="83" t="n"/>
      <c r="AK55" s="41" t="n"/>
      <c r="AL55" s="41" t="n"/>
      <c r="AM55" s="41" t="n"/>
      <c r="AN55" s="83" t="n"/>
      <c r="AO55" s="41" t="n"/>
      <c r="AP55" s="41" t="n"/>
      <c r="AQ55" s="41" t="n"/>
      <c r="AR55" s="83">
        <f>MOD(AQ55-AP55,1)*24</f>
        <v/>
      </c>
      <c r="AS55" s="41" t="n"/>
      <c r="AT55" s="41" t="n"/>
      <c r="AU55" s="41" t="n"/>
      <c r="AV55" s="83" t="n"/>
      <c r="AW55" s="41" t="n"/>
      <c r="AX55" s="41" t="n"/>
      <c r="AY55" s="41" t="n"/>
      <c r="AZ55" s="83" t="n"/>
      <c r="BA55" s="41" t="n"/>
      <c r="BB55" s="41" t="n"/>
      <c r="BC55" s="41" t="n"/>
      <c r="BD55" s="83" t="n"/>
      <c r="BE55" s="41" t="n"/>
      <c r="BF55" s="41" t="n"/>
      <c r="BG55" s="41" t="n"/>
      <c r="BH55" s="83" t="n"/>
      <c r="BI55" s="41" t="n"/>
      <c r="BJ55" s="41" t="n"/>
      <c r="BK55" s="41" t="n"/>
      <c r="BL55" s="83" t="n"/>
      <c r="BM55" s="41" t="n"/>
      <c r="BN55" s="41" t="n"/>
      <c r="BO55" s="41" t="n"/>
      <c r="BP55" s="83" t="n"/>
      <c r="BQ55" s="41" t="n"/>
      <c r="BR55" s="41" t="n"/>
      <c r="BS55" s="41" t="n"/>
      <c r="BT55" s="83" t="n"/>
      <c r="BU55" s="41" t="n"/>
      <c r="BV55" s="41" t="n"/>
      <c r="BW55" s="41" t="n"/>
      <c r="BX55" s="83" t="n"/>
      <c r="BY55" s="41" t="n"/>
      <c r="BZ55" s="41" t="n"/>
      <c r="CA55" s="41" t="n"/>
      <c r="CB55" s="83" t="n"/>
      <c r="CC55" s="41" t="n"/>
      <c r="CD55" s="41" t="n"/>
      <c r="CE55" s="41" t="n"/>
      <c r="CF55" s="83" t="n"/>
      <c r="CG55" s="41" t="n"/>
      <c r="CH55" s="41" t="n"/>
      <c r="CI55" s="41" t="n"/>
      <c r="CJ55" s="83" t="n"/>
      <c r="CK55" s="41" t="n"/>
      <c r="CL55" s="41" t="n"/>
      <c r="CM55" s="41" t="n"/>
      <c r="CN55" s="83" t="n"/>
      <c r="CO55" s="41" t="n"/>
      <c r="CP55" s="41" t="n"/>
      <c r="CQ55" s="41" t="n"/>
      <c r="CR55" s="83" t="n"/>
      <c r="CS55" s="41" t="n"/>
      <c r="CT55" s="41" t="n"/>
      <c r="CU55" s="41" t="n"/>
      <c r="CV55" s="83" t="n"/>
      <c r="CW55" s="41" t="n"/>
      <c r="CX55" s="41" t="n"/>
      <c r="CY55" s="41" t="n"/>
      <c r="CZ55" s="83" t="n"/>
      <c r="DA55" s="41" t="n"/>
      <c r="DB55" s="41" t="n"/>
      <c r="DC55" s="41" t="n"/>
      <c r="DD55" s="83" t="n"/>
      <c r="DE55" s="41" t="n"/>
      <c r="DF55" s="41" t="n"/>
      <c r="DG55" s="41" t="n"/>
      <c r="DH55" s="83" t="n"/>
      <c r="DI55" s="41" t="n"/>
      <c r="DJ55" s="41" t="n"/>
      <c r="DK55" s="41" t="n"/>
      <c r="DL55" s="83" t="n"/>
      <c r="DM55" s="41" t="n"/>
      <c r="DN55" s="41" t="n"/>
      <c r="DO55" s="41" t="n"/>
      <c r="DP55" s="83" t="n"/>
      <c r="DQ55" s="41" t="n"/>
      <c r="DR55" s="64" t="n"/>
      <c r="DS55" s="65" t="n"/>
      <c r="DT55" s="83" t="n"/>
      <c r="DU55" s="66" t="n"/>
      <c r="DV55" s="64" t="n"/>
      <c r="DW55" s="65" t="n"/>
      <c r="DX55" s="83" t="n"/>
      <c r="DY55" s="66" t="n"/>
      <c r="DZ55" s="84" t="n"/>
      <c r="EA55" s="84" t="n"/>
    </row>
    <row r="56" ht="59" customFormat="1" customHeight="1" s="54">
      <c r="A56" s="55" t="inlineStr">
        <is>
          <t>五楼</t>
        </is>
      </c>
      <c r="B56" s="56" t="inlineStr">
        <is>
          <t>张兴六</t>
        </is>
      </c>
      <c r="C56" s="41" t="n">
        <v>59</v>
      </c>
      <c r="D56" s="41" t="inlineStr">
        <is>
          <t>人力行政部</t>
        </is>
      </c>
      <c r="E56" s="57" t="inlineStr">
        <is>
          <t>人力行政部</t>
        </is>
      </c>
      <c r="F56" s="57" t="inlineStr">
        <is>
          <t>11:56</t>
        </is>
      </c>
      <c r="G56" s="58" t="n">
        <v>0.7548611111111111</v>
      </c>
      <c r="H56" s="83">
        <f>MOD(G56-F56,1)*24</f>
        <v/>
      </c>
      <c r="I56" s="57" t="n">
        <v>0.5</v>
      </c>
      <c r="J56" s="58" t="n">
        <v>0.2444444444444444</v>
      </c>
      <c r="K56" s="58" t="n">
        <v>0.7388888888888889</v>
      </c>
      <c r="L56" s="83">
        <f>MOD(K56-J56,1)*24</f>
        <v/>
      </c>
      <c r="M56" s="57" t="n">
        <v>1</v>
      </c>
      <c r="N56" s="58" t="n">
        <v>0.23125</v>
      </c>
      <c r="O56" s="58" t="n">
        <v>0.7444444444444445</v>
      </c>
      <c r="P56" s="83">
        <f>MOD(O56-N56,1)*24</f>
        <v/>
      </c>
      <c r="Q56" s="57" t="n">
        <v>1</v>
      </c>
      <c r="R56" s="58" t="n">
        <v>0.2444444444444444</v>
      </c>
      <c r="S56" s="58" t="n">
        <v>0.7465277777777778</v>
      </c>
      <c r="T56" s="83">
        <f>MOD(S56-R56,1)*24</f>
        <v/>
      </c>
      <c r="U56" s="57" t="n">
        <v>1</v>
      </c>
      <c r="V56" s="58" t="n">
        <v>0.2444444444444444</v>
      </c>
      <c r="W56" s="58" t="n">
        <v>0.7479166666666667</v>
      </c>
      <c r="X56" s="83">
        <f>MOD(W56-V56,1)*24</f>
        <v/>
      </c>
      <c r="Y56" s="57" t="n">
        <v>1</v>
      </c>
      <c r="Z56" s="58" t="n">
        <v>0.2444444444444444</v>
      </c>
      <c r="AA56" s="58" t="n">
        <v>0.7458333333333333</v>
      </c>
      <c r="AB56" s="83">
        <f>MOD(AA56-Z56,1)*24</f>
        <v/>
      </c>
      <c r="AC56" s="41" t="n">
        <v>1</v>
      </c>
      <c r="AD56" s="58" t="n">
        <v>0.2430555555555556</v>
      </c>
      <c r="AE56" s="58" t="n">
        <v>0.7444444444444445</v>
      </c>
      <c r="AF56" s="83">
        <f>MOD(AE56-AD56,1)*24</f>
        <v/>
      </c>
      <c r="AG56" s="57" t="n">
        <v>1</v>
      </c>
      <c r="AH56" s="58" t="n">
        <v>0.2458333333333333</v>
      </c>
      <c r="AI56" s="58" t="n">
        <v>0.7465277777777778</v>
      </c>
      <c r="AJ56" s="83">
        <f>MOD(AI56-AH56,1)*24</f>
        <v/>
      </c>
      <c r="AK56" s="57" t="n">
        <v>1</v>
      </c>
      <c r="AL56" s="58" t="n">
        <v>0.2444444444444444</v>
      </c>
      <c r="AM56" s="58" t="n">
        <v>0.7430555555555556</v>
      </c>
      <c r="AN56" s="83">
        <f>MOD(AM56-AL56,1)*24</f>
        <v/>
      </c>
      <c r="AO56" s="57" t="n">
        <v>1</v>
      </c>
      <c r="AP56" s="58" t="n">
        <v>0.2430555555555556</v>
      </c>
      <c r="AQ56" s="58" t="n">
        <v>0.7486111111111111</v>
      </c>
      <c r="AR56" s="83">
        <f>MOD(AQ56-AP56,1)*24</f>
        <v/>
      </c>
      <c r="AS56" s="57" t="n">
        <v>1</v>
      </c>
      <c r="AT56" s="58" t="n">
        <v>0.2430555555555556</v>
      </c>
      <c r="AU56" s="58" t="n">
        <v>0.7479166666666667</v>
      </c>
      <c r="AV56" s="83">
        <f>MOD(AU56-AT56,1)*24</f>
        <v/>
      </c>
      <c r="AW56" s="57" t="n">
        <v>1</v>
      </c>
      <c r="AX56" s="58" t="n">
        <v>0.24375</v>
      </c>
      <c r="AY56" s="58" t="n">
        <v>0.7465277777777778</v>
      </c>
      <c r="AZ56" s="83">
        <f>MOD(AY56-AX56,1)*24</f>
        <v/>
      </c>
      <c r="BA56" s="57" t="n">
        <v>1</v>
      </c>
      <c r="BB56" s="58" t="n">
        <v>0.24375</v>
      </c>
      <c r="BC56" s="58" t="n">
        <v>0.7472222222222222</v>
      </c>
      <c r="BD56" s="83">
        <f>MOD(BC56-BB56,1)*24</f>
        <v/>
      </c>
      <c r="BE56" s="41" t="n">
        <v>1</v>
      </c>
      <c r="BF56" s="58" t="n">
        <v>0.2458333333333333</v>
      </c>
      <c r="BG56" s="58" t="n">
        <v>0.7472222222222222</v>
      </c>
      <c r="BH56" s="83">
        <f>MOD(BG56-BF56,1)*24</f>
        <v/>
      </c>
      <c r="BI56" s="57" t="n">
        <v>1</v>
      </c>
      <c r="BJ56" s="58" t="n">
        <v>0.2423611111111111</v>
      </c>
      <c r="BK56" s="58" t="n">
        <v>0.7486111111111111</v>
      </c>
      <c r="BL56" s="83">
        <f>MOD(BK56-BJ56,1)*24</f>
        <v/>
      </c>
      <c r="BM56" s="57" t="n">
        <v>1</v>
      </c>
      <c r="BN56" s="58" t="n">
        <v>0.2395833333333333</v>
      </c>
      <c r="BO56" s="58" t="n">
        <v>0.7444444444444445</v>
      </c>
      <c r="BP56" s="83">
        <f>MOD(BO56-BN56,1)*24</f>
        <v/>
      </c>
      <c r="BQ56" s="57" t="n">
        <v>1</v>
      </c>
      <c r="BR56" s="58" t="n">
        <v>0.24375</v>
      </c>
      <c r="BS56" s="58" t="n">
        <v>0.75</v>
      </c>
      <c r="BT56" s="83">
        <f>MOD(BS56-BR56,1)*24</f>
        <v/>
      </c>
      <c r="BU56" s="57" t="n">
        <v>1</v>
      </c>
      <c r="BV56" s="58" t="n">
        <v>0.2416666666666667</v>
      </c>
      <c r="BW56" s="58" t="n">
        <v>0.7493055555555556</v>
      </c>
      <c r="BX56" s="83">
        <f>MOD(BW56-BV56,1)*24</f>
        <v/>
      </c>
      <c r="BY56" s="41" t="n">
        <v>1</v>
      </c>
      <c r="BZ56" s="58" t="n">
        <v>0.2423611111111111</v>
      </c>
      <c r="CA56" s="58" t="n">
        <v>0.7458333333333333</v>
      </c>
      <c r="CB56" s="83">
        <f>MOD(CA56-BZ56,1)*24</f>
        <v/>
      </c>
      <c r="CC56" s="41" t="n">
        <v>1</v>
      </c>
      <c r="CD56" s="58" t="n">
        <v>0.2444444444444444</v>
      </c>
      <c r="CE56" s="58" t="n">
        <v>0.7479166666666667</v>
      </c>
      <c r="CF56" s="83">
        <f>MOD(CE56-CD56,1)*24</f>
        <v/>
      </c>
      <c r="CG56" s="57" t="n">
        <v>1</v>
      </c>
      <c r="CH56" s="58" t="n">
        <v>0.23125</v>
      </c>
      <c r="CI56" s="58" t="n">
        <v>0.7472222222222222</v>
      </c>
      <c r="CJ56" s="83">
        <f>MOD(CI56-CH56,1)*24</f>
        <v/>
      </c>
      <c r="CK56" s="57" t="n">
        <v>1</v>
      </c>
      <c r="CL56" s="58" t="n">
        <v>0.2430555555555556</v>
      </c>
      <c r="CM56" s="58" t="n">
        <v>0.7472222222222222</v>
      </c>
      <c r="CN56" s="83">
        <f>MOD(CM56-CL56,1)*24</f>
        <v/>
      </c>
      <c r="CO56" s="57" t="n">
        <v>1</v>
      </c>
      <c r="CP56" s="58" t="n">
        <v>0.2270833333333333</v>
      </c>
      <c r="CQ56" s="58" t="n">
        <v>0.7236111111111111</v>
      </c>
      <c r="CR56" s="83">
        <f>MOD(CQ56-CP56,1)*24</f>
        <v/>
      </c>
      <c r="CS56" s="57" t="n">
        <v>1</v>
      </c>
      <c r="CT56" s="58" t="n">
        <v>0.2451388888888889</v>
      </c>
      <c r="CU56" s="58" t="n">
        <v>0.7534722222222222</v>
      </c>
      <c r="CV56" s="83">
        <f>MOD(CU56-CT56,1)*24</f>
        <v/>
      </c>
      <c r="CW56" s="57" t="n">
        <v>1</v>
      </c>
      <c r="CX56" s="58" t="n">
        <v>0.2368055555555555</v>
      </c>
      <c r="CY56" s="58" t="n">
        <v>0.7444444444444445</v>
      </c>
      <c r="CZ56" s="83">
        <f>MOD(CY56-CX56,1)*24</f>
        <v/>
      </c>
      <c r="DA56" s="57" t="n">
        <v>1</v>
      </c>
      <c r="DB56" s="58" t="n">
        <v>0.2444444444444444</v>
      </c>
      <c r="DC56" s="58" t="n">
        <v>0.75</v>
      </c>
      <c r="DD56" s="83">
        <f>MOD(DC56-DB56,1)*24</f>
        <v/>
      </c>
      <c r="DE56" s="57" t="n">
        <v>1</v>
      </c>
      <c r="DF56" s="58" t="n">
        <v>0.2451388888888889</v>
      </c>
      <c r="DG56" s="58" t="n">
        <v>0.74375</v>
      </c>
      <c r="DH56" s="83">
        <f>MOD(DG56-DF56,1)*24</f>
        <v/>
      </c>
      <c r="DI56" s="41" t="n">
        <v>1</v>
      </c>
      <c r="DJ56" s="58" t="n">
        <v>0.2444444444444444</v>
      </c>
      <c r="DK56" s="58" t="n">
        <v>0.75</v>
      </c>
      <c r="DL56" s="83">
        <f>MOD(DK56-DJ56,1)*24</f>
        <v/>
      </c>
      <c r="DM56" s="57" t="n">
        <v>1</v>
      </c>
      <c r="DN56" s="58" t="n">
        <v>0.75</v>
      </c>
      <c r="DO56" s="57" t="n"/>
      <c r="DP56" s="83" t="n"/>
      <c r="DQ56" s="57" t="n">
        <v>0.5</v>
      </c>
      <c r="DR56" s="61" t="n">
        <v>0.2451388888888889</v>
      </c>
      <c r="DS56" s="62" t="n">
        <v>0.7472222222222222</v>
      </c>
      <c r="DT56" s="83">
        <f>MOD(DS56-DR56,1)*24</f>
        <v/>
      </c>
      <c r="DU56" s="41" t="n">
        <v>1</v>
      </c>
      <c r="DV56" s="61" t="n"/>
      <c r="DW56" s="62" t="n"/>
      <c r="DX56" s="83" t="n"/>
      <c r="DY56" s="41" t="n"/>
      <c r="DZ56" s="84">
        <f>H56+L56+P56+T56+X56+AB56+AF56+AJ56+AN56+AR56+AV56+AZ56+BD56+BH56+BL56+BP56+BT56+BX56+CB56+CF56+CJ56+CN56+CR56+CV56+CZ56+DD56+DH56+DL56+DP56+DT56</f>
        <v/>
      </c>
      <c r="EA56" s="84">
        <f>I56+M56+Q56+U56+Y56+AC56+AG56+AK56+AO56+AS56+AW56+BA56+BE56+BI56+BM56+BQ56+BU56+BY56+CC56+CG56+CK56+CO56+CS56+CW56+DA56+DE56+DI56+DM56+DQ56+DU56</f>
        <v/>
      </c>
    </row>
    <row r="57" ht="59" customFormat="1" customHeight="1" s="54">
      <c r="A57" s="55" t="inlineStr">
        <is>
          <t>五楼</t>
        </is>
      </c>
      <c r="B57" s="56" t="inlineStr">
        <is>
          <t>何汉秀</t>
        </is>
      </c>
      <c r="C57" s="41" t="n">
        <v>60</v>
      </c>
      <c r="D57" s="41" t="inlineStr">
        <is>
          <t>品质部</t>
        </is>
      </c>
      <c r="E57" s="57" t="inlineStr">
        <is>
          <t>品质部</t>
        </is>
      </c>
      <c r="F57" s="57" t="inlineStr">
        <is>
          <t>07:10</t>
        </is>
      </c>
      <c r="G57" s="58" t="n">
        <v>0.7520833333333333</v>
      </c>
      <c r="H57" s="83">
        <f>MOD(G57-F57,1)*24</f>
        <v/>
      </c>
      <c r="I57" s="57" t="n">
        <v>1</v>
      </c>
      <c r="J57" s="58" t="n">
        <v>0.2958333333333333</v>
      </c>
      <c r="K57" s="58" t="n">
        <v>0.7555555555555555</v>
      </c>
      <c r="L57" s="83">
        <f>MOD(K57-J57,1)*24</f>
        <v/>
      </c>
      <c r="M57" s="57" t="n">
        <v>1</v>
      </c>
      <c r="N57" s="58" t="n">
        <v>0.2979166666666667</v>
      </c>
      <c r="O57" s="58" t="n">
        <v>0.7604166666666666</v>
      </c>
      <c r="P57" s="83">
        <f>MOD(O57-N57,1)*24</f>
        <v/>
      </c>
      <c r="Q57" s="57" t="n">
        <v>1</v>
      </c>
      <c r="R57" s="58" t="n">
        <v>0.29375</v>
      </c>
      <c r="S57" s="58" t="n">
        <v>0.7756944444444445</v>
      </c>
      <c r="T57" s="83">
        <f>MOD(S57-R57,1)*24</f>
        <v/>
      </c>
      <c r="U57" s="57" t="n">
        <v>1</v>
      </c>
      <c r="V57" s="58" t="n">
        <v>0.2916666666666667</v>
      </c>
      <c r="W57" s="58" t="n">
        <v>0.75</v>
      </c>
      <c r="X57" s="83">
        <f>MOD(W57-V57,1)*24</f>
        <v/>
      </c>
      <c r="Y57" s="57" t="n">
        <v>1</v>
      </c>
      <c r="Z57" s="58" t="n">
        <v>0.29375</v>
      </c>
      <c r="AA57" s="58" t="n">
        <v>0.7527777777777778</v>
      </c>
      <c r="AB57" s="83">
        <f>MOD(AA57-Z57,1)*24</f>
        <v/>
      </c>
      <c r="AC57" s="41" t="n">
        <v>1</v>
      </c>
      <c r="AD57" s="58" t="n">
        <v>0.2972222222222222</v>
      </c>
      <c r="AE57" s="58" t="n">
        <v>0.75</v>
      </c>
      <c r="AF57" s="83">
        <f>MOD(AE57-AD57,1)*24</f>
        <v/>
      </c>
      <c r="AG57" s="57" t="n">
        <v>1</v>
      </c>
      <c r="AH57" s="58" t="n">
        <v>0.3055555555555556</v>
      </c>
      <c r="AI57" s="58" t="n">
        <v>0.7520833333333333</v>
      </c>
      <c r="AJ57" s="83">
        <f>MOD(AI57-AH57,1)*24</f>
        <v/>
      </c>
      <c r="AK57" s="57" t="n">
        <v>1</v>
      </c>
      <c r="AL57" s="58" t="n">
        <v>0.2958333333333333</v>
      </c>
      <c r="AM57" s="58" t="n">
        <v>0.7541666666666667</v>
      </c>
      <c r="AN57" s="83">
        <f>MOD(AM57-AL57,1)*24</f>
        <v/>
      </c>
      <c r="AO57" s="57" t="n">
        <v>1</v>
      </c>
      <c r="AP57" s="58" t="n">
        <v>0.3020833333333333</v>
      </c>
      <c r="AQ57" s="58" t="n">
        <v>0.7638888888888888</v>
      </c>
      <c r="AR57" s="83">
        <f>MOD(AQ57-AP57,1)*24</f>
        <v/>
      </c>
      <c r="AS57" s="57" t="n">
        <v>1</v>
      </c>
      <c r="AT57" s="58" t="n">
        <v>0.2965277777777778</v>
      </c>
      <c r="AU57" s="58" t="n">
        <v>0.7534722222222222</v>
      </c>
      <c r="AV57" s="83">
        <f>MOD(AU57-AT57,1)*24</f>
        <v/>
      </c>
      <c r="AW57" s="57" t="n">
        <v>1</v>
      </c>
      <c r="AX57" s="58" t="n">
        <v>0.2909722222222222</v>
      </c>
      <c r="AY57" s="58" t="n">
        <v>0.7548611111111111</v>
      </c>
      <c r="AZ57" s="83">
        <f>MOD(AY57-AX57,1)*24</f>
        <v/>
      </c>
      <c r="BA57" s="57" t="n">
        <v>1</v>
      </c>
      <c r="BB57" s="58" t="n">
        <v>0.2895833333333334</v>
      </c>
      <c r="BC57" s="58" t="n">
        <v>0.7548611111111111</v>
      </c>
      <c r="BD57" s="83">
        <f>MOD(BC57-BB57,1)*24</f>
        <v/>
      </c>
      <c r="BE57" s="41" t="n">
        <v>1</v>
      </c>
      <c r="BF57" s="58" t="n">
        <v>0.2916666666666667</v>
      </c>
      <c r="BG57" s="57" t="n"/>
      <c r="BH57" s="83" t="n"/>
      <c r="BI57" s="57" t="n">
        <v>0.5</v>
      </c>
      <c r="BJ57" s="58" t="n">
        <v>0.2895833333333334</v>
      </c>
      <c r="BK57" s="58" t="n">
        <v>0.7527777777777778</v>
      </c>
      <c r="BL57" s="83">
        <f>MOD(BK57-BJ57,1)*24</f>
        <v/>
      </c>
      <c r="BM57" s="57" t="n">
        <v>1</v>
      </c>
      <c r="BN57" s="58" t="n">
        <v>0.2944444444444445</v>
      </c>
      <c r="BO57" s="58" t="n">
        <v>0.7520833333333333</v>
      </c>
      <c r="BP57" s="83">
        <f>MOD(BO57-BN57,1)*24</f>
        <v/>
      </c>
      <c r="BQ57" s="57" t="n">
        <v>1</v>
      </c>
      <c r="BR57" s="58" t="n">
        <v>0.2902777777777778</v>
      </c>
      <c r="BS57" s="58" t="n">
        <v>0.7541666666666667</v>
      </c>
      <c r="BT57" s="83">
        <f>MOD(BS57-BR57,1)*24</f>
        <v/>
      </c>
      <c r="BU57" s="57" t="n">
        <v>1</v>
      </c>
      <c r="BV57" s="58" t="n">
        <v>0.2958333333333333</v>
      </c>
      <c r="BW57" s="60" t="n">
        <v>0.7513888888888889</v>
      </c>
      <c r="BX57" s="83">
        <f>MOD(BW57-BV57,1)*24</f>
        <v/>
      </c>
      <c r="BY57" s="41" t="n">
        <v>1</v>
      </c>
      <c r="BZ57" s="41" t="n"/>
      <c r="CA57" s="57" t="n"/>
      <c r="CB57" s="83" t="n"/>
      <c r="CC57" s="57" t="n"/>
      <c r="CD57" s="58" t="n">
        <v>0.2895833333333334</v>
      </c>
      <c r="CE57" s="58" t="n">
        <v>0.75</v>
      </c>
      <c r="CF57" s="83">
        <f>MOD(CE57-CD57,1)*24</f>
        <v/>
      </c>
      <c r="CG57" s="57" t="n">
        <v>1</v>
      </c>
      <c r="CH57" s="58" t="n">
        <v>0.3229166666666667</v>
      </c>
      <c r="CI57" s="58" t="n">
        <v>0.7513888888888889</v>
      </c>
      <c r="CJ57" s="83">
        <f>MOD(CI57-CH57,1)*24</f>
        <v/>
      </c>
      <c r="CK57" s="57" t="n">
        <v>1</v>
      </c>
      <c r="CL57" s="58" t="n">
        <v>0.2986111111111111</v>
      </c>
      <c r="CM57" s="58" t="n">
        <v>0.7520833333333333</v>
      </c>
      <c r="CN57" s="83">
        <f>MOD(CM57-CL57,1)*24</f>
        <v/>
      </c>
      <c r="CO57" s="57" t="n">
        <v>1</v>
      </c>
      <c r="CP57" s="58" t="n">
        <v>0.2930555555555556</v>
      </c>
      <c r="CQ57" s="58" t="n">
        <v>0.75625</v>
      </c>
      <c r="CR57" s="83">
        <f>MOD(CQ57-CP57,1)*24</f>
        <v/>
      </c>
      <c r="CS57" s="57" t="n">
        <v>1</v>
      </c>
      <c r="CT57" s="58" t="n">
        <v>0.29375</v>
      </c>
      <c r="CU57" s="58" t="n">
        <v>0.7513888888888889</v>
      </c>
      <c r="CV57" s="83">
        <f>MOD(CU57-CT57,1)*24</f>
        <v/>
      </c>
      <c r="CW57" s="57" t="n">
        <v>1</v>
      </c>
      <c r="CX57" s="58" t="n">
        <v>0.3013888888888889</v>
      </c>
      <c r="CY57" s="58" t="n">
        <v>0.7513888888888889</v>
      </c>
      <c r="CZ57" s="83">
        <f>MOD(CY57-CX57,1)*24</f>
        <v/>
      </c>
      <c r="DA57" s="57" t="n">
        <v>1</v>
      </c>
      <c r="DB57" s="58" t="n">
        <v>0.2916666666666667</v>
      </c>
      <c r="DC57" s="58" t="n">
        <v>0.7583333333333333</v>
      </c>
      <c r="DD57" s="83">
        <f>MOD(DC57-DB57,1)*24</f>
        <v/>
      </c>
      <c r="DE57" s="57" t="n">
        <v>1</v>
      </c>
      <c r="DF57" s="41" t="n"/>
      <c r="DG57" s="57" t="n"/>
      <c r="DH57" s="83" t="n"/>
      <c r="DI57" s="57" t="n"/>
      <c r="DJ57" s="58" t="n">
        <v>0.2930555555555556</v>
      </c>
      <c r="DK57" s="58" t="n">
        <v>0.7534722222222222</v>
      </c>
      <c r="DL57" s="83">
        <f>MOD(DK57-DJ57,1)*24</f>
        <v/>
      </c>
      <c r="DM57" s="57" t="n">
        <v>1</v>
      </c>
      <c r="DN57" s="58" t="n">
        <v>0.2875</v>
      </c>
      <c r="DO57" s="58" t="n">
        <v>0.7555555555555555</v>
      </c>
      <c r="DP57" s="83">
        <f>MOD(DO57-DN57,1)*24</f>
        <v/>
      </c>
      <c r="DQ57" s="57" t="n">
        <v>1</v>
      </c>
      <c r="DR57" s="61" t="n">
        <v>0.2944444444444445</v>
      </c>
      <c r="DS57" s="62" t="n">
        <v>0.7527777777777778</v>
      </c>
      <c r="DT57" s="83">
        <f>MOD(DS57-DR57,1)*24</f>
        <v/>
      </c>
      <c r="DU57" s="41" t="n">
        <v>1</v>
      </c>
      <c r="DV57" s="61" t="n"/>
      <c r="DW57" s="62" t="n"/>
      <c r="DX57" s="83" t="n"/>
      <c r="DY57" s="41" t="n"/>
      <c r="DZ57" s="84">
        <f>H57+L57+P57+T57+X57+AB57+AF57+AJ57+AN57+AR57+AV57+AZ57+BD57+BH57+BL57+BP57+BT57+BX57+CB57+CF57+CJ57+CN57+CR57+CV57+CZ57+DD57+DH57+DL57+DP57+DT57</f>
        <v/>
      </c>
      <c r="EA57" s="84">
        <f>I57+M57+Q57+U57+Y57+AC57+AG57+AK57+AO57+AS57+AW57+BA57+BE57+BI57+BM57+BQ57+BU57+BY57+CC57+CG57+CK57+CO57+CS57+CW57+DA57+DE57+DI57+DM57+DQ57+DU57</f>
        <v/>
      </c>
    </row>
    <row r="58" ht="59" customFormat="1" customHeight="1" s="54">
      <c r="A58" s="55" t="inlineStr">
        <is>
          <t>五楼</t>
        </is>
      </c>
      <c r="B58" s="56" t="inlineStr">
        <is>
          <t>何汉秀</t>
        </is>
      </c>
      <c r="C58" s="41" t="n">
        <v>60</v>
      </c>
      <c r="D58" s="41" t="inlineStr">
        <is>
          <t>品质部</t>
        </is>
      </c>
      <c r="E58" s="57" t="inlineStr">
        <is>
          <t>品质部</t>
        </is>
      </c>
      <c r="F58" s="41" t="n"/>
      <c r="G58" s="41" t="n"/>
      <c r="H58" s="83" t="n"/>
      <c r="I58" s="41" t="n"/>
      <c r="J58" s="41" t="n"/>
      <c r="K58" s="57" t="n"/>
      <c r="L58" s="83" t="n"/>
      <c r="M58" s="57" t="n"/>
      <c r="O58" s="57" t="n"/>
      <c r="P58" s="83" t="n"/>
      <c r="Q58" s="57" t="n"/>
      <c r="S58" s="57" t="n"/>
      <c r="T58" s="83" t="n"/>
      <c r="U58" s="57" t="n"/>
      <c r="V58" s="41" t="n"/>
      <c r="W58" s="41" t="n"/>
      <c r="X58" s="83" t="n"/>
      <c r="Y58" s="41" t="n"/>
      <c r="Z58" s="41" t="n"/>
      <c r="AA58" s="57" t="n"/>
      <c r="AB58" s="83" t="n"/>
      <c r="AC58" s="57" t="n"/>
      <c r="AE58" s="41" t="n"/>
      <c r="AF58" s="83" t="n"/>
      <c r="AG58" s="41" t="n"/>
      <c r="AH58" s="41" t="n"/>
      <c r="AI58" s="41" t="n"/>
      <c r="AJ58" s="83" t="n"/>
      <c r="AK58" s="41" t="n"/>
      <c r="AL58" s="41" t="n"/>
      <c r="AM58" s="41" t="n"/>
      <c r="AN58" s="83" t="n"/>
      <c r="AO58" s="41" t="n"/>
      <c r="AP58" s="41" t="n"/>
      <c r="AQ58" s="41" t="n"/>
      <c r="AR58" s="83" t="n"/>
      <c r="AS58" s="41" t="n"/>
      <c r="AT58" s="41" t="n"/>
      <c r="AU58" s="41" t="n"/>
      <c r="AV58" s="83" t="n"/>
      <c r="AW58" s="41" t="n"/>
      <c r="AX58" s="41" t="n"/>
      <c r="AY58" s="41" t="n"/>
      <c r="AZ58" s="83" t="n"/>
      <c r="BA58" s="41" t="n"/>
      <c r="BB58" s="41" t="n"/>
      <c r="BC58" s="41" t="n"/>
      <c r="BD58" s="83" t="n"/>
      <c r="BE58" s="41" t="n"/>
      <c r="BF58" s="41" t="n"/>
      <c r="BG58" s="41" t="n"/>
      <c r="BH58" s="83" t="n"/>
      <c r="BI58" s="41" t="n"/>
      <c r="BJ58" s="41" t="n"/>
      <c r="BK58" s="41" t="n"/>
      <c r="BL58" s="83" t="n"/>
      <c r="BM58" s="41" t="n"/>
      <c r="BN58" s="41" t="n"/>
      <c r="BO58" s="57" t="n"/>
      <c r="BP58" s="83" t="n"/>
      <c r="BQ58" s="57" t="n"/>
      <c r="BR58" s="58" t="n"/>
      <c r="BS58" s="41" t="n"/>
      <c r="BT58" s="83" t="n"/>
      <c r="BU58" s="41" t="n"/>
      <c r="BV58" s="41" t="n"/>
      <c r="BW58" s="41" t="n"/>
      <c r="BX58" s="83" t="n"/>
      <c r="BY58" s="41" t="n"/>
      <c r="BZ58" s="41" t="n"/>
      <c r="CA58" s="41" t="n"/>
      <c r="CB58" s="83" t="n"/>
      <c r="CC58" s="41" t="n"/>
      <c r="CD58" s="41" t="n"/>
      <c r="CE58" s="41" t="n"/>
      <c r="CF58" s="83" t="n"/>
      <c r="CG58" s="41" t="n"/>
      <c r="CH58" s="41" t="n"/>
      <c r="CI58" s="41" t="n"/>
      <c r="CJ58" s="83" t="n"/>
      <c r="CK58" s="41" t="n"/>
      <c r="CL58" s="41" t="n"/>
      <c r="CM58" s="41" t="n"/>
      <c r="CN58" s="83" t="n"/>
      <c r="CO58" s="41" t="n"/>
      <c r="CP58" s="41" t="n"/>
      <c r="CQ58" s="41" t="n"/>
      <c r="CR58" s="83" t="n"/>
      <c r="CS58" s="41" t="n"/>
      <c r="CT58" s="41" t="n"/>
      <c r="CU58" s="41" t="n"/>
      <c r="CV58" s="83" t="n"/>
      <c r="CW58" s="41" t="n"/>
      <c r="CX58" s="41" t="n"/>
      <c r="CY58" s="57" t="n"/>
      <c r="CZ58" s="83" t="n"/>
      <c r="DA58" s="57" t="n"/>
      <c r="DB58" s="58" t="n"/>
      <c r="DC58" s="57" t="n"/>
      <c r="DD58" s="83" t="n"/>
      <c r="DE58" s="57" t="n"/>
      <c r="DF58" s="41" t="n"/>
      <c r="DG58" s="41" t="n"/>
      <c r="DH58" s="83" t="n"/>
      <c r="DI58" s="41" t="n"/>
      <c r="DJ58" s="41" t="n"/>
      <c r="DK58" s="41" t="n"/>
      <c r="DL58" s="83" t="n"/>
      <c r="DM58" s="41" t="n"/>
      <c r="DN58" s="41" t="n"/>
      <c r="DO58" s="41" t="n"/>
      <c r="DP58" s="83" t="n"/>
      <c r="DQ58" s="41" t="n"/>
      <c r="DR58" s="64" t="n"/>
      <c r="DS58" s="65" t="n"/>
      <c r="DT58" s="83" t="n"/>
      <c r="DU58" s="66" t="n"/>
      <c r="DV58" s="64" t="n"/>
      <c r="DW58" s="65" t="n"/>
      <c r="DX58" s="83" t="n"/>
      <c r="DY58" s="66" t="n"/>
      <c r="DZ58" s="84" t="n"/>
      <c r="EA58" s="84" t="n"/>
    </row>
    <row r="59" ht="59" customFormat="1" customHeight="1" s="54">
      <c r="A59" s="55" t="inlineStr">
        <is>
          <t>五楼</t>
        </is>
      </c>
      <c r="B59" s="56" t="inlineStr">
        <is>
          <t>姜全洪</t>
        </is>
      </c>
      <c r="C59" s="41" t="n">
        <v>63</v>
      </c>
      <c r="D59" s="41" t="inlineStr">
        <is>
          <t>设计部</t>
        </is>
      </c>
      <c r="E59" s="57" t="inlineStr">
        <is>
          <t>设计组</t>
        </is>
      </c>
      <c r="F59" s="41" t="n"/>
      <c r="G59" s="57" t="n"/>
      <c r="H59" s="83" t="n"/>
      <c r="I59" s="57" t="n"/>
      <c r="J59" s="58" t="n">
        <v>0.3520833333333334</v>
      </c>
      <c r="K59" s="58" t="n">
        <v>0.8590277777777777</v>
      </c>
      <c r="L59" s="83">
        <f>MOD(K59-J59,1)*24</f>
        <v/>
      </c>
      <c r="M59" s="57" t="n">
        <v>1</v>
      </c>
      <c r="N59" s="58" t="n">
        <v>0.3527777777777778</v>
      </c>
      <c r="O59" s="58" t="n">
        <v>0.8625</v>
      </c>
      <c r="P59" s="83">
        <f>MOD(O59-N59,1)*24</f>
        <v/>
      </c>
      <c r="Q59" s="57" t="n">
        <v>1</v>
      </c>
      <c r="R59" s="58" t="n">
        <v>0.3534722222222222</v>
      </c>
      <c r="S59" s="58" t="n">
        <v>0.8277777777777777</v>
      </c>
      <c r="T59" s="83">
        <f>MOD(S59-R59,1)*24</f>
        <v/>
      </c>
      <c r="U59" s="57" t="n">
        <v>1</v>
      </c>
      <c r="V59" s="58" t="n">
        <v>0.3527777777777778</v>
      </c>
      <c r="W59" s="58" t="n">
        <v>0.8583333333333333</v>
      </c>
      <c r="X59" s="83">
        <f>MOD(W59-V59,1)*24</f>
        <v/>
      </c>
      <c r="Y59" s="57" t="n">
        <v>1</v>
      </c>
      <c r="Z59" s="58" t="n">
        <v>0.3527777777777778</v>
      </c>
      <c r="AA59" s="60" t="n">
        <v>0.7638888888888888</v>
      </c>
      <c r="AB59" s="83">
        <f>MOD(AA59-Z59,1)*24</f>
        <v/>
      </c>
      <c r="AC59" s="41" t="n">
        <v>1</v>
      </c>
      <c r="AD59" s="41" t="n"/>
      <c r="AE59" s="57" t="n"/>
      <c r="AF59" s="83" t="n"/>
      <c r="AG59" s="57" t="n"/>
      <c r="AH59" s="58" t="n">
        <v>0.3520833333333334</v>
      </c>
      <c r="AI59" s="58" t="n">
        <v>0.7770833333333333</v>
      </c>
      <c r="AJ59" s="83">
        <f>MOD(AI59-AH59,1)*24</f>
        <v/>
      </c>
      <c r="AK59" s="57" t="n">
        <v>1</v>
      </c>
      <c r="AL59" s="58" t="n">
        <v>0.3527777777777778</v>
      </c>
      <c r="AM59" s="58" t="n">
        <v>0.8159722222222222</v>
      </c>
      <c r="AN59" s="83">
        <f>MOD(AM59-AL59,1)*24</f>
        <v/>
      </c>
      <c r="AO59" s="57" t="n">
        <v>1</v>
      </c>
      <c r="AP59" s="58" t="n">
        <v>0.3534722222222222</v>
      </c>
      <c r="AQ59" s="58" t="n">
        <v>0.7701388888888889</v>
      </c>
      <c r="AR59" s="83">
        <f>MOD(AQ59-AP59,1)*24</f>
        <v/>
      </c>
      <c r="AS59" s="57" t="n">
        <v>1</v>
      </c>
      <c r="AT59" s="58" t="n">
        <v>0.3534722222222222</v>
      </c>
      <c r="AU59" s="58" t="n">
        <v>0.8152777777777778</v>
      </c>
      <c r="AV59" s="83">
        <f>MOD(AU59-AT59,1)*24</f>
        <v/>
      </c>
      <c r="AW59" s="57" t="n">
        <v>1</v>
      </c>
      <c r="AX59" s="58" t="n">
        <v>0.3534722222222222</v>
      </c>
      <c r="AY59" s="58" t="n">
        <v>0.8180555555555555</v>
      </c>
      <c r="AZ59" s="83">
        <f>MOD(AY59-AX59,1)*24</f>
        <v/>
      </c>
      <c r="BA59" s="57" t="n">
        <v>1</v>
      </c>
      <c r="BB59" s="58" t="n">
        <v>0.3527777777777778</v>
      </c>
      <c r="BC59" s="60" t="n">
        <v>0.7506944444444444</v>
      </c>
      <c r="BD59" s="83">
        <f>MOD(BC59-BB59,1)*24</f>
        <v/>
      </c>
      <c r="BE59" s="41" t="n">
        <v>1</v>
      </c>
      <c r="BF59" s="41" t="n"/>
      <c r="BG59" s="57" t="n"/>
      <c r="BH59" s="83" t="n"/>
      <c r="BI59" s="57" t="n"/>
      <c r="BJ59" s="58" t="n">
        <v>0.3534722222222222</v>
      </c>
      <c r="BK59" s="58" t="n">
        <v>0.7604166666666666</v>
      </c>
      <c r="BL59" s="83">
        <f>MOD(BK59-BJ59,1)*24</f>
        <v/>
      </c>
      <c r="BM59" s="57" t="n">
        <v>1</v>
      </c>
      <c r="BN59" s="58" t="n">
        <v>0.3527777777777778</v>
      </c>
      <c r="BO59" s="58" t="n">
        <v>0.8388888888888889</v>
      </c>
      <c r="BP59" s="83">
        <f>MOD(BO59-BN59,1)*24</f>
        <v/>
      </c>
      <c r="BQ59" s="57" t="n">
        <v>1</v>
      </c>
      <c r="BR59" s="58" t="n">
        <v>0.3534722222222222</v>
      </c>
      <c r="BS59" s="58" t="n">
        <v>0.8597222222222223</v>
      </c>
      <c r="BT59" s="83">
        <f>MOD(BS59-BR59,1)*24</f>
        <v/>
      </c>
      <c r="BU59" s="57" t="n">
        <v>1</v>
      </c>
      <c r="BV59" s="58" t="n">
        <v>0.3534722222222222</v>
      </c>
      <c r="BW59" s="60" t="n">
        <v>0.7520833333333333</v>
      </c>
      <c r="BX59" s="83">
        <f>MOD(BW59-BV59,1)*24</f>
        <v/>
      </c>
      <c r="BY59" s="41" t="n">
        <v>1</v>
      </c>
      <c r="BZ59" s="41" t="n"/>
      <c r="CA59" s="41" t="n"/>
      <c r="CB59" s="83" t="n"/>
      <c r="CC59" s="41" t="n"/>
      <c r="CD59" s="41" t="n"/>
      <c r="CE59" s="57" t="n"/>
      <c r="CF59" s="83" t="n"/>
      <c r="CG59" s="57" t="n"/>
      <c r="CH59" s="58" t="n">
        <v>0.3520833333333334</v>
      </c>
      <c r="CI59" s="58" t="n">
        <v>0.7881944444444444</v>
      </c>
      <c r="CJ59" s="83">
        <f>MOD(CI59-CH59,1)*24</f>
        <v/>
      </c>
      <c r="CK59" s="57" t="n">
        <v>1</v>
      </c>
      <c r="CL59" s="58" t="n">
        <v>0.3534722222222222</v>
      </c>
      <c r="CM59" s="58" t="n">
        <v>0.8118055555555556</v>
      </c>
      <c r="CN59" s="83">
        <f>MOD(CM59-CL59,1)*24</f>
        <v/>
      </c>
      <c r="CO59" s="57" t="n">
        <v>1</v>
      </c>
      <c r="CP59" s="58" t="n">
        <v>0.3527777777777778</v>
      </c>
      <c r="CQ59" s="58" t="n">
        <v>0.8263888888888888</v>
      </c>
      <c r="CR59" s="83">
        <f>MOD(CQ59-CP59,1)*24</f>
        <v/>
      </c>
      <c r="CS59" s="57" t="n">
        <v>1</v>
      </c>
      <c r="CT59" s="58" t="n">
        <v>0.3534722222222222</v>
      </c>
      <c r="CU59" s="58" t="n">
        <v>0.7895833333333333</v>
      </c>
      <c r="CV59" s="83">
        <f>MOD(CU59-CT59,1)*24</f>
        <v/>
      </c>
      <c r="CW59" s="57" t="n">
        <v>1</v>
      </c>
      <c r="CX59" s="58" t="n">
        <v>0.3527777777777778</v>
      </c>
      <c r="CY59" s="58" t="n">
        <v>0.7861111111111111</v>
      </c>
      <c r="CZ59" s="83">
        <f>MOD(CY59-CX59,1)*24</f>
        <v/>
      </c>
      <c r="DA59" s="57" t="n">
        <v>1</v>
      </c>
      <c r="DB59" s="58" t="n">
        <v>0.3534722222222222</v>
      </c>
      <c r="DC59" s="58" t="n">
        <v>0.8388888888888889</v>
      </c>
      <c r="DD59" s="83">
        <f>MOD(DC59-DB59,1)*24</f>
        <v/>
      </c>
      <c r="DE59" s="57" t="n">
        <v>1</v>
      </c>
      <c r="DF59" s="58" t="n">
        <v>0.3527777777777778</v>
      </c>
      <c r="DG59" s="58" t="n">
        <v>0.8152777777777778</v>
      </c>
      <c r="DH59" s="83">
        <f>MOD(DG59-DF59,1)*24</f>
        <v/>
      </c>
      <c r="DI59" s="41" t="n">
        <v>1</v>
      </c>
      <c r="DJ59" s="58" t="n">
        <v>0.3520833333333334</v>
      </c>
      <c r="DK59" s="58" t="n">
        <v>0.7583333333333333</v>
      </c>
      <c r="DL59" s="83">
        <f>MOD(DK59-DJ59,1)*24</f>
        <v/>
      </c>
      <c r="DM59" s="57" t="n">
        <v>1</v>
      </c>
      <c r="DN59" s="58" t="n">
        <v>0.3520833333333334</v>
      </c>
      <c r="DO59" s="58" t="n">
        <v>0.8326388888888889</v>
      </c>
      <c r="DP59" s="83">
        <f>MOD(DO59-DN59,1)*24</f>
        <v/>
      </c>
      <c r="DQ59" s="57" t="n">
        <v>1</v>
      </c>
      <c r="DR59" s="61" t="n">
        <v>0.3520833333333334</v>
      </c>
      <c r="DS59" s="62" t="n">
        <v>0.8201388888888889</v>
      </c>
      <c r="DT59" s="83">
        <f>MOD(DS59-DR59,1)*24</f>
        <v/>
      </c>
      <c r="DU59" s="41" t="n">
        <v>1</v>
      </c>
      <c r="DV59" s="61" t="n"/>
      <c r="DW59" s="62" t="n"/>
      <c r="DX59" s="83" t="n"/>
      <c r="DY59" s="41" t="n"/>
      <c r="DZ59" s="84">
        <f>H59+L59+P59+T59+X59+AB59+AF59+AJ59+AN59+AR59+AV59+AZ59+BD59+BH59+BL59+BP59+BT59+BX59+CB59+CF59+CJ59+CN59+CR59+CV59+CZ59+DD59+DH59+DL59+DP59+DT59</f>
        <v/>
      </c>
      <c r="EA59" s="84">
        <f>I59+M59+Q59+U59+Y59+AC59+AG59+AK59+AO59+AS59+AW59+BA59+BE59+BI59+BM59+BQ59+BU59+BY59+CC59+CG59+CK59+CO59+CS59+CW59+DA59+DE59+DI59+DM59+DQ59+DU59</f>
        <v/>
      </c>
    </row>
    <row r="60" ht="59" customFormat="1" customHeight="1" s="54">
      <c r="A60" s="55" t="inlineStr">
        <is>
          <t>五楼</t>
        </is>
      </c>
      <c r="B60" s="56" t="inlineStr">
        <is>
          <t>李丰希</t>
        </is>
      </c>
      <c r="C60" s="41" t="n">
        <v>64</v>
      </c>
      <c r="D60" s="41" t="inlineStr">
        <is>
          <t>信息部</t>
        </is>
      </c>
      <c r="E60" s="57" t="inlineStr">
        <is>
          <t>信息部</t>
        </is>
      </c>
      <c r="F60" s="57" t="inlineStr">
        <is>
          <t>08:30</t>
        </is>
      </c>
      <c r="G60" s="58" t="n">
        <v>0.9416666666666667</v>
      </c>
      <c r="H60" s="83">
        <f>MOD(G60-F60,1)*24</f>
        <v/>
      </c>
      <c r="I60" s="57" t="n">
        <v>1</v>
      </c>
      <c r="J60" s="58" t="n">
        <v>0.3541666666666667</v>
      </c>
      <c r="K60" s="58" t="n">
        <v>0.8611111111111112</v>
      </c>
      <c r="L60" s="83">
        <f>MOD(K60-J60,1)*24</f>
        <v/>
      </c>
      <c r="M60" s="57" t="n">
        <v>1</v>
      </c>
      <c r="N60" s="58" t="n">
        <v>0.7986111111111112</v>
      </c>
      <c r="O60" s="57" t="n"/>
      <c r="P60" s="83" t="n"/>
      <c r="Q60" s="57" t="n">
        <v>0.5</v>
      </c>
      <c r="R60" s="58" t="n">
        <v>0.3548611111111111</v>
      </c>
      <c r="S60" s="58" t="n">
        <v>0.7909722222222222</v>
      </c>
      <c r="T60" s="83">
        <f>MOD(S60-R60,1)*24</f>
        <v/>
      </c>
      <c r="U60" s="57" t="n">
        <v>1</v>
      </c>
      <c r="V60" s="58" t="n">
        <v>0.3534722222222222</v>
      </c>
      <c r="W60" s="58" t="n">
        <v>0.8756944444444444</v>
      </c>
      <c r="X60" s="83">
        <f>MOD(W60-V60,1)*24</f>
        <v/>
      </c>
      <c r="Y60" s="57" t="n">
        <v>1</v>
      </c>
      <c r="Z60" s="58" t="n">
        <v>0.3527777777777778</v>
      </c>
      <c r="AA60" s="60" t="n">
        <v>0.7604166666666666</v>
      </c>
      <c r="AB60" s="83">
        <f>MOD(AA60-Z60,1)*24</f>
        <v/>
      </c>
      <c r="AC60" s="41" t="n">
        <v>1</v>
      </c>
      <c r="AD60" s="41" t="n"/>
      <c r="AE60" s="57" t="n"/>
      <c r="AF60" s="83" t="n"/>
      <c r="AG60" s="57" t="n"/>
      <c r="AH60" s="58" t="n">
        <v>0.7861111111111111</v>
      </c>
      <c r="AI60" s="57" t="n"/>
      <c r="AJ60" s="83" t="n"/>
      <c r="AK60" s="57" t="n">
        <v>0.5</v>
      </c>
      <c r="AL60" s="58" t="n">
        <v>0.3541666666666667</v>
      </c>
      <c r="AM60" s="58" t="n">
        <v>0.8756944444444444</v>
      </c>
      <c r="AN60" s="83">
        <f>MOD(AM60-AL60,1)*24</f>
        <v/>
      </c>
      <c r="AO60" s="57" t="n">
        <v>1</v>
      </c>
      <c r="AP60" s="58" t="n">
        <v>0.3548611111111111</v>
      </c>
      <c r="AQ60" s="58" t="n">
        <v>0.7541666666666667</v>
      </c>
      <c r="AR60" s="83">
        <f>MOD(AQ60-AP60,1)*24</f>
        <v/>
      </c>
      <c r="AS60" s="57" t="n">
        <v>1</v>
      </c>
      <c r="AT60" s="58" t="n">
        <v>0.3416666666666667</v>
      </c>
      <c r="AU60" s="58" t="n">
        <v>0.7604166666666666</v>
      </c>
      <c r="AV60" s="83">
        <f>MOD(AU60-AT60,1)*24</f>
        <v/>
      </c>
      <c r="AW60" s="57" t="n">
        <v>1</v>
      </c>
      <c r="AX60" s="58" t="n">
        <v>0.3534722222222222</v>
      </c>
      <c r="AY60" s="58" t="n">
        <v>0.8583333333333333</v>
      </c>
      <c r="AZ60" s="83">
        <f>MOD(AY60-AX60,1)*24</f>
        <v/>
      </c>
      <c r="BA60" s="57" t="n">
        <v>1</v>
      </c>
      <c r="BB60" s="58" t="n">
        <v>0.35</v>
      </c>
      <c r="BC60" s="60" t="n">
        <v>0.7763888888888889</v>
      </c>
      <c r="BD60" s="83">
        <f>MOD(BC60-BB60,1)*24</f>
        <v/>
      </c>
      <c r="BE60" s="41" t="n">
        <v>1</v>
      </c>
      <c r="BF60" s="41" t="n"/>
      <c r="BG60" s="57" t="n"/>
      <c r="BH60" s="83" t="n"/>
      <c r="BI60" s="57" t="n"/>
      <c r="BJ60" s="58" t="n">
        <v>0.3555555555555556</v>
      </c>
      <c r="BK60" s="58" t="n">
        <v>0.7604166666666666</v>
      </c>
      <c r="BL60" s="83">
        <f>MOD(BK60-BJ60,1)*24</f>
        <v/>
      </c>
      <c r="BM60" s="57" t="n">
        <v>1</v>
      </c>
      <c r="BN60" s="58" t="n">
        <v>0.3555555555555556</v>
      </c>
      <c r="BO60" s="58" t="n">
        <v>0.7548611111111111</v>
      </c>
      <c r="BP60" s="83">
        <f>MOD(BO60-BN60,1)*24</f>
        <v/>
      </c>
      <c r="BQ60" s="57" t="n">
        <v>1</v>
      </c>
      <c r="BR60" s="58" t="n">
        <v>0.3576388888888889</v>
      </c>
      <c r="BS60" s="58" t="n">
        <v>0.7513888888888889</v>
      </c>
      <c r="BT60" s="83">
        <f>MOD(BS60-BR60,1)*24</f>
        <v/>
      </c>
      <c r="BU60" s="57" t="n">
        <v>1</v>
      </c>
      <c r="BV60" s="58" t="n">
        <v>0.3541666666666667</v>
      </c>
      <c r="BW60" s="60" t="n">
        <v>0.7611111111111111</v>
      </c>
      <c r="BX60" s="83">
        <f>MOD(BW60-BV60,1)*24</f>
        <v/>
      </c>
      <c r="BY60" s="41" t="n">
        <v>1</v>
      </c>
      <c r="BZ60" s="41" t="n"/>
      <c r="CA60" s="41" t="n"/>
      <c r="CB60" s="83" t="n"/>
      <c r="CC60" s="41" t="n"/>
      <c r="CD60" s="41" t="n"/>
      <c r="CE60" s="57" t="n"/>
      <c r="CF60" s="83" t="n"/>
      <c r="CG60" s="57" t="n"/>
      <c r="CH60" s="58" t="n">
        <v>0.3548611111111111</v>
      </c>
      <c r="CI60" s="58" t="n">
        <v>0.7534722222222222</v>
      </c>
      <c r="CJ60" s="83">
        <f>MOD(CI60-CH60,1)*24</f>
        <v/>
      </c>
      <c r="CK60" s="57" t="n">
        <v>1</v>
      </c>
      <c r="CL60" s="58" t="n">
        <v>0.3583333333333333</v>
      </c>
      <c r="CM60" s="58" t="n">
        <v>0.7583333333333333</v>
      </c>
      <c r="CN60" s="83">
        <f>MOD(CM60-CL60,1)*24</f>
        <v/>
      </c>
      <c r="CO60" s="57" t="n">
        <v>1</v>
      </c>
      <c r="CP60" s="58" t="n">
        <v>0.3548611111111111</v>
      </c>
      <c r="CQ60" s="58" t="n">
        <v>0.8791666666666667</v>
      </c>
      <c r="CR60" s="83">
        <f>MOD(CQ60-CP60,1)*24</f>
        <v/>
      </c>
      <c r="CS60" s="57" t="n">
        <v>1</v>
      </c>
      <c r="CT60" s="58" t="n">
        <v>0.3541666666666667</v>
      </c>
      <c r="CU60" s="58" t="n">
        <v>0.7506944444444444</v>
      </c>
      <c r="CV60" s="83">
        <f>MOD(CU60-CT60,1)*24</f>
        <v/>
      </c>
      <c r="CW60" s="57" t="n">
        <v>1</v>
      </c>
      <c r="CX60" s="58" t="n">
        <v>0.3576388888888889</v>
      </c>
      <c r="CY60" s="58" t="n">
        <v>0.7590277777777777</v>
      </c>
      <c r="CZ60" s="83">
        <f>MOD(CY60-CX60,1)*24</f>
        <v/>
      </c>
      <c r="DA60" s="57" t="n">
        <v>1</v>
      </c>
      <c r="DB60" s="58" t="n">
        <v>0.3555555555555556</v>
      </c>
      <c r="DC60" s="58" t="n">
        <v>0.8875</v>
      </c>
      <c r="DD60" s="83">
        <f>MOD(DC60-DB60,1)*24</f>
        <v/>
      </c>
      <c r="DE60" s="57" t="n">
        <v>1</v>
      </c>
      <c r="DF60" s="58" t="n">
        <v>0.3548611111111111</v>
      </c>
      <c r="DG60" s="60" t="n">
        <v>0.7722222222222223</v>
      </c>
      <c r="DH60" s="83">
        <f>MOD(DG60-DF60,1)*24</f>
        <v/>
      </c>
      <c r="DI60" s="41" t="n">
        <v>1</v>
      </c>
      <c r="DJ60" s="41" t="n"/>
      <c r="DK60" s="41" t="n"/>
      <c r="DL60" s="83" t="n"/>
      <c r="DM60" s="41" t="n"/>
      <c r="DN60" s="58" t="n">
        <v>0.3541666666666667</v>
      </c>
      <c r="DO60" s="58" t="n">
        <v>0.7597222222222222</v>
      </c>
      <c r="DP60" s="83">
        <f>MOD(DO60-DN60,1)*24</f>
        <v/>
      </c>
      <c r="DQ60" s="57" t="n">
        <v>1</v>
      </c>
      <c r="DR60" s="61" t="n">
        <v>0.3541666666666667</v>
      </c>
      <c r="DS60" s="62" t="n">
        <v>0.7548611111111111</v>
      </c>
      <c r="DT60" s="83">
        <f>MOD(DS60-DR60,1)*24</f>
        <v/>
      </c>
      <c r="DU60" s="41" t="n">
        <v>1</v>
      </c>
      <c r="DV60" s="61" t="n"/>
      <c r="DW60" s="62" t="n"/>
      <c r="DX60" s="83" t="n"/>
      <c r="DY60" s="41" t="n"/>
      <c r="DZ60" s="84">
        <f>H60+L60+P60+T60+X60+AB60+AF60+AJ60+AN60+AR60+AV60+AZ60+BD60+BH60+BL60+BP60+BT60+BX60+CB60+CF60+CJ60+CN60+CR60+CV60+CZ60+DD60+DH60+DL60+DP60+DT60</f>
        <v/>
      </c>
      <c r="EA60" s="84">
        <f>I60+M60+Q60+U60+Y60+AC60+AG60+AK60+AO60+AS60+AW60+BA60+BE60+BI60+BM60+BQ60+BU60+BY60+CC60+CG60+CK60+CO60+CS60+CW60+DA60+DE60+DI60+DM60+DQ60+DU60</f>
        <v/>
      </c>
    </row>
    <row r="61" ht="59" customFormat="1" customHeight="1" s="54">
      <c r="A61" s="55" t="inlineStr">
        <is>
          <t>五楼</t>
        </is>
      </c>
      <c r="B61" s="56" t="inlineStr">
        <is>
          <t>李丰希</t>
        </is>
      </c>
      <c r="C61" s="41" t="n">
        <v>64</v>
      </c>
      <c r="D61" s="41" t="inlineStr">
        <is>
          <t>信息部</t>
        </is>
      </c>
      <c r="E61" s="57" t="inlineStr">
        <is>
          <t>信息部</t>
        </is>
      </c>
      <c r="F61" s="41" t="n"/>
      <c r="G61" s="41" t="n"/>
      <c r="H61" s="83" t="n"/>
      <c r="I61" s="41" t="n"/>
      <c r="J61" s="41" t="n"/>
      <c r="K61" s="41" t="n"/>
      <c r="L61" s="83" t="n"/>
      <c r="M61" s="41" t="n"/>
      <c r="N61" s="41" t="n"/>
      <c r="O61" s="41" t="n"/>
      <c r="P61" s="83" t="n"/>
      <c r="Q61" s="41" t="n"/>
      <c r="R61" s="41" t="n"/>
      <c r="S61" s="41" t="n"/>
      <c r="T61" s="83" t="n"/>
      <c r="U61" s="41" t="n"/>
      <c r="V61" s="58" t="n"/>
      <c r="W61" s="41" t="n"/>
      <c r="X61" s="83" t="n"/>
      <c r="Y61" s="41" t="n"/>
      <c r="Z61" s="41" t="n"/>
      <c r="AA61" s="41" t="n"/>
      <c r="AB61" s="83" t="n"/>
      <c r="AC61" s="41" t="n"/>
      <c r="AD61" s="41" t="n"/>
      <c r="AE61" s="41" t="n"/>
      <c r="AF61" s="83" t="n"/>
      <c r="AG61" s="41" t="n"/>
      <c r="AH61" s="41" t="n"/>
      <c r="AI61" s="41" t="n"/>
      <c r="AJ61" s="83" t="n"/>
      <c r="AK61" s="41" t="n"/>
      <c r="AL61" s="41" t="n"/>
      <c r="AM61" s="41" t="n"/>
      <c r="AN61" s="83" t="n"/>
      <c r="AO61" s="41" t="n"/>
      <c r="AP61" s="41" t="n"/>
      <c r="AQ61" s="41" t="n"/>
      <c r="AR61" s="83" t="n"/>
      <c r="AS61" s="41" t="n"/>
      <c r="AT61" s="41" t="n"/>
      <c r="AU61" s="41" t="n"/>
      <c r="AV61" s="83" t="n"/>
      <c r="AW61" s="41" t="n"/>
      <c r="AX61" s="41" t="n"/>
      <c r="AY61" s="41" t="n"/>
      <c r="AZ61" s="83" t="n"/>
      <c r="BA61" s="41" t="n"/>
      <c r="BB61" s="41" t="n"/>
      <c r="BC61" s="41" t="n"/>
      <c r="BD61" s="83" t="n"/>
      <c r="BE61" s="41" t="n"/>
      <c r="BF61" s="41" t="n"/>
      <c r="BG61" s="41" t="n"/>
      <c r="BH61" s="83" t="n"/>
      <c r="BI61" s="41" t="n"/>
      <c r="BJ61" s="41" t="n"/>
      <c r="BK61" s="41" t="n"/>
      <c r="BL61" s="83" t="n"/>
      <c r="BM61" s="41" t="n"/>
      <c r="BN61" s="41" t="n"/>
      <c r="BO61" s="41" t="n"/>
      <c r="BP61" s="83" t="n"/>
      <c r="BQ61" s="41" t="n"/>
      <c r="BR61" s="41" t="n"/>
      <c r="BS61" s="41" t="n"/>
      <c r="BT61" s="83" t="n"/>
      <c r="BU61" s="41" t="n"/>
      <c r="BV61" s="41" t="n"/>
      <c r="BW61" s="41" t="n"/>
      <c r="BX61" s="83" t="n"/>
      <c r="BY61" s="41" t="n"/>
      <c r="BZ61" s="41" t="n"/>
      <c r="CA61" s="41" t="n"/>
      <c r="CB61" s="83" t="n"/>
      <c r="CC61" s="41" t="n"/>
      <c r="CD61" s="41" t="n"/>
      <c r="CE61" s="41" t="n"/>
      <c r="CF61" s="83" t="n"/>
      <c r="CG61" s="41" t="n"/>
      <c r="CH61" s="41" t="n"/>
      <c r="CI61" s="41" t="n"/>
      <c r="CJ61" s="83" t="n"/>
      <c r="CK61" s="41" t="n"/>
      <c r="CL61" s="41" t="n"/>
      <c r="CM61" s="41" t="n"/>
      <c r="CN61" s="83" t="n"/>
      <c r="CO61" s="41" t="n"/>
      <c r="CP61" s="41" t="n"/>
      <c r="CQ61" s="41" t="n"/>
      <c r="CR61" s="83" t="n"/>
      <c r="CS61" s="41" t="n"/>
      <c r="CT61" s="41" t="n"/>
      <c r="CU61" s="41" t="n"/>
      <c r="CV61" s="83" t="n"/>
      <c r="CW61" s="41" t="n"/>
      <c r="CX61" s="41" t="n"/>
      <c r="CY61" s="41" t="n"/>
      <c r="CZ61" s="83" t="n"/>
      <c r="DA61" s="41" t="n"/>
      <c r="DB61" s="41" t="n"/>
      <c r="DC61" s="41" t="n"/>
      <c r="DD61" s="83" t="n"/>
      <c r="DE61" s="41" t="n"/>
      <c r="DF61" s="41" t="n"/>
      <c r="DG61" s="41" t="n"/>
      <c r="DH61" s="83" t="n"/>
      <c r="DI61" s="41" t="n"/>
      <c r="DJ61" s="41" t="n"/>
      <c r="DK61" s="41" t="n"/>
      <c r="DL61" s="83" t="n"/>
      <c r="DM61" s="41" t="n"/>
      <c r="DN61" s="41" t="n"/>
      <c r="DO61" s="41" t="n"/>
      <c r="DP61" s="83" t="n"/>
      <c r="DQ61" s="41" t="n"/>
      <c r="DR61" s="64" t="n"/>
      <c r="DS61" s="65" t="n"/>
      <c r="DT61" s="83" t="n"/>
      <c r="DU61" s="66" t="n"/>
      <c r="DV61" s="64" t="n"/>
      <c r="DW61" s="65" t="n"/>
      <c r="DX61" s="83" t="n"/>
      <c r="DY61" s="66" t="n"/>
      <c r="DZ61" s="84" t="n"/>
      <c r="EA61" s="84" t="n"/>
    </row>
    <row r="62" ht="59" customFormat="1" customHeight="1" s="54">
      <c r="A62" s="55" t="inlineStr">
        <is>
          <t>五楼</t>
        </is>
      </c>
      <c r="B62" s="56" t="inlineStr">
        <is>
          <t>许军</t>
        </is>
      </c>
      <c r="C62" s="41" t="n">
        <v>65</v>
      </c>
      <c r="D62" s="41" t="inlineStr">
        <is>
          <t>设计部</t>
        </is>
      </c>
      <c r="E62" s="57" t="inlineStr">
        <is>
          <t>设计组</t>
        </is>
      </c>
      <c r="F62" s="57" t="inlineStr">
        <is>
          <t>08:21</t>
        </is>
      </c>
      <c r="G62" s="58" t="n">
        <v>0.775</v>
      </c>
      <c r="H62" s="83">
        <f>MOD(G62-F62,1)*24</f>
        <v/>
      </c>
      <c r="I62" s="57" t="n">
        <v>1</v>
      </c>
      <c r="J62" s="58" t="n">
        <v>0.875</v>
      </c>
      <c r="K62" s="57" t="n"/>
      <c r="L62" s="83" t="n"/>
      <c r="M62" s="57" t="n">
        <v>0.5</v>
      </c>
      <c r="N62" s="58" t="n">
        <v>0.35</v>
      </c>
      <c r="O62" s="58" t="n">
        <v>0.7513888888888889</v>
      </c>
      <c r="P62" s="83">
        <f>MOD(O62-N62,1)*24</f>
        <v/>
      </c>
      <c r="Q62" s="57" t="n">
        <v>1</v>
      </c>
      <c r="R62" s="58" t="n">
        <v>0.8743055555555556</v>
      </c>
      <c r="S62" s="57" t="n"/>
      <c r="T62" s="83" t="n"/>
      <c r="U62" s="57" t="n">
        <v>0.5</v>
      </c>
      <c r="V62" s="58" t="n">
        <v>0.3479166666666667</v>
      </c>
      <c r="W62" s="58" t="n">
        <v>0.8513888888888889</v>
      </c>
      <c r="X62" s="83">
        <f>MOD(W62-V62,1)*24</f>
        <v/>
      </c>
      <c r="Y62" s="57" t="n">
        <v>1</v>
      </c>
      <c r="Z62" s="58" t="n">
        <v>0.3493055555555555</v>
      </c>
      <c r="AA62" s="60" t="n">
        <v>0.7618055555555555</v>
      </c>
      <c r="AB62" s="83">
        <f>MOD(AA62-Z62,1)*24</f>
        <v/>
      </c>
      <c r="AC62" s="41" t="n">
        <v>1</v>
      </c>
      <c r="AD62" s="41" t="n"/>
      <c r="AE62" s="41" t="n"/>
      <c r="AF62" s="83" t="n"/>
      <c r="AG62" s="41" t="n"/>
      <c r="AH62" s="41" t="n"/>
      <c r="AI62" s="41" t="n"/>
      <c r="AJ62" s="83" t="n"/>
      <c r="AK62" s="41" t="n"/>
      <c r="AL62" s="41" t="n"/>
      <c r="AM62" s="41" t="n"/>
      <c r="AN62" s="83" t="n"/>
      <c r="AO62" s="41" t="n"/>
      <c r="AP62" s="41" t="n"/>
      <c r="AQ62" s="41" t="n"/>
      <c r="AR62" s="83" t="n"/>
      <c r="AS62" s="41" t="n"/>
      <c r="AT62" s="41" t="n"/>
      <c r="AU62" s="57" t="n"/>
      <c r="AV62" s="83" t="n"/>
      <c r="AW62" s="57" t="n"/>
      <c r="AX62" s="58" t="n">
        <v>0.35</v>
      </c>
      <c r="AY62" s="58" t="n">
        <v>0.8625</v>
      </c>
      <c r="AZ62" s="83">
        <f>MOD(AY62-AX62,1)*24</f>
        <v/>
      </c>
      <c r="BA62" s="57" t="n">
        <v>1</v>
      </c>
      <c r="BB62" s="58" t="n">
        <v>0.35</v>
      </c>
      <c r="BC62" s="60" t="n">
        <v>0.7645833333333333</v>
      </c>
      <c r="BD62" s="83">
        <f>MOD(BC62-BB62,1)*24</f>
        <v/>
      </c>
      <c r="BE62" s="41" t="n">
        <v>1</v>
      </c>
      <c r="BF62" s="41" t="n"/>
      <c r="BG62" s="57" t="n"/>
      <c r="BH62" s="83" t="n"/>
      <c r="BI62" s="57" t="n"/>
      <c r="BJ62" s="58" t="n">
        <v>0.3375</v>
      </c>
      <c r="BK62" s="58" t="n">
        <v>0.8472222222222222</v>
      </c>
      <c r="BL62" s="83">
        <f>MOD(BK62-BJ62,1)*24</f>
        <v/>
      </c>
      <c r="BM62" s="57" t="n">
        <v>1</v>
      </c>
      <c r="BN62" s="58" t="n">
        <v>0.3493055555555555</v>
      </c>
      <c r="BO62" s="58" t="n">
        <v>0.7506944444444444</v>
      </c>
      <c r="BP62" s="83">
        <f>MOD(BO62-BN62,1)*24</f>
        <v/>
      </c>
      <c r="BQ62" s="57" t="n">
        <v>1</v>
      </c>
      <c r="BR62" s="58" t="n">
        <v>0.8520833333333333</v>
      </c>
      <c r="BS62" s="57" t="n"/>
      <c r="BT62" s="83" t="n"/>
      <c r="BU62" s="57" t="n">
        <v>0.5</v>
      </c>
      <c r="BV62" s="58" t="n">
        <v>0.3486111111111111</v>
      </c>
      <c r="BW62" s="60" t="n">
        <v>0.7506944444444444</v>
      </c>
      <c r="BX62" s="83">
        <f>MOD(BW62-BV62,1)*24</f>
        <v/>
      </c>
      <c r="BY62" s="41" t="n">
        <v>1</v>
      </c>
      <c r="BZ62" s="41" t="n"/>
      <c r="CA62" s="41" t="n"/>
      <c r="CB62" s="83" t="n"/>
      <c r="CC62" s="41" t="n"/>
      <c r="CD62" s="41" t="n"/>
      <c r="CE62" s="57" t="n"/>
      <c r="CF62" s="83" t="n"/>
      <c r="CG62" s="57" t="n"/>
      <c r="CH62" s="58" t="n">
        <v>0.3381944444444445</v>
      </c>
      <c r="CI62" s="58" t="n">
        <v>0.7541666666666667</v>
      </c>
      <c r="CJ62" s="83">
        <f>MOD(CI62-CH62,1)*24</f>
        <v/>
      </c>
      <c r="CK62" s="57" t="n">
        <v>1</v>
      </c>
      <c r="CL62" s="58" t="n">
        <v>0.3486111111111111</v>
      </c>
      <c r="CM62" s="58" t="n">
        <v>0.8458333333333333</v>
      </c>
      <c r="CN62" s="83">
        <f>MOD(CM62-CL62,1)*24</f>
        <v/>
      </c>
      <c r="CO62" s="57" t="n">
        <v>1</v>
      </c>
      <c r="CP62" s="58" t="n">
        <v>0.3493055555555555</v>
      </c>
      <c r="CQ62" s="58" t="n">
        <v>0.88125</v>
      </c>
      <c r="CR62" s="83">
        <f>MOD(CQ62-CP62,1)*24</f>
        <v/>
      </c>
      <c r="CS62" s="57" t="n">
        <v>1</v>
      </c>
      <c r="CT62" s="58" t="n">
        <v>0.3472222222222222</v>
      </c>
      <c r="CU62" s="58" t="n">
        <v>0.7576388888888889</v>
      </c>
      <c r="CV62" s="83">
        <f>MOD(CU62-CT62,1)*24</f>
        <v/>
      </c>
      <c r="CW62" s="57" t="n">
        <v>1</v>
      </c>
      <c r="CX62" s="58" t="n">
        <v>0.3472222222222222</v>
      </c>
      <c r="CY62" s="58" t="n">
        <v>0.8409722222222222</v>
      </c>
      <c r="CZ62" s="83">
        <f>MOD(CY62-CX62,1)*24</f>
        <v/>
      </c>
      <c r="DA62" s="57" t="n">
        <v>1</v>
      </c>
      <c r="DB62" s="58" t="n">
        <v>0.3486111111111111</v>
      </c>
      <c r="DC62" s="58" t="n">
        <v>0.8854166666666666</v>
      </c>
      <c r="DD62" s="83">
        <f>MOD(DC62-DB62,1)*24</f>
        <v/>
      </c>
      <c r="DE62" s="57" t="n">
        <v>1</v>
      </c>
      <c r="DF62" s="58" t="n">
        <v>0.3479166666666667</v>
      </c>
      <c r="DG62" s="60" t="n">
        <v>0.75625</v>
      </c>
      <c r="DH62" s="83">
        <f>MOD(DG62-DF62,1)*24</f>
        <v/>
      </c>
      <c r="DI62" s="41" t="n">
        <v>1</v>
      </c>
      <c r="DJ62" s="41" t="n"/>
      <c r="DK62" s="41" t="n"/>
      <c r="DL62" s="83" t="n"/>
      <c r="DM62" s="41" t="n"/>
      <c r="DN62" s="58" t="n">
        <v>0.3409722222222222</v>
      </c>
      <c r="DO62" s="58" t="n">
        <v>0.9048611111111111</v>
      </c>
      <c r="DP62" s="83">
        <f>MOD(DO62-DN62,1)*24</f>
        <v/>
      </c>
      <c r="DQ62" s="57" t="n">
        <v>1</v>
      </c>
      <c r="DR62" s="61" t="n">
        <v>0.3493055555555555</v>
      </c>
      <c r="DS62" s="65" t="n"/>
      <c r="DT62" s="83" t="n"/>
      <c r="DU62" s="41" t="n">
        <v>0.5</v>
      </c>
      <c r="DV62" s="61" t="n"/>
      <c r="DW62" s="65" t="n"/>
      <c r="DX62" s="83" t="n"/>
      <c r="DY62" s="41" t="n"/>
      <c r="DZ62" s="84">
        <f>H62+L62+P62+T62+X62+AB62+AF62+AJ62+AN62+AR62+AV62+AZ62+BD62+BH62+BL62+BP62+BT62+BX62+CB62+CF62+CJ62+CN62+CR62+CV62+CZ62+DD62+DH62+DL62+DP62+DT62</f>
        <v/>
      </c>
      <c r="EA62" s="84">
        <f>I62+M62+Q62+U62+Y62+AC62+AG62+AK62+AO62+AS62+AW62+BA62+BE62+BI62+BM62+BQ62+BU62+BY62+CC62+CG62+CK62+CO62+CS62+CW62+DA62+DE62+DI62+DM62+DQ62+DU62</f>
        <v/>
      </c>
    </row>
    <row r="63" ht="59" customFormat="1" customHeight="1" s="54">
      <c r="A63" s="55" t="inlineStr">
        <is>
          <t>五楼</t>
        </is>
      </c>
      <c r="B63" s="56" t="inlineStr">
        <is>
          <t>许军</t>
        </is>
      </c>
      <c r="C63" s="41" t="n">
        <v>65</v>
      </c>
      <c r="D63" s="41" t="inlineStr">
        <is>
          <t>设计部</t>
        </is>
      </c>
      <c r="E63" s="57" t="inlineStr">
        <is>
          <t>设计组</t>
        </is>
      </c>
      <c r="F63" s="41" t="n"/>
      <c r="G63" s="41" t="n"/>
      <c r="H63" s="83" t="n"/>
      <c r="I63" s="41" t="n"/>
      <c r="J63" s="41" t="n"/>
      <c r="K63" s="41" t="n"/>
      <c r="L63" s="83" t="n"/>
      <c r="M63" s="41" t="n"/>
      <c r="N63" s="41" t="n"/>
      <c r="O63" s="41" t="n"/>
      <c r="P63" s="83" t="n"/>
      <c r="Q63" s="41" t="n"/>
      <c r="R63" s="41" t="n"/>
      <c r="S63" s="41" t="n"/>
      <c r="T63" s="83" t="n"/>
      <c r="U63" s="41" t="n"/>
      <c r="V63" s="41" t="n"/>
      <c r="W63" s="41" t="n"/>
      <c r="X63" s="83" t="n"/>
      <c r="Y63" s="41" t="n"/>
      <c r="Z63" s="41" t="n"/>
      <c r="AA63" s="41" t="n"/>
      <c r="AB63" s="83" t="n"/>
      <c r="AC63" s="41" t="n"/>
      <c r="AD63" s="41" t="n"/>
      <c r="AE63" s="41" t="n"/>
      <c r="AF63" s="83" t="n"/>
      <c r="AG63" s="41" t="n"/>
      <c r="AH63" s="41" t="n"/>
      <c r="AI63" s="41" t="n"/>
      <c r="AJ63" s="83" t="n"/>
      <c r="AK63" s="41" t="n"/>
      <c r="AL63" s="41" t="n"/>
      <c r="AM63" s="41" t="n"/>
      <c r="AN63" s="83" t="n"/>
      <c r="AO63" s="41" t="n"/>
      <c r="AP63" s="41" t="n"/>
      <c r="AQ63" s="41" t="n"/>
      <c r="AR63" s="83" t="n"/>
      <c r="AS63" s="41" t="n"/>
      <c r="AT63" s="41" t="n"/>
      <c r="AU63" s="41" t="n"/>
      <c r="AV63" s="83" t="n"/>
      <c r="AW63" s="41" t="n"/>
      <c r="AX63" s="41" t="n"/>
      <c r="AY63" s="41" t="n"/>
      <c r="AZ63" s="83" t="n"/>
      <c r="BA63" s="41" t="n"/>
      <c r="BB63" s="41" t="n"/>
      <c r="BC63" s="41" t="n"/>
      <c r="BD63" s="83" t="n"/>
      <c r="BE63" s="41" t="n"/>
      <c r="BF63" s="41" t="n"/>
      <c r="BG63" s="57" t="n"/>
      <c r="BH63" s="83" t="n"/>
      <c r="BI63" s="57" t="n"/>
      <c r="BK63" s="41" t="n"/>
      <c r="BL63" s="83" t="n"/>
      <c r="BM63" s="41" t="n"/>
      <c r="BN63" s="41" t="n"/>
      <c r="BO63" s="41" t="n"/>
      <c r="BP63" s="83" t="n"/>
      <c r="BQ63" s="41" t="n"/>
      <c r="BR63" s="41" t="n"/>
      <c r="BS63" s="41" t="n"/>
      <c r="BT63" s="83" t="n"/>
      <c r="BU63" s="41" t="n"/>
      <c r="BV63" s="41" t="n"/>
      <c r="BW63" s="41" t="n"/>
      <c r="BX63" s="83" t="n"/>
      <c r="BY63" s="41" t="n"/>
      <c r="BZ63" s="41" t="n"/>
      <c r="CA63" s="41" t="n"/>
      <c r="CB63" s="83" t="n"/>
      <c r="CC63" s="41" t="n"/>
      <c r="CD63" s="41" t="n"/>
      <c r="CE63" s="41" t="n"/>
      <c r="CF63" s="83" t="n"/>
      <c r="CG63" s="41" t="n"/>
      <c r="CH63" s="41" t="n"/>
      <c r="CI63" s="41" t="n"/>
      <c r="CJ63" s="83" t="n"/>
      <c r="CK63" s="41" t="n"/>
      <c r="CL63" s="41" t="n"/>
      <c r="CM63" s="41" t="n"/>
      <c r="CN63" s="83" t="n"/>
      <c r="CO63" s="41" t="n"/>
      <c r="CP63" s="41" t="n"/>
      <c r="CQ63" s="41" t="n"/>
      <c r="CR63" s="83" t="n"/>
      <c r="CS63" s="41" t="n"/>
      <c r="CT63" s="41" t="n"/>
      <c r="CU63" s="41" t="n"/>
      <c r="CV63" s="83" t="n"/>
      <c r="CW63" s="41" t="n"/>
      <c r="CX63" s="41" t="n"/>
      <c r="CY63" s="41" t="n"/>
      <c r="CZ63" s="83" t="n"/>
      <c r="DA63" s="41" t="n"/>
      <c r="DB63" s="41" t="n"/>
      <c r="DC63" s="41" t="n"/>
      <c r="DD63" s="83" t="n"/>
      <c r="DE63" s="41" t="n"/>
      <c r="DF63" s="41" t="n"/>
      <c r="DG63" s="41" t="n"/>
      <c r="DH63" s="83" t="n"/>
      <c r="DI63" s="41" t="n"/>
      <c r="DJ63" s="41" t="n"/>
      <c r="DK63" s="41" t="n"/>
      <c r="DL63" s="83" t="n"/>
      <c r="DM63" s="41" t="n"/>
      <c r="DN63" s="41" t="n"/>
      <c r="DO63" s="41" t="n"/>
      <c r="DP63" s="83" t="n"/>
      <c r="DQ63" s="41" t="n"/>
      <c r="DR63" s="64" t="n"/>
      <c r="DS63" s="65" t="n"/>
      <c r="DT63" s="83" t="n"/>
      <c r="DU63" s="66" t="n"/>
      <c r="DV63" s="64" t="n"/>
      <c r="DW63" s="65" t="n"/>
      <c r="DX63" s="83" t="n"/>
      <c r="DY63" s="66" t="n"/>
      <c r="DZ63" s="84" t="n"/>
      <c r="EA63" s="84" t="n"/>
    </row>
    <row r="64" ht="59" customFormat="1" customHeight="1" s="54">
      <c r="A64" s="55" t="inlineStr">
        <is>
          <t>五楼</t>
        </is>
      </c>
      <c r="B64" s="56" t="inlineStr">
        <is>
          <t>王美镪</t>
        </is>
      </c>
      <c r="C64" s="41" t="n">
        <v>66</v>
      </c>
      <c r="D64" s="41" t="inlineStr">
        <is>
          <t>信息部</t>
        </is>
      </c>
      <c r="E64" s="57" t="inlineStr">
        <is>
          <t>信息部</t>
        </is>
      </c>
      <c r="F64" s="57" t="inlineStr">
        <is>
          <t>08:26</t>
        </is>
      </c>
      <c r="G64" s="58" t="n">
        <v>0.7520833333333333</v>
      </c>
      <c r="H64" s="83">
        <f>MOD(G64-F64,1)*24</f>
        <v/>
      </c>
      <c r="I64" s="57" t="n">
        <v>1</v>
      </c>
      <c r="J64" s="58" t="n">
        <v>0.35</v>
      </c>
      <c r="K64" s="58" t="n">
        <v>0.7645833333333333</v>
      </c>
      <c r="L64" s="83">
        <f>MOD(K64-J64,1)*24</f>
        <v/>
      </c>
      <c r="M64" s="57" t="n">
        <v>1</v>
      </c>
      <c r="N64" s="58" t="n">
        <v>0.3506944444444444</v>
      </c>
      <c r="O64" s="58" t="n">
        <v>0.7555555555555555</v>
      </c>
      <c r="P64" s="83">
        <f>MOD(O64-N64,1)*24</f>
        <v/>
      </c>
      <c r="Q64" s="57" t="n">
        <v>1</v>
      </c>
      <c r="R64" s="58" t="n">
        <v>0.35</v>
      </c>
      <c r="S64" s="58" t="n">
        <v>0.7520833333333333</v>
      </c>
      <c r="T64" s="83">
        <f>MOD(S64-R64,1)*24</f>
        <v/>
      </c>
      <c r="U64" s="57" t="n">
        <v>1</v>
      </c>
      <c r="V64" s="58" t="n">
        <v>0.35</v>
      </c>
      <c r="W64" s="60" t="n">
        <v>0.8451388888888889</v>
      </c>
      <c r="X64" s="83">
        <f>MOD(W64-V64,1)*24</f>
        <v/>
      </c>
      <c r="Y64" s="57" t="n">
        <v>1</v>
      </c>
      <c r="Z64" s="58" t="n">
        <v>0.35</v>
      </c>
      <c r="AA64" s="60" t="n">
        <v>0.75625</v>
      </c>
      <c r="AB64" s="83">
        <f>MOD(AA64-Z64,1)*24</f>
        <v/>
      </c>
      <c r="AC64" s="41" t="n">
        <v>1</v>
      </c>
      <c r="AD64" s="41" t="n"/>
      <c r="AE64" s="57" t="n"/>
      <c r="AF64" s="83" t="n"/>
      <c r="AG64" s="57" t="n"/>
      <c r="AH64" s="58" t="n">
        <v>0.3479166666666667</v>
      </c>
      <c r="AI64" s="58" t="n">
        <v>0.7513888888888889</v>
      </c>
      <c r="AJ64" s="83">
        <f>MOD(AI64-AH64,1)*24</f>
        <v/>
      </c>
      <c r="AK64" s="57" t="n">
        <v>1</v>
      </c>
      <c r="AL64" s="58" t="n">
        <v>0.3486111111111111</v>
      </c>
      <c r="AM64" s="58" t="n">
        <v>0.8736111111111111</v>
      </c>
      <c r="AN64" s="83">
        <f>MOD(AM64-AL64,1)*24</f>
        <v/>
      </c>
      <c r="AO64" s="57" t="n">
        <v>1</v>
      </c>
      <c r="AP64" s="58" t="n">
        <v>0.3493055555555555</v>
      </c>
      <c r="AQ64" s="58" t="n">
        <v>0.7506944444444444</v>
      </c>
      <c r="AR64" s="83">
        <f>MOD(AQ64-AP64,1)*24</f>
        <v/>
      </c>
      <c r="AS64" s="57" t="n">
        <v>1</v>
      </c>
      <c r="AT64" s="58" t="n">
        <v>0.35</v>
      </c>
      <c r="AU64" s="58" t="n">
        <v>0.7513888888888889</v>
      </c>
      <c r="AV64" s="83">
        <f>MOD(AU64-AT64,1)*24</f>
        <v/>
      </c>
      <c r="AW64" s="57" t="n">
        <v>1</v>
      </c>
      <c r="AX64" s="58" t="n">
        <v>0.3506944444444444</v>
      </c>
      <c r="AY64" s="58" t="n">
        <v>0.7506944444444444</v>
      </c>
      <c r="AZ64" s="83">
        <f>MOD(AY64-AX64,1)*24</f>
        <v/>
      </c>
      <c r="BA64" s="57" t="n">
        <v>1</v>
      </c>
      <c r="BB64" s="58" t="n">
        <v>0.3506944444444444</v>
      </c>
      <c r="BC64" s="60" t="n">
        <v>0.7555555555555555</v>
      </c>
      <c r="BD64" s="83">
        <f>MOD(BC64-BB64,1)*24</f>
        <v/>
      </c>
      <c r="BE64" s="41" t="n">
        <v>1</v>
      </c>
      <c r="BF64" s="41" t="n"/>
      <c r="BG64" s="57" t="n"/>
      <c r="BH64" s="83" t="n"/>
      <c r="BI64" s="57" t="n"/>
      <c r="BJ64" s="58" t="n">
        <v>0.3506944444444444</v>
      </c>
      <c r="BK64" s="58" t="n">
        <v>0.7520833333333333</v>
      </c>
      <c r="BL64" s="83">
        <f>MOD(BK64-BJ64,1)*24</f>
        <v/>
      </c>
      <c r="BM64" s="57" t="n">
        <v>1</v>
      </c>
      <c r="BN64" s="58" t="n">
        <v>0.3527777777777778</v>
      </c>
      <c r="BO64" s="58" t="n">
        <v>0.7513888888888889</v>
      </c>
      <c r="BP64" s="83">
        <f>MOD(BO64-BN64,1)*24</f>
        <v/>
      </c>
      <c r="BQ64" s="57" t="n">
        <v>1</v>
      </c>
      <c r="BR64" s="58" t="n">
        <v>0.3506944444444444</v>
      </c>
      <c r="BS64" s="60" t="n">
        <v>0.7506944444444444</v>
      </c>
      <c r="BT64" s="83">
        <f>MOD(BS64-BR64,1)*24</f>
        <v/>
      </c>
      <c r="BU64" s="57" t="n">
        <v>1</v>
      </c>
      <c r="BV64" s="41" t="n"/>
      <c r="BW64" s="41" t="n"/>
      <c r="BX64" s="83" t="n"/>
      <c r="BY64" s="41" t="n"/>
      <c r="BZ64" s="41" t="n"/>
      <c r="CA64" s="41" t="n"/>
      <c r="CB64" s="83" t="n"/>
      <c r="CC64" s="41" t="n"/>
      <c r="CD64" s="41" t="n"/>
      <c r="CE64" s="57" t="n"/>
      <c r="CF64" s="83" t="n"/>
      <c r="CG64" s="57" t="n"/>
      <c r="CH64" s="58" t="n">
        <v>0.3451388888888889</v>
      </c>
      <c r="CI64" s="58" t="n">
        <v>0.7520833333333333</v>
      </c>
      <c r="CJ64" s="83">
        <f>MOD(CI64-CH64,1)*24</f>
        <v/>
      </c>
      <c r="CK64" s="57" t="n">
        <v>1</v>
      </c>
      <c r="CL64" s="58" t="n">
        <v>0.3493055555555555</v>
      </c>
      <c r="CM64" s="58" t="n">
        <v>0.7555555555555555</v>
      </c>
      <c r="CN64" s="83">
        <f>MOD(CM64-CL64,1)*24</f>
        <v/>
      </c>
      <c r="CO64" s="57" t="n">
        <v>1</v>
      </c>
      <c r="CP64" s="58" t="n">
        <v>0.3513888888888889</v>
      </c>
      <c r="CQ64" s="57" t="n"/>
      <c r="CR64" s="83" t="n"/>
      <c r="CS64" s="57" t="n">
        <v>0.5</v>
      </c>
      <c r="CT64" s="58" t="n">
        <v>0.35</v>
      </c>
      <c r="CU64" s="58" t="n">
        <v>0.7555555555555555</v>
      </c>
      <c r="CV64" s="83">
        <f>MOD(CU64-CT64,1)*24</f>
        <v/>
      </c>
      <c r="CW64" s="57" t="n">
        <v>1</v>
      </c>
      <c r="CX64" s="58" t="n">
        <v>0.3493055555555555</v>
      </c>
      <c r="CY64" s="58" t="n">
        <v>0.7590277777777777</v>
      </c>
      <c r="CZ64" s="83">
        <f>MOD(CY64-CX64,1)*24</f>
        <v/>
      </c>
      <c r="DA64" s="57" t="n">
        <v>1</v>
      </c>
      <c r="DB64" s="58" t="n">
        <v>0.3520833333333334</v>
      </c>
      <c r="DC64" s="58" t="n">
        <v>0.7583333333333333</v>
      </c>
      <c r="DD64" s="83">
        <f>MOD(DC64-DB64,1)*24</f>
        <v/>
      </c>
      <c r="DE64" s="57" t="n">
        <v>1</v>
      </c>
      <c r="DF64" s="58" t="n">
        <v>0.35</v>
      </c>
      <c r="DG64" s="58" t="n">
        <v>0.7534722222222222</v>
      </c>
      <c r="DH64" s="83">
        <f>MOD(DG64-DF64,1)*24</f>
        <v/>
      </c>
      <c r="DI64" s="41" t="n">
        <v>1</v>
      </c>
      <c r="DJ64" s="58" t="n">
        <v>0.3430555555555556</v>
      </c>
      <c r="DK64" s="58" t="n">
        <v>0.75</v>
      </c>
      <c r="DL64" s="83">
        <f>MOD(DK64-DJ64,1)*24</f>
        <v/>
      </c>
      <c r="DM64" s="57" t="n">
        <v>1</v>
      </c>
      <c r="DN64" s="58" t="n">
        <v>0.35</v>
      </c>
      <c r="DO64" s="58" t="n">
        <v>0.7506944444444444</v>
      </c>
      <c r="DP64" s="83">
        <f>MOD(DO64-DN64,1)*24</f>
        <v/>
      </c>
      <c r="DQ64" s="57" t="n">
        <v>1</v>
      </c>
      <c r="DR64" s="61" t="n">
        <v>0.35</v>
      </c>
      <c r="DS64" s="65" t="n"/>
      <c r="DT64" s="83">
        <f>MOD(DS64-DR64,1)*24</f>
        <v/>
      </c>
      <c r="DU64" s="41" t="n">
        <v>1</v>
      </c>
      <c r="DV64" s="61" t="n"/>
      <c r="DW64" s="65" t="n"/>
      <c r="DX64" s="83" t="n"/>
      <c r="DY64" s="41" t="n"/>
      <c r="DZ64" s="84">
        <f>H64+L64+P64+T64+X64+AB64+AF64+AJ64+AN64+AR64+AV64+AZ64+BD64+BH64+BL64+BP64+BT64+BX64+CB64+CF64+CJ64+CN64+CR64+CV64+CZ64+DD64+DH64+DL64+DP64+DT64</f>
        <v/>
      </c>
      <c r="EA64" s="84">
        <f>I64+M64+Q64+U64+Y64+AC64+AG64+AK64+AO64+AS64+AW64+BA64+BE64+BI64+BM64+BQ64+BU64+BY64+CC64+CG64+CK64+CO64+CS64+CW64+DA64+DE64+DI64+DM64+DQ64+DU64</f>
        <v/>
      </c>
    </row>
    <row r="65" ht="59" customFormat="1" customHeight="1" s="54">
      <c r="A65" s="55" t="inlineStr">
        <is>
          <t>五楼</t>
        </is>
      </c>
      <c r="B65" s="56" t="inlineStr">
        <is>
          <t>王美镪</t>
        </is>
      </c>
      <c r="C65" s="41" t="n">
        <v>66</v>
      </c>
      <c r="D65" s="41" t="inlineStr">
        <is>
          <t>信息部</t>
        </is>
      </c>
      <c r="E65" s="57" t="inlineStr">
        <is>
          <t>信息部</t>
        </is>
      </c>
      <c r="F65" s="41" t="n"/>
      <c r="G65" s="41" t="n"/>
      <c r="H65" s="83" t="n"/>
      <c r="I65" s="41" t="n"/>
      <c r="J65" s="41" t="n"/>
      <c r="K65" s="41" t="n"/>
      <c r="L65" s="83" t="n"/>
      <c r="M65" s="41" t="n"/>
      <c r="N65" s="41" t="n"/>
      <c r="O65" s="41" t="n"/>
      <c r="P65" s="83" t="n"/>
      <c r="Q65" s="41" t="n"/>
      <c r="R65" s="41" t="n"/>
      <c r="S65" s="41" t="n"/>
      <c r="T65" s="83" t="n"/>
      <c r="U65" s="41" t="n"/>
      <c r="V65" s="58" t="n"/>
      <c r="X65" s="83" t="n"/>
      <c r="Y65" s="41" t="n"/>
      <c r="Z65" s="41" t="n"/>
      <c r="AA65" s="41" t="n"/>
      <c r="AB65" s="83" t="n"/>
      <c r="AC65" s="41" t="n"/>
      <c r="AD65" s="41" t="n"/>
      <c r="AE65" s="41" t="n"/>
      <c r="AF65" s="83" t="n"/>
      <c r="AG65" s="41" t="n"/>
      <c r="AH65" s="41" t="n"/>
      <c r="AI65" s="57" t="n"/>
      <c r="AJ65" s="83" t="n"/>
      <c r="AK65" s="57" t="n"/>
      <c r="AM65" s="41" t="n"/>
      <c r="AN65" s="83" t="n"/>
      <c r="AO65" s="41" t="n"/>
      <c r="AP65" s="41" t="n"/>
      <c r="AQ65" s="41" t="n"/>
      <c r="AR65" s="83" t="n"/>
      <c r="AS65" s="41" t="n"/>
      <c r="AT65" s="41" t="n"/>
      <c r="AU65" s="41" t="n"/>
      <c r="AV65" s="83" t="n"/>
      <c r="AW65" s="41" t="n"/>
      <c r="AX65" s="41" t="n"/>
      <c r="AY65" s="41" t="n"/>
      <c r="AZ65" s="83" t="n"/>
      <c r="BA65" s="41" t="n"/>
      <c r="BB65" s="41" t="n"/>
      <c r="BC65" s="41" t="n"/>
      <c r="BD65" s="83" t="n"/>
      <c r="BE65" s="41" t="n"/>
      <c r="BF65" s="41" t="n"/>
      <c r="BG65" s="41" t="n"/>
      <c r="BH65" s="83" t="n"/>
      <c r="BI65" s="41" t="n"/>
      <c r="BJ65" s="41" t="n"/>
      <c r="BK65" s="41" t="n"/>
      <c r="BL65" s="83" t="n"/>
      <c r="BM65" s="41" t="n"/>
      <c r="BN65" s="41" t="n"/>
      <c r="BO65" s="41" t="n"/>
      <c r="BP65" s="83" t="n"/>
      <c r="BQ65" s="41" t="n"/>
      <c r="BR65" s="41" t="n"/>
      <c r="BS65" s="41" t="n"/>
      <c r="BT65" s="83" t="n"/>
      <c r="BU65" s="41" t="n"/>
      <c r="BV65" s="41" t="n"/>
      <c r="BW65" s="41" t="n"/>
      <c r="BX65" s="83" t="n"/>
      <c r="BY65" s="41" t="n"/>
      <c r="BZ65" s="41" t="n"/>
      <c r="CA65" s="41" t="n"/>
      <c r="CB65" s="83" t="n"/>
      <c r="CC65" s="41" t="n"/>
      <c r="CD65" s="41" t="n"/>
      <c r="CE65" s="41" t="n"/>
      <c r="CF65" s="83" t="n"/>
      <c r="CG65" s="41" t="n"/>
      <c r="CH65" s="41" t="n"/>
      <c r="CI65" s="41" t="n"/>
      <c r="CJ65" s="83" t="n"/>
      <c r="CK65" s="41" t="n"/>
      <c r="CL65" s="41" t="n"/>
      <c r="CM65" s="41" t="n"/>
      <c r="CN65" s="83" t="n"/>
      <c r="CO65" s="41" t="n"/>
      <c r="CP65" s="41" t="n"/>
      <c r="CQ65" s="41" t="n"/>
      <c r="CR65" s="83" t="n"/>
      <c r="CS65" s="41" t="n"/>
      <c r="CT65" s="41" t="n"/>
      <c r="CU65" s="41" t="n"/>
      <c r="CV65" s="83" t="n"/>
      <c r="CW65" s="41" t="n"/>
      <c r="CX65" s="41" t="n"/>
      <c r="CY65" s="41" t="n"/>
      <c r="CZ65" s="83" t="n"/>
      <c r="DA65" s="41" t="n"/>
      <c r="DB65" s="41" t="n"/>
      <c r="DC65" s="41" t="n"/>
      <c r="DD65" s="83" t="n"/>
      <c r="DE65" s="41" t="n"/>
      <c r="DF65" s="41" t="n"/>
      <c r="DG65" s="41" t="n"/>
      <c r="DH65" s="83" t="n"/>
      <c r="DI65" s="41" t="n"/>
      <c r="DJ65" s="41" t="n"/>
      <c r="DK65" s="41" t="n"/>
      <c r="DL65" s="83" t="n"/>
      <c r="DM65" s="41" t="n"/>
      <c r="DN65" s="41" t="n"/>
      <c r="DO65" s="41" t="n"/>
      <c r="DP65" s="83" t="n"/>
      <c r="DQ65" s="41" t="n"/>
      <c r="DR65" s="64" t="n"/>
      <c r="DS65" s="65" t="n"/>
      <c r="DT65" s="83" t="n"/>
      <c r="DU65" s="66" t="n"/>
      <c r="DV65" s="64" t="n"/>
      <c r="DW65" s="65" t="n"/>
      <c r="DX65" s="83" t="n"/>
      <c r="DY65" s="66" t="n"/>
      <c r="DZ65" s="84" t="n"/>
      <c r="EA65" s="84" t="n"/>
    </row>
    <row r="66" ht="59" customFormat="1" customHeight="1" s="54">
      <c r="A66" s="55" t="inlineStr">
        <is>
          <t>五楼</t>
        </is>
      </c>
      <c r="B66" s="56" t="inlineStr">
        <is>
          <t>黄义晴</t>
        </is>
      </c>
      <c r="C66" s="41" t="n">
        <v>67</v>
      </c>
      <c r="D66" s="41" t="inlineStr">
        <is>
          <t>综合部</t>
        </is>
      </c>
      <c r="E66" s="57" t="inlineStr">
        <is>
          <t>财务核价</t>
        </is>
      </c>
      <c r="F66" s="57" t="inlineStr">
        <is>
          <t>08:20</t>
        </is>
      </c>
      <c r="G66" s="58" t="n">
        <v>0.7506944444444444</v>
      </c>
      <c r="H66" s="83">
        <f>MOD(G66-F66,1)*24</f>
        <v/>
      </c>
      <c r="I66" s="57" t="n">
        <v>1</v>
      </c>
      <c r="J66" s="58" t="n">
        <v>0.3472222222222222</v>
      </c>
      <c r="K66" s="58" t="n">
        <v>0.7506944444444444</v>
      </c>
      <c r="L66" s="83">
        <f>MOD(K66-J66,1)*24</f>
        <v/>
      </c>
      <c r="M66" s="57" t="n">
        <v>1</v>
      </c>
      <c r="N66" s="58" t="n">
        <v>0.3493055555555555</v>
      </c>
      <c r="O66" s="58" t="n">
        <v>0.75</v>
      </c>
      <c r="P66" s="83">
        <f>MOD(O66-N66,1)*24</f>
        <v/>
      </c>
      <c r="Q66" s="57" t="n">
        <v>1</v>
      </c>
      <c r="R66" s="58" t="n">
        <v>0.3472222222222222</v>
      </c>
      <c r="S66" s="58" t="n">
        <v>0.75</v>
      </c>
      <c r="T66" s="83">
        <f>MOD(S66-R66,1)*24</f>
        <v/>
      </c>
      <c r="U66" s="57" t="n">
        <v>1</v>
      </c>
      <c r="V66" s="58" t="n">
        <v>0.3472222222222222</v>
      </c>
      <c r="W66" s="58" t="n">
        <v>0.7506944444444444</v>
      </c>
      <c r="X66" s="83">
        <f>MOD(W66-V66,1)*24</f>
        <v/>
      </c>
      <c r="Y66" s="57" t="n">
        <v>1</v>
      </c>
      <c r="Z66" s="58" t="n">
        <v>0.3472222222222222</v>
      </c>
      <c r="AA66" s="58" t="n">
        <v>0.7506944444444444</v>
      </c>
      <c r="AB66" s="83">
        <f>MOD(AA66-Z66,1)*24</f>
        <v/>
      </c>
      <c r="AC66" s="41" t="n">
        <v>1</v>
      </c>
      <c r="AD66" s="58" t="n">
        <v>0.3486111111111111</v>
      </c>
      <c r="AE66" s="58" t="n">
        <v>0.7555555555555555</v>
      </c>
      <c r="AF66" s="83">
        <f>MOD(AE66-AD66,1)*24</f>
        <v/>
      </c>
      <c r="AG66" s="57" t="n">
        <v>1</v>
      </c>
      <c r="AH66" s="58" t="n">
        <v>0.3486111111111111</v>
      </c>
      <c r="AI66" s="58" t="n">
        <v>0.7506944444444444</v>
      </c>
      <c r="AJ66" s="83">
        <f>MOD(AI66-AH66,1)*24</f>
        <v/>
      </c>
      <c r="AK66" s="57" t="n">
        <v>1</v>
      </c>
      <c r="AL66" s="58" t="n">
        <v>0.3479166666666667</v>
      </c>
      <c r="AM66" s="58" t="n">
        <v>0.7506944444444444</v>
      </c>
      <c r="AN66" s="83">
        <f>MOD(AM66-AL66,1)*24</f>
        <v/>
      </c>
      <c r="AO66" s="57" t="n">
        <v>1</v>
      </c>
      <c r="AP66" s="58" t="n">
        <v>0.3479166666666667</v>
      </c>
      <c r="AQ66" s="58" t="n">
        <v>0.7506944444444444</v>
      </c>
      <c r="AR66" s="83">
        <f>MOD(AQ66-AP66,1)*24</f>
        <v/>
      </c>
      <c r="AS66" s="57" t="n">
        <v>1</v>
      </c>
      <c r="AT66" s="58" t="n">
        <v>0.3465277777777778</v>
      </c>
      <c r="AU66" s="60" t="n">
        <v>0.7506944444444444</v>
      </c>
      <c r="AV66" s="83">
        <f>MOD(AU66-AT66,1)*24</f>
        <v/>
      </c>
      <c r="AW66" s="57" t="n">
        <v>1</v>
      </c>
      <c r="AX66" s="41" t="n"/>
      <c r="AY66" s="41" t="n"/>
      <c r="AZ66" s="83" t="n"/>
      <c r="BA66" s="41" t="n"/>
      <c r="BB66" s="41" t="n"/>
      <c r="BC66" s="41" t="n"/>
      <c r="BD66" s="83" t="n"/>
      <c r="BE66" s="41" t="n"/>
      <c r="BF66" s="41" t="n"/>
      <c r="BG66" s="57" t="n"/>
      <c r="BH66" s="83" t="n"/>
      <c r="BI66" s="57" t="n"/>
      <c r="BJ66" s="58" t="n">
        <v>0.3465277777777778</v>
      </c>
      <c r="BK66" s="58" t="n">
        <v>0.75</v>
      </c>
      <c r="BL66" s="83">
        <f>MOD(BK66-BJ66,1)*24</f>
        <v/>
      </c>
      <c r="BM66" s="57" t="n">
        <v>1</v>
      </c>
      <c r="BN66" s="58" t="n">
        <v>0.3479166666666667</v>
      </c>
      <c r="BO66" s="58" t="n">
        <v>0.7506944444444444</v>
      </c>
      <c r="BP66" s="83">
        <f>MOD(BO66-BN66,1)*24</f>
        <v/>
      </c>
      <c r="BQ66" s="57" t="n">
        <v>1</v>
      </c>
      <c r="BR66" s="58" t="n">
        <v>0.3472222222222222</v>
      </c>
      <c r="BS66" s="58" t="n">
        <v>0.75</v>
      </c>
      <c r="BT66" s="83">
        <f>MOD(BS66-BR66,1)*24</f>
        <v/>
      </c>
      <c r="BU66" s="57" t="n">
        <v>1</v>
      </c>
      <c r="BV66" s="58" t="n">
        <v>0.3472222222222222</v>
      </c>
      <c r="BW66" s="60" t="n">
        <v>0.7506944444444444</v>
      </c>
      <c r="BX66" s="83">
        <f>MOD(BW66-BV66,1)*24</f>
        <v/>
      </c>
      <c r="BY66" s="41" t="n">
        <v>1</v>
      </c>
      <c r="BZ66" s="41" t="n"/>
      <c r="CA66" s="57" t="n"/>
      <c r="CB66" s="83" t="n"/>
      <c r="CC66" s="57" t="n"/>
      <c r="CD66" s="58" t="n">
        <v>0.3486111111111111</v>
      </c>
      <c r="CE66" s="58" t="n">
        <v>0.75</v>
      </c>
      <c r="CF66" s="83">
        <f>MOD(CE66-CD66,1)*24</f>
        <v/>
      </c>
      <c r="CG66" s="57" t="n">
        <v>1</v>
      </c>
      <c r="CH66" s="58" t="n">
        <v>0.3479166666666667</v>
      </c>
      <c r="CI66" s="58" t="n">
        <v>0.7506944444444444</v>
      </c>
      <c r="CJ66" s="83">
        <f>MOD(CI66-CH66,1)*24</f>
        <v/>
      </c>
      <c r="CK66" s="57" t="n">
        <v>1</v>
      </c>
      <c r="CL66" s="58" t="n">
        <v>0.3493055555555555</v>
      </c>
      <c r="CM66" s="58" t="n">
        <v>0.7506944444444444</v>
      </c>
      <c r="CN66" s="83">
        <f>MOD(CM66-CL66,1)*24</f>
        <v/>
      </c>
      <c r="CO66" s="57" t="n">
        <v>1</v>
      </c>
      <c r="CP66" s="58" t="n">
        <v>0.3486111111111111</v>
      </c>
      <c r="CQ66" s="58" t="n">
        <v>0.7506944444444444</v>
      </c>
      <c r="CR66" s="83">
        <f>MOD(CQ66-CP66,1)*24</f>
        <v/>
      </c>
      <c r="CS66" s="57" t="n">
        <v>1</v>
      </c>
      <c r="CT66" s="58" t="n">
        <v>0.3493055555555555</v>
      </c>
      <c r="CU66" s="58" t="n">
        <v>0.7506944444444444</v>
      </c>
      <c r="CV66" s="83">
        <f>MOD(CU66-CT66,1)*24</f>
        <v/>
      </c>
      <c r="CW66" s="57" t="n">
        <v>1</v>
      </c>
      <c r="CX66" s="58" t="n">
        <v>0.3486111111111111</v>
      </c>
      <c r="CY66" s="58" t="n">
        <v>0.7513888888888889</v>
      </c>
      <c r="CZ66" s="83">
        <f>MOD(CY66-CX66,1)*24</f>
        <v/>
      </c>
      <c r="DA66" s="57" t="n">
        <v>1</v>
      </c>
      <c r="DB66" s="58" t="n">
        <v>0.3479166666666667</v>
      </c>
      <c r="DC66" s="58" t="n">
        <v>0.7506944444444444</v>
      </c>
      <c r="DD66" s="83">
        <f>MOD(DC66-DB66,1)*24</f>
        <v/>
      </c>
      <c r="DE66" s="57" t="n">
        <v>1</v>
      </c>
      <c r="DF66" s="58" t="n">
        <v>0.3486111111111111</v>
      </c>
      <c r="DG66" s="60" t="n">
        <v>0.7506944444444444</v>
      </c>
      <c r="DH66" s="83">
        <f>MOD(DG66-DF66,1)*24</f>
        <v/>
      </c>
      <c r="DI66" s="41" t="n">
        <v>1</v>
      </c>
      <c r="DJ66" s="41" t="n"/>
      <c r="DK66" s="41" t="n"/>
      <c r="DL66" s="83" t="n"/>
      <c r="DM66" s="41" t="n"/>
      <c r="DN66" s="58" t="n">
        <v>0.3486111111111111</v>
      </c>
      <c r="DO66" s="58" t="n">
        <v>0.7506944444444444</v>
      </c>
      <c r="DP66" s="83">
        <f>MOD(DO66-DN66,1)*24</f>
        <v/>
      </c>
      <c r="DQ66" s="57" t="n">
        <v>1</v>
      </c>
      <c r="DR66" s="61" t="n">
        <v>0.3465277777777778</v>
      </c>
      <c r="DS66" s="62" t="n">
        <v>0.9131944444444444</v>
      </c>
      <c r="DT66" s="83">
        <f>MOD(DS66-DR66,1)*24</f>
        <v/>
      </c>
      <c r="DU66" s="41" t="n">
        <v>1</v>
      </c>
      <c r="DV66" s="61" t="n"/>
      <c r="DW66" s="62" t="n"/>
      <c r="DX66" s="83" t="n"/>
      <c r="DY66" s="41" t="n"/>
      <c r="DZ66" s="84">
        <f>H66+L66+P66+T66+X66+AB66+AF66+AJ66+AN66+AR66+AV66+AZ66+BD66+BH66+BL66+BP66+BT66+BX66+CB66+CF66+CJ66+CN66+CR66+CV66+CZ66+DD66+DH66+DL66+DP66+DT66</f>
        <v/>
      </c>
      <c r="EA66" s="84">
        <f>I66+M66+Q66+U66+Y66+AC66+AG66+AK66+AO66+AS66+AW66+BA66+BE66+BI66+BM66+BQ66+BU66+BY66+CC66+CG66+CK66+CO66+CS66+CW66+DA66+DE66+DI66+DM66+DQ66+DU66</f>
        <v/>
      </c>
    </row>
    <row r="67" ht="59" customFormat="1" customHeight="1" s="54">
      <c r="A67" s="55" t="inlineStr">
        <is>
          <t>五楼</t>
        </is>
      </c>
      <c r="B67" s="56" t="inlineStr">
        <is>
          <t>何绍奇</t>
        </is>
      </c>
      <c r="C67" s="41" t="n">
        <v>69</v>
      </c>
      <c r="D67" s="41" t="inlineStr">
        <is>
          <t>信息部</t>
        </is>
      </c>
      <c r="E67" s="57" t="inlineStr">
        <is>
          <t>信息部</t>
        </is>
      </c>
      <c r="F67" s="57" t="inlineStr">
        <is>
          <t>08:24</t>
        </is>
      </c>
      <c r="G67" s="58" t="n">
        <v>0.7506944444444444</v>
      </c>
      <c r="H67" s="83">
        <f>MOD(G67-F67,1)*24</f>
        <v/>
      </c>
      <c r="I67" s="57" t="n">
        <v>1</v>
      </c>
      <c r="J67" s="58" t="n">
        <v>0.3506944444444444</v>
      </c>
      <c r="K67" s="58" t="n">
        <v>0.7673611111111112</v>
      </c>
      <c r="L67" s="83">
        <f>MOD(K67-J67,1)*24</f>
        <v/>
      </c>
      <c r="M67" s="57" t="n">
        <v>1</v>
      </c>
      <c r="N67" s="58" t="n">
        <v>0.34375</v>
      </c>
      <c r="O67" s="58" t="n">
        <v>0.7513888888888889</v>
      </c>
      <c r="P67" s="83">
        <f>MOD(O67-N67,1)*24</f>
        <v/>
      </c>
      <c r="Q67" s="57" t="n">
        <v>1</v>
      </c>
      <c r="R67" s="58" t="n">
        <v>0.3493055555555555</v>
      </c>
      <c r="S67" s="58" t="n">
        <v>0.7506944444444444</v>
      </c>
      <c r="T67" s="83">
        <f>MOD(S67-R67,1)*24</f>
        <v/>
      </c>
      <c r="U67" s="57" t="n">
        <v>1</v>
      </c>
      <c r="V67" s="58" t="n">
        <v>0.35</v>
      </c>
      <c r="W67" s="58" t="n">
        <v>0.7513888888888889</v>
      </c>
      <c r="X67" s="83">
        <f>MOD(W67-V67,1)*24</f>
        <v/>
      </c>
      <c r="Y67" s="57" t="n">
        <v>1</v>
      </c>
      <c r="Z67" s="58" t="n">
        <v>0.35</v>
      </c>
      <c r="AA67" s="60" t="n">
        <v>0.7506944444444444</v>
      </c>
      <c r="AB67" s="83">
        <f>MOD(AA67-Z67,1)*24</f>
        <v/>
      </c>
      <c r="AC67" s="41" t="n">
        <v>1</v>
      </c>
      <c r="AD67" s="41" t="n"/>
      <c r="AE67" s="57" t="n"/>
      <c r="AF67" s="83" t="n"/>
      <c r="AG67" s="57" t="n"/>
      <c r="AH67" s="58" t="n">
        <v>0.3486111111111111</v>
      </c>
      <c r="AI67" s="58" t="n">
        <v>0.7527777777777778</v>
      </c>
      <c r="AJ67" s="83">
        <f>MOD(AI67-AH67,1)*24</f>
        <v/>
      </c>
      <c r="AK67" s="57" t="n">
        <v>1</v>
      </c>
      <c r="AL67" s="58" t="n">
        <v>0.3493055555555555</v>
      </c>
      <c r="AM67" s="58" t="n">
        <v>0.7527777777777778</v>
      </c>
      <c r="AN67" s="83">
        <f>MOD(AM67-AL67,1)*24</f>
        <v/>
      </c>
      <c r="AO67" s="57" t="n">
        <v>1</v>
      </c>
      <c r="AP67" s="58" t="n">
        <v>0.35</v>
      </c>
      <c r="AQ67" s="58" t="n">
        <v>0.7534722222222222</v>
      </c>
      <c r="AR67" s="83">
        <f>MOD(AQ67-AP67,1)*24</f>
        <v/>
      </c>
      <c r="AS67" s="57" t="n">
        <v>1</v>
      </c>
      <c r="AT67" s="58" t="n">
        <v>0.3493055555555555</v>
      </c>
      <c r="AU67" s="58" t="n">
        <v>0.7527777777777778</v>
      </c>
      <c r="AV67" s="83">
        <f>MOD(AU67-AT67,1)*24</f>
        <v/>
      </c>
      <c r="AW67" s="57" t="n">
        <v>1</v>
      </c>
      <c r="AX67" s="58" t="n">
        <v>0.3479166666666667</v>
      </c>
      <c r="AY67" s="58" t="n">
        <v>0.75625</v>
      </c>
      <c r="AZ67" s="83">
        <f>MOD(AY67-AX67,1)*24</f>
        <v/>
      </c>
      <c r="BA67" s="57" t="n">
        <v>1</v>
      </c>
      <c r="BB67" s="58" t="n">
        <v>0.3506944444444444</v>
      </c>
      <c r="BC67" s="60" t="n">
        <v>0.7583333333333333</v>
      </c>
      <c r="BD67" s="83">
        <f>MOD(BC67-BB67,1)*24</f>
        <v/>
      </c>
      <c r="BE67" s="41" t="n">
        <v>1</v>
      </c>
      <c r="BF67" s="41" t="n"/>
      <c r="BG67" s="57" t="n"/>
      <c r="BH67" s="83" t="n"/>
      <c r="BI67" s="57" t="n"/>
      <c r="BJ67" s="58" t="n">
        <v>0.3486111111111111</v>
      </c>
      <c r="BK67" s="58" t="n">
        <v>0.7506944444444444</v>
      </c>
      <c r="BL67" s="83">
        <f>MOD(BK67-BJ67,1)*24</f>
        <v/>
      </c>
      <c r="BM67" s="57" t="n">
        <v>1</v>
      </c>
      <c r="BN67" s="58" t="n">
        <v>0.3493055555555555</v>
      </c>
      <c r="BO67" s="58" t="n">
        <v>0.7583333333333333</v>
      </c>
      <c r="BP67" s="83">
        <f>MOD(BO67-BN67,1)*24</f>
        <v/>
      </c>
      <c r="BQ67" s="57" t="n">
        <v>1</v>
      </c>
      <c r="BR67" s="58" t="n">
        <v>0.3493055555555555</v>
      </c>
      <c r="BS67" s="58" t="n">
        <v>0.7576388888888889</v>
      </c>
      <c r="BT67" s="83">
        <f>MOD(BS67-BR67,1)*24</f>
        <v/>
      </c>
      <c r="BU67" s="57" t="n">
        <v>1</v>
      </c>
      <c r="BV67" s="58" t="n">
        <v>0.35</v>
      </c>
      <c r="BW67" s="60" t="n">
        <v>0.7534722222222222</v>
      </c>
      <c r="BX67" s="83">
        <f>MOD(BW67-BV67,1)*24</f>
        <v/>
      </c>
      <c r="BY67" s="41" t="n">
        <v>1</v>
      </c>
      <c r="BZ67" s="41" t="n"/>
      <c r="CA67" s="41" t="n"/>
      <c r="CB67" s="83" t="n"/>
      <c r="CC67" s="41" t="n"/>
      <c r="CD67" s="41" t="n"/>
      <c r="CE67" s="57" t="n"/>
      <c r="CF67" s="83" t="n"/>
      <c r="CG67" s="57" t="n"/>
      <c r="CH67" s="58" t="n">
        <v>0.7541666666666667</v>
      </c>
      <c r="CI67" s="57" t="n"/>
      <c r="CJ67" s="83" t="n"/>
      <c r="CK67" s="57" t="n">
        <v>0.5</v>
      </c>
      <c r="CL67" s="58" t="n">
        <v>0.3555555555555556</v>
      </c>
      <c r="CM67" s="58" t="n">
        <v>0.7534722222222222</v>
      </c>
      <c r="CN67" s="83">
        <f>MOD(CM67-CL67,1)*24</f>
        <v/>
      </c>
      <c r="CO67" s="57" t="n">
        <v>1</v>
      </c>
      <c r="CP67" s="58" t="n">
        <v>0.3479166666666667</v>
      </c>
      <c r="CQ67" s="58" t="n">
        <v>0.7597222222222222</v>
      </c>
      <c r="CR67" s="83">
        <f>MOD(CQ67-CP67,1)*24</f>
        <v/>
      </c>
      <c r="CS67" s="57" t="n">
        <v>1</v>
      </c>
      <c r="CT67" s="58" t="n">
        <v>0.3493055555555555</v>
      </c>
      <c r="CU67" s="58" t="n">
        <v>0.7506944444444444</v>
      </c>
      <c r="CV67" s="83">
        <f>MOD(CU67-CT67,1)*24</f>
        <v/>
      </c>
      <c r="CW67" s="57" t="n">
        <v>1</v>
      </c>
      <c r="CX67" s="58" t="n">
        <v>0.7527777777777778</v>
      </c>
      <c r="CY67" s="57" t="n"/>
      <c r="CZ67" s="83">
        <f>MOD(CY67-CX67,1)*24</f>
        <v/>
      </c>
      <c r="DA67" s="57" t="n">
        <v>0.5</v>
      </c>
      <c r="DB67" s="58" t="n">
        <v>0.3486111111111111</v>
      </c>
      <c r="DC67" s="58" t="n">
        <v>0.7513888888888889</v>
      </c>
      <c r="DD67" s="83">
        <f>MOD(DC67-DB67,1)*24</f>
        <v/>
      </c>
      <c r="DE67" s="57" t="n">
        <v>1</v>
      </c>
      <c r="DF67" s="58" t="n">
        <v>0.35</v>
      </c>
      <c r="DG67" s="60" t="n">
        <v>0.7520833333333333</v>
      </c>
      <c r="DH67" s="83">
        <f>MOD(DG67-DF67,1)*24</f>
        <v/>
      </c>
      <c r="DI67" s="41" t="n">
        <v>1</v>
      </c>
      <c r="DJ67" s="41" t="n"/>
      <c r="DK67" s="41" t="n"/>
      <c r="DL67" s="83" t="n"/>
      <c r="DM67" s="41" t="n"/>
      <c r="DN67" s="58" t="n">
        <v>0.3486111111111111</v>
      </c>
      <c r="DO67" s="58" t="n">
        <v>0.7576388888888889</v>
      </c>
      <c r="DP67" s="83">
        <f>MOD(DO67-DN67,1)*24</f>
        <v/>
      </c>
      <c r="DQ67" s="57" t="n">
        <v>1</v>
      </c>
      <c r="DR67" s="61" t="n">
        <v>0.35</v>
      </c>
      <c r="DS67" s="62" t="n">
        <v>0.7527777777777778</v>
      </c>
      <c r="DT67" s="83">
        <f>MOD(DS67-DR67,1)*24</f>
        <v/>
      </c>
      <c r="DU67" s="41" t="n">
        <v>1</v>
      </c>
      <c r="DV67" s="61" t="n"/>
      <c r="DW67" s="62" t="n"/>
      <c r="DX67" s="83" t="n"/>
      <c r="DY67" s="41" t="n"/>
      <c r="DZ67" s="84">
        <f>H67+L67+P67+T67+X67+AB67+AF67+AJ67+AN67+AR67+AV67+AZ67+BD67+BH67+BL67+BP67+BT67+BX67+CB67+CF67+CJ67+CN67+CR67+CV67+CZ67+DD67+DH67+DL67+DP67+DT67</f>
        <v/>
      </c>
      <c r="EA67" s="84">
        <f>I67+M67+Q67+U67+Y67+AC67+AG67+AK67+AO67+AS67+AW67+BA67+BE67+BI67+BM67+BQ67+BU67+BY67+CC67+CG67+CK67+CO67+CS67+CW67+DA67+DE67+DI67+DM67+DQ67+DU67</f>
        <v/>
      </c>
    </row>
    <row r="68" ht="59" customFormat="1" customHeight="1" s="54">
      <c r="A68" s="55" t="inlineStr">
        <is>
          <t>五楼</t>
        </is>
      </c>
      <c r="B68" s="56" t="inlineStr">
        <is>
          <t>旷星琪</t>
        </is>
      </c>
      <c r="C68" s="41" t="n">
        <v>70</v>
      </c>
      <c r="D68" s="41" t="inlineStr">
        <is>
          <t>信息部</t>
        </is>
      </c>
      <c r="E68" s="57" t="inlineStr">
        <is>
          <t>信息部</t>
        </is>
      </c>
      <c r="F68" s="57" t="inlineStr">
        <is>
          <t>08:16</t>
        </is>
      </c>
      <c r="G68" s="58" t="n">
        <v>0.7527777777777778</v>
      </c>
      <c r="H68" s="83">
        <f>MOD(G68-F68,1)*24</f>
        <v/>
      </c>
      <c r="I68" s="57" t="n">
        <v>1</v>
      </c>
      <c r="J68" s="58" t="n">
        <v>0.3402777777777778</v>
      </c>
      <c r="K68" s="58" t="n">
        <v>0.75</v>
      </c>
      <c r="L68" s="83">
        <f>MOD(K68-J68,1)*24</f>
        <v/>
      </c>
      <c r="M68" s="57" t="n">
        <v>1</v>
      </c>
      <c r="N68" s="58" t="n">
        <v>0.3409722222222222</v>
      </c>
      <c r="O68" s="58" t="n">
        <v>0.75</v>
      </c>
      <c r="P68" s="83">
        <f>MOD(O68-N68,1)*24</f>
        <v/>
      </c>
      <c r="Q68" s="57" t="n">
        <v>1</v>
      </c>
      <c r="R68" s="58" t="n">
        <v>0.3416666666666667</v>
      </c>
      <c r="S68" s="58" t="n">
        <v>0.75</v>
      </c>
      <c r="T68" s="83">
        <f>MOD(S68-R68,1)*24</f>
        <v/>
      </c>
      <c r="U68" s="57" t="n">
        <v>1</v>
      </c>
      <c r="V68" s="58" t="n">
        <v>0.3423611111111111</v>
      </c>
      <c r="W68" s="58" t="n">
        <v>0.75</v>
      </c>
      <c r="X68" s="83">
        <f>MOD(W68-V68,1)*24</f>
        <v/>
      </c>
      <c r="Y68" s="57" t="n">
        <v>1</v>
      </c>
      <c r="Z68" s="58" t="n">
        <v>0.3409722222222222</v>
      </c>
      <c r="AA68" s="60" t="n">
        <v>0.75</v>
      </c>
      <c r="AB68" s="83">
        <f>MOD(AA68-Z68,1)*24</f>
        <v/>
      </c>
      <c r="AC68" s="41" t="n">
        <v>1</v>
      </c>
      <c r="AD68" s="41" t="n"/>
      <c r="AE68" s="57" t="n"/>
      <c r="AF68" s="83" t="n"/>
      <c r="AG68" s="57" t="n"/>
      <c r="AH68" s="58" t="n">
        <v>0.3430555555555556</v>
      </c>
      <c r="AI68" s="58" t="n">
        <v>0.75</v>
      </c>
      <c r="AJ68" s="83">
        <f>MOD(AI68-AH68,1)*24</f>
        <v/>
      </c>
      <c r="AK68" s="57" t="n">
        <v>1</v>
      </c>
      <c r="AL68" s="58" t="n">
        <v>0.3402777777777778</v>
      </c>
      <c r="AM68" s="58" t="n">
        <v>0.75</v>
      </c>
      <c r="AN68" s="83">
        <f>MOD(AM68-AL68,1)*24</f>
        <v/>
      </c>
      <c r="AO68" s="57" t="n">
        <v>1</v>
      </c>
      <c r="AP68" s="58" t="n">
        <v>0.3395833333333333</v>
      </c>
      <c r="AQ68" s="58" t="n">
        <v>0.75</v>
      </c>
      <c r="AR68" s="83">
        <f>MOD(AQ68-AP68,1)*24</f>
        <v/>
      </c>
      <c r="AS68" s="57" t="n">
        <v>1</v>
      </c>
      <c r="AT68" s="58" t="n">
        <v>0.3416666666666667</v>
      </c>
      <c r="AU68" s="58" t="n">
        <v>0.7506944444444444</v>
      </c>
      <c r="AV68" s="83">
        <f>MOD(AU68-AT68,1)*24</f>
        <v/>
      </c>
      <c r="AW68" s="57" t="n">
        <v>1</v>
      </c>
      <c r="AX68" s="58" t="n">
        <v>0.3416666666666667</v>
      </c>
      <c r="AY68" s="58" t="n">
        <v>0.75</v>
      </c>
      <c r="AZ68" s="83">
        <f>MOD(AY68-AX68,1)*24</f>
        <v/>
      </c>
      <c r="BA68" s="57" t="n">
        <v>1</v>
      </c>
      <c r="BB68" s="58" t="n">
        <v>0.3402777777777778</v>
      </c>
      <c r="BC68" s="58" t="n">
        <v>0.75</v>
      </c>
      <c r="BD68" s="83">
        <f>MOD(BC68-BB68,1)*24</f>
        <v/>
      </c>
      <c r="BE68" s="41" t="n">
        <v>1</v>
      </c>
      <c r="BF68" s="58" t="n">
        <v>0.3375</v>
      </c>
      <c r="BG68" s="58" t="n">
        <v>0.75</v>
      </c>
      <c r="BH68" s="83">
        <f>MOD(BG68-BF68,1)*24</f>
        <v/>
      </c>
      <c r="BI68" s="57" t="n">
        <v>1</v>
      </c>
      <c r="BJ68" s="58" t="n">
        <v>0.3402777777777778</v>
      </c>
      <c r="BK68" s="58" t="n">
        <v>0.75</v>
      </c>
      <c r="BL68" s="83">
        <f>MOD(BK68-BJ68,1)*24</f>
        <v/>
      </c>
      <c r="BM68" s="57" t="n">
        <v>1</v>
      </c>
      <c r="BN68" s="58" t="n">
        <v>0.3368055555555556</v>
      </c>
      <c r="BO68" s="58" t="n">
        <v>0.75</v>
      </c>
      <c r="BP68" s="83">
        <f>MOD(BO68-BN68,1)*24</f>
        <v/>
      </c>
      <c r="BQ68" s="57" t="n">
        <v>1</v>
      </c>
      <c r="BR68" s="58" t="n">
        <v>0.3381944444444445</v>
      </c>
      <c r="BS68" s="58" t="n">
        <v>0.7513888888888889</v>
      </c>
      <c r="BT68" s="83">
        <f>MOD(BS68-BR68,1)*24</f>
        <v/>
      </c>
      <c r="BU68" s="57" t="n">
        <v>1</v>
      </c>
      <c r="BV68" s="58" t="n">
        <v>0.3375</v>
      </c>
      <c r="BW68" s="60" t="n">
        <v>0.75</v>
      </c>
      <c r="BX68" s="83">
        <f>MOD(BW68-BV68,1)*24</f>
        <v/>
      </c>
      <c r="BY68" s="41" t="n">
        <v>1</v>
      </c>
      <c r="BZ68" s="41" t="n"/>
      <c r="CA68" s="41" t="n"/>
      <c r="CB68" s="83" t="n"/>
      <c r="CC68" s="41" t="n"/>
      <c r="CD68" s="41" t="n"/>
      <c r="CE68" s="41" t="n"/>
      <c r="CF68" s="83" t="n"/>
      <c r="CG68" s="41" t="n"/>
      <c r="CH68" s="41" t="n"/>
      <c r="CI68" s="57" t="n"/>
      <c r="CJ68" s="83" t="n"/>
      <c r="CK68" s="57" t="n"/>
      <c r="CL68" s="58" t="n">
        <v>0.3395833333333333</v>
      </c>
      <c r="CM68" s="58" t="n">
        <v>0.75</v>
      </c>
      <c r="CN68" s="83">
        <f>MOD(CM68-CL68,1)*24</f>
        <v/>
      </c>
      <c r="CO68" s="57" t="n">
        <v>1</v>
      </c>
      <c r="CP68" s="58" t="n">
        <v>0.3375</v>
      </c>
      <c r="CQ68" s="58" t="n">
        <v>0.75</v>
      </c>
      <c r="CR68" s="83">
        <f>MOD(CQ68-CP68,1)*24</f>
        <v/>
      </c>
      <c r="CS68" s="57" t="n">
        <v>1</v>
      </c>
      <c r="CT68" s="58" t="n">
        <v>0.3375</v>
      </c>
      <c r="CU68" s="58" t="n">
        <v>0.75</v>
      </c>
      <c r="CV68" s="83">
        <f>MOD(CU68-CT68,1)*24</f>
        <v/>
      </c>
      <c r="CW68" s="57" t="n">
        <v>1</v>
      </c>
      <c r="CX68" s="58" t="n">
        <v>0.3409722222222222</v>
      </c>
      <c r="CY68" s="58" t="n">
        <v>0.75</v>
      </c>
      <c r="CZ68" s="83">
        <f>MOD(CY68-CX68,1)*24</f>
        <v/>
      </c>
      <c r="DA68" s="57" t="n">
        <v>1</v>
      </c>
      <c r="DB68" s="58" t="n">
        <v>0.3444444444444444</v>
      </c>
      <c r="DC68" s="58" t="n">
        <v>0.75</v>
      </c>
      <c r="DD68" s="83">
        <f>MOD(DC68-DB68,1)*24</f>
        <v/>
      </c>
      <c r="DE68" s="57" t="n">
        <v>1</v>
      </c>
      <c r="DF68" s="58" t="n">
        <v>0.3375</v>
      </c>
      <c r="DG68" s="60" t="n">
        <v>0.75</v>
      </c>
      <c r="DH68" s="83">
        <f>MOD(DG68-DF68,1)*24</f>
        <v/>
      </c>
      <c r="DI68" s="41" t="n">
        <v>1</v>
      </c>
      <c r="DJ68" s="41" t="n"/>
      <c r="DK68" s="41" t="n"/>
      <c r="DL68" s="83" t="n"/>
      <c r="DM68" s="41" t="n"/>
      <c r="DN68" s="58" t="n">
        <v>0.3423611111111111</v>
      </c>
      <c r="DO68" s="58" t="n">
        <v>0.75</v>
      </c>
      <c r="DP68" s="83">
        <f>MOD(DO68-DN68,1)*24</f>
        <v/>
      </c>
      <c r="DQ68" s="57" t="n">
        <v>1</v>
      </c>
      <c r="DR68" s="61" t="n">
        <v>0.3368055555555556</v>
      </c>
      <c r="DS68" s="62" t="n">
        <v>0.75</v>
      </c>
      <c r="DT68" s="83">
        <f>MOD(DS68-DR68,1)*24</f>
        <v/>
      </c>
      <c r="DU68" s="41" t="n">
        <v>1</v>
      </c>
      <c r="DV68" s="61" t="n"/>
      <c r="DW68" s="62" t="n"/>
      <c r="DX68" s="83" t="n"/>
      <c r="DY68" s="41" t="n"/>
      <c r="DZ68" s="84">
        <f>H68+L68+P68+T68+X68+AB68+AF68+AJ68+AN68+AR68+AV68+AZ68+BD68+BH68+BL68+BP68+BT68+BX68+CB68+CF68+CJ68+CN68+CR68+CV68+CZ68+DD68+DH68+DL68+DP68+DT68</f>
        <v/>
      </c>
      <c r="EA68" s="84">
        <f>I68+M68+Q68+U68+Y68+AC68+AG68+AK68+AO68+AS68+AW68+BA68+BE68+BI68+BM68+BQ68+BU68+BY68+CC68+CG68+CK68+CO68+CS68+CW68+DA68+DE68+DI68+DM68+DQ68+DU68</f>
        <v/>
      </c>
    </row>
    <row r="69" ht="59" customFormat="1" customHeight="1" s="54">
      <c r="A69" s="55" t="inlineStr">
        <is>
          <t>五楼</t>
        </is>
      </c>
      <c r="B69" s="56" t="inlineStr">
        <is>
          <t>陈昌容</t>
        </is>
      </c>
      <c r="C69" s="41" t="n">
        <v>73</v>
      </c>
      <c r="D69" s="41" t="inlineStr">
        <is>
          <t>订单部</t>
        </is>
      </c>
      <c r="E69" s="57" t="inlineStr">
        <is>
          <t>接单报价组</t>
        </is>
      </c>
      <c r="F69" s="57" t="inlineStr">
        <is>
          <t>08:13</t>
        </is>
      </c>
      <c r="G69" s="58" t="n">
        <v>0.7506944444444444</v>
      </c>
      <c r="H69" s="83">
        <f>MOD(G69-F69,1)*24</f>
        <v/>
      </c>
      <c r="I69" s="57" t="n">
        <v>1</v>
      </c>
      <c r="J69" s="58" t="n">
        <v>0.3416666666666667</v>
      </c>
      <c r="K69" s="58" t="n">
        <v>0.7506944444444444</v>
      </c>
      <c r="L69" s="83">
        <f>MOD(K69-J69,1)*24</f>
        <v/>
      </c>
      <c r="M69" s="57" t="n">
        <v>1</v>
      </c>
      <c r="N69" s="58" t="n">
        <v>0.34375</v>
      </c>
      <c r="O69" s="58" t="n">
        <v>0.7506944444444444</v>
      </c>
      <c r="P69" s="83">
        <f>MOD(O69-N69,1)*24</f>
        <v/>
      </c>
      <c r="Q69" s="57" t="n">
        <v>1</v>
      </c>
      <c r="R69" s="58" t="n">
        <v>0.3486111111111111</v>
      </c>
      <c r="S69" s="58" t="n">
        <v>0.7506944444444444</v>
      </c>
      <c r="T69" s="83">
        <f>MOD(S69-R69,1)*24</f>
        <v/>
      </c>
      <c r="U69" s="57" t="n">
        <v>1</v>
      </c>
      <c r="V69" s="58" t="n">
        <v>0.3458333333333333</v>
      </c>
      <c r="W69" s="58" t="n">
        <v>0.7506944444444444</v>
      </c>
      <c r="X69" s="83">
        <f>MOD(W69-V69,1)*24</f>
        <v/>
      </c>
      <c r="Y69" s="57" t="n">
        <v>1</v>
      </c>
      <c r="Z69" s="58" t="n">
        <v>0.3423611111111111</v>
      </c>
      <c r="AA69" s="60" t="n">
        <v>0.7534722222222222</v>
      </c>
      <c r="AB69" s="83">
        <f>MOD(AA69-Z69,1)*24</f>
        <v/>
      </c>
      <c r="AC69" s="41" t="n">
        <v>1</v>
      </c>
      <c r="AD69" s="41" t="n"/>
      <c r="AE69" s="57" t="n"/>
      <c r="AF69" s="83" t="n"/>
      <c r="AG69" s="57" t="n"/>
      <c r="AH69" s="58" t="n">
        <v>0.3486111111111111</v>
      </c>
      <c r="AI69" s="58" t="n">
        <v>0.7506944444444444</v>
      </c>
      <c r="AJ69" s="83">
        <f>MOD(AI69-AH69,1)*24</f>
        <v/>
      </c>
      <c r="AK69" s="57" t="n">
        <v>1</v>
      </c>
      <c r="AL69" s="58" t="n">
        <v>0.3423611111111111</v>
      </c>
      <c r="AM69" s="58" t="n">
        <v>0.7701388888888889</v>
      </c>
      <c r="AN69" s="83">
        <f>MOD(AM69-AL69,1)*24</f>
        <v/>
      </c>
      <c r="AO69" s="57" t="n">
        <v>1</v>
      </c>
      <c r="AP69" s="58" t="n">
        <v>0.3493055555555555</v>
      </c>
      <c r="AQ69" s="58" t="n">
        <v>0.7513888888888889</v>
      </c>
      <c r="AR69" s="83">
        <f>MOD(AQ69-AP69,1)*24</f>
        <v/>
      </c>
      <c r="AS69" s="57" t="n">
        <v>1</v>
      </c>
      <c r="AT69" s="58" t="n">
        <v>0.3430555555555556</v>
      </c>
      <c r="AU69" s="58" t="n">
        <v>0.7506944444444444</v>
      </c>
      <c r="AV69" s="83">
        <f>MOD(AU69-AT69,1)*24</f>
        <v/>
      </c>
      <c r="AW69" s="57" t="n">
        <v>1</v>
      </c>
      <c r="AX69" s="58" t="n">
        <v>0.3479166666666667</v>
      </c>
      <c r="AY69" s="58" t="n">
        <v>0.7506944444444444</v>
      </c>
      <c r="AZ69" s="83">
        <f>MOD(AY69-AX69,1)*24</f>
        <v/>
      </c>
      <c r="BA69" s="57" t="n">
        <v>1</v>
      </c>
      <c r="BB69" s="58" t="n">
        <v>0.3472222222222222</v>
      </c>
      <c r="BC69" s="60" t="n">
        <v>0.7520833333333333</v>
      </c>
      <c r="BD69" s="83">
        <f>MOD(BC69-BB69,1)*24</f>
        <v/>
      </c>
      <c r="BE69" s="41" t="n">
        <v>1</v>
      </c>
      <c r="BF69" s="41" t="n"/>
      <c r="BG69" s="57" t="n"/>
      <c r="BH69" s="83" t="n"/>
      <c r="BI69" s="57" t="n"/>
      <c r="BJ69" s="58" t="n">
        <v>0.3444444444444444</v>
      </c>
      <c r="BK69" s="58" t="n">
        <v>0.7513888888888889</v>
      </c>
      <c r="BL69" s="83">
        <f>MOD(BK69-BJ69,1)*24</f>
        <v/>
      </c>
      <c r="BM69" s="57" t="n">
        <v>1</v>
      </c>
      <c r="BN69" s="58" t="n">
        <v>0.3479166666666667</v>
      </c>
      <c r="BO69" s="58" t="n">
        <v>0.7506944444444444</v>
      </c>
      <c r="BP69" s="83">
        <f>MOD(BO69-BN69,1)*24</f>
        <v/>
      </c>
      <c r="BQ69" s="57" t="n">
        <v>1</v>
      </c>
      <c r="BR69" s="58" t="n">
        <v>0.3444444444444444</v>
      </c>
      <c r="BS69" s="58" t="n">
        <v>0.7506944444444444</v>
      </c>
      <c r="BT69" s="83">
        <f>MOD(BS69-BR69,1)*24</f>
        <v/>
      </c>
      <c r="BU69" s="57" t="n">
        <v>1</v>
      </c>
      <c r="BV69" s="58" t="n">
        <v>0.3486111111111111</v>
      </c>
      <c r="BW69" s="60" t="n">
        <v>0.7506944444444444</v>
      </c>
      <c r="BX69" s="83">
        <f>MOD(BW69-BV69,1)*24</f>
        <v/>
      </c>
      <c r="BY69" s="41" t="n">
        <v>1</v>
      </c>
      <c r="BZ69" s="41" t="n"/>
      <c r="CA69" s="41" t="n"/>
      <c r="CB69" s="83" t="n"/>
      <c r="CC69" s="41" t="n"/>
      <c r="CD69" s="41" t="n"/>
      <c r="CE69" s="57" t="n"/>
      <c r="CF69" s="83" t="n"/>
      <c r="CG69" s="57" t="n"/>
      <c r="CH69" s="58" t="n">
        <v>0.3395833333333333</v>
      </c>
      <c r="CI69" s="58" t="n">
        <v>0.5006944444444444</v>
      </c>
      <c r="CJ69" s="83">
        <f>MOD(CI69-CH69,1)*24</f>
        <v/>
      </c>
      <c r="CK69" s="57" t="n">
        <v>0.5</v>
      </c>
      <c r="CL69" s="58" t="n">
        <v>0.3493055555555555</v>
      </c>
      <c r="CM69" s="58" t="n">
        <v>0.7506944444444444</v>
      </c>
      <c r="CN69" s="83">
        <f>MOD(CM69-CL69,1)*24</f>
        <v/>
      </c>
      <c r="CO69" s="57" t="n">
        <v>1</v>
      </c>
      <c r="CP69" s="58" t="n">
        <v>0.3486111111111111</v>
      </c>
      <c r="CQ69" s="58" t="n">
        <v>0.7506944444444444</v>
      </c>
      <c r="CR69" s="83">
        <f>MOD(CQ69-CP69,1)*24</f>
        <v/>
      </c>
      <c r="CS69" s="57" t="n">
        <v>1</v>
      </c>
      <c r="CT69" s="58" t="n">
        <v>0.3479166666666667</v>
      </c>
      <c r="CU69" s="58" t="n">
        <v>0.7506944444444444</v>
      </c>
      <c r="CV69" s="83">
        <f>MOD(CU69-CT69,1)*24</f>
        <v/>
      </c>
      <c r="CW69" s="57" t="n">
        <v>1</v>
      </c>
      <c r="CX69" s="58" t="n">
        <v>0.3444444444444444</v>
      </c>
      <c r="CY69" s="58" t="n">
        <v>0.7506944444444444</v>
      </c>
      <c r="CZ69" s="83">
        <f>MOD(CY69-CX69,1)*24</f>
        <v/>
      </c>
      <c r="DA69" s="57" t="n">
        <v>1</v>
      </c>
      <c r="DB69" s="58" t="n">
        <v>0.3486111111111111</v>
      </c>
      <c r="DC69" s="58" t="n">
        <v>0.7513888888888889</v>
      </c>
      <c r="DD69" s="83">
        <f>MOD(DC69-DB69,1)*24</f>
        <v/>
      </c>
      <c r="DE69" s="57" t="n">
        <v>1</v>
      </c>
      <c r="DF69" s="58" t="n">
        <v>0.3520833333333334</v>
      </c>
      <c r="DG69" s="58" t="n">
        <v>0.7513888888888889</v>
      </c>
      <c r="DH69" s="83">
        <f>MOD(DG69-DF69,1)*24</f>
        <v/>
      </c>
      <c r="DI69" s="41" t="n">
        <v>1</v>
      </c>
      <c r="DJ69" s="58" t="n">
        <v>0.3451388888888889</v>
      </c>
      <c r="DK69" s="58" t="n">
        <v>0.5006944444444444</v>
      </c>
      <c r="DL69" s="83">
        <f>MOD(DK69-DJ69,1)*24</f>
        <v/>
      </c>
      <c r="DM69" s="57" t="n">
        <v>0.5</v>
      </c>
      <c r="DN69" s="58" t="n">
        <v>0.3520833333333334</v>
      </c>
      <c r="DO69" s="58" t="n">
        <v>0.7520833333333333</v>
      </c>
      <c r="DP69" s="83">
        <f>MOD(DO69-DN69,1)*24</f>
        <v/>
      </c>
      <c r="DQ69" s="57" t="n">
        <v>1</v>
      </c>
      <c r="DR69" s="61" t="n">
        <v>0.3444444444444444</v>
      </c>
      <c r="DS69" s="62" t="n">
        <v>0.8666666666666667</v>
      </c>
      <c r="DT69" s="83">
        <f>MOD(DS69-DR69,1)*24</f>
        <v/>
      </c>
      <c r="DU69" s="41" t="n">
        <v>1</v>
      </c>
      <c r="DV69" s="61" t="n"/>
      <c r="DW69" s="62" t="n"/>
      <c r="DX69" s="83" t="n"/>
      <c r="DY69" s="41" t="n"/>
      <c r="DZ69" s="84">
        <f>H69+L69+P69+T69+X69+AB69+AF69+AJ69+AN69+AR69+AV69+AZ69+BD69+BH69+BL69+BP69+BT69+BX69+CB69+CF69+CJ69+CN69+CR69+CV69+CZ69+DD69+DH69+DL69+DP69+DT69</f>
        <v/>
      </c>
      <c r="EA69" s="84">
        <f>I69+M69+Q69+U69+Y69+AC69+AG69+AK69+AO69+AS69+AW69+BA69+BE69+BI69+BM69+BQ69+BU69+BY69+CC69+CG69+CK69+CO69+CS69+CW69+DA69+DE69+DI69+DM69+DQ69+DU69</f>
        <v/>
      </c>
    </row>
    <row r="70" ht="59" customFormat="1" customHeight="1" s="54">
      <c r="A70" s="55" t="inlineStr">
        <is>
          <t>五楼</t>
        </is>
      </c>
      <c r="B70" s="56" t="inlineStr">
        <is>
          <t>吴洪伟</t>
        </is>
      </c>
      <c r="C70" s="41" t="n">
        <v>78</v>
      </c>
      <c r="D70" s="41" t="inlineStr">
        <is>
          <t>设计部</t>
        </is>
      </c>
      <c r="E70" s="57" t="inlineStr">
        <is>
          <t>设计组</t>
        </is>
      </c>
      <c r="F70" s="57" t="inlineStr">
        <is>
          <t>08:27</t>
        </is>
      </c>
      <c r="G70" s="57" t="n"/>
      <c r="H70" s="83" t="n"/>
      <c r="I70" s="57" t="n">
        <v>0.5</v>
      </c>
      <c r="J70" s="58" t="n">
        <v>0.3451388888888889</v>
      </c>
      <c r="K70" s="57" t="n"/>
      <c r="L70" s="83" t="n"/>
      <c r="M70" s="57" t="n">
        <v>0.5</v>
      </c>
      <c r="N70" s="58" t="n">
        <v>0.3479166666666667</v>
      </c>
      <c r="O70" s="57" t="n"/>
      <c r="P70" s="83" t="n"/>
      <c r="Q70" s="57" t="n">
        <v>0.5</v>
      </c>
      <c r="R70" s="58" t="n">
        <v>0.3520833333333334</v>
      </c>
      <c r="S70" s="57" t="n"/>
      <c r="T70" s="83" t="n"/>
      <c r="U70" s="57" t="n">
        <v>0.5</v>
      </c>
      <c r="V70" s="58" t="n">
        <v>0.3416666666666667</v>
      </c>
      <c r="W70" s="58" t="n">
        <v>0.7534722222222222</v>
      </c>
      <c r="X70" s="83">
        <f>MOD(W70-V70,1)*24</f>
        <v/>
      </c>
      <c r="Y70" s="57" t="n">
        <v>1</v>
      </c>
      <c r="Z70" s="58" t="n">
        <v>0.3402777777777778</v>
      </c>
      <c r="AA70" s="60" t="n">
        <v>0.7513888888888889</v>
      </c>
      <c r="AB70" s="83">
        <f>MOD(AA70-Z70,1)*24</f>
        <v/>
      </c>
      <c r="AC70" s="41" t="n">
        <v>1</v>
      </c>
      <c r="AD70" s="41" t="n"/>
      <c r="AE70" s="57" t="n"/>
      <c r="AF70" s="83" t="n"/>
      <c r="AG70" s="57" t="n"/>
      <c r="AH70" s="58" t="n">
        <v>0.7527777777777778</v>
      </c>
      <c r="AI70" s="57" t="n"/>
      <c r="AJ70" s="83" t="n"/>
      <c r="AK70" s="57" t="n">
        <v>0.5</v>
      </c>
      <c r="AL70" s="58" t="n">
        <v>0.3465277777777778</v>
      </c>
      <c r="AM70" s="57" t="n"/>
      <c r="AN70" s="83" t="n"/>
      <c r="AO70" s="57" t="n">
        <v>0.5</v>
      </c>
      <c r="AP70" s="58" t="n">
        <v>0.7520833333333333</v>
      </c>
      <c r="AQ70" s="41" t="n"/>
      <c r="AR70" s="83" t="n"/>
      <c r="AS70" s="41" t="n">
        <v>0.5</v>
      </c>
      <c r="AT70" s="41" t="n"/>
      <c r="AU70" s="57" t="n"/>
      <c r="AV70" s="83" t="n"/>
      <c r="AW70" s="57" t="n"/>
      <c r="AX70" s="58" t="n">
        <v>0.3423611111111111</v>
      </c>
      <c r="AY70" s="57" t="n"/>
      <c r="AZ70" s="83" t="n"/>
      <c r="BA70" s="57" t="n">
        <v>0.5</v>
      </c>
      <c r="BB70" s="58" t="n">
        <v>0.3444444444444444</v>
      </c>
      <c r="BC70" s="60" t="n">
        <v>0.75</v>
      </c>
      <c r="BD70" s="83">
        <f>MOD(BC70-BB70,1)*24</f>
        <v/>
      </c>
      <c r="BE70" s="41" t="n">
        <v>1</v>
      </c>
      <c r="BF70" s="41" t="n"/>
      <c r="BG70" s="57" t="n"/>
      <c r="BH70" s="83" t="n"/>
      <c r="BI70" s="57" t="n"/>
      <c r="BJ70" s="58" t="n">
        <v>0.3388888888888889</v>
      </c>
      <c r="BK70" s="60" t="n">
        <v>0.7527777777777778</v>
      </c>
      <c r="BL70" s="83">
        <f>MOD(BK70-BJ70,1)*24</f>
        <v/>
      </c>
      <c r="BM70" s="57" t="n">
        <v>1</v>
      </c>
      <c r="BN70" s="41" t="n"/>
      <c r="BO70" s="57" t="n"/>
      <c r="BP70" s="83" t="n"/>
      <c r="BQ70" s="57" t="n"/>
      <c r="BR70" s="58" t="n">
        <v>0.3381944444444445</v>
      </c>
      <c r="BS70" s="58" t="n">
        <v>0.7534722222222222</v>
      </c>
      <c r="BT70" s="83">
        <f>MOD(BS70-BR70,1)*24</f>
        <v/>
      </c>
      <c r="BU70" s="57" t="n">
        <v>1</v>
      </c>
      <c r="BV70" s="58" t="n">
        <v>0.3180555555555555</v>
      </c>
      <c r="BW70" s="41" t="n"/>
      <c r="BX70" s="83" t="n"/>
      <c r="BY70" s="41" t="n">
        <v>0.5</v>
      </c>
      <c r="BZ70" s="41" t="n"/>
      <c r="CA70" s="41" t="n"/>
      <c r="CB70" s="83" t="n"/>
      <c r="CC70" s="41" t="n"/>
      <c r="CD70" s="41" t="n"/>
      <c r="CE70" s="57" t="n"/>
      <c r="CF70" s="83" t="n"/>
      <c r="CG70" s="57" t="n"/>
      <c r="CH70" s="58" t="n">
        <v>0.3423611111111111</v>
      </c>
      <c r="CI70" s="57" t="n"/>
      <c r="CJ70" s="83" t="n"/>
      <c r="CK70" s="57" t="n">
        <v>0.5</v>
      </c>
      <c r="CL70" s="58" t="n">
        <v>0.34375</v>
      </c>
      <c r="CM70" s="57" t="n"/>
      <c r="CN70" s="83" t="n"/>
      <c r="CO70" s="57" t="n">
        <v>0.5</v>
      </c>
      <c r="CP70" s="58" t="n">
        <v>0.3423611111111111</v>
      </c>
      <c r="CQ70" s="58" t="n">
        <v>0.7534722222222222</v>
      </c>
      <c r="CR70" s="83">
        <f>MOD(CQ70-CP70,1)*24</f>
        <v/>
      </c>
      <c r="CS70" s="57" t="n">
        <v>1</v>
      </c>
      <c r="CT70" s="58" t="n">
        <v>0.3486111111111111</v>
      </c>
      <c r="CU70" s="58" t="n">
        <v>0.7506944444444444</v>
      </c>
      <c r="CV70" s="83">
        <f>MOD(CU70-CT70,1)*24</f>
        <v/>
      </c>
      <c r="CW70" s="57" t="n">
        <v>1</v>
      </c>
      <c r="CX70" s="41" t="n"/>
      <c r="CY70" s="57" t="n"/>
      <c r="CZ70" s="83" t="n"/>
      <c r="DA70" s="57" t="n"/>
      <c r="DB70" s="58" t="n">
        <v>0.3409722222222222</v>
      </c>
      <c r="DC70" s="58" t="n">
        <v>0.7534722222222222</v>
      </c>
      <c r="DD70" s="83">
        <f>MOD(DC70-DB70,1)*24</f>
        <v/>
      </c>
      <c r="DE70" s="57" t="n">
        <v>1</v>
      </c>
      <c r="DF70" s="58" t="n">
        <v>0.3444444444444444</v>
      </c>
      <c r="DG70" s="57" t="n"/>
      <c r="DH70" s="83" t="n"/>
      <c r="DI70" s="41" t="n">
        <v>0.5</v>
      </c>
      <c r="DJ70" s="58" t="n">
        <v>0.3416666666666667</v>
      </c>
      <c r="DK70" s="57" t="n"/>
      <c r="DL70" s="83">
        <f>MOD(DK70-DJ70,1)*24</f>
        <v/>
      </c>
      <c r="DM70" s="57" t="n">
        <v>0.5</v>
      </c>
      <c r="DN70" s="58" t="n">
        <v>0.3451388888888889</v>
      </c>
      <c r="DO70" s="58" t="n">
        <v>0.7513888888888889</v>
      </c>
      <c r="DP70" s="83">
        <f>MOD(DO70-DN70,1)*24</f>
        <v/>
      </c>
      <c r="DQ70" s="57" t="n">
        <v>1</v>
      </c>
      <c r="DR70" s="61" t="n">
        <v>0.3451388888888889</v>
      </c>
      <c r="DS70" s="62" t="n">
        <v>0.7590277777777777</v>
      </c>
      <c r="DT70" s="83">
        <f>MOD(DS70-DR70,1)*24</f>
        <v/>
      </c>
      <c r="DU70" s="41" t="n">
        <v>1</v>
      </c>
      <c r="DV70" s="61" t="n"/>
      <c r="DW70" s="62" t="n"/>
      <c r="DX70" s="83" t="n"/>
      <c r="DY70" s="41" t="n"/>
      <c r="DZ70" s="84">
        <f>H70+L70+P70+T70+X70+AB70+AF70+AJ70+AN70+AR70+AV70+AZ70+BD70+BH70+BL70+BP70+BT70+BX70+CB70+CF70+CJ70+CN70+CR70+CV70+CZ70+DD70+DH70+DL70+DP70+DT70</f>
        <v/>
      </c>
      <c r="EA70" s="84">
        <f>I70+M70+Q70+U70+Y70+AC70+AG70+AK70+AO70+AS70+AW70+BA70+BE70+BI70+BM70+BQ70+BU70+BY70+CC70+CG70+CK70+CO70+CS70+CW70+DA70+DE70+DI70+DM70+DQ70+DU70</f>
        <v/>
      </c>
    </row>
    <row r="71" ht="59" customFormat="1" customHeight="1" s="54">
      <c r="A71" s="55" t="inlineStr">
        <is>
          <t>五楼</t>
        </is>
      </c>
      <c r="B71" s="56" t="inlineStr">
        <is>
          <t>熊壮</t>
        </is>
      </c>
      <c r="C71" s="41" t="n">
        <v>80</v>
      </c>
      <c r="D71" s="41" t="inlineStr">
        <is>
          <t>设计部</t>
        </is>
      </c>
      <c r="E71" s="57" t="inlineStr">
        <is>
          <t>设计组</t>
        </is>
      </c>
      <c r="F71" s="57" t="inlineStr">
        <is>
          <t>08:30</t>
        </is>
      </c>
      <c r="G71" s="58" t="n">
        <v>0.7986111111111112</v>
      </c>
      <c r="H71" s="83">
        <f>MOD(G71-F71,1)*24</f>
        <v/>
      </c>
      <c r="I71" s="57" t="n">
        <v>1</v>
      </c>
      <c r="J71" s="58" t="n">
        <v>0.3333333333333333</v>
      </c>
      <c r="K71" s="58" t="n">
        <v>0.9173611111111111</v>
      </c>
      <c r="L71" s="83">
        <f>MOD(K71-J71,1)*24</f>
        <v/>
      </c>
      <c r="M71" s="57" t="n">
        <v>1</v>
      </c>
      <c r="N71" s="58" t="n">
        <v>0.3479166666666667</v>
      </c>
      <c r="O71" s="58" t="n">
        <v>0.75625</v>
      </c>
      <c r="P71" s="83">
        <f>MOD(O71-N71,1)*24</f>
        <v/>
      </c>
      <c r="Q71" s="57" t="n">
        <v>1</v>
      </c>
      <c r="R71" s="58" t="n">
        <v>0.3291666666666667</v>
      </c>
      <c r="S71" s="58" t="n">
        <v>0.7722222222222223</v>
      </c>
      <c r="T71" s="83">
        <f>MOD(S71-R71,1)*24</f>
        <v/>
      </c>
      <c r="U71" s="57" t="n">
        <v>1</v>
      </c>
      <c r="V71" s="58" t="n">
        <v>0.3451388888888889</v>
      </c>
      <c r="W71" s="58" t="n">
        <v>0.9520833333333333</v>
      </c>
      <c r="X71" s="83">
        <f>MOD(W71-V71,1)*24</f>
        <v/>
      </c>
      <c r="Y71" s="57" t="n">
        <v>1</v>
      </c>
      <c r="Z71" s="58" t="n">
        <v>0.3548611111111111</v>
      </c>
      <c r="AA71" s="60" t="n">
        <v>0.89375</v>
      </c>
      <c r="AB71" s="83">
        <f>MOD(AA71-Z71,1)*24</f>
        <v/>
      </c>
      <c r="AC71" s="41" t="n">
        <v>1</v>
      </c>
      <c r="AD71" s="41" t="n"/>
      <c r="AE71" s="57" t="n"/>
      <c r="AF71" s="83" t="n"/>
      <c r="AG71" s="57" t="n"/>
      <c r="AH71" s="58" t="n">
        <v>0.3472222222222222</v>
      </c>
      <c r="AI71" s="58" t="n">
        <v>0.7770833333333333</v>
      </c>
      <c r="AJ71" s="83">
        <f>MOD(AI71-AH71,1)*24</f>
        <v/>
      </c>
      <c r="AK71" s="57" t="n">
        <v>1</v>
      </c>
      <c r="AL71" s="58" t="n">
        <v>0.3416666666666667</v>
      </c>
      <c r="AM71" s="58" t="n">
        <v>0.7756944444444445</v>
      </c>
      <c r="AN71" s="83">
        <f>MOD(AM71-AL71,1)*24</f>
        <v/>
      </c>
      <c r="AO71" s="57" t="n">
        <v>1</v>
      </c>
      <c r="AP71" s="58" t="n">
        <v>0.3361111111111111</v>
      </c>
      <c r="AQ71" s="58" t="n">
        <v>0.9458333333333333</v>
      </c>
      <c r="AR71" s="83">
        <f>MOD(AQ71-AP71,1)*24</f>
        <v/>
      </c>
      <c r="AS71" s="57" t="n">
        <v>1</v>
      </c>
      <c r="AT71" s="58" t="n">
        <v>0.3458333333333333</v>
      </c>
      <c r="AU71" s="58" t="n">
        <v>0.7930555555555555</v>
      </c>
      <c r="AV71" s="83">
        <f>MOD(AU71-AT71,1)*24</f>
        <v/>
      </c>
      <c r="AW71" s="57" t="n">
        <v>1</v>
      </c>
      <c r="AX71" s="58" t="n">
        <v>0.3465277777777778</v>
      </c>
      <c r="AY71" s="58" t="n">
        <v>0.7763888888888889</v>
      </c>
      <c r="AZ71" s="83">
        <f>MOD(AY71-AX71,1)*24</f>
        <v/>
      </c>
      <c r="BA71" s="57" t="n">
        <v>1</v>
      </c>
      <c r="BB71" s="58" t="n">
        <v>0.3520833333333334</v>
      </c>
      <c r="BC71" s="60" t="n">
        <v>0.7736111111111111</v>
      </c>
      <c r="BD71" s="83">
        <f>MOD(BC71-BB71,1)*24</f>
        <v/>
      </c>
      <c r="BE71" s="41" t="n">
        <v>1</v>
      </c>
      <c r="BF71" s="41" t="n"/>
      <c r="BG71" s="57" t="n"/>
      <c r="BH71" s="83" t="n"/>
      <c r="BI71" s="57" t="n"/>
      <c r="BJ71" s="58" t="n">
        <v>0.3416666666666667</v>
      </c>
      <c r="BK71" s="58" t="n">
        <v>0.7743055555555556</v>
      </c>
      <c r="BL71" s="83">
        <f>MOD(BK71-BJ71,1)*24</f>
        <v/>
      </c>
      <c r="BM71" s="57" t="n">
        <v>1</v>
      </c>
      <c r="BN71" s="58" t="n">
        <v>0.3493055555555555</v>
      </c>
      <c r="BO71" s="58" t="n">
        <v>0.7645833333333333</v>
      </c>
      <c r="BP71" s="83">
        <f>MOD(BO71-BN71,1)*24</f>
        <v/>
      </c>
      <c r="BQ71" s="57" t="n">
        <v>1</v>
      </c>
      <c r="BR71" s="58" t="n">
        <v>0.3534722222222222</v>
      </c>
      <c r="BS71" s="58" t="n">
        <v>0.7569444444444444</v>
      </c>
      <c r="BT71" s="83">
        <f>MOD(BS71-BR71,1)*24</f>
        <v/>
      </c>
      <c r="BU71" s="57" t="n">
        <v>1</v>
      </c>
      <c r="BV71" s="58" t="n">
        <v>0.3444444444444444</v>
      </c>
      <c r="BW71" s="60" t="n">
        <v>0.7555555555555555</v>
      </c>
      <c r="BX71" s="83">
        <f>MOD(BW71-BV71,1)*24</f>
        <v/>
      </c>
      <c r="BY71" s="41" t="n">
        <v>1</v>
      </c>
      <c r="BZ71" s="41" t="n"/>
      <c r="CA71" s="41" t="n"/>
      <c r="CB71" s="83" t="n"/>
      <c r="CC71" s="41" t="n"/>
      <c r="CD71" s="41" t="n"/>
      <c r="CE71" s="57" t="n"/>
      <c r="CF71" s="83" t="n"/>
      <c r="CG71" s="57" t="n"/>
      <c r="CH71" s="58" t="n">
        <v>0.3527777777777778</v>
      </c>
      <c r="CI71" s="58" t="n">
        <v>0.7590277777777777</v>
      </c>
      <c r="CJ71" s="83">
        <f>MOD(CI71-CH71,1)*24</f>
        <v/>
      </c>
      <c r="CK71" s="57" t="n">
        <v>1</v>
      </c>
      <c r="CL71" s="58" t="n">
        <v>0.3451388888888889</v>
      </c>
      <c r="CM71" s="58" t="n">
        <v>0.7659722222222223</v>
      </c>
      <c r="CN71" s="83">
        <f>MOD(CM71-CL71,1)*24</f>
        <v/>
      </c>
      <c r="CO71" s="57" t="n">
        <v>1</v>
      </c>
      <c r="CP71" s="58" t="n">
        <v>0.34375</v>
      </c>
      <c r="CQ71" s="58" t="n">
        <v>0.7673611111111112</v>
      </c>
      <c r="CR71" s="83">
        <f>MOD(CQ71-CP71,1)*24</f>
        <v/>
      </c>
      <c r="CS71" s="57" t="n">
        <v>1</v>
      </c>
      <c r="CT71" s="58" t="n">
        <v>0.3541666666666667</v>
      </c>
      <c r="CU71" s="58" t="n">
        <v>0.7958333333333333</v>
      </c>
      <c r="CV71" s="83">
        <f>MOD(CU71-CT71,1)*24</f>
        <v/>
      </c>
      <c r="CW71" s="57" t="n">
        <v>1</v>
      </c>
      <c r="CX71" s="58" t="n">
        <v>0.3541666666666667</v>
      </c>
      <c r="CY71" s="60" t="n">
        <v>0.7861111111111111</v>
      </c>
      <c r="CZ71" s="83">
        <f>MOD(CY71-CX71,1)*24</f>
        <v/>
      </c>
      <c r="DA71" s="57" t="n">
        <v>1</v>
      </c>
      <c r="DB71" s="41" t="n"/>
      <c r="DC71" s="41" t="n"/>
      <c r="DD71" s="83" t="n"/>
      <c r="DE71" s="41" t="n"/>
      <c r="DF71" s="58" t="n">
        <v>0.3527777777777778</v>
      </c>
      <c r="DG71" s="58" t="n">
        <v>0.7527777777777778</v>
      </c>
      <c r="DH71" s="83">
        <f>MOD(DG71-DF71,1)*24</f>
        <v/>
      </c>
      <c r="DI71" s="41" t="n">
        <v>1</v>
      </c>
      <c r="DJ71" s="58" t="n">
        <v>0.3506944444444444</v>
      </c>
      <c r="DK71" s="57" t="n"/>
      <c r="DL71" s="83" t="n"/>
      <c r="DM71" s="57" t="n">
        <v>0.5</v>
      </c>
      <c r="DN71" s="58" t="n">
        <v>0.3534722222222222</v>
      </c>
      <c r="DO71" s="58" t="n">
        <v>0.7618055555555555</v>
      </c>
      <c r="DP71" s="83">
        <f>MOD(DO71-DN71,1)*24</f>
        <v/>
      </c>
      <c r="DQ71" s="57" t="n">
        <v>1</v>
      </c>
      <c r="DR71" s="61" t="n">
        <v>0.3541666666666667</v>
      </c>
      <c r="DS71" s="62" t="n">
        <v>0.7652777777777777</v>
      </c>
      <c r="DT71" s="83">
        <f>MOD(DS71-DR71,1)*24</f>
        <v/>
      </c>
      <c r="DU71" s="41" t="n">
        <v>1</v>
      </c>
      <c r="DV71" s="61" t="n"/>
      <c r="DW71" s="62" t="n"/>
      <c r="DX71" s="83" t="n"/>
      <c r="DY71" s="41" t="n"/>
      <c r="DZ71" s="84">
        <f>H71+L71+P71+T71+X71+AB71+AF71+AJ71+AN71+AR71+AV71+AZ71+BD71+BH71+BL71+BP71+BT71+BX71+CB71+CF71+CJ71+CN71+CR71+CV71+CZ71+DD71+DH71+DL71+DP71+DT71</f>
        <v/>
      </c>
      <c r="EA71" s="84">
        <f>I71+M71+Q71+U71+Y71+AC71+AG71+AK71+AO71+AS71+AW71+BA71+BE71+BI71+BM71+BQ71+BU71+BY71+CC71+CG71+CK71+CO71+CS71+CW71+DA71+DE71+DI71+DM71+DQ71+DU71</f>
        <v/>
      </c>
    </row>
    <row r="72" ht="59" customFormat="1" customHeight="1" s="54">
      <c r="A72" s="55" t="inlineStr">
        <is>
          <t>五楼</t>
        </is>
      </c>
      <c r="B72" s="56" t="inlineStr">
        <is>
          <t>熊壮</t>
        </is>
      </c>
      <c r="C72" s="41" t="n">
        <v>80</v>
      </c>
      <c r="D72" s="41" t="inlineStr">
        <is>
          <t>设计部</t>
        </is>
      </c>
      <c r="E72" s="57" t="inlineStr">
        <is>
          <t>设计组</t>
        </is>
      </c>
      <c r="F72" s="41" t="n"/>
      <c r="G72" s="41" t="n"/>
      <c r="H72" s="83" t="n"/>
      <c r="I72" s="41" t="n"/>
      <c r="J72" s="41" t="n"/>
      <c r="K72" s="41" t="n"/>
      <c r="L72" s="83" t="n"/>
      <c r="M72" s="41" t="n"/>
      <c r="N72" s="41" t="n"/>
      <c r="O72" s="41" t="n"/>
      <c r="P72" s="83" t="n"/>
      <c r="Q72" s="41" t="n"/>
      <c r="R72" s="41" t="n"/>
      <c r="S72" s="41" t="n"/>
      <c r="T72" s="83" t="n"/>
      <c r="U72" s="41" t="n"/>
      <c r="V72" s="66" t="n"/>
      <c r="W72" s="41" t="n"/>
      <c r="X72" s="83" t="n"/>
      <c r="Y72" s="41" t="n"/>
      <c r="Z72" s="41" t="n"/>
      <c r="AA72" s="41" t="n"/>
      <c r="AB72" s="83" t="n"/>
      <c r="AC72" s="41" t="n"/>
      <c r="AD72" s="41" t="n"/>
      <c r="AE72" s="41" t="n"/>
      <c r="AF72" s="83" t="n"/>
      <c r="AG72" s="41" t="n"/>
      <c r="AH72" s="41" t="n"/>
      <c r="AI72" s="41" t="n"/>
      <c r="AJ72" s="83" t="n"/>
      <c r="AK72" s="41" t="n"/>
      <c r="AL72" s="41" t="n"/>
      <c r="AM72" s="41" t="n"/>
      <c r="AN72" s="83" t="n"/>
      <c r="AO72" s="41" t="n"/>
      <c r="AP72" s="41" t="n"/>
      <c r="AQ72" s="41" t="n"/>
      <c r="AR72" s="83" t="n"/>
      <c r="AS72" s="41" t="n"/>
      <c r="AT72" s="41" t="n"/>
      <c r="AU72" s="41" t="n"/>
      <c r="AV72" s="83" t="n"/>
      <c r="AW72" s="41" t="n"/>
      <c r="AX72" s="41" t="n"/>
      <c r="AY72" s="41" t="n"/>
      <c r="AZ72" s="83" t="n"/>
      <c r="BA72" s="41" t="n"/>
      <c r="BB72" s="41" t="n"/>
      <c r="BC72" s="41" t="n"/>
      <c r="BD72" s="83" t="n"/>
      <c r="BE72" s="41" t="n"/>
      <c r="BF72" s="41" t="n"/>
      <c r="BG72" s="41" t="n"/>
      <c r="BH72" s="83" t="n"/>
      <c r="BI72" s="41" t="n"/>
      <c r="BJ72" s="41" t="n"/>
      <c r="BK72" s="41" t="n"/>
      <c r="BL72" s="83" t="n"/>
      <c r="BM72" s="41" t="n"/>
      <c r="BN72" s="41" t="n"/>
      <c r="BO72" s="41" t="n"/>
      <c r="BP72" s="83" t="n"/>
      <c r="BQ72" s="41" t="n"/>
      <c r="BR72" s="41" t="n"/>
      <c r="BS72" s="41" t="n"/>
      <c r="BT72" s="83" t="n"/>
      <c r="BU72" s="41" t="n"/>
      <c r="BV72" s="41" t="n"/>
      <c r="BW72" s="41" t="n"/>
      <c r="BX72" s="83" t="n"/>
      <c r="BY72" s="41" t="n"/>
      <c r="BZ72" s="41" t="n"/>
      <c r="CA72" s="41" t="n"/>
      <c r="CB72" s="83" t="n"/>
      <c r="CC72" s="41" t="n"/>
      <c r="CD72" s="41" t="n"/>
      <c r="CE72" s="41" t="n"/>
      <c r="CF72" s="83" t="n"/>
      <c r="CG72" s="41" t="n"/>
      <c r="CH72" s="41" t="n"/>
      <c r="CI72" s="41" t="n"/>
      <c r="CJ72" s="83" t="n"/>
      <c r="CK72" s="41" t="n"/>
      <c r="CL72" s="41" t="n"/>
      <c r="CM72" s="41" t="n"/>
      <c r="CN72" s="83" t="n"/>
      <c r="CO72" s="41" t="n"/>
      <c r="CP72" s="41" t="n"/>
      <c r="CQ72" s="41" t="n"/>
      <c r="CR72" s="83" t="n"/>
      <c r="CS72" s="41" t="n"/>
      <c r="CT72" s="41" t="n"/>
      <c r="CU72" s="41" t="n"/>
      <c r="CV72" s="83" t="n"/>
      <c r="CW72" s="41" t="n"/>
      <c r="CX72" s="41" t="n"/>
      <c r="CY72" s="41" t="n"/>
      <c r="CZ72" s="83" t="n"/>
      <c r="DA72" s="41" t="n"/>
      <c r="DB72" s="41" t="n"/>
      <c r="DC72" s="41" t="n"/>
      <c r="DD72" s="83" t="n"/>
      <c r="DE72" s="41" t="n"/>
      <c r="DF72" s="41" t="n"/>
      <c r="DG72" s="41" t="n"/>
      <c r="DH72" s="83" t="n"/>
      <c r="DI72" s="41" t="n"/>
      <c r="DJ72" s="41" t="n"/>
      <c r="DK72" s="41" t="n"/>
      <c r="DL72" s="83" t="n"/>
      <c r="DM72" s="41" t="n"/>
      <c r="DN72" s="41" t="n"/>
      <c r="DO72" s="41" t="n"/>
      <c r="DP72" s="83" t="n"/>
      <c r="DQ72" s="41" t="n"/>
      <c r="DR72" s="64" t="n"/>
      <c r="DS72" s="65" t="n"/>
      <c r="DT72" s="83" t="n"/>
      <c r="DU72" s="66" t="n"/>
      <c r="DV72" s="64" t="n"/>
      <c r="DW72" s="65" t="n"/>
      <c r="DX72" s="83" t="n"/>
      <c r="DY72" s="66" t="n"/>
      <c r="DZ72" s="84" t="n"/>
      <c r="EA72" s="84" t="n"/>
    </row>
    <row r="73" ht="59" customFormat="1" customHeight="1" s="54">
      <c r="A73" s="55" t="inlineStr">
        <is>
          <t>五楼</t>
        </is>
      </c>
      <c r="B73" s="56" t="inlineStr">
        <is>
          <t>覃邦斌</t>
        </is>
      </c>
      <c r="C73" s="41" t="n">
        <v>81</v>
      </c>
      <c r="D73" s="41" t="inlineStr">
        <is>
          <t>人力行政部</t>
        </is>
      </c>
      <c r="E73" s="57" t="inlineStr">
        <is>
          <t>人力行政部</t>
        </is>
      </c>
      <c r="F73" s="57" t="inlineStr">
        <is>
          <t>07:42</t>
        </is>
      </c>
      <c r="G73" s="58" t="n">
        <v>0.7513888888888889</v>
      </c>
      <c r="H73" s="83">
        <f>MOD(G73-F73,1)*24</f>
        <v/>
      </c>
      <c r="I73" s="57" t="n">
        <v>1</v>
      </c>
      <c r="J73" s="58" t="n">
        <v>0.3201388888888889</v>
      </c>
      <c r="K73" s="58" t="n">
        <v>0.75</v>
      </c>
      <c r="L73" s="83">
        <f>MOD(K73-J73,1)*24</f>
        <v/>
      </c>
      <c r="M73" s="57" t="n">
        <v>1</v>
      </c>
      <c r="N73" s="58" t="n">
        <v>0.31875</v>
      </c>
      <c r="O73" s="58" t="n">
        <v>0.75</v>
      </c>
      <c r="P73" s="83">
        <f>MOD(O73-N73,1)*24</f>
        <v/>
      </c>
      <c r="Q73" s="57" t="n">
        <v>1</v>
      </c>
      <c r="R73" s="58" t="n">
        <v>0.3173611111111111</v>
      </c>
      <c r="S73" s="58" t="n">
        <v>0.75</v>
      </c>
      <c r="T73" s="83">
        <f>MOD(S73-R73,1)*24</f>
        <v/>
      </c>
      <c r="U73" s="57" t="n">
        <v>1</v>
      </c>
      <c r="V73" s="58" t="n">
        <v>0.31875</v>
      </c>
      <c r="W73" s="58" t="n">
        <v>0.7506944444444444</v>
      </c>
      <c r="X73" s="83">
        <f>MOD(W73-V73,1)*24</f>
        <v/>
      </c>
      <c r="Y73" s="57" t="n">
        <v>1</v>
      </c>
      <c r="Z73" s="58" t="n">
        <v>0.31875</v>
      </c>
      <c r="AA73" s="58" t="n">
        <v>0.7520833333333333</v>
      </c>
      <c r="AB73" s="83">
        <f>MOD(AA73-Z73,1)*24</f>
        <v/>
      </c>
      <c r="AC73" s="41" t="n">
        <v>1</v>
      </c>
      <c r="AD73" s="58" t="n">
        <v>0.3208333333333334</v>
      </c>
      <c r="AE73" s="58" t="n">
        <v>0.75</v>
      </c>
      <c r="AF73" s="83">
        <f>MOD(AE73-AD73,1)*24</f>
        <v/>
      </c>
      <c r="AG73" s="57" t="n">
        <v>1</v>
      </c>
      <c r="AH73" s="58" t="n">
        <v>0.3194444444444444</v>
      </c>
      <c r="AI73" s="58" t="n">
        <v>0.7541666666666667</v>
      </c>
      <c r="AJ73" s="83">
        <f>MOD(AI73-AH73,1)*24</f>
        <v/>
      </c>
      <c r="AK73" s="57" t="n">
        <v>1</v>
      </c>
      <c r="AL73" s="58" t="n">
        <v>0.3194444444444444</v>
      </c>
      <c r="AM73" s="58" t="n">
        <v>0.7506944444444444</v>
      </c>
      <c r="AN73" s="83">
        <f>MOD(AM73-AL73,1)*24</f>
        <v/>
      </c>
      <c r="AO73" s="57" t="n">
        <v>1</v>
      </c>
      <c r="AP73" s="58" t="n">
        <v>0.3208333333333334</v>
      </c>
      <c r="AQ73" s="58" t="n">
        <v>0.7569444444444444</v>
      </c>
      <c r="AR73" s="83">
        <f>MOD(AQ73-AP73,1)*24</f>
        <v/>
      </c>
      <c r="AS73" s="57" t="n">
        <v>1</v>
      </c>
      <c r="AT73" s="58" t="n">
        <v>0.3201388888888889</v>
      </c>
      <c r="AU73" s="58" t="n">
        <v>0.7513888888888889</v>
      </c>
      <c r="AV73" s="83">
        <f>MOD(AU73-AT73,1)*24</f>
        <v/>
      </c>
      <c r="AW73" s="57" t="n">
        <v>1</v>
      </c>
      <c r="AX73" s="58" t="n">
        <v>0.3194444444444444</v>
      </c>
      <c r="AY73" s="58" t="n">
        <v>0.7520833333333333</v>
      </c>
      <c r="AZ73" s="83">
        <f>MOD(AY73-AX73,1)*24</f>
        <v/>
      </c>
      <c r="BA73" s="57" t="n">
        <v>1</v>
      </c>
      <c r="BB73" s="58" t="n">
        <v>0.31875</v>
      </c>
      <c r="BC73" s="58" t="n">
        <v>0.7555555555555555</v>
      </c>
      <c r="BD73" s="83">
        <f>MOD(BC73-BB73,1)*24</f>
        <v/>
      </c>
      <c r="BE73" s="41" t="n">
        <v>1</v>
      </c>
      <c r="BF73" s="58" t="n">
        <v>0.3194444444444444</v>
      </c>
      <c r="BG73" s="58" t="n">
        <v>0.7527777777777778</v>
      </c>
      <c r="BH73" s="83">
        <f>MOD(BG73-BF73,1)*24</f>
        <v/>
      </c>
      <c r="BI73" s="57" t="n">
        <v>1</v>
      </c>
      <c r="BJ73" s="58" t="n">
        <v>0.3215277777777778</v>
      </c>
      <c r="BK73" s="58" t="n">
        <v>0.75</v>
      </c>
      <c r="BL73" s="83">
        <f>MOD(BK73-BJ73,1)*24</f>
        <v/>
      </c>
      <c r="BM73" s="57" t="n">
        <v>1</v>
      </c>
      <c r="BN73" s="58" t="n">
        <v>0.3222222222222222</v>
      </c>
      <c r="BO73" s="58" t="n">
        <v>0.7506944444444444</v>
      </c>
      <c r="BP73" s="83">
        <f>MOD(BO73-BN73,1)*24</f>
        <v/>
      </c>
      <c r="BQ73" s="57" t="n">
        <v>1</v>
      </c>
      <c r="BR73" s="58" t="n">
        <v>0.3215277777777778</v>
      </c>
      <c r="BS73" s="58" t="n">
        <v>0.75</v>
      </c>
      <c r="BT73" s="83">
        <f>MOD(BS73-BR73,1)*24</f>
        <v/>
      </c>
      <c r="BU73" s="57" t="n">
        <v>1</v>
      </c>
      <c r="BV73" s="58" t="n">
        <v>0.3194444444444444</v>
      </c>
      <c r="BW73" s="60" t="n">
        <v>0.75</v>
      </c>
      <c r="BX73" s="83">
        <f>MOD(BW73-BV73,1)*24</f>
        <v/>
      </c>
      <c r="BY73" s="41" t="n">
        <v>1</v>
      </c>
      <c r="BZ73" s="41" t="n"/>
      <c r="CA73" s="57" t="n"/>
      <c r="CB73" s="83" t="n"/>
      <c r="CC73" s="57" t="n"/>
      <c r="CD73" s="58" t="n">
        <v>0.3173611111111111</v>
      </c>
      <c r="CE73" s="60" t="n">
        <v>0.7833333333333333</v>
      </c>
      <c r="CF73" s="83">
        <f>MOD(CE73-CD73,1)*24</f>
        <v/>
      </c>
      <c r="CG73" s="41" t="n">
        <v>1</v>
      </c>
      <c r="CH73" s="41" t="n"/>
      <c r="CI73" s="57" t="n"/>
      <c r="CJ73" s="83" t="n"/>
      <c r="CK73" s="57" t="n"/>
      <c r="CL73" s="58" t="n">
        <v>0.3208333333333334</v>
      </c>
      <c r="CM73" s="58" t="n">
        <v>0.7506944444444444</v>
      </c>
      <c r="CN73" s="83">
        <f>MOD(CM73-CL73,1)*24</f>
        <v/>
      </c>
      <c r="CO73" s="57" t="n">
        <v>1</v>
      </c>
      <c r="CP73" s="58" t="n">
        <v>0.3194444444444444</v>
      </c>
      <c r="CQ73" s="58" t="n">
        <v>0.75</v>
      </c>
      <c r="CR73" s="83">
        <f>MOD(CQ73-CP73,1)*24</f>
        <v/>
      </c>
      <c r="CS73" s="57" t="n">
        <v>1</v>
      </c>
      <c r="CT73" s="58" t="n">
        <v>0.3215277777777778</v>
      </c>
      <c r="CU73" s="58" t="n">
        <v>0.7534722222222222</v>
      </c>
      <c r="CV73" s="83">
        <f>MOD(CU73-CT73,1)*24</f>
        <v/>
      </c>
      <c r="CW73" s="57" t="n">
        <v>1</v>
      </c>
      <c r="CX73" s="58" t="n">
        <v>0.3201388888888889</v>
      </c>
      <c r="CY73" s="58" t="n">
        <v>0.75</v>
      </c>
      <c r="CZ73" s="83">
        <f>MOD(CY73-CX73,1)*24</f>
        <v/>
      </c>
      <c r="DA73" s="57" t="n">
        <v>1</v>
      </c>
      <c r="DB73" s="58" t="n">
        <v>0.3208333333333334</v>
      </c>
      <c r="DC73" s="58" t="n">
        <v>0.75625</v>
      </c>
      <c r="DD73" s="83">
        <f>MOD(DC73-DB73,1)*24</f>
        <v/>
      </c>
      <c r="DE73" s="57" t="n">
        <v>1</v>
      </c>
      <c r="DF73" s="58" t="n">
        <v>0.3194444444444444</v>
      </c>
      <c r="DG73" s="58" t="n">
        <v>0.75</v>
      </c>
      <c r="DH73" s="83">
        <f>MOD(DG73-DF73,1)*24</f>
        <v/>
      </c>
      <c r="DI73" s="41" t="n">
        <v>1</v>
      </c>
      <c r="DJ73" s="58" t="n">
        <v>0.3222222222222222</v>
      </c>
      <c r="DK73" s="58" t="n">
        <v>0.7569444444444444</v>
      </c>
      <c r="DL73" s="83">
        <f>MOD(DK73-DJ73,1)*24</f>
        <v/>
      </c>
      <c r="DM73" s="57" t="n">
        <v>1</v>
      </c>
      <c r="DN73" s="58" t="n">
        <v>0.3201388888888889</v>
      </c>
      <c r="DO73" s="58" t="n">
        <v>0.75</v>
      </c>
      <c r="DP73" s="83">
        <f>MOD(DO73-DN73,1)*24</f>
        <v/>
      </c>
      <c r="DQ73" s="57" t="n">
        <v>1</v>
      </c>
      <c r="DR73" s="61" t="n">
        <v>0.2993055555555555</v>
      </c>
      <c r="DS73" s="62" t="n">
        <v>0.7527777777777778</v>
      </c>
      <c r="DT73" s="83">
        <f>MOD(DS73-DR73,1)*24</f>
        <v/>
      </c>
      <c r="DU73" s="41" t="n">
        <v>1</v>
      </c>
      <c r="DV73" s="61" t="n"/>
      <c r="DW73" s="62" t="n"/>
      <c r="DX73" s="83" t="n"/>
      <c r="DY73" s="41" t="n"/>
      <c r="DZ73" s="84">
        <f>H73+L73+P73+T73+X73+AB73+AF73+AJ73+AN73+AR73+AV73+AZ73+BD73+BH73+BL73+BP73+BT73+BX73+CB73+CF73+CJ73+CN73+CR73+CV73+CZ73+DD73+DH73+DL73+DP73+DT73</f>
        <v/>
      </c>
      <c r="EA73" s="84">
        <f>I73+M73+Q73+U73+Y73+AC73+AG73+AK73+AO73+AS73+AW73+BA73+BE73+BI73+BM73+BQ73+BU73+BY73+CC73+CG73+CK73+CO73+CS73+CW73+DA73+DE73+DI73+DM73+DQ73+DU73</f>
        <v/>
      </c>
    </row>
    <row r="74" ht="59" customFormat="1" customHeight="1" s="54">
      <c r="A74" s="55" t="inlineStr">
        <is>
          <t>五楼</t>
        </is>
      </c>
      <c r="B74" s="56" t="inlineStr">
        <is>
          <t>覃邦斌</t>
        </is>
      </c>
      <c r="C74" s="41" t="n">
        <v>81</v>
      </c>
      <c r="D74" s="41" t="inlineStr">
        <is>
          <t>人力行政部</t>
        </is>
      </c>
      <c r="E74" s="57" t="inlineStr">
        <is>
          <t>人力行政部</t>
        </is>
      </c>
      <c r="F74" s="41" t="n"/>
      <c r="G74" s="41" t="n"/>
      <c r="H74" s="83" t="n"/>
      <c r="I74" s="41" t="n"/>
      <c r="J74" s="41" t="n"/>
      <c r="K74" s="41" t="n"/>
      <c r="L74" s="83" t="n"/>
      <c r="M74" s="41" t="n"/>
      <c r="N74" s="41" t="n"/>
      <c r="O74" s="41" t="n"/>
      <c r="P74" s="83" t="n"/>
      <c r="Q74" s="41" t="n"/>
      <c r="R74" s="41" t="n"/>
      <c r="S74" s="41" t="n"/>
      <c r="T74" s="83" t="n"/>
      <c r="U74" s="41" t="n"/>
      <c r="V74" s="41" t="n"/>
      <c r="W74" s="41" t="n"/>
      <c r="X74" s="83" t="n"/>
      <c r="Y74" s="41" t="n"/>
      <c r="Z74" s="41" t="n"/>
      <c r="AA74" s="41" t="n"/>
      <c r="AB74" s="83" t="n"/>
      <c r="AC74" s="41" t="n"/>
      <c r="AD74" s="41" t="n"/>
      <c r="AE74" s="57" t="n"/>
      <c r="AF74" s="83" t="n"/>
      <c r="AG74" s="57" t="n"/>
      <c r="AI74" s="41" t="n"/>
      <c r="AJ74" s="83" t="n"/>
      <c r="AK74" s="41" t="n"/>
      <c r="AL74" s="41" t="n"/>
      <c r="AM74" s="41" t="n"/>
      <c r="AN74" s="83" t="n"/>
      <c r="AO74" s="41" t="n"/>
      <c r="AP74" s="41" t="n"/>
      <c r="AQ74" s="41" t="n"/>
      <c r="AR74" s="83" t="n"/>
      <c r="AS74" s="41" t="n"/>
      <c r="AT74" s="41" t="n"/>
      <c r="AU74" s="41" t="n"/>
      <c r="AV74" s="83" t="n"/>
      <c r="AW74" s="41" t="n"/>
      <c r="AX74" s="41" t="n"/>
      <c r="AY74" s="41" t="n"/>
      <c r="AZ74" s="83" t="n"/>
      <c r="BA74" s="41" t="n"/>
      <c r="BB74" s="41" t="n"/>
      <c r="BC74" s="41" t="n"/>
      <c r="BD74" s="83" t="n"/>
      <c r="BE74" s="41" t="n"/>
      <c r="BF74" s="41" t="n"/>
      <c r="BG74" s="41" t="n"/>
      <c r="BH74" s="83" t="n"/>
      <c r="BI74" s="41" t="n"/>
      <c r="BJ74" s="41" t="n"/>
      <c r="BK74" s="57" t="n"/>
      <c r="BL74" s="83" t="n"/>
      <c r="BM74" s="57" t="n"/>
      <c r="BN74" s="58" t="n"/>
      <c r="BO74" s="41" t="n"/>
      <c r="BP74" s="83" t="n"/>
      <c r="BQ74" s="41" t="n"/>
      <c r="BR74" s="41" t="n"/>
      <c r="BS74" s="41" t="n"/>
      <c r="BT74" s="83" t="n"/>
      <c r="BU74" s="41" t="n"/>
      <c r="BV74" s="41" t="n"/>
      <c r="BW74" s="41" t="n"/>
      <c r="BX74" s="83" t="n"/>
      <c r="BY74" s="41" t="n"/>
      <c r="BZ74" s="41" t="n"/>
      <c r="CA74" s="41" t="n"/>
      <c r="CB74" s="83" t="n"/>
      <c r="CC74" s="41" t="n"/>
      <c r="CD74" s="41" t="n"/>
      <c r="CE74" s="41" t="n"/>
      <c r="CF74" s="83" t="n"/>
      <c r="CG74" s="41" t="n"/>
      <c r="CH74" s="41" t="n"/>
      <c r="CI74" s="41" t="n"/>
      <c r="CJ74" s="83" t="n"/>
      <c r="CK74" s="41" t="n"/>
      <c r="CL74" s="41" t="n"/>
      <c r="CM74" s="41" t="n"/>
      <c r="CN74" s="83" t="n"/>
      <c r="CO74" s="41" t="n"/>
      <c r="CP74" s="41" t="n"/>
      <c r="CQ74" s="41" t="n"/>
      <c r="CR74" s="83" t="n"/>
      <c r="CS74" s="41" t="n"/>
      <c r="CT74" s="41" t="n"/>
      <c r="CU74" s="41" t="n"/>
      <c r="CV74" s="83" t="n"/>
      <c r="CW74" s="41" t="n"/>
      <c r="CX74" s="41" t="n"/>
      <c r="CY74" s="41" t="n"/>
      <c r="CZ74" s="83" t="n"/>
      <c r="DA74" s="41" t="n"/>
      <c r="DB74" s="41" t="n"/>
      <c r="DC74" s="41" t="n"/>
      <c r="DD74" s="83" t="n"/>
      <c r="DE74" s="41" t="n"/>
      <c r="DF74" s="41" t="n"/>
      <c r="DG74" s="41" t="n"/>
      <c r="DH74" s="83" t="n"/>
      <c r="DI74" s="41" t="n"/>
      <c r="DJ74" s="41" t="n"/>
      <c r="DK74" s="41" t="n"/>
      <c r="DL74" s="83" t="n"/>
      <c r="DM74" s="41" t="n"/>
      <c r="DN74" s="41" t="n"/>
      <c r="DO74" s="57" t="n"/>
      <c r="DP74" s="83" t="n"/>
      <c r="DQ74" s="57" t="n"/>
      <c r="DR74" s="61" t="n"/>
      <c r="DS74" s="65" t="n"/>
      <c r="DT74" s="83" t="n"/>
      <c r="DU74" s="66" t="n"/>
      <c r="DV74" s="61" t="n"/>
      <c r="DW74" s="65" t="n"/>
      <c r="DX74" s="83" t="n"/>
      <c r="DY74" s="66" t="n"/>
      <c r="DZ74" s="84" t="n"/>
      <c r="EA74" s="84" t="n"/>
    </row>
    <row r="75" ht="59" customFormat="1" customHeight="1" s="54">
      <c r="A75" s="55" t="inlineStr">
        <is>
          <t>五楼</t>
        </is>
      </c>
      <c r="B75" s="56" t="inlineStr">
        <is>
          <t>章新灯</t>
        </is>
      </c>
      <c r="C75" s="41" t="n">
        <v>82</v>
      </c>
      <c r="D75" s="41" t="inlineStr">
        <is>
          <t>设计部</t>
        </is>
      </c>
      <c r="E75" s="57" t="inlineStr">
        <is>
          <t>设计组</t>
        </is>
      </c>
      <c r="F75" s="57" t="inlineStr">
        <is>
          <t>08:03</t>
        </is>
      </c>
      <c r="G75" s="58" t="n">
        <v>0.8333333333333334</v>
      </c>
      <c r="H75" s="83">
        <f>MOD(G75-F75,1)*24</f>
        <v/>
      </c>
      <c r="I75" s="57" t="n">
        <v>1</v>
      </c>
      <c r="J75" s="58" t="n">
        <v>0.3416666666666667</v>
      </c>
      <c r="K75" s="58" t="n">
        <v>0.8590277777777777</v>
      </c>
      <c r="L75" s="83">
        <f>MOD(K75-J75,1)*24</f>
        <v/>
      </c>
      <c r="M75" s="57" t="n">
        <v>1</v>
      </c>
      <c r="N75" s="58" t="n">
        <v>0.3423611111111111</v>
      </c>
      <c r="O75" s="58" t="n">
        <v>0.8347222222222223</v>
      </c>
      <c r="P75" s="83">
        <f>MOD(O75-N75,1)*24</f>
        <v/>
      </c>
      <c r="Q75" s="57" t="n">
        <v>1</v>
      </c>
      <c r="R75" s="58" t="n">
        <v>0.3368055555555556</v>
      </c>
      <c r="S75" s="58" t="n">
        <v>0.8347222222222223</v>
      </c>
      <c r="T75" s="83">
        <f>MOD(S75-R75,1)*24</f>
        <v/>
      </c>
      <c r="U75" s="57" t="n">
        <v>1</v>
      </c>
      <c r="V75" s="58" t="n">
        <v>0.34375</v>
      </c>
      <c r="W75" s="58" t="n">
        <v>0.8513888888888889</v>
      </c>
      <c r="X75" s="83">
        <f>MOD(W75-V75,1)*24</f>
        <v/>
      </c>
      <c r="Y75" s="57" t="n">
        <v>1</v>
      </c>
      <c r="Z75" s="58" t="n">
        <v>0.3409722222222222</v>
      </c>
      <c r="AA75" s="58" t="n">
        <v>0.8375</v>
      </c>
      <c r="AB75" s="83">
        <f>MOD(AA75-Z75,1)*24</f>
        <v/>
      </c>
      <c r="AC75" s="41" t="n">
        <v>1</v>
      </c>
      <c r="AD75" s="58" t="n">
        <v>0.3381944444444445</v>
      </c>
      <c r="AE75" s="58" t="n">
        <v>0.7506944444444444</v>
      </c>
      <c r="AF75" s="83">
        <f>MOD(AE75-AD75,1)*24</f>
        <v/>
      </c>
      <c r="AG75" s="57" t="n"/>
      <c r="AH75" s="58" t="n">
        <v>0.3381944444444445</v>
      </c>
      <c r="AI75" s="58" t="n">
        <v>0.8340277777777778</v>
      </c>
      <c r="AJ75" s="83">
        <f>MOD(AI75-AH75,1)*24</f>
        <v/>
      </c>
      <c r="AK75" s="57" t="n">
        <v>1</v>
      </c>
      <c r="AL75" s="58" t="n">
        <v>0.3381944444444445</v>
      </c>
      <c r="AM75" s="58" t="n">
        <v>0.8743055555555556</v>
      </c>
      <c r="AN75" s="83">
        <f>MOD(AM75-AL75,1)*24</f>
        <v/>
      </c>
      <c r="AO75" s="57" t="n">
        <v>1</v>
      </c>
      <c r="AP75" s="58" t="n">
        <v>0.3423611111111111</v>
      </c>
      <c r="AQ75" s="58" t="n">
        <v>0.8166666666666667</v>
      </c>
      <c r="AR75" s="83">
        <f>MOD(AQ75-AP75,1)*24</f>
        <v/>
      </c>
      <c r="AS75" s="57" t="n">
        <v>1</v>
      </c>
      <c r="AT75" s="58" t="n">
        <v>0.3395833333333333</v>
      </c>
      <c r="AU75" s="58" t="n">
        <v>0.8152777777777778</v>
      </c>
      <c r="AV75" s="83">
        <f>MOD(AU75-AT75,1)*24</f>
        <v/>
      </c>
      <c r="AW75" s="57" t="n">
        <v>1</v>
      </c>
      <c r="AX75" s="58" t="n">
        <v>0.34375</v>
      </c>
      <c r="AY75" s="58" t="n">
        <v>0.8625</v>
      </c>
      <c r="AZ75" s="83">
        <f>MOD(AY75-AX75,1)*24</f>
        <v/>
      </c>
      <c r="BA75" s="57" t="n">
        <v>1</v>
      </c>
      <c r="BB75" s="58" t="n">
        <v>0.3423611111111111</v>
      </c>
      <c r="BC75" s="60" t="n">
        <v>0.8347222222222223</v>
      </c>
      <c r="BD75" s="83">
        <f>MOD(BC75-BB75,1)*24</f>
        <v/>
      </c>
      <c r="BE75" s="41" t="n">
        <v>1</v>
      </c>
      <c r="BF75" s="41" t="n"/>
      <c r="BG75" s="57" t="n"/>
      <c r="BH75" s="83" t="n"/>
      <c r="BI75" s="57" t="n"/>
      <c r="BJ75" s="58" t="n">
        <v>0.3388888888888889</v>
      </c>
      <c r="BK75" s="58" t="n">
        <v>0.8368055555555556</v>
      </c>
      <c r="BL75" s="83">
        <f>MOD(BK75-BJ75,1)*24</f>
        <v/>
      </c>
      <c r="BM75" s="57" t="n">
        <v>1</v>
      </c>
      <c r="BN75" s="58" t="n">
        <v>0.3416666666666667</v>
      </c>
      <c r="BO75" s="58" t="n">
        <v>0.8125</v>
      </c>
      <c r="BP75" s="83">
        <f>MOD(BO75-BN75,1)*24</f>
        <v/>
      </c>
      <c r="BQ75" s="57" t="n">
        <v>1</v>
      </c>
      <c r="BR75" s="58" t="n">
        <v>0.3381944444444445</v>
      </c>
      <c r="BS75" s="58" t="n">
        <v>0.7972222222222223</v>
      </c>
      <c r="BT75" s="83">
        <f>MOD(BS75-BR75,1)*24</f>
        <v/>
      </c>
      <c r="BU75" s="57" t="n">
        <v>1</v>
      </c>
      <c r="BV75" s="58" t="n">
        <v>0.3375</v>
      </c>
      <c r="BW75" s="60" t="n">
        <v>0.80625</v>
      </c>
      <c r="BX75" s="83">
        <f>MOD(BW75-BV75,1)*24</f>
        <v/>
      </c>
      <c r="BY75" s="41" t="n">
        <v>1</v>
      </c>
      <c r="BZ75" s="41" t="n"/>
      <c r="CA75" s="41" t="n"/>
      <c r="CB75" s="83" t="n"/>
      <c r="CC75" s="41" t="n"/>
      <c r="CD75" s="41" t="n"/>
      <c r="CE75" s="57" t="n"/>
      <c r="CF75" s="83" t="n"/>
      <c r="CG75" s="57" t="n"/>
      <c r="CH75" s="58" t="n">
        <v>0.3388888888888889</v>
      </c>
      <c r="CI75" s="58" t="n">
        <v>0.8041666666666667</v>
      </c>
      <c r="CJ75" s="83">
        <f>MOD(CI75-CH75,1)*24</f>
        <v/>
      </c>
      <c r="CK75" s="57" t="n">
        <v>1</v>
      </c>
      <c r="CL75" s="58" t="n">
        <v>0.3361111111111111</v>
      </c>
      <c r="CM75" s="58" t="n">
        <v>0.8298611111111112</v>
      </c>
      <c r="CN75" s="83">
        <f>MOD(CM75-CL75,1)*24</f>
        <v/>
      </c>
      <c r="CO75" s="57" t="n">
        <v>1</v>
      </c>
      <c r="CP75" s="58" t="n">
        <v>0.3368055555555556</v>
      </c>
      <c r="CQ75" s="58" t="n">
        <v>0.88125</v>
      </c>
      <c r="CR75" s="83">
        <f>MOD(CQ75-CP75,1)*24</f>
        <v/>
      </c>
      <c r="CS75" s="57" t="n">
        <v>1</v>
      </c>
      <c r="CT75" s="58" t="n">
        <v>0.3375</v>
      </c>
      <c r="CU75" s="58" t="n">
        <v>0.8277777777777777</v>
      </c>
      <c r="CV75" s="83">
        <f>MOD(CU75-CT75,1)*24</f>
        <v/>
      </c>
      <c r="CW75" s="57" t="n">
        <v>1</v>
      </c>
      <c r="CX75" s="58" t="n">
        <v>0.3368055555555556</v>
      </c>
      <c r="CY75" s="58" t="n">
        <v>0.8138888888888889</v>
      </c>
      <c r="CZ75" s="83">
        <f>MOD(CY75-CX75,1)*24</f>
        <v/>
      </c>
      <c r="DA75" s="57" t="n">
        <v>1</v>
      </c>
      <c r="DB75" s="58" t="n">
        <v>0.3395833333333333</v>
      </c>
      <c r="DC75" s="58" t="n">
        <v>0.8888888888888888</v>
      </c>
      <c r="DD75" s="83">
        <f>MOD(DC75-DB75,1)*24</f>
        <v/>
      </c>
      <c r="DE75" s="57" t="n">
        <v>1</v>
      </c>
      <c r="DF75" s="58" t="n">
        <v>0.3409722222222222</v>
      </c>
      <c r="DG75" s="60" t="n">
        <v>0.8416666666666667</v>
      </c>
      <c r="DH75" s="83">
        <f>MOD(DG75-DF75,1)*24</f>
        <v/>
      </c>
      <c r="DI75" s="41" t="n">
        <v>1</v>
      </c>
      <c r="DJ75" s="41" t="n"/>
      <c r="DK75" s="41" t="n"/>
      <c r="DL75" s="83" t="n"/>
      <c r="DM75" s="41" t="n"/>
      <c r="DN75" s="58" t="n">
        <v>0.3361111111111111</v>
      </c>
      <c r="DO75" s="58" t="n">
        <v>0.8493055555555555</v>
      </c>
      <c r="DP75" s="83">
        <f>MOD(DO75-DN75,1)*24</f>
        <v/>
      </c>
      <c r="DQ75" s="57" t="n">
        <v>1</v>
      </c>
      <c r="DR75" s="61" t="n">
        <v>0.3416666666666667</v>
      </c>
      <c r="DS75" s="62" t="n">
        <v>0.81875</v>
      </c>
      <c r="DT75" s="83">
        <f>MOD(DS75-DR75,1)*24</f>
        <v/>
      </c>
      <c r="DU75" s="41" t="n">
        <v>1</v>
      </c>
      <c r="DV75" s="61" t="n"/>
      <c r="DW75" s="62" t="n"/>
      <c r="DX75" s="83" t="n"/>
      <c r="DY75" s="41" t="n"/>
      <c r="DZ75" s="84">
        <f>H75+L75+P75+T75+X75+AB75+AF75+AJ75+AN75+AR75+AV75+AZ75+BD75+BH75+BL75+BP75+BT75+BX75+CB75+CF75+CJ75+CN75+CR75+CV75+CZ75+DD75+DH75+DL75+DP75+DT75</f>
        <v/>
      </c>
      <c r="EA75" s="84">
        <f>I75+M75+Q75+U75+Y75+AC75+AG75+AK75+AO75+AS75+AW75+BA75+BE75+BI75+BM75+BQ75+BU75+BY75+CC75+CG75+CK75+CO75+CS75+CW75+DA75+DE75+DI75+DM75+DQ75+DU75</f>
        <v/>
      </c>
    </row>
    <row r="76" ht="59" customFormat="1" customHeight="1" s="54">
      <c r="A76" s="55" t="inlineStr">
        <is>
          <t>五楼</t>
        </is>
      </c>
      <c r="B76" s="56" t="inlineStr">
        <is>
          <t>章新灯</t>
        </is>
      </c>
      <c r="C76" s="41" t="n">
        <v>82</v>
      </c>
      <c r="D76" s="41" t="inlineStr">
        <is>
          <t>设计部</t>
        </is>
      </c>
      <c r="E76" s="57" t="inlineStr">
        <is>
          <t>设计组</t>
        </is>
      </c>
      <c r="F76" s="41" t="n"/>
      <c r="G76" s="41" t="n"/>
      <c r="H76" s="83" t="n"/>
      <c r="I76" s="41" t="n"/>
      <c r="J76" s="41" t="n"/>
      <c r="K76" s="41" t="n"/>
      <c r="L76" s="83" t="n"/>
      <c r="M76" s="41" t="n"/>
      <c r="N76" s="41" t="n"/>
      <c r="O76" s="41" t="n"/>
      <c r="P76" s="83" t="n"/>
      <c r="Q76" s="41" t="n"/>
      <c r="R76" s="41" t="n"/>
      <c r="S76" s="41" t="n"/>
      <c r="T76" s="83" t="n"/>
      <c r="U76" s="41" t="n"/>
      <c r="V76" s="41" t="n"/>
      <c r="W76" s="41" t="n"/>
      <c r="X76" s="83" t="n"/>
      <c r="Y76" s="41" t="n"/>
      <c r="Z76" s="41" t="n"/>
      <c r="AA76" s="41" t="n"/>
      <c r="AB76" s="83" t="n"/>
      <c r="AC76" s="41" t="n"/>
      <c r="AD76" s="41" t="n"/>
      <c r="AE76" s="41" t="n"/>
      <c r="AF76" s="83" t="n"/>
      <c r="AG76" s="41" t="n"/>
      <c r="AH76" s="41" t="n"/>
      <c r="AI76" s="57" t="n"/>
      <c r="AJ76" s="83" t="n"/>
      <c r="AK76" s="57" t="n"/>
      <c r="AM76" s="41" t="n"/>
      <c r="AN76" s="83" t="n"/>
      <c r="AO76" s="41" t="n"/>
      <c r="AP76" s="41" t="n"/>
      <c r="AQ76" s="41" t="n"/>
      <c r="AR76" s="83" t="n"/>
      <c r="AS76" s="41" t="n"/>
      <c r="AT76" s="41" t="n"/>
      <c r="AU76" s="41" t="n"/>
      <c r="AV76" s="83" t="n"/>
      <c r="AW76" s="41" t="n"/>
      <c r="AX76" s="41" t="n"/>
      <c r="AY76" s="41" t="n"/>
      <c r="AZ76" s="83" t="n"/>
      <c r="BA76" s="41" t="n"/>
      <c r="BB76" s="41" t="n"/>
      <c r="BC76" s="41" t="n"/>
      <c r="BD76" s="83" t="n"/>
      <c r="BE76" s="41" t="n"/>
      <c r="BF76" s="41" t="n"/>
      <c r="BG76" s="41" t="n"/>
      <c r="BH76" s="83" t="n"/>
      <c r="BI76" s="41" t="n"/>
      <c r="BJ76" s="41" t="n"/>
      <c r="BK76" s="41" t="n"/>
      <c r="BL76" s="83" t="n"/>
      <c r="BM76" s="41" t="n"/>
      <c r="BN76" s="41" t="n"/>
      <c r="BO76" s="41" t="n"/>
      <c r="BP76" s="83" t="n"/>
      <c r="BQ76" s="41" t="n"/>
      <c r="BR76" s="41" t="n"/>
      <c r="BS76" s="41" t="n"/>
      <c r="BT76" s="83" t="n"/>
      <c r="BU76" s="41" t="n"/>
      <c r="BV76" s="41" t="n"/>
      <c r="BW76" s="41" t="n"/>
      <c r="BX76" s="83" t="n"/>
      <c r="BY76" s="41" t="n"/>
      <c r="BZ76" s="41" t="n"/>
      <c r="CA76" s="41" t="n"/>
      <c r="CB76" s="83" t="n"/>
      <c r="CC76" s="41" t="n"/>
      <c r="CD76" s="41" t="n"/>
      <c r="CE76" s="41" t="n"/>
      <c r="CF76" s="83" t="n"/>
      <c r="CG76" s="41" t="n"/>
      <c r="CH76" s="41" t="n"/>
      <c r="CI76" s="41" t="n"/>
      <c r="CJ76" s="83" t="n"/>
      <c r="CK76" s="41" t="n"/>
      <c r="CL76" s="41" t="n"/>
      <c r="CM76" s="41" t="n"/>
      <c r="CN76" s="83" t="n"/>
      <c r="CO76" s="41" t="n"/>
      <c r="CP76" s="41" t="n"/>
      <c r="CQ76" s="41" t="n"/>
      <c r="CR76" s="83" t="n"/>
      <c r="CS76" s="41" t="n"/>
      <c r="CT76" s="41" t="n"/>
      <c r="CU76" s="41" t="n"/>
      <c r="CV76" s="83" t="n"/>
      <c r="CW76" s="41" t="n"/>
      <c r="CX76" s="41" t="n"/>
      <c r="CY76" s="41" t="n"/>
      <c r="CZ76" s="83" t="n"/>
      <c r="DA76" s="41" t="n"/>
      <c r="DB76" s="41" t="n"/>
      <c r="DC76" s="41" t="n"/>
      <c r="DD76" s="83" t="n"/>
      <c r="DE76" s="41" t="n"/>
      <c r="DF76" s="41" t="n"/>
      <c r="DG76" s="41" t="n"/>
      <c r="DH76" s="83" t="n"/>
      <c r="DI76" s="41" t="n"/>
      <c r="DJ76" s="41" t="n"/>
      <c r="DK76" s="41" t="n"/>
      <c r="DL76" s="83" t="n"/>
      <c r="DM76" s="41" t="n"/>
      <c r="DN76" s="41" t="n"/>
      <c r="DO76" s="41" t="n"/>
      <c r="DP76" s="83" t="n"/>
      <c r="DQ76" s="41" t="n"/>
      <c r="DR76" s="64" t="n"/>
      <c r="DS76" s="65" t="n"/>
      <c r="DT76" s="83" t="n"/>
      <c r="DU76" s="66" t="n"/>
      <c r="DV76" s="64" t="n"/>
      <c r="DW76" s="65" t="n"/>
      <c r="DX76" s="83" t="n"/>
      <c r="DY76" s="66" t="n"/>
      <c r="DZ76" s="84" t="n"/>
      <c r="EA76" s="84" t="n"/>
    </row>
    <row r="77" ht="59" customFormat="1" customHeight="1" s="54">
      <c r="A77" s="55" t="inlineStr">
        <is>
          <t>五楼</t>
        </is>
      </c>
      <c r="B77" s="56" t="inlineStr">
        <is>
          <t>蒋进</t>
        </is>
      </c>
      <c r="C77" s="41" t="n">
        <v>83</v>
      </c>
      <c r="D77" s="41" t="inlineStr">
        <is>
          <t>设计部</t>
        </is>
      </c>
      <c r="E77" s="57" t="inlineStr">
        <is>
          <t>设计组</t>
        </is>
      </c>
      <c r="F77" s="68" t="inlineStr">
        <is>
          <t>08:33</t>
        </is>
      </c>
      <c r="G77" s="69" t="n">
        <v>0.9</v>
      </c>
      <c r="H77" s="83">
        <f>MOD(G77-F77,1)*24</f>
        <v/>
      </c>
      <c r="I77" s="57" t="n">
        <v>1</v>
      </c>
      <c r="J77" s="69" t="n">
        <v>0.3333333333333333</v>
      </c>
      <c r="K77" s="69" t="n">
        <v>0.9958333333333333</v>
      </c>
      <c r="L77" s="83">
        <f>MOD(K77-J77,1)*24</f>
        <v/>
      </c>
      <c r="M77" s="57" t="n">
        <v>1</v>
      </c>
      <c r="N77" s="69" t="n">
        <v>0.3534722222222222</v>
      </c>
      <c r="O77" s="69" t="n">
        <v>0.9659722222222222</v>
      </c>
      <c r="P77" s="83">
        <f>MOD(O77-N77,1)*24</f>
        <v/>
      </c>
      <c r="Q77" s="57" t="n">
        <v>1</v>
      </c>
      <c r="R77" s="69" t="n">
        <v>0.3388888888888889</v>
      </c>
      <c r="S77" s="69" t="n">
        <v>0.9194444444444444</v>
      </c>
      <c r="T77" s="83">
        <f>MOD(S77-R77,1)*24</f>
        <v/>
      </c>
      <c r="U77" s="57" t="n">
        <v>1</v>
      </c>
      <c r="V77" s="69" t="n">
        <v>0.3381944444444445</v>
      </c>
      <c r="W77" s="69" t="n">
        <v>0.9527777777777777</v>
      </c>
      <c r="X77" s="83">
        <f>MOD(W77-V77,1)*24</f>
        <v/>
      </c>
      <c r="Y77" s="57" t="n">
        <v>1</v>
      </c>
      <c r="Z77" s="69" t="n">
        <v>0.7541666666666667</v>
      </c>
      <c r="AA77" s="69" t="n">
        <v>0.9673611111111111</v>
      </c>
      <c r="AB77" s="83">
        <f>MOD(AA77-Z77,1)*24</f>
        <v/>
      </c>
      <c r="AC77" s="68" t="n"/>
      <c r="AD77" s="69" t="n">
        <v>0.7513888888888889</v>
      </c>
      <c r="AE77" s="68" t="n"/>
      <c r="AF77" s="83" t="n"/>
      <c r="AG77" s="68" t="n">
        <v>0.5</v>
      </c>
      <c r="AH77" s="69" t="n">
        <v>0.3541666666666667</v>
      </c>
      <c r="AI77" s="69" t="n">
        <v>0.9340277777777778</v>
      </c>
      <c r="AJ77" s="83">
        <f>MOD(AI77-AH77,1)*24</f>
        <v/>
      </c>
      <c r="AK77" s="57" t="n">
        <v>1</v>
      </c>
      <c r="AL77" s="69" t="n">
        <v>0.3479166666666667</v>
      </c>
      <c r="AM77" s="69" t="n">
        <v>0.9027777777777778</v>
      </c>
      <c r="AN77" s="83">
        <f>MOD(AM77-AL77,1)*24</f>
        <v/>
      </c>
      <c r="AO77" s="57" t="n">
        <v>1</v>
      </c>
      <c r="AP77" s="69" t="n">
        <v>0.3416666666666667</v>
      </c>
      <c r="AQ77" s="69" t="n">
        <v>0.8798611111111111</v>
      </c>
      <c r="AR77" s="83">
        <f>MOD(AQ77-AP77,1)*24</f>
        <v/>
      </c>
      <c r="AS77" s="57" t="n">
        <v>1</v>
      </c>
      <c r="AT77" s="69" t="n">
        <v>0.3402777777777778</v>
      </c>
      <c r="AU77" s="69" t="n">
        <v>0.9</v>
      </c>
      <c r="AV77" s="83">
        <f>MOD(AU77-AT77,1)*24</f>
        <v/>
      </c>
      <c r="AW77" s="57" t="n">
        <v>1</v>
      </c>
      <c r="AX77" s="69" t="n">
        <v>0.35</v>
      </c>
      <c r="AY77" s="69" t="n">
        <v>0.9520833333333333</v>
      </c>
      <c r="AZ77" s="83">
        <f>MOD(AY77-AX77,1)*24</f>
        <v/>
      </c>
      <c r="BA77" s="57" t="n">
        <v>1</v>
      </c>
      <c r="BB77" s="69" t="n">
        <v>0.3513888888888889</v>
      </c>
      <c r="BC77" s="69" t="n">
        <v>0.9729166666666667</v>
      </c>
      <c r="BD77" s="83">
        <f>MOD(BC77-BB77,1)*24</f>
        <v/>
      </c>
      <c r="BE77" s="41" t="n">
        <v>1</v>
      </c>
      <c r="BF77" s="69" t="n">
        <v>0.3541666666666667</v>
      </c>
      <c r="BG77" s="70" t="n">
        <v>0.8902777777777777</v>
      </c>
      <c r="BH77" s="83">
        <f>MOD(BG77-BF77,1)*24</f>
        <v/>
      </c>
      <c r="BI77" s="57" t="n">
        <v>1</v>
      </c>
      <c r="BJ77" s="71" t="n"/>
      <c r="BK77" s="68" t="n"/>
      <c r="BL77" s="83" t="n"/>
      <c r="BM77" s="68" t="n"/>
      <c r="BN77" s="69" t="n">
        <v>0.3388888888888889</v>
      </c>
      <c r="BO77" s="69" t="n">
        <v>0.9208333333333333</v>
      </c>
      <c r="BP77" s="83">
        <f>MOD(BO77-BN77,1)*24</f>
        <v/>
      </c>
      <c r="BQ77" s="57" t="n">
        <v>1</v>
      </c>
      <c r="BR77" s="69" t="n">
        <v>0.3381944444444445</v>
      </c>
      <c r="BS77" s="69" t="n">
        <v>0.8847222222222222</v>
      </c>
      <c r="BT77" s="83">
        <f>MOD(BS77-BR77,1)*24</f>
        <v/>
      </c>
      <c r="BU77" s="57" t="n">
        <v>1</v>
      </c>
      <c r="BV77" s="69" t="n">
        <v>0.3479166666666667</v>
      </c>
      <c r="BW77" s="70" t="n">
        <v>0.8576388888888888</v>
      </c>
      <c r="BX77" s="83">
        <f>MOD(BW77-BV77,1)*24</f>
        <v/>
      </c>
      <c r="BY77" s="41" t="n">
        <v>1</v>
      </c>
      <c r="BZ77" s="71" t="n"/>
      <c r="CA77" s="68" t="n"/>
      <c r="CB77" s="83" t="n"/>
      <c r="CC77" s="68" t="n"/>
      <c r="CD77" s="69" t="n">
        <v>0.8597222222222223</v>
      </c>
      <c r="CE77" s="68" t="n"/>
      <c r="CF77" s="83" t="n"/>
      <c r="CG77" s="68" t="n">
        <v>0.5</v>
      </c>
      <c r="CH77" s="69" t="n">
        <v>0.3506944444444444</v>
      </c>
      <c r="CI77" s="69" t="n">
        <v>0.8923611111111112</v>
      </c>
      <c r="CJ77" s="83">
        <f>MOD(CI77-CH77,1)*24</f>
        <v/>
      </c>
      <c r="CK77" s="57" t="n">
        <v>1</v>
      </c>
      <c r="CL77" s="69" t="n">
        <v>0.3395833333333333</v>
      </c>
      <c r="CM77" s="69" t="n">
        <v>0.9111111111111111</v>
      </c>
      <c r="CN77" s="83">
        <f>MOD(CM77-CL77,1)*24</f>
        <v/>
      </c>
      <c r="CO77" s="57" t="n">
        <v>1</v>
      </c>
      <c r="CP77" s="69" t="n">
        <v>0.3388888888888889</v>
      </c>
      <c r="CQ77" s="69" t="n">
        <v>0.8986111111111111</v>
      </c>
      <c r="CR77" s="83">
        <f>MOD(CQ77-CP77,1)*24</f>
        <v/>
      </c>
      <c r="CS77" s="57" t="n">
        <v>1</v>
      </c>
      <c r="CT77" s="69" t="n">
        <v>0.3381944444444445</v>
      </c>
      <c r="CU77" s="69" t="n">
        <v>0.9805555555555555</v>
      </c>
      <c r="CV77" s="83">
        <f>MOD(CU77-CT77,1)*24</f>
        <v/>
      </c>
      <c r="CW77" s="57" t="n">
        <v>1</v>
      </c>
      <c r="CX77" s="69" t="n">
        <v>0.7881944444444444</v>
      </c>
      <c r="CY77" s="69" t="n">
        <v>0.9888888888888889</v>
      </c>
      <c r="CZ77" s="83">
        <f>MOD(CY77-CX77,1)*24</f>
        <v/>
      </c>
      <c r="DA77" s="68" t="n">
        <v>0.5</v>
      </c>
      <c r="DB77" s="69" t="n">
        <v>0.3506944444444444</v>
      </c>
      <c r="DC77" s="69" t="n">
        <v>0.9888888888888889</v>
      </c>
      <c r="DD77" s="83">
        <f>MOD(DC77-DB77,1)*24</f>
        <v/>
      </c>
      <c r="DE77" s="57" t="n">
        <v>1</v>
      </c>
      <c r="DF77" s="69" t="n">
        <v>0.3465277777777778</v>
      </c>
      <c r="DG77" s="69" t="n">
        <v>0.8430555555555556</v>
      </c>
      <c r="DH77" s="83">
        <f>MOD(DG77-DF77,1)*24</f>
        <v/>
      </c>
      <c r="DI77" s="41" t="n">
        <v>1</v>
      </c>
      <c r="DJ77" s="69" t="n">
        <v>0.8888888888888888</v>
      </c>
      <c r="DK77" s="68" t="n"/>
      <c r="DL77" s="83">
        <f>MOD(DK77-DJ77,1)*24</f>
        <v/>
      </c>
      <c r="DM77" s="68" t="n">
        <v>0.5</v>
      </c>
      <c r="DN77" s="69" t="n">
        <v>0.3388888888888889</v>
      </c>
      <c r="DO77" s="69" t="n">
        <v>0.875</v>
      </c>
      <c r="DP77" s="83">
        <f>MOD(DO77-DN77,1)*24</f>
        <v/>
      </c>
      <c r="DQ77" s="57" t="n">
        <v>1</v>
      </c>
      <c r="DR77" s="72" t="n">
        <v>0.9215277777777777</v>
      </c>
      <c r="DS77" s="65" t="n"/>
      <c r="DT77" s="83" t="n"/>
      <c r="DU77" s="41" t="n">
        <v>0.5</v>
      </c>
      <c r="DV77" s="72" t="n"/>
      <c r="DW77" s="65" t="n"/>
      <c r="DX77" s="83" t="n"/>
      <c r="DY77" s="41" t="n"/>
      <c r="DZ77" s="84">
        <f>H77+L77+P77+T77+X77+AB77+AF77+AJ77+AN77+AR77+AV77+AZ77+BD77+BH77+BL77+BP77+BT77+BX77+CB77+CF77+CJ77+CN77+CR77+CV77+CZ77+DD77+DH77+DL77+DP77+DT77</f>
        <v/>
      </c>
      <c r="EA77" s="84">
        <f>I77+M77+Q77+U77+Y77+AC77+AG77+AK77+AO77+AS77+AW77+BA77+BE77+BI77+BM77+BQ77+BU77+BY77+CC77+CG77+CK77+CO77+CS77+CW77+DA77+DE77+DI77+DM77+DQ77+DU77</f>
        <v/>
      </c>
    </row>
    <row r="78" ht="59" customFormat="1" customHeight="1" s="54">
      <c r="A78" s="55" t="inlineStr">
        <is>
          <t>五楼</t>
        </is>
      </c>
      <c r="B78" s="56" t="inlineStr">
        <is>
          <t>蒋进</t>
        </is>
      </c>
      <c r="C78" s="41" t="n">
        <v>83</v>
      </c>
      <c r="D78" s="41" t="inlineStr">
        <is>
          <t>设计部</t>
        </is>
      </c>
      <c r="E78" s="57" t="inlineStr">
        <is>
          <t>设计组</t>
        </is>
      </c>
      <c r="F78" s="71" t="n"/>
      <c r="G78" s="71" t="n"/>
      <c r="H78" s="83" t="n"/>
      <c r="I78" s="71" t="n"/>
      <c r="J78" s="71" t="n"/>
      <c r="K78" s="71" t="n"/>
      <c r="L78" s="83" t="n"/>
      <c r="M78" s="71" t="n"/>
      <c r="N78" s="71" t="n"/>
      <c r="O78" s="71" t="n"/>
      <c r="P78" s="83" t="n"/>
      <c r="Q78" s="71" t="n"/>
      <c r="R78" s="71" t="n"/>
      <c r="S78" s="71" t="n"/>
      <c r="T78" s="83" t="n"/>
      <c r="U78" s="71" t="n"/>
      <c r="V78" s="71" t="n"/>
      <c r="W78" s="71" t="n"/>
      <c r="X78" s="83" t="n"/>
      <c r="Y78" s="71" t="n"/>
      <c r="Z78" s="71" t="n"/>
      <c r="AA78" s="71" t="n"/>
      <c r="AB78" s="83" t="n"/>
      <c r="AC78" s="71" t="n"/>
      <c r="AD78" s="71" t="n"/>
      <c r="AE78" s="71" t="n"/>
      <c r="AF78" s="83" t="n"/>
      <c r="AG78" s="71" t="n"/>
      <c r="AH78" s="71" t="n"/>
      <c r="AI78" s="71" t="n"/>
      <c r="AJ78" s="83" t="n"/>
      <c r="AK78" s="71" t="n"/>
      <c r="AL78" s="71" t="n"/>
      <c r="AM78" s="71" t="n"/>
      <c r="AN78" s="83" t="n"/>
      <c r="AO78" s="71" t="n"/>
      <c r="AP78" s="71" t="n"/>
      <c r="AQ78" s="71" t="n"/>
      <c r="AR78" s="83" t="n"/>
      <c r="AS78" s="71" t="n"/>
      <c r="AT78" s="71" t="n"/>
      <c r="AU78" s="68" t="n"/>
      <c r="AV78" s="83" t="n"/>
      <c r="AW78" s="68" t="n"/>
      <c r="AY78" s="71" t="n"/>
      <c r="AZ78" s="83" t="n"/>
      <c r="BA78" s="71" t="n"/>
      <c r="BB78" s="71" t="n"/>
      <c r="BC78" s="71" t="n"/>
      <c r="BD78" s="83">
        <f>MOD(BC78-BB78,1)*24</f>
        <v/>
      </c>
      <c r="BE78" s="71" t="n"/>
      <c r="BF78" s="71" t="n"/>
      <c r="BG78" s="71" t="n"/>
      <c r="BH78" s="83" t="n"/>
      <c r="BI78" s="71" t="n"/>
      <c r="BJ78" s="71" t="n"/>
      <c r="BK78" s="71" t="n"/>
      <c r="BL78" s="83" t="n"/>
      <c r="BM78" s="71" t="n"/>
      <c r="BN78" s="71" t="n"/>
      <c r="BO78" s="71" t="n"/>
      <c r="BP78" s="83" t="n"/>
      <c r="BQ78" s="71" t="n"/>
      <c r="BR78" s="71" t="n"/>
      <c r="BS78" s="71" t="n"/>
      <c r="BT78" s="83" t="n"/>
      <c r="BU78" s="71" t="n"/>
      <c r="BV78" s="71" t="n"/>
      <c r="BW78" s="71" t="n"/>
      <c r="BX78" s="83" t="n"/>
      <c r="BY78" s="71" t="n"/>
      <c r="BZ78" s="71" t="n"/>
      <c r="CA78" s="71" t="n"/>
      <c r="CB78" s="83" t="n"/>
      <c r="CC78" s="71" t="n"/>
      <c r="CD78" s="71" t="n"/>
      <c r="CE78" s="71" t="n"/>
      <c r="CF78" s="83" t="n"/>
      <c r="CG78" s="71" t="n"/>
      <c r="CH78" s="71" t="n"/>
      <c r="CI78" s="71" t="n"/>
      <c r="CJ78" s="83" t="n"/>
      <c r="CK78" s="71" t="n"/>
      <c r="CL78" s="71" t="n"/>
      <c r="CM78" s="71" t="n"/>
      <c r="CN78" s="83" t="n"/>
      <c r="CO78" s="71" t="n"/>
      <c r="CP78" s="71" t="n"/>
      <c r="CQ78" s="71" t="n"/>
      <c r="CR78" s="83" t="n"/>
      <c r="CS78" s="71" t="n"/>
      <c r="CT78" s="71" t="n"/>
      <c r="CU78" s="71" t="n"/>
      <c r="CV78" s="83" t="n"/>
      <c r="CW78" s="71" t="n"/>
      <c r="CX78" s="71" t="n"/>
      <c r="CY78" s="71" t="n"/>
      <c r="CZ78" s="83" t="n"/>
      <c r="DA78" s="71" t="n"/>
      <c r="DB78" s="71" t="n"/>
      <c r="DC78" s="71" t="n"/>
      <c r="DD78" s="83" t="n"/>
      <c r="DE78" s="71" t="n"/>
      <c r="DF78" s="69" t="n">
        <v>0.9868055555555556</v>
      </c>
      <c r="DG78" s="71" t="n"/>
      <c r="DH78" s="83" t="n"/>
      <c r="DI78" s="71" t="n"/>
      <c r="DJ78" s="71" t="n"/>
      <c r="DK78" s="71" t="n"/>
      <c r="DL78" s="83" t="n"/>
      <c r="DM78" s="71" t="n"/>
      <c r="DN78" s="71" t="n"/>
      <c r="DO78" s="71" t="n"/>
      <c r="DP78" s="83" t="n"/>
      <c r="DQ78" s="71" t="n"/>
      <c r="DR78" s="73" t="n"/>
      <c r="DS78" s="65" t="n"/>
      <c r="DT78" s="83" t="n"/>
      <c r="DU78" s="66" t="n"/>
      <c r="DV78" s="73" t="n"/>
      <c r="DW78" s="65" t="n"/>
      <c r="DX78" s="83" t="n"/>
      <c r="DY78" s="66" t="n"/>
      <c r="DZ78" s="84" t="n"/>
      <c r="EA78" s="84" t="n"/>
    </row>
    <row r="79" ht="59" customFormat="1" customHeight="1" s="54">
      <c r="A79" s="55" t="inlineStr">
        <is>
          <t>五楼</t>
        </is>
      </c>
      <c r="B79" s="56" t="inlineStr">
        <is>
          <t>毛玉玲</t>
        </is>
      </c>
      <c r="C79" s="41" t="n">
        <v>85</v>
      </c>
      <c r="D79" s="41" t="inlineStr">
        <is>
          <t>生产制造中心</t>
        </is>
      </c>
      <c r="E79" s="57" t="inlineStr">
        <is>
          <t>生产制造中心</t>
        </is>
      </c>
      <c r="F79" s="57" t="inlineStr">
        <is>
          <t>08:29</t>
        </is>
      </c>
      <c r="G79" s="57" t="inlineStr">
        <is>
          <t>18:17</t>
        </is>
      </c>
      <c r="H79" s="83">
        <f>MOD(G79-F79,1)*24</f>
        <v/>
      </c>
      <c r="I79" s="57" t="n">
        <v>1</v>
      </c>
      <c r="J79" s="58" t="n">
        <v>0.3555555555555556</v>
      </c>
      <c r="K79" s="58" t="n">
        <v>0.8590277777777777</v>
      </c>
      <c r="L79" s="83">
        <f>MOD(K79-J79,1)*24</f>
        <v/>
      </c>
      <c r="M79" s="57" t="n">
        <v>1</v>
      </c>
      <c r="N79" s="58" t="n">
        <v>0.3506944444444444</v>
      </c>
      <c r="O79" s="58" t="n">
        <v>0.7854166666666667</v>
      </c>
      <c r="P79" s="83">
        <f>MOD(O79-N79,1)*24</f>
        <v/>
      </c>
      <c r="Q79" s="57" t="n">
        <v>1</v>
      </c>
      <c r="R79" s="58" t="n">
        <v>0.3506944444444444</v>
      </c>
      <c r="S79" s="58" t="n">
        <v>0.7770833333333333</v>
      </c>
      <c r="T79" s="83">
        <f>MOD(S79-R79,1)*24</f>
        <v/>
      </c>
      <c r="U79" s="57" t="n">
        <v>1</v>
      </c>
      <c r="V79" s="58" t="n">
        <v>0.3534722222222222</v>
      </c>
      <c r="W79" s="58" t="n">
        <v>0.8486111111111111</v>
      </c>
      <c r="X79" s="83">
        <f>MOD(W79-V79,1)*24</f>
        <v/>
      </c>
      <c r="Y79" s="57" t="n">
        <v>1</v>
      </c>
      <c r="Z79" s="58" t="n">
        <v>0.3493055555555555</v>
      </c>
      <c r="AA79" s="60" t="n">
        <v>0.7555555555555555</v>
      </c>
      <c r="AB79" s="83">
        <f>MOD(AA79-Z79,1)*24</f>
        <v/>
      </c>
      <c r="AC79" s="41" t="n">
        <v>1</v>
      </c>
      <c r="AD79" s="41" t="n"/>
      <c r="AE79" s="57" t="n"/>
      <c r="AF79" s="83" t="n"/>
      <c r="AG79" s="57" t="n"/>
      <c r="AH79" s="58" t="n">
        <v>0.3569444444444445</v>
      </c>
      <c r="AI79" s="58" t="n">
        <v>0.7611111111111111</v>
      </c>
      <c r="AJ79" s="83">
        <f>MOD(AI79-AH79,1)*24</f>
        <v/>
      </c>
      <c r="AK79" s="57" t="n">
        <v>1</v>
      </c>
      <c r="AL79" s="58" t="n">
        <v>0.3534722222222222</v>
      </c>
      <c r="AM79" s="58" t="n">
        <v>0.8736111111111111</v>
      </c>
      <c r="AN79" s="83">
        <f>MOD(AM79-AL79,1)*24</f>
        <v/>
      </c>
      <c r="AO79" s="57" t="n">
        <v>1</v>
      </c>
      <c r="AP79" s="58" t="n">
        <v>0.3513888888888889</v>
      </c>
      <c r="AQ79" s="58" t="n">
        <v>0.7576388888888889</v>
      </c>
      <c r="AR79" s="83">
        <f>MOD(AQ79-AP79,1)*24</f>
        <v/>
      </c>
      <c r="AS79" s="57" t="n">
        <v>1</v>
      </c>
      <c r="AT79" s="58" t="n">
        <v>0.3541666666666667</v>
      </c>
      <c r="AU79" s="58" t="n">
        <v>0.7840277777777778</v>
      </c>
      <c r="AV79" s="83">
        <f>MOD(AU79-AT79,1)*24</f>
        <v/>
      </c>
      <c r="AW79" s="57" t="n">
        <v>1</v>
      </c>
      <c r="AX79" s="58" t="n">
        <v>0.3541666666666667</v>
      </c>
      <c r="AY79" s="57" t="n"/>
      <c r="AZ79" s="83" t="n"/>
      <c r="BA79" s="57" t="n">
        <v>0.5</v>
      </c>
      <c r="BB79" s="58" t="n">
        <v>0.3541666666666667</v>
      </c>
      <c r="BC79" s="41" t="n"/>
      <c r="BD79" s="83" t="n"/>
      <c r="BE79" s="57" t="n">
        <v>0.5</v>
      </c>
      <c r="BF79" s="41" t="n"/>
      <c r="BG79" s="57" t="n"/>
      <c r="BH79" s="83" t="n"/>
      <c r="BI79" s="57" t="n"/>
      <c r="BJ79" s="58" t="n">
        <v>0.35</v>
      </c>
      <c r="BK79" s="58" t="n">
        <v>0.7541666666666667</v>
      </c>
      <c r="BL79" s="83">
        <f>MOD(BK79-BJ79,1)*24</f>
        <v/>
      </c>
      <c r="BM79" s="57" t="n">
        <v>1</v>
      </c>
      <c r="BN79" s="58" t="n">
        <v>0.3541666666666667</v>
      </c>
      <c r="BO79" s="58" t="n">
        <v>0.7520833333333333</v>
      </c>
      <c r="BP79" s="83">
        <f>MOD(BO79-BN79,1)*24</f>
        <v/>
      </c>
      <c r="BQ79" s="57" t="n">
        <v>1</v>
      </c>
      <c r="BR79" s="58" t="n">
        <v>0.3506944444444444</v>
      </c>
      <c r="BS79" s="58" t="n">
        <v>0.75625</v>
      </c>
      <c r="BT79" s="83">
        <f>MOD(BS79-BR79,1)*24</f>
        <v/>
      </c>
      <c r="BU79" s="57" t="n">
        <v>1</v>
      </c>
      <c r="BV79" s="58" t="n">
        <v>0.3493055555555555</v>
      </c>
      <c r="BW79" s="60" t="n">
        <v>0.7520833333333333</v>
      </c>
      <c r="BX79" s="83">
        <f>MOD(BW79-BV79,1)*24</f>
        <v/>
      </c>
      <c r="BY79" s="41" t="n">
        <v>1</v>
      </c>
      <c r="BZ79" s="41" t="n"/>
      <c r="CA79" s="41" t="n"/>
      <c r="CB79" s="83" t="n"/>
      <c r="CC79" s="41" t="n"/>
      <c r="CD79" s="41" t="n"/>
      <c r="CE79" s="41" t="n"/>
      <c r="CF79" s="83" t="n"/>
      <c r="CG79" s="41" t="n"/>
      <c r="CH79" s="41" t="n"/>
      <c r="CI79" s="57" t="n"/>
      <c r="CJ79" s="83" t="n"/>
      <c r="CK79" s="57" t="n"/>
      <c r="CL79" s="58" t="n">
        <v>0.3541666666666667</v>
      </c>
      <c r="CM79" s="58" t="n">
        <v>0.7583333333333333</v>
      </c>
      <c r="CN79" s="83">
        <f>MOD(CM79-CL79,1)*24</f>
        <v/>
      </c>
      <c r="CO79" s="57" t="n">
        <v>1</v>
      </c>
      <c r="CP79" s="58" t="n">
        <v>0.35625</v>
      </c>
      <c r="CQ79" s="58" t="n">
        <v>0.8763888888888889</v>
      </c>
      <c r="CR79" s="83">
        <f>MOD(CQ79-CP79,1)*24</f>
        <v/>
      </c>
      <c r="CS79" s="57" t="n">
        <v>1</v>
      </c>
      <c r="CT79" s="58" t="n">
        <v>0.35625</v>
      </c>
      <c r="CU79" s="58" t="n">
        <v>0.7652777777777777</v>
      </c>
      <c r="CV79" s="83">
        <f>MOD(CU79-CT79,1)*24</f>
        <v/>
      </c>
      <c r="CW79" s="57" t="n">
        <v>1</v>
      </c>
      <c r="CX79" s="58" t="n">
        <v>0.3548611111111111</v>
      </c>
      <c r="CY79" s="58" t="n">
        <v>0.7909722222222222</v>
      </c>
      <c r="CZ79" s="83">
        <f>MOD(CY79-CX79,1)*24</f>
        <v/>
      </c>
      <c r="DA79" s="57" t="n">
        <v>1</v>
      </c>
      <c r="DB79" s="58" t="n">
        <v>0.3520833333333334</v>
      </c>
      <c r="DC79" s="58" t="n">
        <v>0.8881944444444444</v>
      </c>
      <c r="DD79" s="83">
        <f>MOD(DC79-DB79,1)*24</f>
        <v/>
      </c>
      <c r="DE79" s="57" t="n">
        <v>1</v>
      </c>
      <c r="DF79" s="58" t="n">
        <v>0.3506944444444444</v>
      </c>
      <c r="DG79" s="60" t="n">
        <v>0.7590277777777777</v>
      </c>
      <c r="DH79" s="83">
        <f>MOD(DG79-DF79,1)*24</f>
        <v/>
      </c>
      <c r="DI79" s="41" t="n">
        <v>1</v>
      </c>
      <c r="DJ79" s="41" t="n"/>
      <c r="DK79" s="41" t="n"/>
      <c r="DL79" s="83" t="n"/>
      <c r="DM79" s="41" t="n"/>
      <c r="DN79" s="58" t="n">
        <v>0.3534722222222222</v>
      </c>
      <c r="DO79" s="58" t="n">
        <v>0.7611111111111111</v>
      </c>
      <c r="DP79" s="83">
        <f>MOD(DO79-DN79,1)*24</f>
        <v/>
      </c>
      <c r="DQ79" s="57" t="n">
        <v>1</v>
      </c>
      <c r="DR79" s="61" t="n">
        <v>0.35</v>
      </c>
      <c r="DS79" s="62" t="n">
        <v>0.7534722222222222</v>
      </c>
      <c r="DT79" s="83">
        <f>MOD(DS79-DR79,1)*24</f>
        <v/>
      </c>
      <c r="DU79" s="41" t="n">
        <v>1</v>
      </c>
      <c r="DV79" s="61" t="n"/>
      <c r="DW79" s="62" t="n"/>
      <c r="DX79" s="83" t="n"/>
      <c r="DY79" s="41" t="n"/>
      <c r="DZ79" s="84">
        <f>H79+L79+P79+T79+X79+AB79+AF79+AJ79+AN79+AR79+AV79+AZ79+BD79+BH79+BL79+BP79+BT79+BX79+CB79+CF79+CJ79+CN79+CR79+CV79+CZ79+DD79+DH79+DL79+DP79+DT79</f>
        <v/>
      </c>
      <c r="EA79" s="84">
        <f>I79+M79+Q79+U79+Y79+AC79+AG79+AK79+AO79+AS79+AW79+BA79+BE79+BI79+BM79+BQ79+BU79+BY79+CC79+CG79+CK79+CO79+CS79+CW79+DA79+DE79+DI79+DM79+DQ79+DU79</f>
        <v/>
      </c>
    </row>
    <row r="80" ht="59" customFormat="1" customHeight="1" s="54">
      <c r="A80" s="74" t="inlineStr">
        <is>
          <t>五楼</t>
        </is>
      </c>
      <c r="B80" s="56" t="inlineStr">
        <is>
          <t>毛玉玲</t>
        </is>
      </c>
      <c r="C80" s="41" t="n">
        <v>85</v>
      </c>
      <c r="D80" s="41" t="inlineStr">
        <is>
          <t>生产制造中心</t>
        </is>
      </c>
      <c r="E80" s="57" t="inlineStr">
        <is>
          <t>生产制造中心</t>
        </is>
      </c>
      <c r="F80" s="66" t="n"/>
      <c r="G80" s="41" t="n"/>
      <c r="H80" s="83" t="n"/>
      <c r="I80" s="57" t="n"/>
      <c r="J80" s="75" t="n"/>
      <c r="K80" s="75" t="n"/>
      <c r="L80" s="83" t="n"/>
      <c r="M80" s="75" t="n"/>
      <c r="N80" s="75" t="n"/>
      <c r="O80" s="75" t="n"/>
      <c r="P80" s="83" t="n"/>
      <c r="Q80" s="75" t="n"/>
      <c r="R80" s="75" t="n"/>
      <c r="S80" s="75" t="n"/>
      <c r="T80" s="83" t="n"/>
      <c r="U80" s="75" t="n"/>
      <c r="V80" s="75" t="n"/>
      <c r="W80" s="75" t="n"/>
      <c r="X80" s="83" t="n"/>
      <c r="Y80" s="75" t="n"/>
      <c r="Z80" s="75" t="n"/>
      <c r="AA80" s="75" t="n"/>
      <c r="AB80" s="83" t="n"/>
      <c r="AC80" s="75" t="n"/>
      <c r="AD80" s="75" t="n"/>
      <c r="AE80" s="75" t="n"/>
      <c r="AF80" s="83" t="n"/>
      <c r="AG80" s="75" t="n"/>
      <c r="AH80" s="75" t="n"/>
      <c r="AI80" s="75" t="n"/>
      <c r="AJ80" s="83" t="n"/>
      <c r="AK80" s="75" t="n"/>
      <c r="AL80" s="75" t="n"/>
      <c r="AM80" s="75" t="n"/>
      <c r="AN80" s="83" t="n"/>
      <c r="AO80" s="75" t="n"/>
      <c r="AP80" s="75" t="n"/>
      <c r="AQ80" s="75" t="n"/>
      <c r="AR80" s="83" t="n"/>
      <c r="AS80" s="75" t="n"/>
      <c r="AT80" s="75" t="n"/>
      <c r="AU80" s="75" t="n"/>
      <c r="AV80" s="83" t="n"/>
      <c r="AW80" s="75" t="n"/>
      <c r="AX80" s="75" t="n"/>
      <c r="AY80" s="75" t="n"/>
      <c r="AZ80" s="83" t="n"/>
      <c r="BA80" s="75" t="n"/>
      <c r="BB80" s="75" t="n"/>
      <c r="BC80" s="75" t="n"/>
      <c r="BD80" s="83" t="n"/>
      <c r="BE80" s="75" t="n"/>
      <c r="BF80" s="75" t="n"/>
      <c r="BG80" s="75" t="n"/>
      <c r="BH80" s="83" t="n"/>
      <c r="BI80" s="75" t="n"/>
      <c r="BJ80" s="75" t="n"/>
      <c r="BK80" s="75" t="n"/>
      <c r="BL80" s="83" t="n"/>
      <c r="BM80" s="75" t="n"/>
      <c r="BN80" s="75" t="n"/>
      <c r="BO80" s="75" t="n"/>
      <c r="BP80" s="83" t="n"/>
      <c r="BQ80" s="75" t="n"/>
      <c r="BR80" s="75" t="n"/>
      <c r="BS80" s="75" t="n"/>
      <c r="BT80" s="83" t="n"/>
      <c r="BU80" s="75" t="n"/>
      <c r="BV80" s="75" t="n"/>
      <c r="BW80" s="75" t="n"/>
      <c r="BX80" s="83" t="n"/>
      <c r="BY80" s="75" t="n"/>
      <c r="BZ80" s="75" t="n"/>
      <c r="CA80" s="75" t="n"/>
      <c r="CB80" s="83" t="n"/>
      <c r="CC80" s="75" t="n"/>
      <c r="CD80" s="75" t="n"/>
      <c r="CE80" s="75" t="n"/>
      <c r="CF80" s="83" t="n"/>
      <c r="CG80" s="75" t="n"/>
      <c r="CH80" s="75" t="n"/>
      <c r="CI80" s="75" t="n"/>
      <c r="CJ80" s="83" t="n"/>
      <c r="CK80" s="75" t="n"/>
      <c r="CL80" s="75" t="n"/>
      <c r="CM80" s="76" t="n"/>
      <c r="CN80" s="83" t="n"/>
      <c r="CO80" s="76" t="n"/>
      <c r="CP80" s="77" t="n"/>
      <c r="CQ80" s="75" t="n"/>
      <c r="CR80" s="83" t="n"/>
      <c r="CS80" s="75" t="n"/>
      <c r="CT80" s="75" t="n"/>
      <c r="CU80" s="75" t="n"/>
      <c r="CV80" s="83" t="n"/>
      <c r="CW80" s="75" t="n"/>
      <c r="CX80" s="75" t="n"/>
      <c r="CY80" s="75" t="n"/>
      <c r="CZ80" s="83" t="n"/>
      <c r="DA80" s="75" t="n"/>
      <c r="DB80" s="75" t="n"/>
      <c r="DC80" s="75" t="n"/>
      <c r="DD80" s="83" t="n"/>
      <c r="DE80" s="75" t="n"/>
      <c r="DF80" s="77" t="n"/>
      <c r="DG80" s="75" t="n"/>
      <c r="DH80" s="83" t="n"/>
      <c r="DI80" s="75" t="n"/>
      <c r="DJ80" s="75" t="n"/>
      <c r="DK80" s="75" t="n"/>
      <c r="DL80" s="83" t="n"/>
      <c r="DM80" s="75" t="n"/>
      <c r="DN80" s="75" t="n"/>
      <c r="DO80" s="75" t="n"/>
      <c r="DP80" s="83" t="n"/>
      <c r="DQ80" s="75" t="n"/>
      <c r="DR80" s="78" t="n"/>
      <c r="DS80" s="65" t="n"/>
      <c r="DT80" s="83" t="n"/>
      <c r="DU80" s="66" t="n"/>
      <c r="DV80" s="78" t="n"/>
      <c r="DW80" s="65" t="n"/>
      <c r="DX80" s="83" t="n"/>
      <c r="DY80" s="66" t="n"/>
      <c r="DZ80" s="84" t="n"/>
      <c r="EA80" s="84" t="n"/>
    </row>
    <row r="81" ht="15.6" customFormat="1" customHeight="1" s="52">
      <c r="A81" s="51" t="n"/>
      <c r="B81" s="51" t="n"/>
      <c r="C81" s="79" t="n"/>
      <c r="H81" s="85" t="n"/>
    </row>
    <row r="82" ht="15.6" customFormat="1" customHeight="1" s="52">
      <c r="A82" s="51" t="n"/>
      <c r="B82" s="51" t="n"/>
      <c r="C82" s="79" t="n"/>
      <c r="H82" s="85" t="n"/>
    </row>
    <row r="83" ht="15.6" customFormat="1" customHeight="1" s="52">
      <c r="A83" s="51" t="n"/>
      <c r="B83" s="51" t="n"/>
      <c r="C83" s="79" t="n"/>
      <c r="H83" s="85" t="n"/>
    </row>
    <row r="84" ht="15.6" customFormat="1" customHeight="1" s="52">
      <c r="A84" s="51" t="n"/>
      <c r="B84" s="51" t="n"/>
      <c r="C84" s="79" t="n"/>
      <c r="H84" s="85" t="n"/>
    </row>
    <row r="85" ht="15.6" customFormat="1" customHeight="1" s="52">
      <c r="A85" s="51" t="n"/>
      <c r="B85" s="51" t="n"/>
      <c r="C85" s="79" t="n"/>
      <c r="H85" s="85" t="n"/>
    </row>
    <row r="86" ht="15.6" customFormat="1" customHeight="1" s="52">
      <c r="A86" s="51" t="n"/>
      <c r="B86" s="51" t="n"/>
      <c r="C86" s="79" t="n"/>
      <c r="H86" s="85" t="n"/>
    </row>
    <row r="87" ht="15.6" customFormat="1" customHeight="1" s="52">
      <c r="A87" s="51" t="n"/>
      <c r="B87" s="51" t="n"/>
      <c r="C87" s="79" t="n"/>
      <c r="H87" s="85" t="n"/>
    </row>
    <row r="88" ht="15.6" customFormat="1" customHeight="1" s="52">
      <c r="A88" s="51" t="n"/>
      <c r="B88" s="51" t="n"/>
      <c r="C88" s="79" t="n"/>
      <c r="H88" s="85" t="n"/>
    </row>
    <row r="89" ht="15.6" customFormat="1" customHeight="1" s="52">
      <c r="A89" s="51" t="n"/>
      <c r="B89" s="51" t="n"/>
      <c r="C89" s="79" t="n"/>
      <c r="H89" s="85" t="n"/>
    </row>
    <row r="90" ht="15.6" customFormat="1" customHeight="1" s="52">
      <c r="A90" s="51" t="n"/>
      <c r="B90" s="51" t="n"/>
      <c r="C90" s="79" t="n"/>
      <c r="H90" s="85" t="n"/>
    </row>
    <row r="91" ht="12" customFormat="1" customHeight="1" s="52">
      <c r="C91" s="79" t="n"/>
      <c r="H91" s="85" t="n"/>
    </row>
    <row r="92" ht="12" customFormat="1" customHeight="1" s="52">
      <c r="C92" s="79" t="n"/>
      <c r="H92" s="85" t="n"/>
    </row>
    <row r="93" ht="12" customFormat="1" customHeight="1" s="52">
      <c r="C93" s="79" t="n"/>
      <c r="H93" s="8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"/>
  <sheetViews>
    <sheetView tabSelected="1" zoomScale="80" zoomScaleNormal="80" workbookViewId="0">
      <selection activeCell="M13" sqref="M13"/>
    </sheetView>
  </sheetViews>
  <sheetFormatPr baseColWidth="8" defaultColWidth="8.888888888888889" defaultRowHeight="13.2"/>
  <cols>
    <col width="12.8611111111111" customWidth="1" min="1" max="1"/>
    <col width="10.1111111111111" customWidth="1" min="2" max="2"/>
    <col width="16.5" customWidth="1" min="3" max="3"/>
    <col width="16.1851851851852" customWidth="1" min="4" max="4"/>
    <col width="16.5555555555556" customWidth="1" min="5" max="5"/>
    <col hidden="1" width="15.1111111111111" customWidth="1" min="6" max="6"/>
    <col hidden="1" width="23.2222222222222" customWidth="1" min="7" max="7"/>
    <col width="12.2222222222222" customWidth="1" style="82" min="8" max="8"/>
    <col width="12.2222222222222" customWidth="1" min="9" max="10"/>
    <col width="12.4444444444444" customWidth="1" min="11" max="11"/>
    <col width="12" customWidth="1" min="12" max="22"/>
  </cols>
  <sheetData>
    <row r="1" ht="45" customFormat="1" customHeight="1" s="42">
      <c r="A1" s="44" t="inlineStr">
        <is>
          <t>姓名</t>
        </is>
      </c>
      <c r="B1" s="44" t="inlineStr">
        <is>
          <t>打卡地点</t>
        </is>
      </c>
      <c r="C1" s="44" t="inlineStr">
        <is>
          <t>一级部门</t>
        </is>
      </c>
      <c r="D1" s="44" t="inlineStr">
        <is>
          <t>二级部门</t>
        </is>
      </c>
      <c r="E1" s="44" t="inlineStr">
        <is>
          <t>岗位</t>
        </is>
      </c>
      <c r="F1" s="86" t="inlineStr">
        <is>
          <t>上班日期</t>
        </is>
      </c>
      <c r="G1" s="86" t="inlineStr">
        <is>
          <t>身份证号</t>
        </is>
      </c>
      <c r="H1" s="86" t="inlineStr">
        <is>
          <t>月合计小时数</t>
        </is>
      </c>
      <c r="I1" s="86" t="inlineStr">
        <is>
          <t>月合计分钟数</t>
        </is>
      </c>
      <c r="J1" s="44" t="inlineStr">
        <is>
          <t>当月打卡天数</t>
        </is>
      </c>
      <c r="K1" s="44" t="inlineStr">
        <is>
          <t>正常休假天数</t>
        </is>
      </c>
      <c r="L1" s="87" t="inlineStr">
        <is>
          <t>调休天数</t>
        </is>
      </c>
      <c r="M1" s="44" t="inlineStr">
        <is>
          <t>出差天数</t>
        </is>
      </c>
      <c r="N1" s="44" t="inlineStr">
        <is>
          <t>补卡天数</t>
        </is>
      </c>
      <c r="O1" s="44" t="inlineStr">
        <is>
          <t>异常打卡</t>
        </is>
      </c>
      <c r="P1" s="87" t="inlineStr">
        <is>
          <t>漏卡次数</t>
        </is>
      </c>
      <c r="Q1" s="44" t="inlineStr">
        <is>
          <t>请假天数</t>
        </is>
      </c>
      <c r="R1" s="44" t="inlineStr">
        <is>
          <t>出勤合计</t>
        </is>
      </c>
      <c r="S1" s="44" t="inlineStr">
        <is>
          <t>补卡时间</t>
        </is>
      </c>
      <c r="T1" s="47" t="inlineStr">
        <is>
          <t>出差时间</t>
        </is>
      </c>
      <c r="U1" s="44" t="inlineStr">
        <is>
          <t>请假时间</t>
        </is>
      </c>
      <c r="V1" s="47" t="inlineStr">
        <is>
          <t>未打卡时间</t>
        </is>
      </c>
      <c r="W1" s="47" t="inlineStr">
        <is>
          <t>备注</t>
        </is>
      </c>
    </row>
    <row r="2" ht="31" customHeight="1">
      <c r="A2" s="48" t="inlineStr">
        <is>
          <t>伍小雪</t>
        </is>
      </c>
      <c r="B2" s="48" t="inlineStr">
        <is>
          <t>五楼</t>
        </is>
      </c>
      <c r="C2" s="48" t="inlineStr">
        <is>
          <t>订单部</t>
        </is>
      </c>
      <c r="D2" s="48" t="inlineStr">
        <is>
          <t>计划物控组</t>
        </is>
      </c>
      <c r="E2" s="48" t="inlineStr">
        <is>
          <t>PMC主管</t>
        </is>
      </c>
      <c r="F2" s="48" t="inlineStr">
        <is>
          <t>2021-02-23</t>
        </is>
      </c>
      <c r="G2" s="48" t="inlineStr">
        <is>
          <t>500225199411128349</t>
        </is>
      </c>
      <c r="H2" s="88">
        <f>SUMIF('6月部门分发'!B:B,A:A,'6月部门分发'!DX:DX)</f>
        <v/>
      </c>
      <c r="I2" s="48">
        <f>H2*60</f>
        <v/>
      </c>
      <c r="J2" s="48">
        <f>SUMIF('6月部门分发'!B:B,A:A,'6月部门分发'!DY:DY)</f>
        <v/>
      </c>
      <c r="K2" s="48" t="n">
        <v>5</v>
      </c>
      <c r="L2" s="48" t="n"/>
      <c r="M2" s="48" t="n"/>
      <c r="N2" s="48" t="n"/>
      <c r="O2" s="48" t="n"/>
      <c r="P2" s="48" t="n"/>
      <c r="Q2" s="48" t="n"/>
      <c r="R2" s="48">
        <f>J2+K2+L2+M2+N2+O2+P2+Q2</f>
        <v/>
      </c>
      <c r="S2" s="48" t="n"/>
      <c r="T2" s="48" t="n"/>
      <c r="U2" s="48" t="n"/>
      <c r="V2" s="48" t="n"/>
      <c r="W2" s="48" t="n"/>
    </row>
    <row r="3" ht="31" customHeight="1">
      <c r="A3" s="48" t="inlineStr">
        <is>
          <t>邱霞</t>
        </is>
      </c>
      <c r="B3" s="48" t="inlineStr">
        <is>
          <t>五楼</t>
        </is>
      </c>
      <c r="C3" s="48" t="inlineStr">
        <is>
          <t>订单部</t>
        </is>
      </c>
      <c r="D3" s="48" t="inlineStr">
        <is>
          <t>计划物控组</t>
        </is>
      </c>
      <c r="E3" s="48" t="inlineStr">
        <is>
          <t>进度员</t>
        </is>
      </c>
      <c r="F3" s="48" t="inlineStr">
        <is>
          <t>2021-02-23</t>
        </is>
      </c>
      <c r="G3" s="48" t="inlineStr">
        <is>
          <t>500383199004084368</t>
        </is>
      </c>
      <c r="H3" s="88">
        <f>SUMIF('6月部门分发'!B:B,A:A,'6月部门分发'!DX:DX)</f>
        <v/>
      </c>
      <c r="I3" s="48">
        <f>H3*60</f>
        <v/>
      </c>
      <c r="J3" s="48">
        <f>SUMIF('6月部门分发'!B:B,A:A,'6月部门分发'!DY:DY)</f>
        <v/>
      </c>
      <c r="K3" s="48" t="n">
        <v>5</v>
      </c>
      <c r="L3" s="48" t="n"/>
      <c r="M3" s="48" t="n"/>
      <c r="N3" s="48" t="n"/>
      <c r="O3" s="48" t="n"/>
      <c r="P3" s="48" t="n"/>
      <c r="Q3" s="48" t="n"/>
      <c r="R3" s="48">
        <f>J3+K3+L3+M3+N3+O3+P3+Q3</f>
        <v/>
      </c>
      <c r="S3" s="48" t="n"/>
      <c r="T3" s="48" t="n"/>
      <c r="U3" s="48" t="n"/>
      <c r="V3" s="48" t="n"/>
      <c r="W3" s="48" t="n"/>
    </row>
    <row r="4" ht="31" customHeight="1">
      <c r="A4" s="48" t="inlineStr">
        <is>
          <t>陈小红</t>
        </is>
      </c>
      <c r="B4" s="48" t="inlineStr">
        <is>
          <t>五楼</t>
        </is>
      </c>
      <c r="C4" s="48" t="inlineStr">
        <is>
          <t>设计部</t>
        </is>
      </c>
      <c r="D4" s="48" t="inlineStr">
        <is>
          <t>设计组</t>
        </is>
      </c>
      <c r="E4" s="48" t="inlineStr">
        <is>
          <t>助理设计师</t>
        </is>
      </c>
      <c r="F4" s="48" t="inlineStr">
        <is>
          <t>2019-03-01</t>
        </is>
      </c>
      <c r="G4" s="48" t="inlineStr">
        <is>
          <t>500225198811058621</t>
        </is>
      </c>
      <c r="H4" s="88">
        <f>SUMIF('6月部门分发'!B:B,A:A,'6月部门分发'!DX:DX)</f>
        <v/>
      </c>
      <c r="I4" s="48">
        <f>H4*60</f>
        <v/>
      </c>
      <c r="J4" s="48">
        <f>SUMIF('6月部门分发'!B:B,A:A,'6月部门分发'!DY:DY)</f>
        <v/>
      </c>
      <c r="K4" s="48" t="n">
        <v>4</v>
      </c>
      <c r="L4" s="48" t="n"/>
      <c r="M4" s="48" t="n"/>
      <c r="N4" s="48" t="n"/>
      <c r="O4" s="48" t="n"/>
      <c r="P4" s="48" t="n"/>
      <c r="Q4" s="48" t="n"/>
      <c r="R4" s="48">
        <f>J4+K4+L4+M4+N4+O4+P4+Q4</f>
        <v/>
      </c>
      <c r="S4" s="48" t="n"/>
      <c r="T4" s="48" t="n"/>
      <c r="U4" s="48" t="n"/>
      <c r="V4" s="48" t="n"/>
      <c r="W4" s="48" t="n"/>
    </row>
    <row r="5" ht="31" customHeight="1">
      <c r="A5" s="48" t="inlineStr">
        <is>
          <t>胡娅</t>
        </is>
      </c>
      <c r="B5" s="48" t="inlineStr">
        <is>
          <t>五楼</t>
        </is>
      </c>
      <c r="C5" s="48" t="inlineStr">
        <is>
          <t>订单部</t>
        </is>
      </c>
      <c r="D5" s="48" t="inlineStr">
        <is>
          <t>计划物控组</t>
        </is>
      </c>
      <c r="E5" s="48" t="inlineStr">
        <is>
          <t>优化专员</t>
        </is>
      </c>
      <c r="F5" s="48" t="inlineStr">
        <is>
          <t>2025-11-05</t>
        </is>
      </c>
      <c r="G5" s="48" t="inlineStr">
        <is>
          <t>500225199407150746</t>
        </is>
      </c>
      <c r="H5" s="88">
        <f>SUMIF('6月部门分发'!B:B,A:A,'6月部门分发'!DX:DX)</f>
        <v/>
      </c>
      <c r="I5" s="48">
        <f>H5*60</f>
        <v/>
      </c>
      <c r="J5" s="48">
        <f>SUMIF('6月部门分发'!B:B,A:A,'6月部门分发'!DY:DY)</f>
        <v/>
      </c>
      <c r="K5" s="48" t="n">
        <v>5</v>
      </c>
      <c r="L5" s="48" t="n"/>
      <c r="M5" s="48" t="n"/>
      <c r="N5" s="48" t="n"/>
      <c r="O5" s="48" t="n"/>
      <c r="P5" s="48" t="n"/>
      <c r="Q5" s="48" t="n"/>
      <c r="R5" s="48">
        <f>J5+K5+L5+M5+N5+O5+P5+Q5</f>
        <v/>
      </c>
      <c r="S5" s="48" t="n"/>
      <c r="T5" s="48" t="n"/>
      <c r="U5" s="48" t="n"/>
      <c r="V5" s="48" t="n"/>
      <c r="W5" s="48" t="n"/>
    </row>
    <row r="6" ht="31" customHeight="1">
      <c r="A6" s="48" t="inlineStr">
        <is>
          <t>杨青青</t>
        </is>
      </c>
      <c r="B6" s="48" t="inlineStr">
        <is>
          <t>五楼</t>
        </is>
      </c>
      <c r="C6" s="48" t="inlineStr">
        <is>
          <t>订单部</t>
        </is>
      </c>
      <c r="D6" s="48" t="inlineStr">
        <is>
          <t>计划物控组</t>
        </is>
      </c>
      <c r="E6" s="48" t="inlineStr">
        <is>
          <t>物控</t>
        </is>
      </c>
      <c r="F6" s="48" t="inlineStr">
        <is>
          <t>2023-02-04</t>
        </is>
      </c>
      <c r="G6" s="48" t="inlineStr">
        <is>
          <t>511023199512296041</t>
        </is>
      </c>
      <c r="H6" s="88">
        <f>SUMIF('6月部门分发'!B:B,A:A,'6月部门分发'!DX:DX)</f>
        <v/>
      </c>
      <c r="I6" s="48">
        <f>H6*60</f>
        <v/>
      </c>
      <c r="J6" s="48">
        <f>SUMIF('6月部门分发'!B:B,A:A,'6月部门分发'!DY:DY)</f>
        <v/>
      </c>
      <c r="K6" s="48" t="n">
        <v>5</v>
      </c>
      <c r="L6" s="48" t="n"/>
      <c r="M6" s="48" t="n"/>
      <c r="N6" s="48" t="n">
        <v>0.5</v>
      </c>
      <c r="O6" s="48" t="n"/>
      <c r="P6" s="48" t="n"/>
      <c r="Q6" s="48" t="n"/>
      <c r="R6" s="48">
        <f>J6+K6+L6+M6+N6+O6+P6+Q6</f>
        <v/>
      </c>
      <c r="S6" s="48" t="n">
        <v>29</v>
      </c>
      <c r="T6" s="48" t="n"/>
      <c r="U6" s="48" t="n"/>
      <c r="V6" s="48" t="n"/>
      <c r="W6" s="48" t="n"/>
    </row>
    <row r="7" ht="31" customHeight="1">
      <c r="A7" s="48" t="inlineStr">
        <is>
          <t>向锋</t>
        </is>
      </c>
      <c r="B7" s="48" t="inlineStr">
        <is>
          <t>五楼</t>
        </is>
      </c>
      <c r="C7" s="48" t="inlineStr">
        <is>
          <t>设计部</t>
        </is>
      </c>
      <c r="D7" s="48" t="inlineStr">
        <is>
          <t>设计组</t>
        </is>
      </c>
      <c r="E7" s="48" t="inlineStr">
        <is>
          <t>建店经理</t>
        </is>
      </c>
      <c r="F7" s="48" t="inlineStr">
        <is>
          <t>2018-10-29</t>
        </is>
      </c>
      <c r="G7" s="48" t="inlineStr">
        <is>
          <t>430723198910090615</t>
        </is>
      </c>
      <c r="H7" s="88">
        <f>SUMIF('6月部门分发'!B:B,A:A,'6月部门分发'!DX:DX)</f>
        <v/>
      </c>
      <c r="I7" s="48">
        <f>H7*60</f>
        <v/>
      </c>
      <c r="J7" s="48">
        <f>SUMIF('6月部门分发'!B:B,A:A,'6月部门分发'!DY:DY)</f>
        <v/>
      </c>
      <c r="K7" s="48" t="n">
        <v>4.5</v>
      </c>
      <c r="L7" s="48" t="n"/>
      <c r="M7" s="48" t="n">
        <v>1.5</v>
      </c>
      <c r="N7" s="48" t="n"/>
      <c r="O7" s="48" t="n"/>
      <c r="P7" s="48" t="n"/>
      <c r="Q7" s="48" t="n"/>
      <c r="R7" s="48">
        <f>J7+K7+L7+M7+N7+O7+P7+Q7</f>
        <v/>
      </c>
      <c r="S7" s="48" t="inlineStr">
        <is>
          <t>3、26</t>
        </is>
      </c>
      <c r="T7" s="48" t="n"/>
      <c r="U7" s="48" t="n"/>
      <c r="V7" s="48" t="n"/>
      <c r="W7" s="48" t="n"/>
    </row>
    <row r="8" ht="31" customHeight="1">
      <c r="A8" s="48" t="inlineStr">
        <is>
          <t>杨首琴</t>
        </is>
      </c>
      <c r="B8" s="48" t="inlineStr">
        <is>
          <t>五楼</t>
        </is>
      </c>
      <c r="C8" s="48" t="inlineStr">
        <is>
          <t>采购部</t>
        </is>
      </c>
      <c r="D8" s="48" t="inlineStr">
        <is>
          <t>采购部</t>
        </is>
      </c>
      <c r="E8" s="48" t="inlineStr">
        <is>
          <t>采购员</t>
        </is>
      </c>
      <c r="F8" s="48" t="inlineStr">
        <is>
          <t>2020-06-16</t>
        </is>
      </c>
      <c r="G8" s="48" t="inlineStr">
        <is>
          <t>510281198104298602</t>
        </is>
      </c>
      <c r="H8" s="88">
        <f>SUMIF('6月部门分发'!B:B,A:A,'6月部门分发'!DX:DX)</f>
        <v/>
      </c>
      <c r="I8" s="48">
        <f>H8*60</f>
        <v/>
      </c>
      <c r="J8" s="48">
        <f>SUMIF('6月部门分发'!B:B,A:A,'6月部门分发'!DY:DY)</f>
        <v/>
      </c>
      <c r="K8" s="48" t="n">
        <v>5</v>
      </c>
      <c r="L8" s="48" t="n"/>
      <c r="M8" s="48" t="n"/>
      <c r="N8" s="48" t="n">
        <v>0.5</v>
      </c>
      <c r="O8" s="48" t="n"/>
      <c r="P8" s="48" t="n"/>
      <c r="Q8" s="48" t="n"/>
      <c r="R8" s="48">
        <f>J8+K8+L8+M8+N8+O8+P8+Q8</f>
        <v/>
      </c>
      <c r="S8" s="48" t="n">
        <v>17</v>
      </c>
      <c r="T8" s="48" t="n"/>
      <c r="U8" s="48" t="n"/>
      <c r="V8" s="48" t="n"/>
      <c r="W8" s="48" t="n"/>
    </row>
    <row r="9" ht="31" customHeight="1">
      <c r="A9" s="48" t="inlineStr">
        <is>
          <t>王晓兰</t>
        </is>
      </c>
      <c r="B9" s="48" t="inlineStr">
        <is>
          <t>五楼</t>
        </is>
      </c>
      <c r="C9" s="48" t="inlineStr">
        <is>
          <t>财务部</t>
        </is>
      </c>
      <c r="D9" s="48" t="inlineStr">
        <is>
          <t>财务部</t>
        </is>
      </c>
      <c r="E9" s="48" t="inlineStr">
        <is>
          <t>会计</t>
        </is>
      </c>
      <c r="F9" s="48" t="inlineStr">
        <is>
          <t>2019-04-17</t>
        </is>
      </c>
      <c r="G9" s="48" t="inlineStr">
        <is>
          <t>500225199107248442</t>
        </is>
      </c>
      <c r="H9" s="88">
        <f>SUMIF('6月部门分发'!B:B,A:A,'6月部门分发'!DX:DX)</f>
        <v/>
      </c>
      <c r="I9" s="48">
        <f>H9*60</f>
        <v/>
      </c>
      <c r="J9" s="48">
        <f>SUMIF('6月部门分发'!B:B,A:A,'6月部门分发'!DY:DY)</f>
        <v/>
      </c>
      <c r="K9" s="48" t="n">
        <v>5</v>
      </c>
      <c r="L9" s="48" t="n"/>
      <c r="M9" s="48" t="n"/>
      <c r="N9" s="48" t="n"/>
      <c r="O9" s="48" t="n"/>
      <c r="P9" s="48" t="n"/>
      <c r="Q9" s="48" t="n"/>
      <c r="R9" s="48">
        <f>J9+K9+L9+M9+N9+O9+P9+Q9</f>
        <v/>
      </c>
      <c r="S9" s="48" t="n"/>
      <c r="T9" s="48" t="n"/>
      <c r="U9" s="48" t="n"/>
      <c r="V9" s="48" t="n"/>
      <c r="W9" s="48" t="n"/>
    </row>
    <row r="10" ht="31" customHeight="1">
      <c r="A10" s="48" t="inlineStr">
        <is>
          <t>杨益琴</t>
        </is>
      </c>
      <c r="B10" s="48" t="inlineStr">
        <is>
          <t>五楼</t>
        </is>
      </c>
      <c r="C10" s="48" t="inlineStr">
        <is>
          <t>综合部</t>
        </is>
      </c>
      <c r="D10" s="48" t="inlineStr">
        <is>
          <t>财务核价</t>
        </is>
      </c>
      <c r="E10" s="48" t="inlineStr">
        <is>
          <t>财务</t>
        </is>
      </c>
      <c r="F10" s="48" t="inlineStr">
        <is>
          <t>2020-03-10</t>
        </is>
      </c>
      <c r="G10" s="48" t="inlineStr">
        <is>
          <t>500226199109023147</t>
        </is>
      </c>
      <c r="H10" s="88">
        <f>SUMIF('6月部门分发'!B:B,A:A,'6月部门分发'!DX:DX)</f>
        <v/>
      </c>
      <c r="I10" s="48">
        <f>H10*60</f>
        <v/>
      </c>
      <c r="J10" s="48">
        <f>SUMIF('6月部门分发'!B:B,A:A,'6月部门分发'!DY:DY)</f>
        <v/>
      </c>
      <c r="K10" s="48" t="n">
        <v>5</v>
      </c>
      <c r="L10" s="48" t="n"/>
      <c r="M10" s="48" t="n"/>
      <c r="N10" s="48" t="n">
        <v>1</v>
      </c>
      <c r="O10" s="48" t="n"/>
      <c r="P10" s="48" t="n"/>
      <c r="Q10" s="48" t="n"/>
      <c r="R10" s="48">
        <f>J10+K10+L10+M10+N10+O10+P10+Q10</f>
        <v/>
      </c>
      <c r="S10" s="48" t="inlineStr">
        <is>
          <t>1、5</t>
        </is>
      </c>
      <c r="T10" s="48" t="n"/>
      <c r="U10" s="48" t="n"/>
      <c r="V10" s="48" t="n"/>
      <c r="W10" s="48" t="n"/>
    </row>
    <row r="11" ht="31" customHeight="1">
      <c r="A11" s="48" t="inlineStr">
        <is>
          <t>刘琴</t>
        </is>
      </c>
      <c r="B11" s="48" t="inlineStr">
        <is>
          <t>五楼</t>
        </is>
      </c>
      <c r="C11" s="48" t="inlineStr">
        <is>
          <t>采购部</t>
        </is>
      </c>
      <c r="D11" s="48" t="inlineStr">
        <is>
          <t>采购部</t>
        </is>
      </c>
      <c r="E11" s="48" t="inlineStr">
        <is>
          <t>采购主管</t>
        </is>
      </c>
      <c r="F11" s="48" t="inlineStr">
        <is>
          <t>2017-02-15</t>
        </is>
      </c>
      <c r="G11" s="48" t="inlineStr">
        <is>
          <t>50023119880313146X</t>
        </is>
      </c>
      <c r="H11" s="88">
        <f>SUMIF('6月部门分发'!B:B,A:A,'6月部门分发'!DX:DX)</f>
        <v/>
      </c>
      <c r="I11" s="48">
        <f>H11*60</f>
        <v/>
      </c>
      <c r="J11" s="48">
        <f>SUMIF('6月部门分发'!B:B,A:A,'6月部门分发'!DY:DY)</f>
        <v/>
      </c>
      <c r="K11" s="48" t="n">
        <v>4.5</v>
      </c>
      <c r="L11" s="48" t="n"/>
      <c r="M11" s="48" t="n">
        <v>2.5</v>
      </c>
      <c r="N11" s="48" t="n">
        <v>0.5</v>
      </c>
      <c r="O11" s="48" t="n"/>
      <c r="P11" s="48" t="n"/>
      <c r="Q11" s="48" t="n"/>
      <c r="R11" s="48">
        <f>J11+K11+L11+M11+N11+O11+P11+Q11</f>
        <v/>
      </c>
      <c r="S11" s="48" t="n"/>
      <c r="T11" s="48" t="inlineStr">
        <is>
          <t>16-17、23</t>
        </is>
      </c>
      <c r="U11" s="48" t="n"/>
      <c r="V11" s="48" t="n"/>
      <c r="W11" s="48" t="n"/>
    </row>
    <row r="12" ht="31" customHeight="1">
      <c r="A12" s="48" t="inlineStr">
        <is>
          <t>刘文旦</t>
        </is>
      </c>
      <c r="B12" s="48" t="inlineStr">
        <is>
          <t>五楼</t>
        </is>
      </c>
      <c r="C12" s="48" t="inlineStr">
        <is>
          <t>设计部</t>
        </is>
      </c>
      <c r="D12" s="48" t="inlineStr">
        <is>
          <t>设计组</t>
        </is>
      </c>
      <c r="E12" s="48" t="inlineStr">
        <is>
          <t>深化拆单设计师</t>
        </is>
      </c>
      <c r="F12" s="48" t="inlineStr">
        <is>
          <t>2024-10-23</t>
        </is>
      </c>
      <c r="G12" s="48" t="inlineStr">
        <is>
          <t>362421199210302911</t>
        </is>
      </c>
      <c r="H12" s="88">
        <f>SUMIF('6月部门分发'!B:B,A:A,'6月部门分发'!DX:DX)</f>
        <v/>
      </c>
      <c r="I12" s="48">
        <f>H12*60</f>
        <v/>
      </c>
      <c r="J12" s="48">
        <f>SUMIF('6月部门分发'!B:B,A:A,'6月部门分发'!DY:DY)</f>
        <v/>
      </c>
      <c r="K12" s="48" t="n">
        <v>5</v>
      </c>
      <c r="L12" s="48" t="n"/>
      <c r="M12" s="48" t="n">
        <v>3.5</v>
      </c>
      <c r="N12" s="48" t="n">
        <v>1.5</v>
      </c>
      <c r="O12" s="48" t="n"/>
      <c r="P12" s="48" t="n"/>
      <c r="Q12" s="48" t="n"/>
      <c r="R12" s="48">
        <f>J12+K12+L12+M12+N12+O12+P12+Q12</f>
        <v/>
      </c>
      <c r="S12" s="48" t="inlineStr">
        <is>
          <t>16、26、12</t>
        </is>
      </c>
      <c r="T12" s="50" t="inlineStr">
        <is>
          <t>5-8</t>
        </is>
      </c>
      <c r="U12" s="48" t="n"/>
      <c r="V12" s="48" t="n"/>
      <c r="W12" s="48" t="n"/>
    </row>
    <row r="13" ht="31" customHeight="1">
      <c r="A13" s="48" t="inlineStr">
        <is>
          <t>王一程</t>
        </is>
      </c>
      <c r="B13" s="48" t="inlineStr">
        <is>
          <t>五楼</t>
        </is>
      </c>
      <c r="C13" s="48" t="inlineStr">
        <is>
          <t>设计部</t>
        </is>
      </c>
      <c r="D13" s="48" t="inlineStr">
        <is>
          <t>设计组</t>
        </is>
      </c>
      <c r="E13" s="48" t="inlineStr">
        <is>
          <t>深化拆单设计师</t>
        </is>
      </c>
      <c r="F13" s="48" t="inlineStr">
        <is>
          <t>2024-03-27</t>
        </is>
      </c>
      <c r="G13" s="48" t="inlineStr">
        <is>
          <t>500225199512234319</t>
        </is>
      </c>
      <c r="H13" s="88">
        <f>SUMIF('6月部门分发'!B:B,A:A,'6月部门分发'!DX:DX)</f>
        <v/>
      </c>
      <c r="I13" s="48">
        <f>H13*60</f>
        <v/>
      </c>
      <c r="J13" s="48">
        <f>SUMIF('6月部门分发'!B:B,A:A,'6月部门分发'!DY:DY)</f>
        <v/>
      </c>
      <c r="K13" s="48" t="n">
        <v>5</v>
      </c>
      <c r="L13" s="48" t="n"/>
      <c r="M13" s="48" t="n"/>
      <c r="N13" s="48" t="n"/>
      <c r="O13" s="48" t="n"/>
      <c r="P13" s="48" t="n"/>
      <c r="Q13" s="48" t="n"/>
      <c r="R13" s="48">
        <f>J13+K13+L13+M13+N13+O13+P13+Q13</f>
        <v/>
      </c>
      <c r="S13" s="48" t="n"/>
      <c r="T13" s="48" t="n"/>
      <c r="U13" s="48" t="n"/>
      <c r="V13" s="48" t="n"/>
      <c r="W13" s="48" t="n"/>
    </row>
    <row r="14" ht="31" customHeight="1">
      <c r="A14" s="48" t="inlineStr">
        <is>
          <t>龙训东</t>
        </is>
      </c>
      <c r="B14" s="48" t="inlineStr">
        <is>
          <t>五楼</t>
        </is>
      </c>
      <c r="C14" s="48" t="inlineStr">
        <is>
          <t>订单部</t>
        </is>
      </c>
      <c r="D14" s="48" t="inlineStr">
        <is>
          <t>审单组</t>
        </is>
      </c>
      <c r="E14" s="48" t="inlineStr">
        <is>
          <t>审单员</t>
        </is>
      </c>
      <c r="F14" s="48" t="inlineStr">
        <is>
          <t>2019-03-15</t>
        </is>
      </c>
      <c r="G14" s="48" t="inlineStr">
        <is>
          <t>500225198912201714</t>
        </is>
      </c>
      <c r="H14" s="88">
        <f>SUMIF('6月部门分发'!B:B,A:A,'6月部门分发'!DX:DX)</f>
        <v/>
      </c>
      <c r="I14" s="48">
        <f>H14*60</f>
        <v/>
      </c>
      <c r="J14" s="48">
        <f>SUMIF('6月部门分发'!B:B,A:A,'6月部门分发'!DY:DY)</f>
        <v/>
      </c>
      <c r="K14" s="48" t="n">
        <v>5</v>
      </c>
      <c r="L14" s="48" t="n"/>
      <c r="M14" s="48" t="n"/>
      <c r="N14" s="48" t="n"/>
      <c r="O14" s="48" t="n"/>
      <c r="P14" s="48" t="n"/>
      <c r="Q14" s="48" t="n"/>
      <c r="R14" s="48">
        <f>J14+K14+L14+M14+N14+O14+P14+Q14</f>
        <v/>
      </c>
      <c r="S14" s="48" t="n"/>
      <c r="T14" s="48" t="n"/>
      <c r="U14" s="48" t="n"/>
      <c r="V14" s="48" t="n"/>
      <c r="W14" s="48" t="n"/>
    </row>
    <row r="15" ht="31" customHeight="1">
      <c r="A15" s="48" t="inlineStr">
        <is>
          <t>李荧</t>
        </is>
      </c>
      <c r="B15" s="48" t="inlineStr">
        <is>
          <t>五楼</t>
        </is>
      </c>
      <c r="C15" s="48" t="inlineStr">
        <is>
          <t>订单部</t>
        </is>
      </c>
      <c r="D15" s="48" t="inlineStr">
        <is>
          <t>审单组</t>
        </is>
      </c>
      <c r="E15" s="48" t="inlineStr">
        <is>
          <t>手工拆单员</t>
        </is>
      </c>
      <c r="F15" s="48" t="inlineStr">
        <is>
          <t>2021-02-22</t>
        </is>
      </c>
      <c r="G15" s="48" t="inlineStr">
        <is>
          <t>513021199504011068</t>
        </is>
      </c>
      <c r="H15" s="88">
        <f>SUMIF('6月部门分发'!B:B,A:A,'6月部门分发'!DX:DX)</f>
        <v/>
      </c>
      <c r="I15" s="48">
        <f>H15*60</f>
        <v/>
      </c>
      <c r="J15" s="48">
        <f>SUMIF('6月部门分发'!B:B,A:A,'6月部门分发'!DY:DY)</f>
        <v/>
      </c>
      <c r="K15" s="48" t="n">
        <v>5</v>
      </c>
      <c r="L15" s="48" t="n"/>
      <c r="M15" s="48" t="n"/>
      <c r="N15" s="48" t="n">
        <v>0.5</v>
      </c>
      <c r="O15" s="48" t="n"/>
      <c r="P15" s="48" t="n"/>
      <c r="Q15" s="48" t="n"/>
      <c r="R15" s="48">
        <f>J15+K15+L15+M15+N15+O15+P15+Q15</f>
        <v/>
      </c>
      <c r="S15" s="48" t="n">
        <v>30</v>
      </c>
      <c r="T15" s="48" t="n"/>
      <c r="U15" s="48" t="n"/>
      <c r="V15" s="48" t="n"/>
      <c r="W15" s="48" t="n"/>
    </row>
    <row r="16" ht="31" customHeight="1">
      <c r="A16" s="48" t="inlineStr">
        <is>
          <t>贺悦</t>
        </is>
      </c>
      <c r="B16" s="48" t="inlineStr">
        <is>
          <t>五楼</t>
        </is>
      </c>
      <c r="C16" s="48" t="inlineStr">
        <is>
          <t>信息部</t>
        </is>
      </c>
      <c r="D16" s="48" t="inlineStr">
        <is>
          <t>信息部</t>
        </is>
      </c>
      <c r="E16" s="48" t="inlineStr">
        <is>
          <t>酷家乐建模工程师</t>
        </is>
      </c>
      <c r="F16" s="48" t="inlineStr">
        <is>
          <t>2025-03-04</t>
        </is>
      </c>
      <c r="G16" s="48" t="inlineStr">
        <is>
          <t>500111199702150016</t>
        </is>
      </c>
      <c r="H16" s="88">
        <f>SUMIF('6月部门分发'!B:B,A:A,'6月部门分发'!DX:DX)</f>
        <v/>
      </c>
      <c r="I16" s="48">
        <f>H16*60</f>
        <v/>
      </c>
      <c r="J16" s="48">
        <f>SUMIF('6月部门分发'!B:B,A:A,'6月部门分发'!DY:DY)</f>
        <v/>
      </c>
      <c r="K16" s="48" t="n">
        <v>5</v>
      </c>
      <c r="L16" s="48" t="n"/>
      <c r="M16" s="48" t="n"/>
      <c r="N16" s="48" t="n">
        <v>0.5</v>
      </c>
      <c r="O16" s="48" t="n"/>
      <c r="P16" s="48" t="n"/>
      <c r="Q16" s="48" t="n"/>
      <c r="R16" s="48">
        <f>J16+K16+L16+M16+N16+O16+P16+Q16</f>
        <v/>
      </c>
      <c r="S16" s="48" t="n">
        <v>25</v>
      </c>
      <c r="T16" s="48" t="n"/>
      <c r="U16" s="48" t="n"/>
      <c r="V16" s="48" t="n"/>
      <c r="W16" s="48" t="n"/>
    </row>
    <row r="17" ht="31" customHeight="1">
      <c r="A17" s="48" t="inlineStr">
        <is>
          <t>莫娇</t>
        </is>
      </c>
      <c r="B17" s="48" t="inlineStr">
        <is>
          <t>五楼</t>
        </is>
      </c>
      <c r="C17" s="48" t="inlineStr">
        <is>
          <t>订单部</t>
        </is>
      </c>
      <c r="D17" s="48" t="inlineStr">
        <is>
          <t>接单报价组</t>
        </is>
      </c>
      <c r="E17" s="48" t="inlineStr">
        <is>
          <t>报价员</t>
        </is>
      </c>
      <c r="F17" s="48" t="inlineStr">
        <is>
          <t>2020-03-17</t>
        </is>
      </c>
      <c r="G17" s="48" t="inlineStr">
        <is>
          <t>500225199203153224</t>
        </is>
      </c>
      <c r="H17" s="88">
        <f>SUMIF('6月部门分发'!B:B,A:A,'6月部门分发'!DX:DX)</f>
        <v/>
      </c>
      <c r="I17" s="48">
        <f>H17*60</f>
        <v/>
      </c>
      <c r="J17" s="48">
        <f>SUMIF('6月部门分发'!B:B,A:A,'6月部门分发'!DY:DY)</f>
        <v/>
      </c>
      <c r="K17" s="48" t="n">
        <v>5</v>
      </c>
      <c r="L17" s="48" t="n"/>
      <c r="M17" s="48" t="n"/>
      <c r="N17" s="48" t="n"/>
      <c r="O17" s="48" t="n"/>
      <c r="P17" s="48" t="n"/>
      <c r="Q17" s="48" t="n"/>
      <c r="R17" s="48">
        <f>J17+K17+L17+M17+N17+O17+P17+Q17</f>
        <v/>
      </c>
      <c r="S17" s="48" t="n"/>
      <c r="T17" s="48" t="n"/>
      <c r="U17" s="48" t="n"/>
      <c r="V17" s="48" t="n"/>
      <c r="W17" s="48" t="n"/>
    </row>
    <row r="18" ht="31" customHeight="1">
      <c r="A18" s="48" t="inlineStr">
        <is>
          <t>田建锋</t>
        </is>
      </c>
      <c r="B18" s="48" t="inlineStr">
        <is>
          <t>五楼</t>
        </is>
      </c>
      <c r="C18" s="48" t="inlineStr">
        <is>
          <t>订单部</t>
        </is>
      </c>
      <c r="D18" s="48" t="inlineStr">
        <is>
          <t>审单组</t>
        </is>
      </c>
      <c r="E18" s="48" t="inlineStr">
        <is>
          <t>拆单员</t>
        </is>
      </c>
      <c r="F18" s="48" t="inlineStr">
        <is>
          <t>2021-08-12</t>
        </is>
      </c>
      <c r="G18" s="48" t="inlineStr">
        <is>
          <t>500228199606018755</t>
        </is>
      </c>
      <c r="H18" s="88">
        <f>SUMIF('6月部门分发'!B:B,A:A,'6月部门分发'!DX:DX)</f>
        <v/>
      </c>
      <c r="I18" s="48">
        <f>H18*60</f>
        <v/>
      </c>
      <c r="J18" s="48">
        <f>SUMIF('6月部门分发'!B:B,A:A,'6月部门分发'!DY:DY)</f>
        <v/>
      </c>
      <c r="K18" s="48" t="n">
        <v>4.5</v>
      </c>
      <c r="L18" s="48" t="n"/>
      <c r="M18" s="48" t="n"/>
      <c r="N18" s="48" t="n">
        <v>0.5</v>
      </c>
      <c r="O18" s="48" t="n"/>
      <c r="P18" s="48" t="n"/>
      <c r="Q18" s="48" t="n"/>
      <c r="R18" s="48">
        <f>J18+K18+L18+M18+N18+O18+P18+Q18</f>
        <v/>
      </c>
      <c r="S18" s="48" t="n">
        <v>6</v>
      </c>
      <c r="T18" s="48" t="n"/>
      <c r="U18" s="48" t="n"/>
      <c r="V18" s="48" t="n"/>
      <c r="W18" s="48" t="n"/>
    </row>
    <row r="19" ht="31" customHeight="1">
      <c r="A19" s="48" t="inlineStr">
        <is>
          <t>李红波</t>
        </is>
      </c>
      <c r="B19" s="48" t="inlineStr">
        <is>
          <t>五楼</t>
        </is>
      </c>
      <c r="C19" s="48" t="inlineStr">
        <is>
          <t>订单部</t>
        </is>
      </c>
      <c r="D19" s="48" t="inlineStr">
        <is>
          <t>审单组</t>
        </is>
      </c>
      <c r="E19" s="48" t="inlineStr">
        <is>
          <t>审单员</t>
        </is>
      </c>
      <c r="F19" s="48" t="inlineStr">
        <is>
          <t>2021-11-04</t>
        </is>
      </c>
      <c r="G19" s="48" t="inlineStr">
        <is>
          <t>511011198510258316</t>
        </is>
      </c>
      <c r="H19" s="88">
        <f>SUMIF('6月部门分发'!B:B,A:A,'6月部门分发'!DX:DX)</f>
        <v/>
      </c>
      <c r="I19" s="48">
        <f>H19*60</f>
        <v/>
      </c>
      <c r="J19" s="48">
        <f>SUMIF('6月部门分发'!B:B,A:A,'6月部门分发'!DY:DY)</f>
        <v/>
      </c>
      <c r="K19" s="48" t="n">
        <v>4.5</v>
      </c>
      <c r="L19" s="48" t="n"/>
      <c r="M19" s="48" t="n"/>
      <c r="N19" s="48" t="n">
        <v>0.5</v>
      </c>
      <c r="O19" s="48" t="n"/>
      <c r="P19" s="48" t="n"/>
      <c r="Q19" s="48" t="n"/>
      <c r="R19" s="48">
        <f>J19+K19+L19+M19+N19+O19+P19+Q19</f>
        <v/>
      </c>
      <c r="S19" s="48" t="n">
        <v>27</v>
      </c>
      <c r="T19" s="48" t="n"/>
      <c r="U19" s="48" t="n"/>
      <c r="V19" s="48" t="n"/>
      <c r="W19" s="48" t="n"/>
    </row>
    <row r="20" ht="31" customHeight="1">
      <c r="A20" s="48" t="inlineStr">
        <is>
          <t>陈明会</t>
        </is>
      </c>
      <c r="B20" s="48" t="inlineStr">
        <is>
          <t>五楼</t>
        </is>
      </c>
      <c r="C20" s="48" t="inlineStr">
        <is>
          <t>综合部</t>
        </is>
      </c>
      <c r="D20" s="48" t="inlineStr">
        <is>
          <t>财务核价</t>
        </is>
      </c>
      <c r="E20" s="48" t="inlineStr">
        <is>
          <t>财务</t>
        </is>
      </c>
      <c r="F20" s="48" t="inlineStr">
        <is>
          <t>2021-02-27</t>
        </is>
      </c>
      <c r="G20" s="48" t="inlineStr">
        <is>
          <t>500225199301022340</t>
        </is>
      </c>
      <c r="H20" s="88">
        <f>SUMIF('6月部门分发'!B:B,A:A,'6月部门分发'!DX:DX)</f>
        <v/>
      </c>
      <c r="I20" s="48">
        <f>H20*60</f>
        <v/>
      </c>
      <c r="J20" s="48">
        <f>SUMIF('6月部门分发'!B:B,A:A,'6月部门分发'!DY:DY)</f>
        <v/>
      </c>
      <c r="K20" s="48" t="n">
        <v>5</v>
      </c>
      <c r="L20" s="48" t="n"/>
      <c r="M20" s="48" t="n"/>
      <c r="N20" s="48" t="n"/>
      <c r="O20" s="48" t="n"/>
      <c r="P20" s="48" t="n"/>
      <c r="Q20" s="48" t="n"/>
      <c r="R20" s="48">
        <f>J20+K20+L20+M20+N20+O20+P20+Q20</f>
        <v/>
      </c>
      <c r="S20" s="48" t="n"/>
      <c r="T20" s="48" t="n"/>
      <c r="U20" s="48" t="n"/>
      <c r="V20" s="48" t="n"/>
      <c r="W20" s="48" t="n"/>
    </row>
    <row r="21" ht="31" customHeight="1">
      <c r="A21" s="48" t="inlineStr">
        <is>
          <t>张金彬</t>
        </is>
      </c>
      <c r="B21" s="48" t="inlineStr">
        <is>
          <t>五楼</t>
        </is>
      </c>
      <c r="C21" s="48" t="inlineStr">
        <is>
          <t>设计部</t>
        </is>
      </c>
      <c r="D21" s="48" t="inlineStr">
        <is>
          <t>设计组</t>
        </is>
      </c>
      <c r="E21" s="48" t="inlineStr">
        <is>
          <t>绘图员</t>
        </is>
      </c>
      <c r="F21" s="48" t="inlineStr">
        <is>
          <t>2026-03-11</t>
        </is>
      </c>
      <c r="G21" s="48" t="inlineStr">
        <is>
          <t>500224200612033898</t>
        </is>
      </c>
      <c r="H21" s="88">
        <f>SUMIF('6月部门分发'!B:B,A:A,'6月部门分发'!DX:DX)</f>
        <v/>
      </c>
      <c r="I21" s="48">
        <f>H21*60</f>
        <v/>
      </c>
      <c r="J21" s="48">
        <f>SUMIF('6月部门分发'!B:B,A:A,'6月部门分发'!DY:DY)</f>
        <v/>
      </c>
      <c r="K21" s="48" t="n">
        <v>5</v>
      </c>
      <c r="L21" s="48" t="n"/>
      <c r="M21" s="48" t="n"/>
      <c r="N21" s="48" t="n">
        <v>0.5</v>
      </c>
      <c r="O21" s="48" t="n"/>
      <c r="P21" s="48" t="n"/>
      <c r="Q21" s="48" t="n"/>
      <c r="R21" s="48">
        <f>J21+K21+L21+M21+N21+O21+P21+Q21</f>
        <v/>
      </c>
      <c r="S21" s="48" t="n">
        <v>8</v>
      </c>
      <c r="T21" s="48" t="n"/>
      <c r="U21" s="48" t="n"/>
      <c r="V21" s="48" t="n"/>
      <c r="W21" s="48" t="n"/>
    </row>
    <row r="22" ht="31" customHeight="1">
      <c r="A22" s="48" t="inlineStr">
        <is>
          <t>吕丹丹</t>
        </is>
      </c>
      <c r="B22" s="48" t="inlineStr">
        <is>
          <t>五楼</t>
        </is>
      </c>
      <c r="C22" s="48" t="inlineStr">
        <is>
          <t>订单部</t>
        </is>
      </c>
      <c r="D22" s="48" t="inlineStr">
        <is>
          <t>接单报价组</t>
        </is>
      </c>
      <c r="E22" s="48" t="inlineStr">
        <is>
          <t>接单员</t>
        </is>
      </c>
      <c r="F22" s="48" t="inlineStr">
        <is>
          <t>2019-03-01</t>
        </is>
      </c>
      <c r="G22" s="48" t="inlineStr">
        <is>
          <t>500225198911210328</t>
        </is>
      </c>
      <c r="H22" s="88">
        <f>SUMIF('6月部门分发'!B:B,A:A,'6月部门分发'!DX:DX)</f>
        <v/>
      </c>
      <c r="I22" s="48">
        <f>H22*60</f>
        <v/>
      </c>
      <c r="J22" s="48">
        <f>SUMIF('6月部门分发'!B:B,A:A,'6月部门分发'!DY:DY)</f>
        <v/>
      </c>
      <c r="K22" s="48" t="n">
        <v>5</v>
      </c>
      <c r="L22" s="48" t="n"/>
      <c r="M22" s="48" t="n"/>
      <c r="N22" s="48" t="n"/>
      <c r="O22" s="48" t="n"/>
      <c r="P22" s="48" t="n"/>
      <c r="Q22" s="48" t="n"/>
      <c r="R22" s="48">
        <f>J22+K22+L22+M22+N22+O22+P22+Q22</f>
        <v/>
      </c>
      <c r="S22" s="48" t="n"/>
      <c r="T22" s="48" t="n"/>
      <c r="U22" s="48" t="n"/>
      <c r="V22" s="48" t="n"/>
      <c r="W22" s="48" t="n"/>
    </row>
    <row r="23" ht="31" customHeight="1">
      <c r="A23" s="48" t="inlineStr">
        <is>
          <t>李光义</t>
        </is>
      </c>
      <c r="B23" s="48" t="inlineStr">
        <is>
          <t>五楼</t>
        </is>
      </c>
      <c r="C23" s="48" t="inlineStr">
        <is>
          <t>综合部</t>
        </is>
      </c>
      <c r="D23" s="48" t="inlineStr">
        <is>
          <t>固豪售后</t>
        </is>
      </c>
      <c r="E23" s="48" t="inlineStr">
        <is>
          <t>售后（固豪）</t>
        </is>
      </c>
      <c r="F23" s="48" t="inlineStr">
        <is>
          <t>2018-07-01</t>
        </is>
      </c>
      <c r="G23" s="48" t="inlineStr">
        <is>
          <t>500225198708097622</t>
        </is>
      </c>
      <c r="H23" s="88">
        <f>SUMIF('6月部门分发'!B:B,A:A,'6月部门分发'!DX:DX)</f>
        <v/>
      </c>
      <c r="I23" s="48">
        <f>H23*60</f>
        <v/>
      </c>
      <c r="J23" s="48">
        <f>SUMIF('6月部门分发'!B:B,A:A,'6月部门分发'!DY:DY)</f>
        <v/>
      </c>
      <c r="K23" s="48" t="n">
        <v>5</v>
      </c>
      <c r="L23" s="48" t="n"/>
      <c r="M23" s="48" t="n"/>
      <c r="N23" s="48" t="n"/>
      <c r="O23" s="48" t="n"/>
      <c r="P23" s="48" t="n"/>
      <c r="Q23" s="48" t="n"/>
      <c r="R23" s="48">
        <f>J23+K23+L23+M23+N23+O23+P23+Q23</f>
        <v/>
      </c>
      <c r="S23" s="48" t="n"/>
      <c r="T23" s="48" t="n"/>
      <c r="U23" s="48" t="n"/>
      <c r="V23" s="48" t="n"/>
      <c r="W23" s="48" t="n"/>
    </row>
    <row r="24" ht="31" customHeight="1">
      <c r="A24" s="48" t="inlineStr">
        <is>
          <t>匡启素</t>
        </is>
      </c>
      <c r="B24" s="48" t="inlineStr">
        <is>
          <t>五楼</t>
        </is>
      </c>
      <c r="C24" s="48" t="inlineStr">
        <is>
          <t>综合部</t>
        </is>
      </c>
      <c r="D24" s="48" t="inlineStr">
        <is>
          <t>综合部</t>
        </is>
      </c>
      <c r="E24" s="48" t="inlineStr">
        <is>
          <t>经理</t>
        </is>
      </c>
      <c r="F24" s="48" t="inlineStr">
        <is>
          <t>2014-02-07</t>
        </is>
      </c>
      <c r="G24" s="48" t="inlineStr">
        <is>
          <t>512322197310221860</t>
        </is>
      </c>
      <c r="H24" s="88">
        <f>SUMIF('6月部门分发'!B:B,A:A,'6月部门分发'!DX:DX)</f>
        <v/>
      </c>
      <c r="I24" s="48">
        <f>H24*60</f>
        <v/>
      </c>
      <c r="J24" s="48">
        <f>SUMIF('6月部门分发'!B:B,A:A,'6月部门分发'!DY:DY)</f>
        <v/>
      </c>
      <c r="K24" s="48" t="n">
        <v>5</v>
      </c>
      <c r="L24" s="48" t="n"/>
      <c r="M24" s="48" t="n"/>
      <c r="N24" s="48" t="n">
        <v>0.5</v>
      </c>
      <c r="O24" s="48" t="n"/>
      <c r="P24" s="48" t="n"/>
      <c r="Q24" s="48" t="n"/>
      <c r="R24" s="48">
        <f>J24+K24+L24+M24+N24+O24+P24+Q24</f>
        <v/>
      </c>
      <c r="S24" s="48" t="n">
        <v>16</v>
      </c>
      <c r="T24" s="48" t="n"/>
      <c r="U24" s="48" t="n"/>
      <c r="V24" s="48" t="n"/>
      <c r="W24" s="48" t="n"/>
    </row>
    <row r="25" ht="31" customHeight="1">
      <c r="A25" s="48" t="inlineStr">
        <is>
          <t>兰媛</t>
        </is>
      </c>
      <c r="B25" s="48" t="inlineStr">
        <is>
          <t>五楼</t>
        </is>
      </c>
      <c r="C25" s="48" t="inlineStr">
        <is>
          <t>综合部</t>
        </is>
      </c>
      <c r="D25" s="48" t="inlineStr">
        <is>
          <t>财务核价</t>
        </is>
      </c>
      <c r="E25" s="48" t="inlineStr">
        <is>
          <t>薪资核算员</t>
        </is>
      </c>
      <c r="F25" s="48" t="inlineStr">
        <is>
          <t>2023-07-22</t>
        </is>
      </c>
      <c r="G25" s="48" t="inlineStr">
        <is>
          <t>500225199610014328</t>
        </is>
      </c>
      <c r="H25" s="88">
        <f>SUMIF('6月部门分发'!B:B,A:A,'6月部门分发'!DX:DX)</f>
        <v/>
      </c>
      <c r="I25" s="48">
        <f>H25*60</f>
        <v/>
      </c>
      <c r="J25" s="48">
        <f>SUMIF('6月部门分发'!B:B,A:A,'6月部门分发'!DY:DY)</f>
        <v/>
      </c>
      <c r="K25" s="48" t="n">
        <v>5</v>
      </c>
      <c r="L25" s="48" t="n"/>
      <c r="M25" s="48" t="n"/>
      <c r="N25" s="48" t="n"/>
      <c r="O25" s="48" t="n"/>
      <c r="P25" s="48" t="n"/>
      <c r="Q25" s="48" t="n"/>
      <c r="R25" s="48">
        <f>J25+K25+L25+M25+N25+O25+P25+Q25</f>
        <v/>
      </c>
      <c r="S25" s="48" t="n"/>
      <c r="T25" s="48" t="n"/>
      <c r="U25" s="48" t="n"/>
      <c r="V25" s="48" t="n"/>
      <c r="W25" s="48" t="n"/>
    </row>
    <row r="26" ht="31" customHeight="1">
      <c r="A26" s="48" t="inlineStr">
        <is>
          <t>方宇</t>
        </is>
      </c>
      <c r="B26" s="48" t="inlineStr">
        <is>
          <t>五楼</t>
        </is>
      </c>
      <c r="C26" s="48" t="inlineStr">
        <is>
          <t>订单部</t>
        </is>
      </c>
      <c r="D26" s="48" t="inlineStr">
        <is>
          <t>接单报价组</t>
        </is>
      </c>
      <c r="E26" s="48" t="inlineStr">
        <is>
          <t>接单员</t>
        </is>
      </c>
      <c r="F26" s="48" t="inlineStr">
        <is>
          <t>2020-08-04</t>
        </is>
      </c>
      <c r="G26" s="48" t="inlineStr">
        <is>
          <t>500383198810092923</t>
        </is>
      </c>
      <c r="H26" s="88">
        <f>SUMIF('6月部门分发'!B:B,A:A,'6月部门分发'!DX:DX)</f>
        <v/>
      </c>
      <c r="I26" s="48">
        <f>H26*60</f>
        <v/>
      </c>
      <c r="J26" s="48">
        <f>SUMIF('6月部门分发'!B:B,A:A,'6月部门分发'!DY:DY)</f>
        <v/>
      </c>
      <c r="K26" s="48" t="n">
        <v>5</v>
      </c>
      <c r="L26" s="48" t="n"/>
      <c r="M26" s="48" t="n"/>
      <c r="N26" s="48" t="n"/>
      <c r="O26" s="48" t="n"/>
      <c r="P26" s="48" t="n"/>
      <c r="Q26" s="48" t="n"/>
      <c r="R26" s="48">
        <f>J26+K26+L26+M26+N26+O26+P26+Q26</f>
        <v/>
      </c>
      <c r="S26" s="48" t="n"/>
      <c r="T26" s="48" t="n"/>
      <c r="U26" s="48" t="n"/>
      <c r="V26" s="48" t="n"/>
      <c r="W26" s="48" t="n"/>
    </row>
    <row r="27" ht="31" customHeight="1">
      <c r="A27" s="48" t="inlineStr">
        <is>
          <t>莫永兵</t>
        </is>
      </c>
      <c r="B27" s="48" t="inlineStr">
        <is>
          <t>五楼</t>
        </is>
      </c>
      <c r="C27" s="48" t="inlineStr">
        <is>
          <t>板式车间</t>
        </is>
      </c>
      <c r="D27" s="48" t="inlineStr">
        <is>
          <t>板式车间</t>
        </is>
      </c>
      <c r="E27" s="48" t="inlineStr">
        <is>
          <t>厂长</t>
        </is>
      </c>
      <c r="F27" s="48" t="inlineStr">
        <is>
          <t>2022-03-30</t>
        </is>
      </c>
      <c r="G27" s="48" t="inlineStr">
        <is>
          <t>510225197703015437</t>
        </is>
      </c>
      <c r="H27" s="88">
        <f>SUMIF('6月部门分发'!B:B,A:A,'6月部门分发'!DX:DX)</f>
        <v/>
      </c>
      <c r="I27" s="48">
        <f>H27*60</f>
        <v/>
      </c>
      <c r="J27" s="48">
        <f>SUMIF('6月部门分发'!B:B,A:A,'6月部门分发'!DY:DY)</f>
        <v/>
      </c>
      <c r="K27" s="48" t="n">
        <v>3</v>
      </c>
      <c r="L27" s="48" t="n"/>
      <c r="M27" s="48" t="n"/>
      <c r="N27" s="48" t="n"/>
      <c r="O27" s="48" t="n"/>
      <c r="P27" s="48" t="n"/>
      <c r="Q27" s="48" t="n"/>
      <c r="R27" s="48">
        <f>J27+K27+L27+M27+N27+O27+P27+Q27</f>
        <v/>
      </c>
      <c r="S27" s="48" t="n"/>
      <c r="T27" s="48" t="n"/>
      <c r="U27" s="48" t="n"/>
      <c r="V27" s="48" t="n"/>
      <c r="W27" s="48" t="n"/>
    </row>
    <row r="28" ht="31" customHeight="1">
      <c r="A28" s="48" t="inlineStr">
        <is>
          <t>冯钰超</t>
        </is>
      </c>
      <c r="B28" s="48" t="inlineStr">
        <is>
          <t>五楼</t>
        </is>
      </c>
      <c r="C28" s="48" t="inlineStr">
        <is>
          <t>设计部</t>
        </is>
      </c>
      <c r="D28" s="48" t="inlineStr">
        <is>
          <t>设计组</t>
        </is>
      </c>
      <c r="E28" s="48" t="inlineStr">
        <is>
          <t>绘图员</t>
        </is>
      </c>
      <c r="F28" s="48" t="inlineStr">
        <is>
          <t>2026-03-21</t>
        </is>
      </c>
      <c r="G28" s="48" t="inlineStr">
        <is>
          <t>500381200502286010</t>
        </is>
      </c>
      <c r="H28" s="88">
        <f>SUMIF('6月部门分发'!B:B,A:A,'6月部门分发'!DX:DX)</f>
        <v/>
      </c>
      <c r="I28" s="48">
        <f>H28*60</f>
        <v/>
      </c>
      <c r="J28" s="48">
        <f>SUMIF('6月部门分发'!B:B,A:A,'6月部门分发'!DY:DY)</f>
        <v/>
      </c>
      <c r="K28" s="48" t="n">
        <v>4</v>
      </c>
      <c r="L28" s="48" t="n"/>
      <c r="M28" s="48" t="n"/>
      <c r="N28" s="48" t="n"/>
      <c r="O28" s="48" t="n"/>
      <c r="P28" s="48" t="n"/>
      <c r="Q28" s="48" t="n"/>
      <c r="R28" s="48">
        <f>J28+K28+L28+M28+N28+O28+P28+Q28</f>
        <v/>
      </c>
      <c r="S28" s="48" t="n"/>
      <c r="T28" s="48" t="n"/>
      <c r="U28" s="48" t="n"/>
      <c r="V28" s="48" t="n"/>
      <c r="W28" s="48" t="n"/>
    </row>
    <row r="29" ht="31" customHeight="1">
      <c r="A29" s="48" t="inlineStr">
        <is>
          <t>黄华</t>
        </is>
      </c>
      <c r="B29" s="48" t="inlineStr">
        <is>
          <t>五楼</t>
        </is>
      </c>
      <c r="C29" s="48" t="inlineStr">
        <is>
          <t>设计部</t>
        </is>
      </c>
      <c r="D29" s="48" t="inlineStr">
        <is>
          <t>设计组</t>
        </is>
      </c>
      <c r="E29" s="48" t="inlineStr">
        <is>
          <t>深化拆单设计师</t>
        </is>
      </c>
      <c r="F29" s="48" t="inlineStr">
        <is>
          <t>2023-11-10</t>
        </is>
      </c>
      <c r="G29" s="48" t="inlineStr">
        <is>
          <t>500225198702160758</t>
        </is>
      </c>
      <c r="H29" s="88">
        <f>SUMIF('6月部门分发'!B:B,A:A,'6月部门分发'!DX:DX)</f>
        <v/>
      </c>
      <c r="I29" s="48">
        <f>H29*60</f>
        <v/>
      </c>
      <c r="J29" s="48">
        <f>SUMIF('6月部门分发'!B:B,A:A,'6月部门分发'!DY:DY)</f>
        <v/>
      </c>
      <c r="K29" s="48" t="n">
        <v>5</v>
      </c>
      <c r="L29" s="48" t="n"/>
      <c r="M29" s="48" t="n"/>
      <c r="N29" s="48" t="n">
        <v>1</v>
      </c>
      <c r="O29" s="48" t="n"/>
      <c r="P29" s="48" t="n"/>
      <c r="Q29" s="48" t="n"/>
      <c r="R29" s="48">
        <f>J29+K29+L29+M29+N29+O29+P29+Q29</f>
        <v/>
      </c>
      <c r="S29" s="48" t="inlineStr">
        <is>
          <t>22、27</t>
        </is>
      </c>
      <c r="T29" s="48" t="n"/>
      <c r="U29" s="48" t="n"/>
      <c r="V29" s="48" t="n"/>
      <c r="W29" s="48" t="n"/>
    </row>
    <row r="30" ht="31" customHeight="1">
      <c r="A30" s="48" t="inlineStr">
        <is>
          <t>康波</t>
        </is>
      </c>
      <c r="B30" s="48" t="inlineStr">
        <is>
          <t>五楼</t>
        </is>
      </c>
      <c r="C30" s="48" t="inlineStr">
        <is>
          <t>设计部</t>
        </is>
      </c>
      <c r="D30" s="48" t="inlineStr">
        <is>
          <t>设计组</t>
        </is>
      </c>
      <c r="E30" s="48" t="inlineStr">
        <is>
          <t>方案设计师</t>
        </is>
      </c>
      <c r="F30" s="48" t="inlineStr">
        <is>
          <t>2023-02-25</t>
        </is>
      </c>
      <c r="G30" s="48" t="inlineStr">
        <is>
          <t>500225199303293814</t>
        </is>
      </c>
      <c r="H30" s="88">
        <f>SUMIF('6月部门分发'!B:B,A:A,'6月部门分发'!DX:DX)</f>
        <v/>
      </c>
      <c r="I30" s="48">
        <f>H30*60</f>
        <v/>
      </c>
      <c r="J30" s="48">
        <f>SUMIF('6月部门分发'!B:B,A:A,'6月部门分发'!DY:DY)</f>
        <v/>
      </c>
      <c r="K30" s="48" t="n">
        <v>4.5</v>
      </c>
      <c r="L30" s="48" t="n"/>
      <c r="M30" s="48" t="n"/>
      <c r="N30" s="48" t="n"/>
      <c r="O30" s="48" t="n"/>
      <c r="P30" s="48" t="n"/>
      <c r="Q30" s="48" t="n"/>
      <c r="R30" s="48">
        <f>J30+K30+L30+M30+N30+O30+P30+Q30</f>
        <v/>
      </c>
      <c r="S30" s="48" t="n"/>
      <c r="T30" s="48" t="n"/>
      <c r="U30" s="48" t="n"/>
      <c r="V30" s="48" t="n"/>
      <c r="W30" s="48" t="n"/>
    </row>
    <row r="31" ht="31" customHeight="1">
      <c r="A31" s="48" t="inlineStr">
        <is>
          <t>罗雨</t>
        </is>
      </c>
      <c r="B31" s="48" t="inlineStr">
        <is>
          <t>五楼</t>
        </is>
      </c>
      <c r="C31" s="48" t="inlineStr">
        <is>
          <t>设计部</t>
        </is>
      </c>
      <c r="D31" s="48" t="inlineStr">
        <is>
          <t>设计组</t>
        </is>
      </c>
      <c r="E31" s="48" t="inlineStr">
        <is>
          <t>副主管</t>
        </is>
      </c>
      <c r="F31" s="48" t="inlineStr">
        <is>
          <t>2023-05-17</t>
        </is>
      </c>
      <c r="G31" s="48" t="inlineStr">
        <is>
          <t>500225198706297612</t>
        </is>
      </c>
      <c r="H31" s="88">
        <f>SUMIF('6月部门分发'!B:B,A:A,'6月部门分发'!DX:DX)</f>
        <v/>
      </c>
      <c r="I31" s="48">
        <f>H31*60</f>
        <v/>
      </c>
      <c r="J31" s="48">
        <f>SUMIF('6月部门分发'!B:B,A:A,'6月部门分发'!DY:DY)</f>
        <v/>
      </c>
      <c r="K31" s="48" t="n">
        <v>5</v>
      </c>
      <c r="L31" s="48" t="n"/>
      <c r="M31" s="48" t="n"/>
      <c r="N31" s="48" t="n"/>
      <c r="O31" s="48" t="n"/>
      <c r="P31" s="48" t="n"/>
      <c r="Q31" s="48" t="n"/>
      <c r="R31" s="48">
        <f>J31+K31+L31+M31+N31+O31+P31+Q31</f>
        <v/>
      </c>
      <c r="S31" s="48" t="n"/>
      <c r="T31" s="48" t="n"/>
      <c r="U31" s="48" t="n"/>
      <c r="V31" s="48" t="n"/>
      <c r="W31" s="48" t="n"/>
    </row>
    <row r="32" ht="31" customHeight="1">
      <c r="A32" s="48" t="inlineStr">
        <is>
          <t>谭勇</t>
        </is>
      </c>
      <c r="B32" s="48" t="inlineStr">
        <is>
          <t>五楼</t>
        </is>
      </c>
      <c r="C32" s="48" t="inlineStr">
        <is>
          <t>设计部</t>
        </is>
      </c>
      <c r="D32" s="48" t="inlineStr">
        <is>
          <t>设计组</t>
        </is>
      </c>
      <c r="E32" s="48" t="inlineStr">
        <is>
          <t>方案设计师</t>
        </is>
      </c>
      <c r="F32" s="48" t="inlineStr">
        <is>
          <t>2025-07-01</t>
        </is>
      </c>
      <c r="G32" s="48" t="inlineStr">
        <is>
          <t>500225198602072312</t>
        </is>
      </c>
      <c r="H32" s="88">
        <f>SUMIF('6月部门分发'!B:B,A:A,'6月部门分发'!DX:DX)</f>
        <v/>
      </c>
      <c r="I32" s="48">
        <f>H32*60</f>
        <v/>
      </c>
      <c r="J32" s="48">
        <f>SUMIF('6月部门分发'!B:B,A:A,'6月部门分发'!DY:DY)</f>
        <v/>
      </c>
      <c r="K32" s="48" t="n">
        <v>5</v>
      </c>
      <c r="L32" s="48" t="n"/>
      <c r="M32" s="48" t="n"/>
      <c r="N32" s="48" t="n">
        <v>1</v>
      </c>
      <c r="O32" s="48" t="n"/>
      <c r="P32" s="48" t="n"/>
      <c r="Q32" s="48" t="n"/>
      <c r="R32" s="48">
        <f>J32+K32+L32+M32+N32+O32+P32+Q32</f>
        <v/>
      </c>
      <c r="S32" s="48" t="inlineStr">
        <is>
          <t>8、14</t>
        </is>
      </c>
      <c r="T32" s="48" t="n"/>
      <c r="U32" s="48" t="n"/>
      <c r="V32" s="48" t="n"/>
      <c r="W32" s="48" t="n"/>
    </row>
    <row r="33" ht="31" customHeight="1">
      <c r="A33" s="48" t="inlineStr">
        <is>
          <t>田鹏飞</t>
        </is>
      </c>
      <c r="B33" s="48" t="inlineStr">
        <is>
          <t>五楼</t>
        </is>
      </c>
      <c r="C33" s="48" t="inlineStr">
        <is>
          <t>订单部</t>
        </is>
      </c>
      <c r="D33" s="48" t="inlineStr">
        <is>
          <t>订单部</t>
        </is>
      </c>
      <c r="E33" s="48" t="inlineStr">
        <is>
          <t>经理</t>
        </is>
      </c>
      <c r="F33" s="48" t="inlineStr">
        <is>
          <t>2021-07-01</t>
        </is>
      </c>
      <c r="G33" s="48" t="inlineStr">
        <is>
          <t>500228198408188759</t>
        </is>
      </c>
      <c r="H33" s="88">
        <f>SUMIF('6月部门分发'!B:B,A:A,'6月部门分发'!DX:DX)</f>
        <v/>
      </c>
      <c r="I33" s="48">
        <f>H33*60</f>
        <v/>
      </c>
      <c r="J33" s="48">
        <f>SUMIF('6月部门分发'!B:B,A:A,'6月部门分发'!DY:DY)</f>
        <v/>
      </c>
      <c r="K33" s="48" t="n">
        <v>5</v>
      </c>
      <c r="L33" s="48" t="n"/>
      <c r="M33" s="48" t="n"/>
      <c r="N33" s="48" t="n"/>
      <c r="O33" s="48" t="n"/>
      <c r="P33" s="48" t="n"/>
      <c r="Q33" s="48" t="n"/>
      <c r="R33" s="48">
        <f>J33+K33+L33+M33+N33+O33+P33+Q33</f>
        <v/>
      </c>
      <c r="S33" s="48" t="n"/>
      <c r="T33" s="48" t="n"/>
      <c r="U33" s="48" t="n"/>
      <c r="V33" s="48" t="n"/>
      <c r="W33" s="48" t="n"/>
    </row>
    <row r="34" ht="31" customHeight="1">
      <c r="A34" s="48" t="inlineStr">
        <is>
          <t>谢灵</t>
        </is>
      </c>
      <c r="B34" s="48" t="inlineStr">
        <is>
          <t>五楼</t>
        </is>
      </c>
      <c r="C34" s="48" t="inlineStr">
        <is>
          <t>订单部</t>
        </is>
      </c>
      <c r="D34" s="48" t="inlineStr">
        <is>
          <t>接单报价组</t>
        </is>
      </c>
      <c r="E34" s="48" t="inlineStr">
        <is>
          <t>接单员</t>
        </is>
      </c>
      <c r="F34" s="48" t="inlineStr">
        <is>
          <t>2025-05-23</t>
        </is>
      </c>
      <c r="G34" s="48" t="inlineStr">
        <is>
          <t>500225199203105708</t>
        </is>
      </c>
      <c r="H34" s="88">
        <f>SUMIF('6月部门分发'!B:B,A:A,'6月部门分发'!DX:DX)</f>
        <v/>
      </c>
      <c r="I34" s="48">
        <f>H34*60</f>
        <v/>
      </c>
      <c r="J34" s="48">
        <f>SUMIF('6月部门分发'!B:B,A:A,'6月部门分发'!DY:DY)</f>
        <v/>
      </c>
      <c r="K34" s="48" t="n">
        <v>5</v>
      </c>
      <c r="L34" s="48" t="n"/>
      <c r="M34" s="48" t="n"/>
      <c r="N34" s="48" t="n"/>
      <c r="O34" s="48" t="n"/>
      <c r="P34" s="48" t="n"/>
      <c r="Q34" s="48" t="n"/>
      <c r="R34" s="48">
        <f>J34+K34+L34+M34+N34+O34+P34+Q34</f>
        <v/>
      </c>
      <c r="S34" s="48" t="n"/>
      <c r="T34" s="48" t="n"/>
      <c r="U34" s="48" t="n"/>
      <c r="V34" s="48" t="n"/>
      <c r="W34" s="48" t="n"/>
    </row>
    <row r="35" ht="31" customHeight="1">
      <c r="A35" s="48" t="inlineStr">
        <is>
          <t>周朝会</t>
        </is>
      </c>
      <c r="B35" s="48" t="inlineStr">
        <is>
          <t>五楼</t>
        </is>
      </c>
      <c r="C35" s="48" t="inlineStr">
        <is>
          <t>人力行政部</t>
        </is>
      </c>
      <c r="D35" s="48" t="inlineStr">
        <is>
          <t>人力行政部</t>
        </is>
      </c>
      <c r="E35" s="48" t="inlineStr">
        <is>
          <t>保洁</t>
        </is>
      </c>
      <c r="F35" s="48" t="inlineStr">
        <is>
          <t>2025-02-08</t>
        </is>
      </c>
      <c r="G35" s="48" t="inlineStr">
        <is>
          <t>512534197205110460</t>
        </is>
      </c>
      <c r="H35" s="88">
        <f>SUMIF('6月部门分发'!B:B,A:A,'6月部门分发'!DX:DX)</f>
        <v/>
      </c>
      <c r="I35" s="48">
        <f>H35*60</f>
        <v/>
      </c>
      <c r="J35" s="48">
        <f>SUMIF('6月部门分发'!B:B,A:A,'6月部门分发'!DY:DY)</f>
        <v/>
      </c>
      <c r="K35" s="48" t="n">
        <v>3.5</v>
      </c>
      <c r="L35" s="48" t="n"/>
      <c r="M35" s="48" t="n"/>
      <c r="N35" s="48" t="n"/>
      <c r="O35" s="48" t="n"/>
      <c r="P35" s="48" t="n"/>
      <c r="Q35" s="48" t="n"/>
      <c r="R35" s="48">
        <f>J35+K35+L35+M35+N35+O35+P35+Q35</f>
        <v/>
      </c>
      <c r="S35" s="48" t="n"/>
      <c r="T35" s="48" t="n"/>
      <c r="U35" s="48" t="n"/>
      <c r="V35" s="48" t="n"/>
      <c r="W35" s="48" t="n"/>
    </row>
    <row r="36" ht="31" customHeight="1">
      <c r="A36" s="48" t="inlineStr">
        <is>
          <t>伍梦柯</t>
        </is>
      </c>
      <c r="B36" s="48" t="inlineStr">
        <is>
          <t>五楼</t>
        </is>
      </c>
      <c r="C36" s="48" t="inlineStr">
        <is>
          <t>设计部</t>
        </is>
      </c>
      <c r="D36" s="48" t="inlineStr">
        <is>
          <t>设计组</t>
        </is>
      </c>
      <c r="E36" s="48" t="inlineStr">
        <is>
          <t>方案设计师</t>
        </is>
      </c>
      <c r="F36" s="48" t="inlineStr">
        <is>
          <t>2023-05-26</t>
        </is>
      </c>
      <c r="G36" s="48" t="inlineStr">
        <is>
          <t>500225199905268333</t>
        </is>
      </c>
      <c r="H36" s="88">
        <f>SUMIF('6月部门分发'!B:B,A:A,'6月部门分发'!DX:DX)</f>
        <v/>
      </c>
      <c r="I36" s="48">
        <f>H36*60</f>
        <v/>
      </c>
      <c r="J36" s="48">
        <f>SUMIF('6月部门分发'!B:B,A:A,'6月部门分发'!DY:DY)</f>
        <v/>
      </c>
      <c r="K36" s="48" t="n">
        <v>5</v>
      </c>
      <c r="L36" s="48" t="n"/>
      <c r="M36" s="48" t="n"/>
      <c r="N36" s="48" t="n"/>
      <c r="O36" s="48" t="n"/>
      <c r="P36" s="48" t="n"/>
      <c r="Q36" s="48" t="n"/>
      <c r="R36" s="48">
        <f>J36+K36+L36+M36+N36+O36+P36+Q36</f>
        <v/>
      </c>
      <c r="S36" s="48" t="n"/>
      <c r="T36" s="48" t="n"/>
      <c r="U36" s="48" t="n"/>
      <c r="V36" s="48" t="n"/>
      <c r="W36" s="48" t="n"/>
    </row>
    <row r="37" ht="31" customHeight="1">
      <c r="A37" s="48" t="inlineStr">
        <is>
          <t>李志明</t>
        </is>
      </c>
      <c r="B37" s="48" t="inlineStr">
        <is>
          <t>五楼</t>
        </is>
      </c>
      <c r="C37" s="48" t="inlineStr">
        <is>
          <t>人力行政部</t>
        </is>
      </c>
      <c r="D37" s="48" t="inlineStr">
        <is>
          <t>人力行政部</t>
        </is>
      </c>
      <c r="E37" s="48" t="inlineStr">
        <is>
          <t>保安</t>
        </is>
      </c>
      <c r="F37" s="48" t="inlineStr">
        <is>
          <t>2024-01-09</t>
        </is>
      </c>
      <c r="G37" s="48" t="inlineStr">
        <is>
          <t>510230196910273339</t>
        </is>
      </c>
      <c r="H37" s="88">
        <f>SUMIF('6月部门分发'!B:B,A:A,'6月部门分发'!DX:DX)</f>
        <v/>
      </c>
      <c r="I37" s="48">
        <f>H37*60</f>
        <v/>
      </c>
      <c r="J37" s="48">
        <f>SUMIF('6月部门分发'!B:B,A:A,'6月部门分发'!DY:DY)</f>
        <v/>
      </c>
      <c r="K37" s="48" t="n">
        <v>4.5</v>
      </c>
      <c r="L37" s="48" t="n"/>
      <c r="M37" s="48" t="n"/>
      <c r="N37" s="48" t="n"/>
      <c r="O37" s="48" t="n"/>
      <c r="P37" s="48" t="n"/>
      <c r="Q37" s="48" t="n"/>
      <c r="R37" s="48">
        <f>J37+K37+L37+M37+N37+O37+P37+Q37</f>
        <v/>
      </c>
      <c r="S37" s="48" t="n"/>
      <c r="T37" s="48" t="n"/>
      <c r="U37" s="48" t="n"/>
      <c r="V37" s="48" t="n"/>
      <c r="W37" s="48" t="n"/>
    </row>
    <row r="38" ht="31" customHeight="1">
      <c r="A38" s="48" t="inlineStr">
        <is>
          <t>漆娇</t>
        </is>
      </c>
      <c r="B38" s="48" t="inlineStr">
        <is>
          <t>五楼</t>
        </is>
      </c>
      <c r="C38" s="48" t="inlineStr">
        <is>
          <t>综合部</t>
        </is>
      </c>
      <c r="D38" s="48" t="inlineStr">
        <is>
          <t>奢匠售后</t>
        </is>
      </c>
      <c r="E38" s="48" t="inlineStr">
        <is>
          <t>奢匠售后</t>
        </is>
      </c>
      <c r="F38" s="48" t="inlineStr">
        <is>
          <t>2025-08-20</t>
        </is>
      </c>
      <c r="G38" s="48" t="inlineStr">
        <is>
          <t>500225199211053821</t>
        </is>
      </c>
      <c r="H38" s="88">
        <f>SUMIF('6月部门分发'!B:B,A:A,'6月部门分发'!DX:DX)</f>
        <v/>
      </c>
      <c r="I38" s="48">
        <f>H38*60</f>
        <v/>
      </c>
      <c r="J38" s="48">
        <f>SUMIF('6月部门分发'!B:B,A:A,'6月部门分发'!DY:DY)</f>
        <v/>
      </c>
      <c r="K38" s="48" t="n">
        <v>5</v>
      </c>
      <c r="L38" s="48" t="n"/>
      <c r="M38" s="48" t="n"/>
      <c r="N38" s="48" t="n"/>
      <c r="O38" s="48" t="n"/>
      <c r="P38" s="48" t="n"/>
      <c r="Q38" s="48" t="n"/>
      <c r="R38" s="48">
        <f>J38+K38+L38+M38+N38+O38+P38+Q38</f>
        <v/>
      </c>
      <c r="S38" s="48" t="n"/>
      <c r="T38" s="48" t="n"/>
      <c r="U38" s="48" t="n"/>
      <c r="V38" s="48" t="n"/>
      <c r="W38" s="48" t="n"/>
    </row>
    <row r="39" ht="31" customHeight="1">
      <c r="A39" s="48" t="inlineStr">
        <is>
          <t>唐良基</t>
        </is>
      </c>
      <c r="B39" s="48" t="inlineStr">
        <is>
          <t>五楼</t>
        </is>
      </c>
      <c r="C39" s="48" t="inlineStr">
        <is>
          <t>人力行政部</t>
        </is>
      </c>
      <c r="D39" s="48" t="inlineStr">
        <is>
          <t>人力行政部</t>
        </is>
      </c>
      <c r="E39" s="48" t="inlineStr">
        <is>
          <t>四期白班保安</t>
        </is>
      </c>
      <c r="F39" s="48" t="inlineStr">
        <is>
          <t>2020-12-31</t>
        </is>
      </c>
      <c r="G39" s="48" t="inlineStr">
        <is>
          <t>510230196208027197</t>
        </is>
      </c>
      <c r="H39" s="88">
        <f>SUMIF('6月部门分发'!B:B,A:A,'6月部门分发'!DX:DX)</f>
        <v/>
      </c>
      <c r="I39" s="48">
        <f>H39*60</f>
        <v/>
      </c>
      <c r="J39" s="48">
        <f>SUMIF('6月部门分发'!B:B,A:A,'6月部门分发'!DY:DY)</f>
        <v/>
      </c>
      <c r="K39" s="48" t="n">
        <v>4.5</v>
      </c>
      <c r="L39" s="48" t="n"/>
      <c r="M39" s="48" t="n"/>
      <c r="N39" s="48" t="n"/>
      <c r="O39" s="48" t="n"/>
      <c r="P39" s="48" t="n"/>
      <c r="Q39" s="48" t="n"/>
      <c r="R39" s="48">
        <f>J39+K39+L39+M39+N39+O39+P39+Q39</f>
        <v/>
      </c>
      <c r="S39" s="48" t="n"/>
      <c r="T39" s="48" t="n"/>
      <c r="U39" s="48" t="n"/>
      <c r="V39" s="48" t="n"/>
      <c r="W39" s="48" t="n"/>
    </row>
    <row r="40" ht="31" customHeight="1">
      <c r="A40" s="48" t="inlineStr">
        <is>
          <t>刘明</t>
        </is>
      </c>
      <c r="B40" s="48" t="inlineStr">
        <is>
          <t>五楼</t>
        </is>
      </c>
      <c r="C40" s="48" t="inlineStr">
        <is>
          <t>人力行政部</t>
        </is>
      </c>
      <c r="D40" s="48" t="inlineStr">
        <is>
          <t>人力行政部</t>
        </is>
      </c>
      <c r="E40" s="48" t="inlineStr">
        <is>
          <t>四期夜班保安</t>
        </is>
      </c>
      <c r="F40" s="48" t="inlineStr">
        <is>
          <t>2019-12-24</t>
        </is>
      </c>
      <c r="G40" s="48" t="inlineStr">
        <is>
          <t>510230197202133970</t>
        </is>
      </c>
      <c r="H40" s="88">
        <f>SUMIF('6月部门分发'!B:B,A:A,'6月部门分发'!DX:DX)</f>
        <v/>
      </c>
      <c r="I40" s="48">
        <f>H40*60</f>
        <v/>
      </c>
      <c r="J40" s="48">
        <f>SUMIF('6月部门分发'!B:B,A:A,'6月部门分发'!DY:DY)</f>
        <v/>
      </c>
      <c r="K40" s="48" t="n">
        <v>0.5</v>
      </c>
      <c r="L40" s="48" t="n"/>
      <c r="M40" s="48" t="n"/>
      <c r="N40" s="48" t="n"/>
      <c r="O40" s="48" t="n"/>
      <c r="P40" s="48" t="n"/>
      <c r="Q40" s="48" t="n"/>
      <c r="R40" s="48">
        <f>J40+K40+L40+M40+N40+O40+P40+Q40</f>
        <v/>
      </c>
      <c r="S40" s="48" t="n"/>
      <c r="T40" s="48" t="n"/>
      <c r="U40" s="48" t="n"/>
      <c r="V40" s="48" t="n"/>
      <c r="W40" s="48" t="n"/>
    </row>
    <row r="41" ht="31" customHeight="1">
      <c r="A41" s="48" t="inlineStr">
        <is>
          <t>高源</t>
        </is>
      </c>
      <c r="B41" s="48" t="inlineStr">
        <is>
          <t>五楼</t>
        </is>
      </c>
      <c r="C41" s="48" t="inlineStr">
        <is>
          <t>研发部</t>
        </is>
      </c>
      <c r="D41" s="48" t="inlineStr">
        <is>
          <t>工艺技术部</t>
        </is>
      </c>
      <c r="E41" s="48" t="inlineStr">
        <is>
          <t>工艺设计师</t>
        </is>
      </c>
      <c r="F41" s="48" t="inlineStr">
        <is>
          <t>2023-08-03</t>
        </is>
      </c>
      <c r="G41" s="48" t="inlineStr">
        <is>
          <t>500222199906143111</t>
        </is>
      </c>
      <c r="H41" s="88">
        <f>SUMIF('6月部门分发'!B:B,A:A,'6月部门分发'!DX:DX)</f>
        <v/>
      </c>
      <c r="I41" s="48">
        <f>H41*60</f>
        <v/>
      </c>
      <c r="J41" s="48">
        <f>SUMIF('6月部门分发'!B:B,A:A,'6月部门分发'!DY:DY)</f>
        <v/>
      </c>
      <c r="K41" s="48" t="n">
        <v>5</v>
      </c>
      <c r="L41" s="48" t="n"/>
      <c r="M41" s="48" t="n"/>
      <c r="N41" s="48" t="n"/>
      <c r="O41" s="48" t="n"/>
      <c r="P41" s="48" t="n"/>
      <c r="Q41" s="48" t="n"/>
      <c r="R41" s="48">
        <f>J41+K41+L41+M41+N41+O41+P41+Q41</f>
        <v/>
      </c>
      <c r="S41" s="48" t="n"/>
      <c r="T41" s="48" t="n"/>
      <c r="U41" s="48" t="n"/>
      <c r="V41" s="48" t="n"/>
      <c r="W41" s="48" t="n"/>
    </row>
    <row r="42" ht="31" customHeight="1">
      <c r="A42" s="48" t="inlineStr">
        <is>
          <t>张兴六</t>
        </is>
      </c>
      <c r="B42" s="48" t="inlineStr">
        <is>
          <t>五楼</t>
        </is>
      </c>
      <c r="C42" s="48" t="inlineStr">
        <is>
          <t>人力行政部</t>
        </is>
      </c>
      <c r="D42" s="48" t="inlineStr">
        <is>
          <t>人力行政部</t>
        </is>
      </c>
      <c r="E42" s="48" t="inlineStr">
        <is>
          <t>保安</t>
        </is>
      </c>
      <c r="F42" s="48" t="inlineStr">
        <is>
          <t>2023-08-25</t>
        </is>
      </c>
      <c r="G42" s="48" t="inlineStr">
        <is>
          <t>51023019690906779X</t>
        </is>
      </c>
      <c r="H42" s="88">
        <f>SUMIF('6月部门分发'!B:B,A:A,'6月部门分发'!DX:DX)</f>
        <v/>
      </c>
      <c r="I42" s="48">
        <f>H42*60</f>
        <v/>
      </c>
      <c r="J42" s="48">
        <f>SUMIF('6月部门分发'!B:B,A:A,'6月部门分发'!DY:DY)</f>
        <v/>
      </c>
      <c r="K42" s="48" t="n">
        <v>1</v>
      </c>
      <c r="L42" s="48" t="n"/>
      <c r="M42" s="48" t="n"/>
      <c r="N42" s="48" t="n"/>
      <c r="O42" s="48" t="n"/>
      <c r="P42" s="48" t="n"/>
      <c r="Q42" s="48" t="n"/>
      <c r="R42" s="48">
        <f>J42+K42+L42+M42+N42+O42+P42+Q42</f>
        <v/>
      </c>
      <c r="S42" s="48" t="n"/>
      <c r="T42" s="48" t="n"/>
      <c r="U42" s="48" t="n"/>
      <c r="V42" s="48" t="n"/>
      <c r="W42" s="48" t="n"/>
    </row>
    <row r="43" ht="31" customHeight="1">
      <c r="A43" s="48" t="inlineStr">
        <is>
          <t>何汉秀</t>
        </is>
      </c>
      <c r="B43" s="48" t="inlineStr">
        <is>
          <t>五楼</t>
        </is>
      </c>
      <c r="C43" s="48" t="inlineStr">
        <is>
          <t>品质部</t>
        </is>
      </c>
      <c r="D43" s="48" t="inlineStr">
        <is>
          <t>品质部</t>
        </is>
      </c>
      <c r="E43" s="48" t="inlineStr">
        <is>
          <t>原材IQC</t>
        </is>
      </c>
      <c r="F43" s="48" t="inlineStr">
        <is>
          <t>2021-05-18</t>
        </is>
      </c>
      <c r="G43" s="48" t="inlineStr">
        <is>
          <t>51023019750820142X</t>
        </is>
      </c>
      <c r="H43" s="88">
        <f>SUMIF('6月部门分发'!B:B,A:A,'6月部门分发'!DX:DX)</f>
        <v/>
      </c>
      <c r="I43" s="48">
        <f>H43*60</f>
        <v/>
      </c>
      <c r="J43" s="48">
        <f>SUMIF('6月部门分发'!B:B,A:A,'6月部门分发'!DY:DY)</f>
        <v/>
      </c>
      <c r="K43" s="48" t="n">
        <v>2.5</v>
      </c>
      <c r="L43" s="48" t="n"/>
      <c r="M43" s="48" t="n"/>
      <c r="N43" s="48" t="n"/>
      <c r="O43" s="48" t="n"/>
      <c r="P43" s="48" t="n"/>
      <c r="Q43" s="48" t="n"/>
      <c r="R43" s="48">
        <f>J43+K43+L43+M43+N43+O43+P43+Q43</f>
        <v/>
      </c>
      <c r="S43" s="48" t="n"/>
      <c r="T43" s="48" t="n"/>
      <c r="U43" s="48" t="n"/>
      <c r="V43" s="48" t="n"/>
      <c r="W43" s="48" t="n"/>
    </row>
    <row r="44" ht="31" customHeight="1">
      <c r="A44" s="48" t="inlineStr">
        <is>
          <t>姜全洪</t>
        </is>
      </c>
      <c r="B44" s="48" t="inlineStr">
        <is>
          <t>五楼</t>
        </is>
      </c>
      <c r="C44" s="48" t="inlineStr">
        <is>
          <t>设计部</t>
        </is>
      </c>
      <c r="D44" s="48" t="inlineStr">
        <is>
          <t>设计组</t>
        </is>
      </c>
      <c r="E44" s="48" t="inlineStr">
        <is>
          <t>方案设计师</t>
        </is>
      </c>
      <c r="F44" s="48" t="inlineStr">
        <is>
          <t>2023-02-17</t>
        </is>
      </c>
      <c r="G44" s="48" t="inlineStr">
        <is>
          <t>50022519930330689X</t>
        </is>
      </c>
      <c r="H44" s="88">
        <f>SUMIF('6月部门分发'!B:B,A:A,'6月部门分发'!DX:DX)</f>
        <v/>
      </c>
      <c r="I44" s="48">
        <f>H44*60</f>
        <v/>
      </c>
      <c r="J44" s="48">
        <f>SUMIF('6月部门分发'!B:B,A:A,'6月部门分发'!DY:DY)</f>
        <v/>
      </c>
      <c r="K44" s="48" t="n">
        <v>5</v>
      </c>
      <c r="L44" s="48" t="n"/>
      <c r="M44" s="48" t="n"/>
      <c r="N44" s="48" t="n"/>
      <c r="O44" s="48" t="n"/>
      <c r="P44" s="48" t="n"/>
      <c r="Q44" s="48" t="n"/>
      <c r="R44" s="48">
        <f>J44+K44+L44+M44+N44+O44+P44+Q44</f>
        <v/>
      </c>
      <c r="S44" s="48" t="n"/>
      <c r="T44" s="48" t="n"/>
      <c r="U44" s="48" t="n"/>
      <c r="V44" s="48" t="n"/>
      <c r="W44" s="48" t="n"/>
    </row>
    <row r="45" ht="31" customHeight="1">
      <c r="A45" s="48" t="inlineStr">
        <is>
          <t>李丰希</t>
        </is>
      </c>
      <c r="B45" s="48" t="inlineStr">
        <is>
          <t>五楼</t>
        </is>
      </c>
      <c r="C45" s="48" t="inlineStr">
        <is>
          <t>信息部</t>
        </is>
      </c>
      <c r="D45" s="48" t="inlineStr">
        <is>
          <t>信息部</t>
        </is>
      </c>
      <c r="E45" s="48" t="inlineStr">
        <is>
          <t>信息副经理</t>
        </is>
      </c>
      <c r="F45" s="48" t="inlineStr">
        <is>
          <t>2018-09-15</t>
        </is>
      </c>
      <c r="G45" s="48" t="inlineStr">
        <is>
          <t>500243199311067457</t>
        </is>
      </c>
      <c r="H45" s="88">
        <f>SUMIF('6月部门分发'!B:B,A:A,'6月部门分发'!DX:DX)</f>
        <v/>
      </c>
      <c r="I45" s="48">
        <f>H45*60</f>
        <v/>
      </c>
      <c r="J45" s="48">
        <f>SUMIF('6月部门分发'!B:B,A:A,'6月部门分发'!DY:DY)</f>
        <v/>
      </c>
      <c r="K45" s="48" t="n">
        <v>5</v>
      </c>
      <c r="L45" s="48" t="n"/>
      <c r="M45" s="48" t="n"/>
      <c r="N45" s="48" t="n">
        <v>1</v>
      </c>
      <c r="O45" s="48" t="n"/>
      <c r="P45" s="48" t="n"/>
      <c r="Q45" s="48" t="n"/>
      <c r="R45" s="48">
        <f>J45+K45+L45+M45+N45+O45+P45+Q45</f>
        <v/>
      </c>
      <c r="S45" s="48" t="inlineStr">
        <is>
          <t>3、8</t>
        </is>
      </c>
      <c r="T45" s="48" t="n"/>
      <c r="U45" s="48" t="n"/>
      <c r="V45" s="48" t="n"/>
      <c r="W45" s="48" t="n"/>
    </row>
    <row r="46" ht="31" customHeight="1">
      <c r="A46" s="48" t="inlineStr">
        <is>
          <t>许军</t>
        </is>
      </c>
      <c r="B46" s="48" t="inlineStr">
        <is>
          <t>五楼</t>
        </is>
      </c>
      <c r="C46" s="48" t="inlineStr">
        <is>
          <t>设计部</t>
        </is>
      </c>
      <c r="D46" s="48" t="inlineStr">
        <is>
          <t>设计组</t>
        </is>
      </c>
      <c r="E46" s="48" t="inlineStr">
        <is>
          <t>设计经理</t>
        </is>
      </c>
      <c r="F46" s="48" t="inlineStr">
        <is>
          <t>2023-07-04</t>
        </is>
      </c>
      <c r="G46" s="48" t="inlineStr">
        <is>
          <t>500237198410217893</t>
        </is>
      </c>
      <c r="H46" s="88">
        <f>SUMIF('6月部门分发'!B:B,A:A,'6月部门分发'!DX:DX)</f>
        <v/>
      </c>
      <c r="I46" s="48">
        <f>H46*60</f>
        <v/>
      </c>
      <c r="J46" s="48">
        <f>SUMIF('6月部门分发'!B:B,A:A,'6月部门分发'!DY:DY)</f>
        <v/>
      </c>
      <c r="K46" s="48" t="n">
        <v>5</v>
      </c>
      <c r="L46" s="48" t="n"/>
      <c r="M46" s="48" t="n">
        <v>5</v>
      </c>
      <c r="N46" s="48" t="n"/>
      <c r="O46" s="48" t="n"/>
      <c r="P46" s="48" t="n"/>
      <c r="Q46" s="48" t="n"/>
      <c r="R46" s="48">
        <f>J46+K46+L46+M46+N46+O46+P46+Q46</f>
        <v/>
      </c>
      <c r="S46" s="48" t="n"/>
      <c r="T46" s="50" t="inlineStr">
        <is>
          <t>7-11</t>
        </is>
      </c>
      <c r="U46" s="48" t="n"/>
      <c r="V46" s="48" t="n"/>
      <c r="W46" s="48" t="n"/>
    </row>
    <row r="47" ht="31" customHeight="1">
      <c r="A47" s="48" t="inlineStr">
        <is>
          <t>王美镪</t>
        </is>
      </c>
      <c r="B47" s="48" t="inlineStr">
        <is>
          <t>五楼</t>
        </is>
      </c>
      <c r="C47" s="48" t="inlineStr">
        <is>
          <t>信息部</t>
        </is>
      </c>
      <c r="D47" s="48" t="inlineStr">
        <is>
          <t>信息部</t>
        </is>
      </c>
      <c r="E47" s="48" t="inlineStr">
        <is>
          <t>AI工程师</t>
        </is>
      </c>
      <c r="F47" s="48" t="inlineStr">
        <is>
          <t>2026-04-20</t>
        </is>
      </c>
      <c r="G47" s="48" t="inlineStr">
        <is>
          <t>510521200303211450</t>
        </is>
      </c>
      <c r="H47" s="88">
        <f>SUMIF('6月部门分发'!B:B,A:A,'6月部门分发'!DX:DX)</f>
        <v/>
      </c>
      <c r="I47" s="48">
        <f>H47*60</f>
        <v/>
      </c>
      <c r="J47" s="48">
        <f>SUMIF('6月部门分发'!B:B,A:A,'6月部门分发'!DY:DY)</f>
        <v/>
      </c>
      <c r="K47" s="48" t="n">
        <v>4.5</v>
      </c>
      <c r="L47" s="48" t="n"/>
      <c r="M47" s="48" t="n"/>
      <c r="N47" s="48" t="n">
        <v>1</v>
      </c>
      <c r="O47" s="48" t="n"/>
      <c r="P47" s="48" t="n"/>
      <c r="Q47" s="48" t="n"/>
      <c r="R47" s="48">
        <f>J47+K47+L47+M47+N47+O47+P47+Q47</f>
        <v/>
      </c>
      <c r="S47" s="48" t="inlineStr">
        <is>
          <t>23、30</t>
        </is>
      </c>
      <c r="T47" s="48" t="n"/>
      <c r="U47" s="48" t="n"/>
      <c r="V47" s="48" t="n"/>
      <c r="W47" s="48" t="n"/>
    </row>
    <row r="48" ht="31" customHeight="1">
      <c r="A48" s="48" t="inlineStr">
        <is>
          <t>黄义晴</t>
        </is>
      </c>
      <c r="B48" s="48" t="inlineStr">
        <is>
          <t>五楼</t>
        </is>
      </c>
      <c r="C48" s="48" t="inlineStr">
        <is>
          <t>综合部</t>
        </is>
      </c>
      <c r="D48" s="48" t="inlineStr">
        <is>
          <t>财务核价</t>
        </is>
      </c>
      <c r="E48" s="48" t="inlineStr">
        <is>
          <t>审价</t>
        </is>
      </c>
      <c r="F48" s="48" t="inlineStr">
        <is>
          <t>2024-06-12</t>
        </is>
      </c>
      <c r="G48" s="48" t="inlineStr">
        <is>
          <t>500231199907061667</t>
        </is>
      </c>
      <c r="H48" s="88">
        <f>SUMIF('6月部门分发'!B:B,A:A,'6月部门分发'!DX:DX)</f>
        <v/>
      </c>
      <c r="I48" s="48">
        <f>H48*60</f>
        <v/>
      </c>
      <c r="J48" s="48">
        <f>SUMIF('6月部门分发'!B:B,A:A,'6月部门分发'!DY:DY)</f>
        <v/>
      </c>
      <c r="K48" s="48" t="n">
        <v>5</v>
      </c>
      <c r="L48" s="48" t="n"/>
      <c r="M48" s="48" t="n"/>
      <c r="N48" s="48" t="n"/>
      <c r="O48" s="48" t="n"/>
      <c r="P48" s="48" t="n"/>
      <c r="Q48" s="48" t="n"/>
      <c r="R48" s="48">
        <f>J48+K48+L48+M48+N48+O48+P48+Q48</f>
        <v/>
      </c>
      <c r="S48" s="48" t="n"/>
      <c r="T48" s="48" t="n"/>
      <c r="U48" s="48" t="n"/>
      <c r="V48" s="48" t="n"/>
      <c r="W48" s="48" t="n"/>
    </row>
    <row r="49" ht="31" customHeight="1">
      <c r="A49" s="48" t="inlineStr">
        <is>
          <t>何绍奇</t>
        </is>
      </c>
      <c r="B49" s="48" t="inlineStr">
        <is>
          <t>五楼</t>
        </is>
      </c>
      <c r="C49" s="48" t="inlineStr">
        <is>
          <t>信息部</t>
        </is>
      </c>
      <c r="D49" s="48" t="inlineStr">
        <is>
          <t>信息部</t>
        </is>
      </c>
      <c r="E49" s="48" t="inlineStr">
        <is>
          <t>网络维修工程师</t>
        </is>
      </c>
      <c r="F49" s="48" t="inlineStr">
        <is>
          <t>2025-02-11</t>
        </is>
      </c>
      <c r="G49" s="48" t="inlineStr">
        <is>
          <t>500227198610176915</t>
        </is>
      </c>
      <c r="H49" s="88">
        <f>SUMIF('6月部门分发'!B:B,A:A,'6月部门分发'!DX:DX)</f>
        <v/>
      </c>
      <c r="I49" s="48">
        <f>H49*60</f>
        <v/>
      </c>
      <c r="J49" s="48">
        <f>SUMIF('6月部门分发'!B:B,A:A,'6月部门分发'!DY:DY)</f>
        <v/>
      </c>
      <c r="K49" s="48" t="n">
        <v>5</v>
      </c>
      <c r="L49" s="48" t="n"/>
      <c r="M49" s="48" t="n"/>
      <c r="N49" s="48" t="n">
        <v>1</v>
      </c>
      <c r="O49" s="48" t="n"/>
      <c r="P49" s="48" t="n"/>
      <c r="Q49" s="48" t="n"/>
      <c r="R49" s="48">
        <f>J49+K49+L49+M49+N49+O49+P49+Q49</f>
        <v/>
      </c>
      <c r="S49" s="48" t="n"/>
      <c r="T49" s="48" t="inlineStr">
        <is>
          <t>21、25</t>
        </is>
      </c>
      <c r="U49" s="48" t="n"/>
      <c r="V49" s="48" t="n"/>
      <c r="W49" s="48" t="n"/>
    </row>
    <row r="50" ht="31" customHeight="1">
      <c r="A50" s="48" t="inlineStr">
        <is>
          <t>旷星琪</t>
        </is>
      </c>
      <c r="B50" s="48" t="inlineStr">
        <is>
          <t>五楼</t>
        </is>
      </c>
      <c r="C50" s="48" t="inlineStr">
        <is>
          <t>信息部</t>
        </is>
      </c>
      <c r="D50" s="48" t="inlineStr">
        <is>
          <t>信息部</t>
        </is>
      </c>
      <c r="E50" s="48" t="inlineStr">
        <is>
          <t>软件员</t>
        </is>
      </c>
      <c r="F50" s="48" t="inlineStr">
        <is>
          <t>2025-02-13</t>
        </is>
      </c>
      <c r="G50" s="48" t="inlineStr">
        <is>
          <t>500225200511164473</t>
        </is>
      </c>
      <c r="H50" s="88">
        <f>SUMIF('6月部门分发'!B:B,A:A,'6月部门分发'!DX:DX)</f>
        <v/>
      </c>
      <c r="I50" s="48">
        <f>H50*60</f>
        <v/>
      </c>
      <c r="J50" s="48">
        <f>SUMIF('6月部门分发'!B:B,A:A,'6月部门分发'!DY:DY)</f>
        <v/>
      </c>
      <c r="K50" s="48" t="n">
        <v>5</v>
      </c>
      <c r="L50" s="48" t="n"/>
      <c r="M50" s="48" t="n"/>
      <c r="N50" s="48" t="n"/>
      <c r="O50" s="48" t="n"/>
      <c r="P50" s="48" t="n"/>
      <c r="Q50" s="48" t="n"/>
      <c r="R50" s="48">
        <f>J50+K50+L50+M50+N50+O50+P50+Q50</f>
        <v/>
      </c>
      <c r="S50" s="48" t="n"/>
      <c r="T50" s="48" t="n"/>
      <c r="U50" s="48" t="n"/>
      <c r="V50" s="48" t="n"/>
      <c r="W50" s="48" t="n"/>
    </row>
    <row r="51" ht="31" customHeight="1">
      <c r="A51" s="48" t="inlineStr">
        <is>
          <t>陈昌容</t>
        </is>
      </c>
      <c r="B51" s="48" t="inlineStr">
        <is>
          <t>五楼</t>
        </is>
      </c>
      <c r="C51" s="48" t="inlineStr">
        <is>
          <t>订单部</t>
        </is>
      </c>
      <c r="D51" s="48" t="inlineStr">
        <is>
          <t>接单报价组</t>
        </is>
      </c>
      <c r="E51" s="48" t="inlineStr">
        <is>
          <t>接单员</t>
        </is>
      </c>
      <c r="F51" s="48" t="inlineStr">
        <is>
          <t>2024-07-05</t>
        </is>
      </c>
      <c r="G51" s="48" t="inlineStr">
        <is>
          <t>510230198209236985</t>
        </is>
      </c>
      <c r="H51" s="88">
        <f>SUMIF('6月部门分发'!B:B,A:A,'6月部门分发'!DX:DX)</f>
        <v/>
      </c>
      <c r="I51" s="48">
        <f>H51*60</f>
        <v/>
      </c>
      <c r="J51" s="48">
        <f>SUMIF('6月部门分发'!B:B,A:A,'6月部门分发'!DY:DY)</f>
        <v/>
      </c>
      <c r="K51" s="48" t="n">
        <v>5</v>
      </c>
      <c r="L51" s="48" t="n"/>
      <c r="M51" s="48" t="n"/>
      <c r="N51" s="48" t="n"/>
      <c r="O51" s="48" t="n"/>
      <c r="P51" s="48" t="n"/>
      <c r="Q51" s="48" t="n"/>
      <c r="R51" s="48">
        <f>J51+K51+L51+M51+N51+O51+P51+Q51</f>
        <v/>
      </c>
      <c r="S51" s="48" t="n"/>
      <c r="T51" s="48" t="n"/>
      <c r="U51" s="48" t="n"/>
      <c r="V51" s="48" t="n"/>
      <c r="W51" s="48" t="n"/>
    </row>
    <row r="52" ht="31" customHeight="1">
      <c r="A52" s="48" t="inlineStr">
        <is>
          <t>吴洪伟</t>
        </is>
      </c>
      <c r="B52" s="48" t="inlineStr">
        <is>
          <t>五楼</t>
        </is>
      </c>
      <c r="C52" s="48" t="inlineStr">
        <is>
          <t>设计部</t>
        </is>
      </c>
      <c r="D52" s="48" t="inlineStr">
        <is>
          <t>设计组</t>
        </is>
      </c>
      <c r="E52" s="48" t="inlineStr">
        <is>
          <t>方案设计师</t>
        </is>
      </c>
      <c r="F52" s="48" t="inlineStr">
        <is>
          <t>2017-07-07</t>
        </is>
      </c>
      <c r="G52" s="48" t="inlineStr">
        <is>
          <t>500225199010123811</t>
        </is>
      </c>
      <c r="H52" s="88">
        <f>SUMIF('6月部门分发'!B:B,A:A,'6月部门分发'!DX:DX)</f>
        <v/>
      </c>
      <c r="I52" s="48">
        <f>H52*60</f>
        <v/>
      </c>
      <c r="J52" s="48">
        <f>SUMIF('6月部门分发'!B:B,A:A,'6月部门分发'!DY:DY)</f>
        <v/>
      </c>
      <c r="K52" s="48" t="n">
        <v>5</v>
      </c>
      <c r="L52" s="48" t="n"/>
      <c r="M52" s="48" t="n"/>
      <c r="N52" s="48" t="n"/>
      <c r="O52" s="48" t="n"/>
      <c r="P52" s="48" t="n"/>
      <c r="Q52" s="48" t="n"/>
      <c r="R52" s="48">
        <f>J52+K52+L52+M52+N52+O52+P52+Q52</f>
        <v/>
      </c>
      <c r="S52" s="48" t="n"/>
      <c r="T52" s="48" t="n"/>
      <c r="U52" s="48" t="n"/>
      <c r="V52" s="48" t="n"/>
      <c r="W52" s="48" t="n"/>
    </row>
    <row r="53" ht="31" customHeight="1">
      <c r="A53" s="48" t="inlineStr">
        <is>
          <t>熊壮</t>
        </is>
      </c>
      <c r="B53" s="48" t="inlineStr">
        <is>
          <t>五楼</t>
        </is>
      </c>
      <c r="C53" s="48" t="inlineStr">
        <is>
          <t>设计部</t>
        </is>
      </c>
      <c r="D53" s="48" t="inlineStr">
        <is>
          <t>设计组</t>
        </is>
      </c>
      <c r="E53" s="48" t="inlineStr">
        <is>
          <t>方案设计师</t>
        </is>
      </c>
      <c r="F53" s="48" t="inlineStr">
        <is>
          <t>2020-06-16</t>
        </is>
      </c>
      <c r="G53" s="48" t="inlineStr">
        <is>
          <t>500225198911233896</t>
        </is>
      </c>
      <c r="H53" s="88">
        <f>SUMIF('6月部门分发'!B:B,A:A,'6月部门分发'!DX:DX)</f>
        <v/>
      </c>
      <c r="I53" s="48">
        <f>H53*60</f>
        <v/>
      </c>
      <c r="J53" s="48">
        <f>SUMIF('6月部门分发'!B:B,A:A,'6月部门分发'!DY:DY)</f>
        <v/>
      </c>
      <c r="K53" s="48" t="n">
        <v>5</v>
      </c>
      <c r="L53" s="48" t="n"/>
      <c r="M53" s="48" t="n"/>
      <c r="N53" s="48" t="n"/>
      <c r="O53" s="48" t="n"/>
      <c r="P53" s="48" t="n"/>
      <c r="Q53" s="48" t="n"/>
      <c r="R53" s="48">
        <f>J53+K53+L53+M53+N53+O53+P53+Q53</f>
        <v/>
      </c>
      <c r="S53" s="48" t="n"/>
      <c r="T53" s="48" t="n"/>
      <c r="U53" s="48" t="n"/>
      <c r="V53" s="48" t="n"/>
      <c r="W53" s="48" t="n"/>
    </row>
    <row r="54" ht="31" customHeight="1">
      <c r="A54" s="48" t="inlineStr">
        <is>
          <t>覃邦斌</t>
        </is>
      </c>
      <c r="B54" s="48" t="inlineStr">
        <is>
          <t>五楼</t>
        </is>
      </c>
      <c r="C54" s="48" t="inlineStr">
        <is>
          <t>人力行政部</t>
        </is>
      </c>
      <c r="D54" s="48" t="inlineStr">
        <is>
          <t>人力行政部</t>
        </is>
      </c>
      <c r="E54" s="48" t="inlineStr">
        <is>
          <t>客房清洁工</t>
        </is>
      </c>
      <c r="F54" s="48" t="inlineStr">
        <is>
          <t>2020-09-15</t>
        </is>
      </c>
      <c r="G54" s="48" t="inlineStr">
        <is>
          <t>510230197210067627</t>
        </is>
      </c>
      <c r="H54" s="88">
        <f>SUMIF('6月部门分发'!B:B,A:A,'6月部门分发'!DX:DX)</f>
        <v/>
      </c>
      <c r="I54" s="48">
        <f>H54*60</f>
        <v/>
      </c>
      <c r="J54" s="48">
        <f>SUMIF('6月部门分发'!B:B,A:A,'6月部门分发'!DY:DY)</f>
        <v/>
      </c>
      <c r="K54" s="48" t="n">
        <v>2</v>
      </c>
      <c r="L54" s="48" t="n"/>
      <c r="M54" s="48" t="n"/>
      <c r="N54" s="48" t="n"/>
      <c r="O54" s="48" t="n"/>
      <c r="P54" s="48" t="n"/>
      <c r="Q54" s="48" t="n"/>
      <c r="R54" s="48">
        <f>J54+K54+L54+M54+N54+O54+P54+Q54</f>
        <v/>
      </c>
      <c r="S54" s="48" t="n"/>
      <c r="T54" s="48" t="n"/>
      <c r="U54" s="48" t="n"/>
      <c r="V54" s="48" t="n"/>
      <c r="W54" s="48" t="n"/>
    </row>
    <row r="55" ht="31" customHeight="1">
      <c r="A55" s="48" t="inlineStr">
        <is>
          <t>章新灯</t>
        </is>
      </c>
      <c r="B55" s="48" t="inlineStr">
        <is>
          <t>五楼</t>
        </is>
      </c>
      <c r="C55" s="48" t="inlineStr">
        <is>
          <t>设计部</t>
        </is>
      </c>
      <c r="D55" s="48" t="inlineStr">
        <is>
          <t>设计组</t>
        </is>
      </c>
      <c r="E55" s="48" t="inlineStr">
        <is>
          <t>工艺经理</t>
        </is>
      </c>
      <c r="F55" s="48" t="inlineStr">
        <is>
          <t>2024-09-04</t>
        </is>
      </c>
      <c r="G55" s="48" t="inlineStr">
        <is>
          <t>500237199310047879</t>
        </is>
      </c>
      <c r="H55" s="88">
        <f>SUMIF('6月部门分发'!B:B,A:A,'6月部门分发'!DX:DX)</f>
        <v/>
      </c>
      <c r="I55" s="48">
        <f>H55*60</f>
        <v/>
      </c>
      <c r="J55" s="48">
        <f>SUMIF('6月部门分发'!B:B,A:A,'6月部门分发'!DY:DY)</f>
        <v/>
      </c>
      <c r="K55" s="48" t="n">
        <v>5</v>
      </c>
      <c r="L55" s="48" t="n"/>
      <c r="M55" s="48" t="n"/>
      <c r="N55" s="48" t="n"/>
      <c r="O55" s="48" t="n"/>
      <c r="P55" s="48" t="n"/>
      <c r="Q55" s="48" t="n"/>
      <c r="R55" s="48">
        <f>J55+K55+L55+M55+N55+O55+P55+Q55</f>
        <v/>
      </c>
      <c r="S55" s="48" t="n"/>
      <c r="T55" s="48" t="n"/>
      <c r="U55" s="48" t="n"/>
      <c r="V55" s="48" t="n"/>
      <c r="W55" s="48" t="n"/>
    </row>
    <row r="56" ht="31" customHeight="1">
      <c r="A56" s="48" t="inlineStr">
        <is>
          <t>蒋进</t>
        </is>
      </c>
      <c r="B56" s="48" t="inlineStr">
        <is>
          <t>五楼</t>
        </is>
      </c>
      <c r="C56" s="48" t="inlineStr">
        <is>
          <t>设计部</t>
        </is>
      </c>
      <c r="D56" s="48" t="inlineStr">
        <is>
          <t>设计组</t>
        </is>
      </c>
      <c r="E56" s="48" t="inlineStr">
        <is>
          <t>方案设计师</t>
        </is>
      </c>
      <c r="F56" s="48" t="inlineStr">
        <is>
          <t>2021-02-23</t>
        </is>
      </c>
      <c r="G56" s="48" t="inlineStr">
        <is>
          <t>500225198801015214</t>
        </is>
      </c>
      <c r="H56" s="88">
        <f>SUMIF('6月部门分发'!B:B,A:A,'6月部门分发'!DX:DX)</f>
        <v/>
      </c>
      <c r="I56" s="48">
        <f>H56*60</f>
        <v/>
      </c>
      <c r="J56" s="48">
        <f>SUMIF('6月部门分发'!B:B,A:A,'6月部门分发'!DY:DY)</f>
        <v/>
      </c>
      <c r="K56" s="48" t="n">
        <v>5</v>
      </c>
      <c r="L56" s="48" t="n"/>
      <c r="M56" s="48" t="n"/>
      <c r="N56" s="48" t="n"/>
      <c r="O56" s="48" t="n"/>
      <c r="P56" s="48" t="n"/>
      <c r="Q56" s="48" t="n"/>
      <c r="R56" s="48">
        <f>J56+K56+L56+M56+N56+O56+P56+Q56</f>
        <v/>
      </c>
      <c r="S56" s="48" t="n"/>
      <c r="T56" s="48" t="n"/>
      <c r="U56" s="48" t="n"/>
      <c r="V56" s="48" t="n"/>
      <c r="W56" s="48" t="n"/>
    </row>
    <row r="57" ht="31" customHeight="1">
      <c r="A57" s="48" t="inlineStr">
        <is>
          <t>毛玉玲</t>
        </is>
      </c>
      <c r="B57" s="48" t="inlineStr">
        <is>
          <t>五楼</t>
        </is>
      </c>
      <c r="C57" s="48" t="inlineStr">
        <is>
          <t>生产制造中心</t>
        </is>
      </c>
      <c r="D57" s="48" t="inlineStr">
        <is>
          <t>生产制造中心</t>
        </is>
      </c>
      <c r="E57" s="48" t="inlineStr">
        <is>
          <t>生产助理</t>
        </is>
      </c>
      <c r="F57" s="48" t="inlineStr">
        <is>
          <t>2025-05-04</t>
        </is>
      </c>
      <c r="G57" s="48" t="inlineStr">
        <is>
          <t>500225200107280042</t>
        </is>
      </c>
      <c r="H57" s="88">
        <f>SUMIF('6月部门分发'!B:B,A:A,'6月部门分发'!DX:DX)</f>
        <v/>
      </c>
      <c r="I57" s="48">
        <f>H57*60</f>
        <v/>
      </c>
      <c r="J57" s="48">
        <f>SUMIF('6月部门分发'!B:B,A:A,'6月部门分发'!DY:DY)</f>
        <v/>
      </c>
      <c r="K57" s="48" t="n">
        <v>5</v>
      </c>
      <c r="L57" s="48" t="n"/>
      <c r="M57" s="48" t="n"/>
      <c r="N57" s="48" t="n">
        <v>1</v>
      </c>
      <c r="O57" s="48" t="n"/>
      <c r="P57" s="48" t="n"/>
      <c r="Q57" s="48" t="n"/>
      <c r="R57" s="48">
        <f>J57+K57+L57+M57+N57+O57+P57+Q57</f>
        <v/>
      </c>
      <c r="S57" s="48" t="inlineStr">
        <is>
          <t>12、13</t>
        </is>
      </c>
      <c r="T57" s="48" t="n"/>
      <c r="U57" s="48" t="n"/>
      <c r="V57" s="48" t="n"/>
      <c r="W57" s="48" t="n"/>
    </row>
    <row r="58" ht="15.6" customHeight="1">
      <c r="A58" s="51" t="n"/>
      <c r="C58" s="52" t="n"/>
      <c r="D58" s="52" t="n"/>
      <c r="H58">
        <f>SUMIF('6月部门分发'!B:B,A:A,'6月部门分发'!DX:DX)</f>
        <v/>
      </c>
      <c r="I58">
        <f>H58*60</f>
        <v/>
      </c>
      <c r="J58">
        <f>SUMIF('6月部门分发'!B:B,A:A,'6月部门分发'!DY:DY)</f>
        <v/>
      </c>
      <c r="R58">
        <f>J58+K58+L58+M58+N58+O58+P58+Q58</f>
        <v/>
      </c>
    </row>
    <row r="59" ht="15.6" customHeight="1">
      <c r="A59" s="51" t="n"/>
      <c r="C59" s="52" t="n"/>
      <c r="D59" s="52" t="n"/>
      <c r="H59">
        <f>SUMIF('6月部门分发'!B:B,A:A,'6月部门分发'!DX:DX)</f>
        <v/>
      </c>
      <c r="I59">
        <f>H59*60</f>
        <v/>
      </c>
      <c r="J59">
        <f>SUMIF('6月部门分发'!B:B,A:A,'6月部门分发'!DY:DY)</f>
        <v/>
      </c>
      <c r="R59">
        <f>J59+K59+L59+M59+N59+O59+P59+Q59</f>
        <v/>
      </c>
    </row>
    <row r="60" ht="15.6" customHeight="1">
      <c r="A60" s="51" t="n"/>
      <c r="C60" s="52" t="n"/>
      <c r="D60" s="52" t="n"/>
      <c r="H60">
        <f>SUMIF('6月部门分发'!B:B,A:A,'6月部门分发'!DX:DX)</f>
        <v/>
      </c>
      <c r="I60">
        <f>H60*60</f>
        <v/>
      </c>
      <c r="J60">
        <f>SUMIF('6月部门分发'!B:B,A:A,'6月部门分发'!DY:DY)</f>
        <v/>
      </c>
      <c r="R60">
        <f>J60+K60+L60+M60+N60+O60+P60+Q60</f>
        <v/>
      </c>
    </row>
    <row r="61" ht="15.6" customHeight="1">
      <c r="A61" s="51" t="n"/>
      <c r="C61" s="52" t="n"/>
      <c r="D61" s="52" t="n"/>
      <c r="H61">
        <f>SUMIF('6月部门分发'!B:B,A:A,'6月部门分发'!DX:DX)</f>
        <v/>
      </c>
      <c r="I61">
        <f>H61*60</f>
        <v/>
      </c>
      <c r="J61">
        <f>SUMIF('6月部门分发'!B:B,A:A,'6月部门分发'!DY:DY)</f>
        <v/>
      </c>
      <c r="R61">
        <f>J61+K61+L61+M61+N61+O61+P61+Q61</f>
        <v/>
      </c>
    </row>
    <row r="62" ht="15.6" customHeight="1">
      <c r="A62" s="51" t="n"/>
      <c r="C62" s="52" t="n"/>
      <c r="D62" s="52" t="n"/>
      <c r="H62">
        <f>SUMIF('6月部门分发'!B:B,A:A,'6月部门分发'!DX:DX)</f>
        <v/>
      </c>
      <c r="I62">
        <f>H62*60</f>
        <v/>
      </c>
      <c r="J62">
        <f>SUMIF('6月部门分发'!B:B,A:A,'6月部门分发'!DY:DY)</f>
        <v/>
      </c>
      <c r="R62">
        <f>J62+K62+L62+M62+N62+O62+P62+Q62</f>
        <v/>
      </c>
    </row>
    <row r="63" ht="15.6" customHeight="1">
      <c r="A63" s="51" t="n"/>
      <c r="C63" s="52" t="n"/>
      <c r="D63" s="52" t="n"/>
      <c r="H63">
        <f>SUMIF('6月部门分发'!B:B,A:A,'6月部门分发'!DX:DX)</f>
        <v/>
      </c>
      <c r="I63">
        <f>H63*60</f>
        <v/>
      </c>
      <c r="J63">
        <f>SUMIF('6月部门分发'!B:B,A:A,'6月部门分发'!DY:DY)</f>
        <v/>
      </c>
      <c r="R63">
        <f>J63+K63+L63+M63+N63+O63+P63+Q63</f>
        <v/>
      </c>
    </row>
    <row r="64" ht="15.6" customHeight="1">
      <c r="A64" s="51" t="n"/>
      <c r="C64" s="52" t="n"/>
      <c r="D64" s="52" t="n"/>
      <c r="H64">
        <f>SUMIF('6月部门分发'!B:B,A:A,'6月部门分发'!DX:DX)</f>
        <v/>
      </c>
      <c r="I64">
        <f>H64*60</f>
        <v/>
      </c>
      <c r="J64">
        <f>SUMIF('6月部门分发'!B:B,A:A,'6月部门分发'!DY:DY)</f>
        <v/>
      </c>
      <c r="R64">
        <f>J64+K64+L64+M64+N64+O64+P64+Q64</f>
        <v/>
      </c>
    </row>
    <row r="65" ht="15.6" customHeight="1">
      <c r="A65" s="51" t="n"/>
      <c r="C65" s="52" t="n"/>
      <c r="D65" s="52" t="n"/>
      <c r="H65">
        <f>SUMIF('6月部门分发'!B:B,A:A,'6月部门分发'!DX:DX)</f>
        <v/>
      </c>
      <c r="I65">
        <f>H65*60</f>
        <v/>
      </c>
      <c r="J65">
        <f>SUMIF('6月部门分发'!B:B,A:A,'6月部门分发'!DY:DY)</f>
        <v/>
      </c>
      <c r="R65">
        <f>J65+K65+L65+M65+N65+O65+P65+Q65</f>
        <v/>
      </c>
    </row>
    <row r="66" ht="15.6" customHeight="1">
      <c r="A66" s="51" t="n"/>
      <c r="C66" s="52" t="n"/>
      <c r="D66" s="52" t="n"/>
      <c r="H66">
        <f>SUMIF('6月部门分发'!B:B,A:A,'6月部门分发'!DX:DX)</f>
        <v/>
      </c>
      <c r="I66">
        <f>H66*60</f>
        <v/>
      </c>
      <c r="J66">
        <f>SUMIF('6月部门分发'!B:B,A:A,'6月部门分发'!DY:DY)</f>
        <v/>
      </c>
      <c r="R66">
        <f>J66+K66+L66+M66+N66+O66+P66+Q66</f>
        <v/>
      </c>
    </row>
    <row r="67" ht="15.6" customHeight="1">
      <c r="A67" s="51" t="n"/>
      <c r="C67" s="52" t="n"/>
      <c r="D67" s="52" t="n"/>
      <c r="H67">
        <f>SUMIF('6月部门分发'!B:B,A:A,'6月部门分发'!DX:DX)</f>
        <v/>
      </c>
      <c r="I67">
        <f>H67*60</f>
        <v/>
      </c>
      <c r="J67">
        <f>SUMIF('6月部门分发'!B:B,A:A,'6月部门分发'!DY:DY)</f>
        <v/>
      </c>
      <c r="R67">
        <f>J67+K67+L67+M67+N67+O67+P67+Q67</f>
        <v/>
      </c>
    </row>
    <row r="68">
      <c r="A68" s="52" t="n"/>
      <c r="C68" s="52" t="n"/>
      <c r="D68" s="52" t="n"/>
      <c r="H68">
        <f>SUMIF('6月部门分发'!B:B,A:A,'6月部门分发'!DX:DX)</f>
        <v/>
      </c>
      <c r="I68">
        <f>H68*60</f>
        <v/>
      </c>
      <c r="J68">
        <f>SUMIF('6月部门分发'!B:B,A:A,'6月部门分发'!DY:DY)</f>
        <v/>
      </c>
      <c r="R68">
        <f>J68+K68+L68+M68+N68+O68+P68+Q68</f>
        <v/>
      </c>
    </row>
    <row r="69">
      <c r="A69" s="52" t="n"/>
      <c r="C69" s="52" t="n"/>
      <c r="D69" s="52" t="n"/>
      <c r="H69">
        <f>SUMIF('6月部门分发'!B:B,A:A,'6月部门分发'!DX:DX)</f>
        <v/>
      </c>
      <c r="I69">
        <f>H69*60</f>
        <v/>
      </c>
      <c r="J69">
        <f>SUMIF('6月部门分发'!B:B,A:A,'6月部门分发'!DY:DY)</f>
        <v/>
      </c>
      <c r="R69">
        <f>J69+K69+L69+M69+N69+O69+P69+Q69</f>
        <v/>
      </c>
    </row>
    <row r="70">
      <c r="A70" s="52" t="n"/>
      <c r="C70" s="52" t="n"/>
      <c r="D70" s="52" t="n"/>
      <c r="H70">
        <f>SUMIF('6月部门分发'!B:B,A:A,'6月部门分发'!DX:DX)</f>
        <v/>
      </c>
      <c r="I70">
        <f>H70*60</f>
        <v/>
      </c>
      <c r="J70">
        <f>SUMIF('6月部门分发'!B:B,A:A,'6月部门分发'!DY:DY)</f>
        <v/>
      </c>
      <c r="R70">
        <f>J70+K70+L70+M70+N70+O70+P70+Q70</f>
        <v/>
      </c>
    </row>
  </sheetData>
  <autoFilter ref="A1:W57"/>
  <conditionalFormatting sqref="A58:A104857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1996-10-14T23:33:00Z</dcterms:created>
  <dcterms:modified xmlns:dcterms="http://purl.org/dc/terms/" xmlns:xsi="http://www.w3.org/2001/XMLSchema-instance" xsi:type="dcterms:W3CDTF">2026-07-09T01:50:39Z</dcterms:modified>
  <cp:lastModifiedBy>幸好流年遇见你</cp:lastModifiedBy>
  <cp:lastPrinted>2011-02-15T10:33:00Z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E473AF408FB84F5C9514F2E36CFC7756_13</vt:lpwstr>
  </property>
</Properties>
</file>