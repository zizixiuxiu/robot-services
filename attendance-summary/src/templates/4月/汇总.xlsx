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927" tabRatio="600" firstSheet="0" activeTab="1" autoFilterDateGrouping="1"/>
  </bookViews>
  <sheets>
    <sheet xmlns:r="http://schemas.openxmlformats.org/officeDocument/2006/relationships" name="4月部门分发" sheetId="1" state="visible" r:id="rId1"/>
    <sheet xmlns:r="http://schemas.openxmlformats.org/officeDocument/2006/relationships" name="汇总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_xlnm._FilterDatabase" localSheetId="1" hidden="1">'汇总'!$A$1:$W$57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5">
    <numFmt numFmtId="164" formatCode="[$-F800]dddd\,\ mmmm\ dd\,\ yyyy"/>
    <numFmt numFmtId="165" formatCode="0.00_ "/>
    <numFmt numFmtId="166" formatCode="0.0_ "/>
    <numFmt numFmtId="167" formatCode="_(&quot;$&quot;* #,##0.00_);_(&quot;$&quot;* \(#,##0.00\);_(&quot;$&quot;* &quot;-&quot;??_);_(@_)"/>
    <numFmt numFmtId="168" formatCode="yyyy-mm-dd"/>
  </numFmts>
  <fonts count="39">
    <font>
      <name val="Arial"/>
      <charset val="0"/>
      <sz val="10"/>
    </font>
    <font>
      <name val="微软雅黑"/>
      <charset val="134"/>
      <color theme="1"/>
      <sz val="11"/>
    </font>
    <font>
      <name val="黑体"/>
      <charset val="0"/>
      <sz val="11"/>
    </font>
    <font>
      <name val="微软雅黑"/>
      <charset val="134"/>
      <b val="1"/>
      <color theme="1"/>
      <sz val="12"/>
    </font>
    <font>
      <name val="黑体"/>
      <charset val="134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黑体"/>
      <charset val="0"/>
      <b val="1"/>
      <sz val="10"/>
    </font>
    <font>
      <name val="微软雅黑"/>
      <charset val="134"/>
      <b val="1"/>
      <color theme="1"/>
      <sz val="10"/>
    </font>
    <font>
      <name val="微软雅黑"/>
      <charset val="0"/>
      <sz val="10"/>
    </font>
    <font>
      <name val="黑体"/>
      <charset val="0"/>
      <sz val="12"/>
    </font>
    <font>
      <name val="黑体"/>
      <charset val="0"/>
      <sz val="10"/>
    </font>
    <font>
      <name val="Arial"/>
      <charset val="0"/>
      <sz val="12"/>
    </font>
    <font>
      <name val="黑体"/>
      <charset val="134"/>
      <sz val="12"/>
    </font>
    <font>
      <name val="微软雅黑"/>
      <charset val="134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b val="1"/>
      <color theme="3"/>
      <sz val="18"/>
      <scheme val="maj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3"/>
      <sz val="15"/>
      <scheme val="minor"/>
    </font>
    <font>
      <name val="宋体"/>
      <charset val="0"/>
      <b val="1"/>
      <color theme="3"/>
      <sz val="13"/>
      <scheme val="minor"/>
    </font>
    <font>
      <name val="宋体"/>
      <charset val="0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theme="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sz val="10"/>
    </font>
    <font>
      <name val="宋体"/>
      <charset val="134"/>
      <b val="1"/>
      <sz val="9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7" fontId="0" fillId="0" borderId="0"/>
    <xf numFmtId="9" fontId="0" fillId="0" borderId="0"/>
    <xf numFmtId="41" fontId="0" fillId="0" borderId="0"/>
    <xf numFmtId="42" fontId="0" fillId="0" borderId="0"/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9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3" fillId="0" borderId="0" applyAlignment="1">
      <alignment vertical="center"/>
    </xf>
    <xf numFmtId="0" fontId="24" fillId="6" borderId="13" applyAlignment="1">
      <alignment vertical="center"/>
    </xf>
    <xf numFmtId="0" fontId="25" fillId="7" borderId="14" applyAlignment="1">
      <alignment vertical="center"/>
    </xf>
    <xf numFmtId="0" fontId="26" fillId="7" borderId="13" applyAlignment="1">
      <alignment vertical="center"/>
    </xf>
    <xf numFmtId="0" fontId="27" fillId="8" borderId="15" applyAlignment="1">
      <alignment vertical="center"/>
    </xf>
    <xf numFmtId="0" fontId="28" fillId="0" borderId="16" applyAlignment="1">
      <alignment vertical="center"/>
    </xf>
    <xf numFmtId="0" fontId="29" fillId="0" borderId="17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164" fontId="35" fillId="0" borderId="0"/>
  </cellStyleXfs>
  <cellXfs count="11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3" borderId="1" applyAlignment="1" applyProtection="1" pivotButton="0" quotePrefix="0" xfId="0">
      <alignment horizontal="center" vertical="center" wrapText="1"/>
      <protection locked="0" hidden="0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8" fillId="3" borderId="1" applyAlignment="1" applyProtection="1" pivotButton="0" quotePrefix="0" xfId="0">
      <alignment horizontal="center" vertical="center" wrapText="1"/>
      <protection locked="0" hidden="0"/>
    </xf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20" fontId="2" fillId="0" borderId="1" applyAlignment="1" pivotButton="0" quotePrefix="0" xfId="0">
      <alignment horizontal="center" vertical="center"/>
    </xf>
    <xf numFmtId="20" fontId="2" fillId="0" borderId="3" applyAlignment="1" pivotButton="0" quotePrefix="0" xfId="0">
      <alignment horizontal="center" vertical="center" wrapText="1"/>
    </xf>
    <xf numFmtId="20" fontId="2" fillId="0" borderId="6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 wrapText="1"/>
    </xf>
    <xf numFmtId="2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0" fontId="15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2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165" fontId="11" fillId="0" borderId="0" pivotButton="0" quotePrefix="0" xfId="0"/>
    <xf numFmtId="0" fontId="0" fillId="0" borderId="1" applyAlignment="1" pivotButton="0" quotePrefix="1" xfId="0">
      <alignment horizontal="center" vertical="center"/>
    </xf>
    <xf numFmtId="165" fontId="0" fillId="0" borderId="0" pivotButton="0" quotePrefix="0" xfId="0"/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165" fontId="11" fillId="0" borderId="0" pivotButton="0" quotePrefix="0" xfId="0"/>
    <xf numFmtId="165" fontId="8" fillId="3" borderId="1" applyAlignment="1" applyProtection="1" pivotButton="0" quotePrefix="0" xfId="0">
      <alignment horizontal="center" vertical="center" wrapText="1"/>
      <protection locked="0" hidden="0"/>
    </xf>
    <xf numFmtId="166" fontId="8" fillId="3" borderId="1" applyAlignment="1" applyProtection="1" pivotButton="0" quotePrefix="0" xfId="0">
      <alignment horizontal="center" vertical="center" wrapText="1"/>
      <protection locked="0" hidden="0"/>
    </xf>
    <xf numFmtId="165" fontId="9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5" fillId="0" borderId="3" applyAlignment="1" pivotButton="0" quotePrefix="0" xfId="0">
      <alignment horizontal="center" vertical="center" wrapText="1"/>
    </xf>
    <xf numFmtId="164" fontId="6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6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5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5" fillId="2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shrinkToFit="1"/>
    </xf>
    <xf numFmtId="168" fontId="3" fillId="3" borderId="1" applyAlignment="1" applyProtection="1" pivotButton="0" quotePrefix="0" xfId="0">
      <alignment horizontal="center" vertical="center" wrapText="1"/>
      <protection locked="0" hidden="0"/>
    </xf>
    <xf numFmtId="21" fontId="2" fillId="0" borderId="1" applyAlignment="1" pivotButton="0" quotePrefix="0" xfId="0">
      <alignment horizontal="center" vertical="center" wrapText="1"/>
    </xf>
    <xf numFmtId="21" fontId="2" fillId="0" borderId="1" applyAlignment="1" pivotButton="0" quotePrefix="0" xfId="0">
      <alignment horizontal="center" vertical="center"/>
    </xf>
    <xf numFmtId="21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&#26700;&#38754;\&#32771;&#21220;\&#37096;&#38376;&#20998;&#21457;\3&#26376;&#37096;&#38376;&#20998;&#21457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5&#26376;&#21150;&#20844;&#23460;&#32844;&#33021;&#37096;&#38376;&#32771;&#21220;&#27719;&#2463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5月部门发"/>
      <sheetName val="汇总"/>
      <sheetName val="花名册"/>
    </sheetNames>
    <sheetDataSet>
      <sheetData sheetId="0"/>
      <sheetData sheetId="1"/>
      <sheetData sheetId="2">
        <row r="1">
          <cell r="A1" t="str">
            <v>姓名</v>
          </cell>
          <cell r="B1" t="str">
            <v>一级部门</v>
          </cell>
          <cell r="C1" t="str">
            <v>二级部门</v>
          </cell>
          <cell r="D1" t="str">
            <v>岗位</v>
          </cell>
          <cell r="E1" t="str">
            <v>上班日期</v>
          </cell>
          <cell r="F1" t="str">
            <v>身份证号</v>
          </cell>
        </row>
        <row r="2">
          <cell r="A2" t="str">
            <v>郑强</v>
          </cell>
          <cell r="B2" t="str">
            <v>生产制造中心</v>
          </cell>
          <cell r="C2" t="str">
            <v>生产制造中心</v>
          </cell>
          <cell r="D2" t="str">
            <v>生产总监</v>
          </cell>
          <cell r="E2" t="str">
            <v>2022-02-10</v>
          </cell>
          <cell r="F2" t="str">
            <v>511521198402115393</v>
          </cell>
        </row>
        <row r="3">
          <cell r="A3" t="str">
            <v>康波</v>
          </cell>
          <cell r="B3" t="str">
            <v>设计部</v>
          </cell>
          <cell r="C3" t="str">
            <v>设计组</v>
          </cell>
          <cell r="D3" t="str">
            <v>方案设计师</v>
          </cell>
          <cell r="E3" t="str">
            <v>2023-02-25</v>
          </cell>
          <cell r="F3" t="str">
            <v>500225199303293814</v>
          </cell>
        </row>
        <row r="4">
          <cell r="A4" t="str">
            <v>贺悦</v>
          </cell>
          <cell r="B4" t="str">
            <v>信息部</v>
          </cell>
          <cell r="C4" t="str">
            <v>信息部</v>
          </cell>
          <cell r="D4" t="str">
            <v>酷家乐建模工程师</v>
          </cell>
          <cell r="E4" t="str">
            <v>2025-03-04</v>
          </cell>
          <cell r="F4" t="str">
            <v>500111199702150016</v>
          </cell>
        </row>
        <row r="5">
          <cell r="A5" t="str">
            <v>匡启素</v>
          </cell>
          <cell r="B5" t="str">
            <v>综合部</v>
          </cell>
          <cell r="C5" t="str">
            <v>综合部</v>
          </cell>
          <cell r="D5" t="str">
            <v>经理</v>
          </cell>
          <cell r="E5" t="str">
            <v>2014-02-07</v>
          </cell>
          <cell r="F5" t="str">
            <v>512322197310221860</v>
          </cell>
        </row>
        <row r="6">
          <cell r="A6" t="str">
            <v>杨为</v>
          </cell>
          <cell r="B6" t="str">
            <v>板式车间</v>
          </cell>
          <cell r="C6" t="str">
            <v>柜体线-排孔组</v>
          </cell>
          <cell r="D6" t="str">
            <v>排孔</v>
          </cell>
          <cell r="E6" t="str">
            <v>2022-02-14</v>
          </cell>
          <cell r="F6" t="str">
            <v>500225199009093838</v>
          </cell>
        </row>
        <row r="7">
          <cell r="A7" t="str">
            <v>李荧</v>
          </cell>
          <cell r="B7" t="str">
            <v>订单部</v>
          </cell>
          <cell r="C7" t="str">
            <v>审单组</v>
          </cell>
          <cell r="D7" t="str">
            <v>手工拆单员</v>
          </cell>
          <cell r="E7" t="str">
            <v>2021-02-22</v>
          </cell>
          <cell r="F7" t="str">
            <v>513021199504011068</v>
          </cell>
        </row>
        <row r="8">
          <cell r="A8" t="str">
            <v>章新灯</v>
          </cell>
          <cell r="B8" t="str">
            <v>设计部</v>
          </cell>
          <cell r="C8" t="str">
            <v>设计组</v>
          </cell>
          <cell r="D8" t="str">
            <v>工艺经理</v>
          </cell>
          <cell r="E8" t="str">
            <v>2024-09-04</v>
          </cell>
          <cell r="F8" t="str">
            <v>500237199310047879</v>
          </cell>
        </row>
        <row r="9">
          <cell r="A9" t="str">
            <v>刘文旦</v>
          </cell>
          <cell r="B9" t="str">
            <v>设计部</v>
          </cell>
          <cell r="C9" t="str">
            <v>设计组</v>
          </cell>
          <cell r="D9" t="str">
            <v>深化拆单设计师</v>
          </cell>
          <cell r="E9" t="str">
            <v>2024-10-23</v>
          </cell>
          <cell r="F9" t="str">
            <v>362421199210302911</v>
          </cell>
        </row>
        <row r="10">
          <cell r="A10" t="str">
            <v>谭勇</v>
          </cell>
          <cell r="B10" t="str">
            <v>设计部</v>
          </cell>
          <cell r="C10" t="str">
            <v>设计组</v>
          </cell>
          <cell r="D10" t="str">
            <v>方案设计师</v>
          </cell>
          <cell r="E10" t="str">
            <v>2025-07-01</v>
          </cell>
          <cell r="F10" t="str">
            <v>500225198602072312</v>
          </cell>
        </row>
        <row r="11">
          <cell r="A11" t="str">
            <v>莫永兵</v>
          </cell>
          <cell r="B11" t="str">
            <v>板式车间</v>
          </cell>
          <cell r="C11" t="str">
            <v>板式车间</v>
          </cell>
          <cell r="D11" t="str">
            <v>厂长</v>
          </cell>
          <cell r="E11" t="str">
            <v>2022-03-30</v>
          </cell>
          <cell r="F11" t="str">
            <v>510225197703015437</v>
          </cell>
        </row>
        <row r="12">
          <cell r="A12" t="str">
            <v>张飞武</v>
          </cell>
          <cell r="B12" t="str">
            <v>板式车间</v>
          </cell>
          <cell r="C12" t="str">
            <v>柜体线-封边组</v>
          </cell>
          <cell r="D12" t="str">
            <v>主管</v>
          </cell>
          <cell r="E12" t="str">
            <v>2022-03-06</v>
          </cell>
          <cell r="F12" t="str">
            <v>510811198311182913</v>
          </cell>
        </row>
        <row r="13">
          <cell r="A13" t="str">
            <v>雷登恒</v>
          </cell>
          <cell r="B13" t="str">
            <v>板式车间</v>
          </cell>
          <cell r="C13" t="str">
            <v>柜体线-排孔组</v>
          </cell>
          <cell r="D13" t="str">
            <v>排孔</v>
          </cell>
          <cell r="E13" t="str">
            <v>2023-02-04</v>
          </cell>
          <cell r="F13" t="str">
            <v>500225199201060753</v>
          </cell>
        </row>
        <row r="14">
          <cell r="A14" t="str">
            <v>漆娇</v>
          </cell>
          <cell r="B14" t="str">
            <v>综合部</v>
          </cell>
          <cell r="C14" t="str">
            <v>奢匠售后</v>
          </cell>
          <cell r="D14" t="str">
            <v>奢匠售后</v>
          </cell>
          <cell r="E14" t="str">
            <v>2025-08-20</v>
          </cell>
          <cell r="F14" t="str">
            <v>500225199211053821</v>
          </cell>
        </row>
        <row r="15">
          <cell r="A15" t="str">
            <v>刘大志</v>
          </cell>
          <cell r="B15" t="str">
            <v>板式车间</v>
          </cell>
          <cell r="C15" t="str">
            <v>柜体线-封边组</v>
          </cell>
          <cell r="D15" t="str">
            <v>封边</v>
          </cell>
          <cell r="E15" t="str">
            <v>2023-02-09</v>
          </cell>
          <cell r="F15" t="str">
            <v>511324199507055393</v>
          </cell>
        </row>
        <row r="16">
          <cell r="A16" t="str">
            <v>邹明超</v>
          </cell>
          <cell r="B16" t="str">
            <v>板式车间</v>
          </cell>
          <cell r="C16" t="str">
            <v>膜压线</v>
          </cell>
          <cell r="D16" t="str">
            <v>装拉手/拉直器</v>
          </cell>
          <cell r="E16" t="str">
            <v>2022-03-09</v>
          </cell>
          <cell r="F16" t="str">
            <v>420683197812263150</v>
          </cell>
        </row>
        <row r="17">
          <cell r="A17" t="str">
            <v>黄富美</v>
          </cell>
          <cell r="B17" t="str">
            <v>板式车间</v>
          </cell>
          <cell r="C17" t="str">
            <v>柜体线-包装组</v>
          </cell>
          <cell r="D17" t="str">
            <v>包装</v>
          </cell>
          <cell r="E17" t="str">
            <v>2021-07-08</v>
          </cell>
          <cell r="F17" t="str">
            <v>510230198208027786</v>
          </cell>
        </row>
        <row r="18">
          <cell r="A18" t="str">
            <v>冯钰超</v>
          </cell>
          <cell r="B18" t="str">
            <v>设计部</v>
          </cell>
          <cell r="C18" t="str">
            <v>设计组</v>
          </cell>
          <cell r="D18" t="str">
            <v>绘图员</v>
          </cell>
          <cell r="E18" t="str">
            <v>2026-03-21</v>
          </cell>
          <cell r="F18" t="str">
            <v>500381200502286010</v>
          </cell>
        </row>
        <row r="19">
          <cell r="A19" t="str">
            <v>黄永顺</v>
          </cell>
          <cell r="B19" t="str">
            <v>板式车间</v>
          </cell>
          <cell r="C19" t="str">
            <v>柜体线-试装组</v>
          </cell>
          <cell r="D19" t="str">
            <v>异形制作</v>
          </cell>
          <cell r="E19" t="str">
            <v>2025-04-28</v>
          </cell>
          <cell r="F19" t="str">
            <v>511521198502235392</v>
          </cell>
        </row>
        <row r="20">
          <cell r="A20" t="str">
            <v>黄常刚</v>
          </cell>
          <cell r="B20" t="str">
            <v>板式车间</v>
          </cell>
          <cell r="C20" t="str">
            <v>柜体线-封边组</v>
          </cell>
          <cell r="D20" t="str">
            <v>封边</v>
          </cell>
          <cell r="E20" t="str">
            <v>2022-03-12</v>
          </cell>
          <cell r="F20" t="str">
            <v>50022519851003081X</v>
          </cell>
        </row>
        <row r="21">
          <cell r="A21" t="str">
            <v>黎强</v>
          </cell>
          <cell r="B21" t="str">
            <v>板式车间</v>
          </cell>
          <cell r="C21" t="str">
            <v>柜体线-免漆订单组</v>
          </cell>
          <cell r="D21" t="str">
            <v>免漆制作</v>
          </cell>
          <cell r="E21" t="str">
            <v>2025-11-14</v>
          </cell>
          <cell r="F21" t="str">
            <v>500225199803212216</v>
          </cell>
        </row>
        <row r="22">
          <cell r="A22" t="str">
            <v>马纺刚</v>
          </cell>
          <cell r="B22" t="str">
            <v>板式车间</v>
          </cell>
          <cell r="C22" t="str">
            <v>柜体线-封边组</v>
          </cell>
          <cell r="D22" t="str">
            <v>封边</v>
          </cell>
          <cell r="E22" t="str">
            <v>2021-09-28</v>
          </cell>
          <cell r="F22" t="str">
            <v>500225198809101117</v>
          </cell>
        </row>
        <row r="23">
          <cell r="A23" t="str">
            <v>李光义</v>
          </cell>
          <cell r="B23" t="str">
            <v>综合部</v>
          </cell>
          <cell r="C23" t="str">
            <v>固豪售后</v>
          </cell>
          <cell r="D23" t="str">
            <v>售后（固豪）</v>
          </cell>
          <cell r="E23" t="str">
            <v>2018-07-01</v>
          </cell>
          <cell r="F23" t="str">
            <v>500225198708097622</v>
          </cell>
        </row>
        <row r="24">
          <cell r="A24" t="str">
            <v>张金彬</v>
          </cell>
          <cell r="B24" t="str">
            <v>设计部</v>
          </cell>
          <cell r="C24" t="str">
            <v>设计组</v>
          </cell>
          <cell r="D24" t="str">
            <v>绘图员</v>
          </cell>
          <cell r="E24" t="str">
            <v>2026-03-11</v>
          </cell>
          <cell r="F24" t="str">
            <v>500224200612033898</v>
          </cell>
        </row>
        <row r="25">
          <cell r="A25" t="str">
            <v>李瑜</v>
          </cell>
          <cell r="B25" t="str">
            <v>综合部</v>
          </cell>
          <cell r="C25" t="str">
            <v>原材料仓</v>
          </cell>
          <cell r="D25" t="str">
            <v>五金仓-库管</v>
          </cell>
          <cell r="E25" t="str">
            <v>2022-08-18</v>
          </cell>
          <cell r="F25" t="str">
            <v>500225198406122319</v>
          </cell>
        </row>
        <row r="26">
          <cell r="A26" t="str">
            <v>郑财</v>
          </cell>
          <cell r="B26" t="str">
            <v>板式车间</v>
          </cell>
          <cell r="C26" t="str">
            <v>柜体线-开料组</v>
          </cell>
          <cell r="D26" t="str">
            <v>开料</v>
          </cell>
          <cell r="E26" t="str">
            <v>2023-02-05</v>
          </cell>
          <cell r="F26" t="str">
            <v>511521199504205394</v>
          </cell>
        </row>
        <row r="27">
          <cell r="A27" t="str">
            <v>胡娅</v>
          </cell>
          <cell r="B27" t="str">
            <v>订单部</v>
          </cell>
          <cell r="C27" t="str">
            <v>计划物控组</v>
          </cell>
          <cell r="D27" t="str">
            <v>优化专员</v>
          </cell>
          <cell r="E27" t="str">
            <v>2025-11-05</v>
          </cell>
          <cell r="F27" t="str">
            <v>500225199407150746</v>
          </cell>
        </row>
        <row r="28">
          <cell r="A28" t="str">
            <v>田建锋</v>
          </cell>
          <cell r="B28" t="str">
            <v>订单部</v>
          </cell>
          <cell r="C28" t="str">
            <v>审单组</v>
          </cell>
          <cell r="D28" t="str">
            <v>拆单员</v>
          </cell>
          <cell r="E28" t="str">
            <v>2021-08-12</v>
          </cell>
          <cell r="F28" t="str">
            <v>500228199606018755</v>
          </cell>
        </row>
        <row r="29">
          <cell r="A29" t="str">
            <v>陆周会</v>
          </cell>
          <cell r="B29" t="str">
            <v>板式车间</v>
          </cell>
          <cell r="C29" t="str">
            <v>柜体线-包装组</v>
          </cell>
          <cell r="D29" t="str">
            <v>五金分检员</v>
          </cell>
          <cell r="E29" t="str">
            <v>2022-02-23</v>
          </cell>
          <cell r="F29" t="str">
            <v>510230198004255680</v>
          </cell>
        </row>
        <row r="30">
          <cell r="A30" t="str">
            <v>徐中彪</v>
          </cell>
          <cell r="B30" t="str">
            <v>板式车间</v>
          </cell>
          <cell r="C30" t="str">
            <v>柜体线-封边组</v>
          </cell>
          <cell r="D30" t="str">
            <v>封边</v>
          </cell>
          <cell r="E30" t="str">
            <v>2023-08-24</v>
          </cell>
          <cell r="F30" t="str">
            <v>500225198809291176</v>
          </cell>
        </row>
        <row r="31">
          <cell r="A31" t="str">
            <v>游林</v>
          </cell>
          <cell r="B31" t="str">
            <v>板式车间</v>
          </cell>
          <cell r="C31" t="str">
            <v>柜体线-封边组</v>
          </cell>
          <cell r="D31" t="str">
            <v>全检</v>
          </cell>
          <cell r="E31" t="str">
            <v>2020-05-12</v>
          </cell>
          <cell r="F31" t="str">
            <v>511023198909190662</v>
          </cell>
        </row>
        <row r="32">
          <cell r="A32" t="str">
            <v>高瞻</v>
          </cell>
          <cell r="B32" t="str">
            <v>板式车间</v>
          </cell>
          <cell r="C32" t="str">
            <v>柜体线-封边组</v>
          </cell>
          <cell r="D32" t="str">
            <v>异形封边</v>
          </cell>
          <cell r="E32" t="str">
            <v>2021-11-12</v>
          </cell>
          <cell r="F32" t="str">
            <v>500225198801174311</v>
          </cell>
        </row>
        <row r="33">
          <cell r="A33" t="str">
            <v>杨青青</v>
          </cell>
          <cell r="B33" t="str">
            <v>订单部</v>
          </cell>
          <cell r="C33" t="str">
            <v>计划物控组</v>
          </cell>
          <cell r="D33" t="str">
            <v>物控</v>
          </cell>
          <cell r="E33" t="str">
            <v>2023-02-04</v>
          </cell>
          <cell r="F33" t="str">
            <v>511023199512296041</v>
          </cell>
        </row>
        <row r="34">
          <cell r="A34" t="str">
            <v>王成</v>
          </cell>
          <cell r="B34" t="str">
            <v>板式车间</v>
          </cell>
          <cell r="C34" t="str">
            <v>膜压线</v>
          </cell>
          <cell r="D34" t="str">
            <v>膜压雕刻</v>
          </cell>
          <cell r="E34" t="str">
            <v>2020-07-18</v>
          </cell>
          <cell r="F34" t="str">
            <v>50022519920109075X</v>
          </cell>
        </row>
        <row r="35">
          <cell r="A35" t="str">
            <v>龙定彬</v>
          </cell>
          <cell r="B35" t="str">
            <v>板式车间</v>
          </cell>
          <cell r="C35" t="str">
            <v>柜体线-包装组</v>
          </cell>
          <cell r="D35" t="str">
            <v>打硬包</v>
          </cell>
          <cell r="E35" t="str">
            <v>2020-10-27</v>
          </cell>
          <cell r="F35" t="str">
            <v>510230197008198738</v>
          </cell>
        </row>
        <row r="36">
          <cell r="A36" t="str">
            <v>何汉秀</v>
          </cell>
          <cell r="B36" t="str">
            <v>品质部</v>
          </cell>
          <cell r="C36" t="str">
            <v>品质部</v>
          </cell>
          <cell r="D36" t="str">
            <v>原材IQC</v>
          </cell>
          <cell r="E36" t="str">
            <v>2021-05-18</v>
          </cell>
          <cell r="F36" t="str">
            <v>51023019750820142X</v>
          </cell>
        </row>
        <row r="37">
          <cell r="A37" t="str">
            <v>黄义晴</v>
          </cell>
          <cell r="B37" t="str">
            <v>综合部</v>
          </cell>
          <cell r="C37" t="str">
            <v>财务核价</v>
          </cell>
          <cell r="D37" t="str">
            <v>审价</v>
          </cell>
          <cell r="E37" t="str">
            <v>2024-06-12</v>
          </cell>
          <cell r="F37" t="str">
            <v>500231199907061667</v>
          </cell>
        </row>
        <row r="38">
          <cell r="A38" t="str">
            <v>李春</v>
          </cell>
          <cell r="B38" t="str">
            <v>板式车间</v>
          </cell>
          <cell r="C38" t="str">
            <v>柜体线-免漆订单组</v>
          </cell>
          <cell r="D38" t="str">
            <v>免漆制作</v>
          </cell>
          <cell r="E38" t="str">
            <v>2026-03-10</v>
          </cell>
          <cell r="F38" t="str">
            <v>510230197712124978</v>
          </cell>
        </row>
        <row r="39">
          <cell r="A39" t="str">
            <v>王代华</v>
          </cell>
          <cell r="B39" t="str">
            <v>板式车间</v>
          </cell>
          <cell r="C39" t="str">
            <v>设备组</v>
          </cell>
          <cell r="D39" t="str">
            <v>设备工程师</v>
          </cell>
          <cell r="E39" t="str">
            <v>2023-03-05</v>
          </cell>
          <cell r="F39" t="str">
            <v>511023199012075939</v>
          </cell>
        </row>
        <row r="40">
          <cell r="A40" t="str">
            <v>张威</v>
          </cell>
          <cell r="B40" t="str">
            <v>板式车间</v>
          </cell>
          <cell r="C40" t="str">
            <v>成品仓</v>
          </cell>
          <cell r="D40" t="str">
            <v>库管</v>
          </cell>
          <cell r="E40" t="str">
            <v>2025-09-19</v>
          </cell>
          <cell r="F40" t="str">
            <v>510230197407228738</v>
          </cell>
        </row>
        <row r="41">
          <cell r="A41" t="str">
            <v>曾庆梅</v>
          </cell>
          <cell r="B41" t="str">
            <v>板式车间</v>
          </cell>
          <cell r="C41" t="str">
            <v>柜体线-包装组</v>
          </cell>
          <cell r="D41" t="str">
            <v>包装</v>
          </cell>
          <cell r="E41" t="str">
            <v>2020-07-18</v>
          </cell>
          <cell r="F41" t="str">
            <v>500225198610163361</v>
          </cell>
        </row>
        <row r="42">
          <cell r="A42" t="str">
            <v>易科春</v>
          </cell>
          <cell r="B42" t="str">
            <v>板式车间</v>
          </cell>
          <cell r="C42" t="str">
            <v>柜体线-包装组</v>
          </cell>
          <cell r="D42" t="str">
            <v>包装</v>
          </cell>
          <cell r="E42" t="str">
            <v>2025-12-27</v>
          </cell>
          <cell r="F42" t="str">
            <v>500225198910103344</v>
          </cell>
        </row>
        <row r="43">
          <cell r="A43" t="str">
            <v>何绍奇</v>
          </cell>
          <cell r="B43" t="str">
            <v>信息部</v>
          </cell>
          <cell r="C43" t="str">
            <v>信息部</v>
          </cell>
          <cell r="D43" t="str">
            <v>网络维修工程师</v>
          </cell>
          <cell r="E43" t="str">
            <v>2025-02-11</v>
          </cell>
          <cell r="F43" t="str">
            <v>500227198610176915</v>
          </cell>
        </row>
        <row r="44">
          <cell r="A44" t="str">
            <v>周朝会</v>
          </cell>
          <cell r="B44" t="str">
            <v>人力行政部</v>
          </cell>
          <cell r="C44" t="str">
            <v>人力行政部</v>
          </cell>
          <cell r="D44" t="str">
            <v>保洁</v>
          </cell>
          <cell r="E44" t="str">
            <v>2025-02-08</v>
          </cell>
          <cell r="F44" t="str">
            <v>512534197205110460</v>
          </cell>
        </row>
        <row r="45">
          <cell r="A45" t="str">
            <v>古秋福</v>
          </cell>
          <cell r="B45" t="str">
            <v>综合部</v>
          </cell>
          <cell r="C45" t="str">
            <v>原材料仓</v>
          </cell>
          <cell r="D45" t="str">
            <v>PVC-库管</v>
          </cell>
          <cell r="E45" t="str">
            <v>2025-10-11</v>
          </cell>
          <cell r="F45" t="str">
            <v>500225199306203394</v>
          </cell>
        </row>
        <row r="46">
          <cell r="A46" t="str">
            <v>旷星琪</v>
          </cell>
          <cell r="B46" t="str">
            <v>信息部</v>
          </cell>
          <cell r="C46" t="str">
            <v>信息部</v>
          </cell>
          <cell r="D46" t="str">
            <v>软件员</v>
          </cell>
          <cell r="E46" t="str">
            <v>2025-02-13</v>
          </cell>
          <cell r="F46" t="str">
            <v>500225200511164473</v>
          </cell>
        </row>
        <row r="47">
          <cell r="A47" t="str">
            <v>武兴国</v>
          </cell>
          <cell r="B47" t="str">
            <v>板式车间</v>
          </cell>
          <cell r="C47" t="str">
            <v>柜体线-排孔组</v>
          </cell>
          <cell r="D47" t="str">
            <v>异形制作</v>
          </cell>
          <cell r="E47" t="str">
            <v>2020-07-15</v>
          </cell>
          <cell r="F47" t="str">
            <v>500225198804130736</v>
          </cell>
        </row>
        <row r="48">
          <cell r="A48" t="str">
            <v>蒋官雄</v>
          </cell>
          <cell r="B48" t="str">
            <v>板式车间</v>
          </cell>
          <cell r="C48" t="str">
            <v>柜体线-封边组</v>
          </cell>
          <cell r="D48" t="str">
            <v>封边</v>
          </cell>
          <cell r="E48" t="str">
            <v>2016-07-04</v>
          </cell>
          <cell r="F48" t="str">
            <v>510230197509023039</v>
          </cell>
        </row>
        <row r="49">
          <cell r="A49" t="str">
            <v>郑天华</v>
          </cell>
          <cell r="B49" t="str">
            <v>板式车间</v>
          </cell>
          <cell r="C49" t="str">
            <v>柜体线-免漆订单组</v>
          </cell>
          <cell r="D49" t="str">
            <v>免漆制作</v>
          </cell>
          <cell r="E49" t="str">
            <v>2025-04-15</v>
          </cell>
          <cell r="F49" t="str">
            <v>510230198205306851</v>
          </cell>
        </row>
        <row r="50">
          <cell r="A50" t="str">
            <v>毛玉玲</v>
          </cell>
          <cell r="B50" t="str">
            <v>生产制造中心</v>
          </cell>
          <cell r="C50" t="str">
            <v>生产制造中心</v>
          </cell>
          <cell r="D50" t="str">
            <v>生产助理</v>
          </cell>
          <cell r="E50" t="str">
            <v>2025-05-04</v>
          </cell>
          <cell r="F50" t="str">
            <v>500225200107280042</v>
          </cell>
        </row>
        <row r="51">
          <cell r="A51" t="str">
            <v>李志明</v>
          </cell>
          <cell r="B51" t="str">
            <v>人力行政部</v>
          </cell>
          <cell r="C51" t="str">
            <v>人力行政部</v>
          </cell>
          <cell r="D51" t="str">
            <v>保安</v>
          </cell>
          <cell r="E51" t="str">
            <v>2024-01-09</v>
          </cell>
          <cell r="F51" t="str">
            <v>510230196910273339</v>
          </cell>
        </row>
        <row r="52">
          <cell r="A52" t="str">
            <v>冯永秀</v>
          </cell>
          <cell r="B52" t="str">
            <v>板式车间</v>
          </cell>
          <cell r="C52" t="str">
            <v>柜体线-包装组</v>
          </cell>
          <cell r="D52" t="str">
            <v>包装</v>
          </cell>
          <cell r="E52" t="str">
            <v>2020-08-21</v>
          </cell>
          <cell r="F52" t="str">
            <v>500225198609018925</v>
          </cell>
        </row>
        <row r="53">
          <cell r="A53" t="str">
            <v>旷连彬</v>
          </cell>
          <cell r="B53" t="str">
            <v>板式车间</v>
          </cell>
          <cell r="C53" t="str">
            <v>成品仓</v>
          </cell>
          <cell r="D53" t="str">
            <v>库管</v>
          </cell>
          <cell r="E53" t="str">
            <v>2022-03-18</v>
          </cell>
          <cell r="F53" t="str">
            <v>510230197909143873</v>
          </cell>
        </row>
        <row r="54">
          <cell r="A54" t="str">
            <v>刘明</v>
          </cell>
          <cell r="B54" t="str">
            <v>人力行政部</v>
          </cell>
          <cell r="C54" t="str">
            <v>人力行政部</v>
          </cell>
          <cell r="D54" t="str">
            <v>四期夜班保安</v>
          </cell>
          <cell r="E54" t="str">
            <v>2019-12-24</v>
          </cell>
          <cell r="F54" t="str">
            <v>510230197202133970</v>
          </cell>
        </row>
        <row r="55">
          <cell r="A55" t="str">
            <v>陈婷婷</v>
          </cell>
          <cell r="B55" t="str">
            <v>板式车间</v>
          </cell>
          <cell r="C55" t="str">
            <v>成品仓</v>
          </cell>
          <cell r="D55" t="str">
            <v>文员</v>
          </cell>
          <cell r="E55" t="str">
            <v>2023-04-18</v>
          </cell>
          <cell r="F55" t="str">
            <v>500225199802184321</v>
          </cell>
        </row>
        <row r="56">
          <cell r="A56" t="str">
            <v>唐良基</v>
          </cell>
          <cell r="B56" t="str">
            <v>人力行政部</v>
          </cell>
          <cell r="C56" t="str">
            <v>人力行政部</v>
          </cell>
          <cell r="D56" t="str">
            <v>四期白班保安</v>
          </cell>
          <cell r="E56" t="str">
            <v>2020-12-31</v>
          </cell>
          <cell r="F56" t="str">
            <v>510230196208027197</v>
          </cell>
        </row>
        <row r="57">
          <cell r="A57" t="str">
            <v>刘琴</v>
          </cell>
          <cell r="B57" t="str">
            <v>采购部</v>
          </cell>
          <cell r="C57" t="str">
            <v>采购部</v>
          </cell>
          <cell r="D57" t="str">
            <v>采购主管</v>
          </cell>
          <cell r="E57" t="str">
            <v>2017-02-15</v>
          </cell>
          <cell r="F57" t="str">
            <v>50023119880313146X</v>
          </cell>
        </row>
        <row r="58">
          <cell r="A58" t="str">
            <v>陈昌容</v>
          </cell>
          <cell r="B58" t="str">
            <v>订单部</v>
          </cell>
          <cell r="C58" t="str">
            <v>接单报价组</v>
          </cell>
          <cell r="D58" t="str">
            <v>接单员</v>
          </cell>
          <cell r="E58" t="str">
            <v>2024-07-05</v>
          </cell>
          <cell r="F58" t="str">
            <v>510230198209236985</v>
          </cell>
        </row>
        <row r="59">
          <cell r="A59" t="str">
            <v>江航</v>
          </cell>
          <cell r="B59" t="str">
            <v>板式车间</v>
          </cell>
          <cell r="C59" t="str">
            <v>成品仓</v>
          </cell>
          <cell r="D59" t="str">
            <v>成品主管</v>
          </cell>
          <cell r="E59" t="str">
            <v>2022-03-03</v>
          </cell>
          <cell r="F59" t="str">
            <v>511521199403264870</v>
          </cell>
        </row>
        <row r="60">
          <cell r="A60" t="str">
            <v>谢灵</v>
          </cell>
          <cell r="B60" t="str">
            <v>订单部</v>
          </cell>
          <cell r="C60" t="str">
            <v>接单报价组</v>
          </cell>
          <cell r="D60" t="str">
            <v>接单员</v>
          </cell>
          <cell r="E60" t="str">
            <v>2025-05-23</v>
          </cell>
          <cell r="F60" t="str">
            <v>500225199203105708</v>
          </cell>
        </row>
        <row r="61">
          <cell r="A61" t="str">
            <v>陈秀玲</v>
          </cell>
          <cell r="B61" t="str">
            <v>板式车间</v>
          </cell>
          <cell r="C61" t="str">
            <v>柜体线-包装组</v>
          </cell>
          <cell r="D61" t="str">
            <v>包装</v>
          </cell>
          <cell r="E61" t="str">
            <v>2024-03-09</v>
          </cell>
          <cell r="F61" t="str">
            <v>500225197503180727</v>
          </cell>
        </row>
        <row r="62">
          <cell r="A62" t="str">
            <v>吕元超</v>
          </cell>
          <cell r="B62" t="str">
            <v>板式车间</v>
          </cell>
          <cell r="C62" t="str">
            <v>柜体线-包装组</v>
          </cell>
          <cell r="D62" t="str">
            <v>包装</v>
          </cell>
          <cell r="E62" t="str">
            <v>2024-02-27</v>
          </cell>
          <cell r="F62" t="str">
            <v>500225198912200324</v>
          </cell>
        </row>
        <row r="63">
          <cell r="A63" t="str">
            <v>曾宪友</v>
          </cell>
          <cell r="B63" t="str">
            <v>板式车间</v>
          </cell>
          <cell r="C63" t="str">
            <v>柜体线-包装组</v>
          </cell>
          <cell r="D63" t="str">
            <v>转运/组长</v>
          </cell>
          <cell r="E63" t="str">
            <v>2020-07-21</v>
          </cell>
          <cell r="F63" t="str">
            <v>510230197608013872</v>
          </cell>
        </row>
        <row r="64">
          <cell r="A64" t="str">
            <v>冯永兰</v>
          </cell>
          <cell r="B64" t="str">
            <v>板式车间</v>
          </cell>
          <cell r="C64" t="str">
            <v>成品仓</v>
          </cell>
          <cell r="D64" t="str">
            <v>搬运</v>
          </cell>
          <cell r="E64" t="str">
            <v>2026-03-03</v>
          </cell>
          <cell r="F64" t="str">
            <v>511023197006176160</v>
          </cell>
        </row>
        <row r="65">
          <cell r="A65" t="str">
            <v>欧杨燕</v>
          </cell>
          <cell r="B65" t="str">
            <v>板式车间</v>
          </cell>
          <cell r="C65" t="str">
            <v>柜体线-包装组</v>
          </cell>
          <cell r="D65" t="str">
            <v>包装</v>
          </cell>
          <cell r="E65" t="str">
            <v>2023-07-14</v>
          </cell>
          <cell r="F65" t="str">
            <v>522629199107144822</v>
          </cell>
        </row>
        <row r="66">
          <cell r="A66" t="str">
            <v>许军</v>
          </cell>
          <cell r="B66" t="str">
            <v>设计部</v>
          </cell>
          <cell r="C66" t="str">
            <v>设计组</v>
          </cell>
          <cell r="D66" t="str">
            <v>设计经理</v>
          </cell>
          <cell r="E66" t="str">
            <v>2023-07-04</v>
          </cell>
          <cell r="F66" t="str">
            <v>500237198410217893</v>
          </cell>
        </row>
        <row r="67">
          <cell r="A67" t="str">
            <v>姜全洪</v>
          </cell>
          <cell r="B67" t="str">
            <v>设计部</v>
          </cell>
          <cell r="C67" t="str">
            <v>设计组</v>
          </cell>
          <cell r="D67" t="str">
            <v>方案设计师</v>
          </cell>
          <cell r="E67" t="str">
            <v>2023-02-17</v>
          </cell>
          <cell r="F67" t="str">
            <v>50022519930330689X</v>
          </cell>
        </row>
        <row r="68">
          <cell r="A68" t="str">
            <v>罗雨</v>
          </cell>
          <cell r="B68" t="str">
            <v>设计部</v>
          </cell>
          <cell r="C68" t="str">
            <v>设计组</v>
          </cell>
          <cell r="D68" t="str">
            <v>副主管</v>
          </cell>
          <cell r="E68" t="str">
            <v>2023-05-17</v>
          </cell>
          <cell r="F68" t="str">
            <v>500225198706297612</v>
          </cell>
        </row>
        <row r="69">
          <cell r="A69" t="str">
            <v>熊壮</v>
          </cell>
          <cell r="B69" t="str">
            <v>设计部</v>
          </cell>
          <cell r="C69" t="str">
            <v>设计组</v>
          </cell>
          <cell r="D69" t="str">
            <v>方案设计师</v>
          </cell>
          <cell r="E69" t="str">
            <v>2020-06-16</v>
          </cell>
          <cell r="F69" t="str">
            <v>500225198911233896</v>
          </cell>
        </row>
        <row r="70">
          <cell r="A70" t="str">
            <v>伍梦柯</v>
          </cell>
          <cell r="B70" t="str">
            <v>设计部</v>
          </cell>
          <cell r="C70" t="str">
            <v>设计组</v>
          </cell>
          <cell r="D70" t="str">
            <v>方案设计师</v>
          </cell>
          <cell r="E70" t="str">
            <v>2023-05-26</v>
          </cell>
          <cell r="F70" t="str">
            <v>500225199905268333</v>
          </cell>
        </row>
        <row r="71">
          <cell r="A71" t="str">
            <v>吴洪伟</v>
          </cell>
          <cell r="B71" t="str">
            <v>设计部</v>
          </cell>
          <cell r="C71" t="str">
            <v>设计组</v>
          </cell>
          <cell r="D71" t="str">
            <v>方案设计师</v>
          </cell>
          <cell r="E71" t="str">
            <v>2017-07-07</v>
          </cell>
          <cell r="F71" t="str">
            <v>500225199010123811</v>
          </cell>
        </row>
        <row r="72">
          <cell r="A72" t="str">
            <v>蒋进</v>
          </cell>
          <cell r="B72" t="str">
            <v>设计部</v>
          </cell>
          <cell r="C72" t="str">
            <v>设计组</v>
          </cell>
          <cell r="D72" t="str">
            <v>方案设计师</v>
          </cell>
          <cell r="E72" t="str">
            <v>2021-02-23</v>
          </cell>
          <cell r="F72" t="str">
            <v>500225198801015214</v>
          </cell>
        </row>
        <row r="73">
          <cell r="A73" t="str">
            <v>黄华</v>
          </cell>
          <cell r="B73" t="str">
            <v>设计部</v>
          </cell>
          <cell r="C73" t="str">
            <v>设计组</v>
          </cell>
          <cell r="D73" t="str">
            <v>深化拆单设计师</v>
          </cell>
          <cell r="E73" t="str">
            <v>2023-11-10</v>
          </cell>
          <cell r="F73" t="str">
            <v>500225198702160758</v>
          </cell>
        </row>
        <row r="74">
          <cell r="A74" t="str">
            <v>方宇</v>
          </cell>
          <cell r="B74" t="str">
            <v>订单部</v>
          </cell>
          <cell r="C74" t="str">
            <v>接单报价组</v>
          </cell>
          <cell r="D74" t="str">
            <v>接单员</v>
          </cell>
          <cell r="E74" t="str">
            <v>2020-08-04</v>
          </cell>
          <cell r="F74" t="str">
            <v>500383198810092923</v>
          </cell>
        </row>
        <row r="75">
          <cell r="A75" t="str">
            <v>王一程</v>
          </cell>
          <cell r="B75" t="str">
            <v>设计部</v>
          </cell>
          <cell r="C75" t="str">
            <v>设计组</v>
          </cell>
          <cell r="D75" t="str">
            <v>深化拆单设计师</v>
          </cell>
          <cell r="E75" t="str">
            <v>2024-03-27</v>
          </cell>
          <cell r="F75" t="str">
            <v>500225199512234319</v>
          </cell>
        </row>
        <row r="76">
          <cell r="A76" t="str">
            <v>伍小雪</v>
          </cell>
          <cell r="B76" t="str">
            <v>订单部</v>
          </cell>
          <cell r="C76" t="str">
            <v>计划物控组</v>
          </cell>
          <cell r="D76" t="str">
            <v>PMC主管</v>
          </cell>
          <cell r="E76" t="str">
            <v>2021-02-23</v>
          </cell>
          <cell r="F76" t="str">
            <v>500225199411128349</v>
          </cell>
        </row>
        <row r="77">
          <cell r="A77" t="str">
            <v>杨换</v>
          </cell>
          <cell r="B77" t="str">
            <v>板式车间</v>
          </cell>
          <cell r="C77" t="str">
            <v>柜体线-排孔组</v>
          </cell>
          <cell r="D77" t="str">
            <v>排孔</v>
          </cell>
          <cell r="E77" t="str">
            <v>2023-06-26</v>
          </cell>
          <cell r="F77" t="str">
            <v>500225199707014332</v>
          </cell>
        </row>
        <row r="78">
          <cell r="A78" t="str">
            <v>田鹏飞</v>
          </cell>
          <cell r="B78" t="str">
            <v>订单部</v>
          </cell>
          <cell r="C78" t="str">
            <v>订单部</v>
          </cell>
          <cell r="D78" t="str">
            <v>经理</v>
          </cell>
          <cell r="E78" t="str">
            <v>2021-07-01</v>
          </cell>
          <cell r="F78" t="str">
            <v>500228198408188759</v>
          </cell>
        </row>
        <row r="79">
          <cell r="A79" t="str">
            <v>邱霞</v>
          </cell>
          <cell r="B79" t="str">
            <v>订单部</v>
          </cell>
          <cell r="C79" t="str">
            <v>计划物控组</v>
          </cell>
          <cell r="D79" t="str">
            <v>进度员</v>
          </cell>
          <cell r="E79" t="str">
            <v>2021-02-23</v>
          </cell>
          <cell r="F79" t="str">
            <v>500383199004084368</v>
          </cell>
        </row>
        <row r="80">
          <cell r="A80" t="str">
            <v>杨益琴</v>
          </cell>
          <cell r="B80" t="str">
            <v>综合部</v>
          </cell>
          <cell r="C80" t="str">
            <v>财务核价</v>
          </cell>
          <cell r="D80" t="str">
            <v>财务</v>
          </cell>
          <cell r="E80" t="str">
            <v>2020-03-10</v>
          </cell>
          <cell r="F80" t="str">
            <v>500226199109023147</v>
          </cell>
        </row>
        <row r="81">
          <cell r="A81" t="str">
            <v>谢运谷</v>
          </cell>
          <cell r="B81" t="str">
            <v>综合部</v>
          </cell>
          <cell r="C81" t="str">
            <v>原材料仓</v>
          </cell>
          <cell r="D81" t="str">
            <v>板材仓-叉车司机</v>
          </cell>
          <cell r="E81" t="str">
            <v>2021-07-07</v>
          </cell>
          <cell r="F81" t="str">
            <v>510230196502283976</v>
          </cell>
        </row>
        <row r="82">
          <cell r="A82" t="str">
            <v>隆林</v>
          </cell>
          <cell r="B82" t="str">
            <v>板式车间</v>
          </cell>
          <cell r="C82" t="str">
            <v>膜压线</v>
          </cell>
          <cell r="D82" t="str">
            <v>吸塑/包覆</v>
          </cell>
          <cell r="E82" t="str">
            <v>2021-07-18</v>
          </cell>
          <cell r="F82" t="str">
            <v>500225199005041176</v>
          </cell>
        </row>
        <row r="83">
          <cell r="A83" t="str">
            <v>张兴六</v>
          </cell>
          <cell r="B83" t="str">
            <v>人力行政部</v>
          </cell>
          <cell r="C83" t="str">
            <v>人力行政部</v>
          </cell>
          <cell r="D83" t="str">
            <v>保安</v>
          </cell>
          <cell r="E83" t="str">
            <v>2023-08-25</v>
          </cell>
          <cell r="F83" t="str">
            <v>51023019690906779X</v>
          </cell>
        </row>
        <row r="84">
          <cell r="A84" t="str">
            <v>李丰希</v>
          </cell>
          <cell r="B84" t="str">
            <v>信息部</v>
          </cell>
          <cell r="C84" t="str">
            <v>信息部</v>
          </cell>
          <cell r="D84" t="str">
            <v>信息副经理</v>
          </cell>
          <cell r="E84" t="str">
            <v>2018-09-15</v>
          </cell>
          <cell r="F84" t="str">
            <v>500243199311067457</v>
          </cell>
        </row>
        <row r="85">
          <cell r="A85" t="str">
            <v>杨建华</v>
          </cell>
          <cell r="B85" t="str">
            <v>板式车间</v>
          </cell>
          <cell r="C85" t="str">
            <v>柜体线-开料组</v>
          </cell>
          <cell r="D85" t="str">
            <v>开料</v>
          </cell>
          <cell r="E85" t="str">
            <v>2020-04-24</v>
          </cell>
          <cell r="F85" t="str">
            <v>500225198612103813</v>
          </cell>
        </row>
        <row r="86">
          <cell r="A86" t="str">
            <v>刘琴</v>
          </cell>
          <cell r="B86" t="str">
            <v>板式车间</v>
          </cell>
          <cell r="C86" t="str">
            <v>柜体线-包装组</v>
          </cell>
          <cell r="D86" t="str">
            <v>背板包装</v>
          </cell>
          <cell r="E86" t="str">
            <v>2023-08-29</v>
          </cell>
          <cell r="F86" t="str">
            <v>500223199504152089</v>
          </cell>
        </row>
        <row r="87">
          <cell r="A87" t="str">
            <v>刘少强</v>
          </cell>
          <cell r="B87" t="str">
            <v>板式车间</v>
          </cell>
          <cell r="C87" t="str">
            <v>柜体线-试装组</v>
          </cell>
          <cell r="D87" t="str">
            <v>试装</v>
          </cell>
          <cell r="E87" t="str">
            <v>2021-10-27</v>
          </cell>
          <cell r="F87" t="str">
            <v>500225198402190736</v>
          </cell>
        </row>
        <row r="88">
          <cell r="A88" t="str">
            <v>覃邦斌</v>
          </cell>
          <cell r="B88" t="str">
            <v>人力行政部</v>
          </cell>
          <cell r="C88" t="str">
            <v>人力行政部</v>
          </cell>
          <cell r="D88" t="str">
            <v>客房清洁工</v>
          </cell>
          <cell r="E88" t="str">
            <v>2020-09-15</v>
          </cell>
          <cell r="F88" t="str">
            <v>510230197210067627</v>
          </cell>
        </row>
        <row r="89">
          <cell r="A89" t="str">
            <v>石代春</v>
          </cell>
          <cell r="B89" t="str">
            <v>板式车间</v>
          </cell>
          <cell r="C89" t="str">
            <v>柜体线-包装组</v>
          </cell>
          <cell r="D89" t="str">
            <v>包装</v>
          </cell>
          <cell r="E89" t="str">
            <v>2018-12-18</v>
          </cell>
          <cell r="F89" t="str">
            <v>510230197604177407</v>
          </cell>
        </row>
        <row r="90">
          <cell r="A90" t="str">
            <v>胡良先</v>
          </cell>
          <cell r="B90" t="str">
            <v>板式车间</v>
          </cell>
          <cell r="C90" t="str">
            <v>柜体线-包装组</v>
          </cell>
          <cell r="D90" t="str">
            <v>包装</v>
          </cell>
          <cell r="E90" t="str">
            <v>2023-08-15</v>
          </cell>
          <cell r="F90" t="str">
            <v>510525198010098568</v>
          </cell>
        </row>
        <row r="91">
          <cell r="A91" t="str">
            <v>王美镪</v>
          </cell>
          <cell r="B91" t="str">
            <v>信息部</v>
          </cell>
          <cell r="C91" t="str">
            <v>信息部</v>
          </cell>
          <cell r="D91" t="str">
            <v>AI工程师</v>
          </cell>
          <cell r="E91" t="str">
            <v>2026-04-20</v>
          </cell>
          <cell r="F91" t="str">
            <v>510521200303211450</v>
          </cell>
        </row>
        <row r="92">
          <cell r="A92" t="str">
            <v>李红川</v>
          </cell>
          <cell r="B92" t="str">
            <v>板式车间</v>
          </cell>
          <cell r="C92" t="str">
            <v>柜体线-封边组</v>
          </cell>
          <cell r="D92" t="str">
            <v>封边</v>
          </cell>
          <cell r="E92" t="str">
            <v>2023-10-25</v>
          </cell>
          <cell r="F92" t="str">
            <v>500225199207063031</v>
          </cell>
        </row>
        <row r="93">
          <cell r="A93" t="str">
            <v>庞意</v>
          </cell>
          <cell r="B93" t="str">
            <v>板式车间</v>
          </cell>
          <cell r="C93" t="str">
            <v>成品仓</v>
          </cell>
          <cell r="D93" t="str">
            <v>库管</v>
          </cell>
          <cell r="E93" t="str">
            <v>2023-07-04</v>
          </cell>
          <cell r="F93" t="str">
            <v>500225198608174133</v>
          </cell>
        </row>
        <row r="94">
          <cell r="A94" t="str">
            <v>兰媛</v>
          </cell>
          <cell r="B94" t="str">
            <v>综合部</v>
          </cell>
          <cell r="C94" t="str">
            <v>财务核价</v>
          </cell>
          <cell r="D94" t="str">
            <v>薪资核算员</v>
          </cell>
          <cell r="E94" t="str">
            <v>2023-07-22</v>
          </cell>
          <cell r="F94" t="str">
            <v>500225199610014328</v>
          </cell>
        </row>
        <row r="95">
          <cell r="A95" t="str">
            <v>冷其华</v>
          </cell>
          <cell r="B95" t="str">
            <v>板式车间</v>
          </cell>
          <cell r="C95" t="str">
            <v>成品仓</v>
          </cell>
          <cell r="D95" t="str">
            <v>搬运</v>
          </cell>
          <cell r="E95" t="str">
            <v>2023-07-12</v>
          </cell>
          <cell r="F95" t="str">
            <v>51023019701015841X</v>
          </cell>
        </row>
        <row r="96">
          <cell r="A96" t="str">
            <v>徐岚萍</v>
          </cell>
          <cell r="B96" t="str">
            <v>板式车间</v>
          </cell>
          <cell r="C96" t="str">
            <v>柜体线-包装组</v>
          </cell>
          <cell r="D96" t="str">
            <v>五金配套</v>
          </cell>
          <cell r="E96" t="str">
            <v>2019-02-16</v>
          </cell>
          <cell r="F96" t="str">
            <v>510823197502136427</v>
          </cell>
        </row>
        <row r="97">
          <cell r="A97" t="str">
            <v>唐富国</v>
          </cell>
          <cell r="B97" t="str">
            <v>板式车间</v>
          </cell>
          <cell r="C97" t="str">
            <v>柜体线-开料组</v>
          </cell>
          <cell r="D97" t="str">
            <v>开料</v>
          </cell>
          <cell r="E97" t="str">
            <v>2019-02-16</v>
          </cell>
          <cell r="F97" t="str">
            <v>510231197406081515</v>
          </cell>
        </row>
        <row r="98">
          <cell r="A98" t="str">
            <v>蒋春香</v>
          </cell>
          <cell r="B98" t="str">
            <v>板式车间</v>
          </cell>
          <cell r="C98" t="str">
            <v>柜体线-包装组</v>
          </cell>
          <cell r="D98" t="str">
            <v>包装</v>
          </cell>
          <cell r="E98" t="str">
            <v>2019-02-14</v>
          </cell>
          <cell r="F98" t="str">
            <v>511023198403094665</v>
          </cell>
        </row>
        <row r="99">
          <cell r="A99" t="str">
            <v>王洪允</v>
          </cell>
          <cell r="B99" t="str">
            <v>板式车间</v>
          </cell>
          <cell r="C99" t="str">
            <v>柜体线-试装组</v>
          </cell>
          <cell r="D99" t="str">
            <v>试装</v>
          </cell>
          <cell r="E99" t="str">
            <v>2019-02-14</v>
          </cell>
          <cell r="F99" t="str">
            <v>510230196911234657</v>
          </cell>
        </row>
        <row r="100">
          <cell r="A100" t="str">
            <v>曾凡波</v>
          </cell>
          <cell r="B100" t="str">
            <v>板式车间</v>
          </cell>
          <cell r="C100" t="str">
            <v>柜体线-开料组</v>
          </cell>
          <cell r="D100" t="str">
            <v>开料</v>
          </cell>
          <cell r="E100" t="str">
            <v>2019-02-14</v>
          </cell>
          <cell r="F100" t="str">
            <v>50022519861113081X</v>
          </cell>
        </row>
        <row r="101">
          <cell r="A101" t="str">
            <v>徐伟</v>
          </cell>
          <cell r="B101" t="str">
            <v>板式车间</v>
          </cell>
          <cell r="C101" t="str">
            <v>柜体线-试装组</v>
          </cell>
          <cell r="D101" t="str">
            <v>试装</v>
          </cell>
          <cell r="E101" t="str">
            <v>2019-02-16</v>
          </cell>
          <cell r="F101" t="str">
            <v>500225199705141135</v>
          </cell>
        </row>
        <row r="102">
          <cell r="A102" t="str">
            <v>高攀</v>
          </cell>
          <cell r="B102" t="str">
            <v>板式车间</v>
          </cell>
          <cell r="C102" t="str">
            <v>柜体线-开料组</v>
          </cell>
          <cell r="D102" t="str">
            <v>开料</v>
          </cell>
          <cell r="E102" t="str">
            <v>2023-07-25</v>
          </cell>
          <cell r="F102" t="str">
            <v>500225198911031135</v>
          </cell>
        </row>
        <row r="103">
          <cell r="A103" t="str">
            <v>郑兴国</v>
          </cell>
          <cell r="B103" t="str">
            <v>板式车间</v>
          </cell>
          <cell r="C103" t="str">
            <v>膜压线</v>
          </cell>
          <cell r="D103" t="str">
            <v>装拉直器</v>
          </cell>
          <cell r="E103" t="str">
            <v>2020-12-10</v>
          </cell>
          <cell r="F103" t="str">
            <v>510230197011143631</v>
          </cell>
        </row>
        <row r="104">
          <cell r="A104" t="str">
            <v>李红波</v>
          </cell>
          <cell r="B104" t="str">
            <v>订单部</v>
          </cell>
          <cell r="C104" t="str">
            <v>审单组</v>
          </cell>
          <cell r="D104" t="str">
            <v>审单员</v>
          </cell>
          <cell r="E104" t="str">
            <v>2021-11-04</v>
          </cell>
          <cell r="F104" t="str">
            <v>511011198510258316</v>
          </cell>
        </row>
        <row r="105">
          <cell r="A105" t="str">
            <v>陈明会</v>
          </cell>
          <cell r="B105" t="str">
            <v>综合部</v>
          </cell>
          <cell r="C105" t="str">
            <v>财务核价</v>
          </cell>
          <cell r="D105" t="str">
            <v>财务</v>
          </cell>
          <cell r="E105" t="str">
            <v>2021-02-27</v>
          </cell>
          <cell r="F105" t="str">
            <v>500225199301022340</v>
          </cell>
        </row>
        <row r="106">
          <cell r="A106" t="str">
            <v>吕丹丹</v>
          </cell>
          <cell r="B106" t="str">
            <v>订单部</v>
          </cell>
          <cell r="C106" t="str">
            <v>接单报价组</v>
          </cell>
          <cell r="D106" t="str">
            <v>接单员</v>
          </cell>
          <cell r="E106" t="str">
            <v>2019-03-01</v>
          </cell>
          <cell r="F106" t="str">
            <v>500225198911210328</v>
          </cell>
        </row>
        <row r="107">
          <cell r="A107" t="str">
            <v>龙训东</v>
          </cell>
          <cell r="B107" t="str">
            <v>订单部</v>
          </cell>
          <cell r="C107" t="str">
            <v>审单组</v>
          </cell>
          <cell r="D107" t="str">
            <v>审单员</v>
          </cell>
          <cell r="E107" t="str">
            <v>2019-03-15</v>
          </cell>
          <cell r="F107" t="str">
            <v>500225198912201714</v>
          </cell>
        </row>
        <row r="108">
          <cell r="A108" t="str">
            <v>陈小红</v>
          </cell>
          <cell r="B108" t="str">
            <v>设计部</v>
          </cell>
          <cell r="C108" t="str">
            <v>设计组</v>
          </cell>
          <cell r="D108" t="str">
            <v>助理设计师</v>
          </cell>
          <cell r="E108" t="str">
            <v>2019-03-01</v>
          </cell>
          <cell r="F108" t="str">
            <v>500225198811058621</v>
          </cell>
        </row>
        <row r="109">
          <cell r="A109" t="str">
            <v>许诗明</v>
          </cell>
          <cell r="B109" t="str">
            <v>板式车间</v>
          </cell>
          <cell r="C109" t="str">
            <v>柜体线-封边组</v>
          </cell>
          <cell r="D109" t="str">
            <v>封边</v>
          </cell>
          <cell r="E109" t="str">
            <v>2014-02-09</v>
          </cell>
          <cell r="F109" t="str">
            <v>512322197410251899</v>
          </cell>
        </row>
        <row r="110">
          <cell r="A110" t="str">
            <v>熊家俊</v>
          </cell>
          <cell r="B110" t="str">
            <v>板式车间</v>
          </cell>
          <cell r="C110" t="str">
            <v>柜体线-排孔组</v>
          </cell>
          <cell r="D110" t="str">
            <v>排孔</v>
          </cell>
          <cell r="E110" t="str">
            <v>2021-10-21</v>
          </cell>
          <cell r="F110" t="str">
            <v>500225199511127757</v>
          </cell>
        </row>
        <row r="111">
          <cell r="A111" t="str">
            <v>何信美</v>
          </cell>
          <cell r="B111" t="str">
            <v>板式车间</v>
          </cell>
          <cell r="C111" t="str">
            <v>柜体线-包装组</v>
          </cell>
          <cell r="D111" t="str">
            <v>包装</v>
          </cell>
          <cell r="E111" t="str">
            <v>2019-11-08</v>
          </cell>
          <cell r="F111" t="str">
            <v>500225198409270800</v>
          </cell>
        </row>
        <row r="112">
          <cell r="A112" t="str">
            <v>莫娇</v>
          </cell>
          <cell r="B112" t="str">
            <v>订单部</v>
          </cell>
          <cell r="C112" t="str">
            <v>接单报价组</v>
          </cell>
          <cell r="D112" t="str">
            <v>报价员</v>
          </cell>
          <cell r="E112" t="str">
            <v>2020-03-17</v>
          </cell>
          <cell r="F112" t="str">
            <v>500225199203153224</v>
          </cell>
        </row>
        <row r="113">
          <cell r="A113" t="str">
            <v>黄成兰</v>
          </cell>
          <cell r="B113" t="str">
            <v>板式车间</v>
          </cell>
          <cell r="C113" t="str">
            <v>柜体线-包装组</v>
          </cell>
          <cell r="D113" t="str">
            <v>包装</v>
          </cell>
          <cell r="E113" t="str">
            <v>2020-09-15</v>
          </cell>
          <cell r="F113" t="str">
            <v>510230197509227402</v>
          </cell>
        </row>
        <row r="114">
          <cell r="A114" t="str">
            <v>姜永禄</v>
          </cell>
          <cell r="B114" t="str">
            <v>板式车间</v>
          </cell>
          <cell r="C114" t="str">
            <v>柜体线-包装组</v>
          </cell>
          <cell r="D114" t="str">
            <v>包装</v>
          </cell>
          <cell r="E114" t="str">
            <v>2020-09-15</v>
          </cell>
          <cell r="F114" t="str">
            <v>510230197111247593</v>
          </cell>
        </row>
        <row r="115">
          <cell r="A115" t="str">
            <v>彭云富</v>
          </cell>
          <cell r="B115" t="str">
            <v>板式车间</v>
          </cell>
          <cell r="C115" t="str">
            <v>柜体线-试装组</v>
          </cell>
          <cell r="D115" t="str">
            <v>主管</v>
          </cell>
          <cell r="E115" t="str">
            <v>2021-02-23</v>
          </cell>
          <cell r="F115" t="str">
            <v>500225199311301917</v>
          </cell>
        </row>
        <row r="116">
          <cell r="A116" t="str">
            <v>罗富兴</v>
          </cell>
          <cell r="B116" t="str">
            <v>板式车间</v>
          </cell>
          <cell r="C116" t="str">
            <v>柜体线-排孔组</v>
          </cell>
          <cell r="D116" t="str">
            <v>排孔</v>
          </cell>
          <cell r="E116" t="str">
            <v>2019-10-22</v>
          </cell>
          <cell r="F116" t="str">
            <v>500225199410280779</v>
          </cell>
        </row>
        <row r="117">
          <cell r="A117" t="str">
            <v>吴永平</v>
          </cell>
          <cell r="B117" t="str">
            <v>综合部</v>
          </cell>
          <cell r="C117" t="str">
            <v>原材料仓</v>
          </cell>
          <cell r="D117" t="str">
            <v>板材仓-文员</v>
          </cell>
          <cell r="E117" t="str">
            <v>2021-09-11</v>
          </cell>
          <cell r="F117" t="str">
            <v>500225198804287469</v>
          </cell>
        </row>
        <row r="118">
          <cell r="A118" t="str">
            <v>杨首琴</v>
          </cell>
          <cell r="B118" t="str">
            <v>采购部</v>
          </cell>
          <cell r="C118" t="str">
            <v>采购部</v>
          </cell>
          <cell r="D118" t="str">
            <v>采购员</v>
          </cell>
          <cell r="E118" t="str">
            <v>2020-06-16</v>
          </cell>
          <cell r="F118" t="str">
            <v>510281198104298602</v>
          </cell>
        </row>
        <row r="119">
          <cell r="A119" t="str">
            <v>向锋</v>
          </cell>
          <cell r="B119" t="str">
            <v>设计部</v>
          </cell>
          <cell r="C119" t="str">
            <v>设计组</v>
          </cell>
          <cell r="D119" t="str">
            <v>建店经理</v>
          </cell>
          <cell r="E119" t="str">
            <v>2018-10-29</v>
          </cell>
          <cell r="F119" t="str">
            <v>430723198910090615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89"/>
  <sheetViews>
    <sheetView zoomScale="70" zoomScaleNormal="70" workbookViewId="0">
      <pane xSplit="5" ySplit="1" topLeftCell="CZ2" activePane="bottomRight" state="frozen"/>
      <selection activeCell="A1" sqref="A1"/>
      <selection pane="topRight" activeCell="A1" sqref="A1"/>
      <selection pane="bottomLeft" activeCell="A1" sqref="A1"/>
      <selection pane="bottomRight" activeCell="DX24" sqref="DX24"/>
    </sheetView>
  </sheetViews>
  <sheetFormatPr baseColWidth="8" defaultColWidth="8.888888888888889" defaultRowHeight="13.2"/>
  <cols>
    <col width="12.8611111111111" customWidth="1" min="1" max="2"/>
    <col width="10.6296296296296" customWidth="1" style="1" min="3" max="3"/>
    <col width="16.5" customWidth="1" min="4" max="4"/>
    <col width="16.1851851851852" customWidth="1" min="5" max="5"/>
    <col width="10" customWidth="1" min="6" max="6"/>
    <col width="10" customWidth="1" min="7" max="7"/>
    <col width="9" customWidth="1" style="82" min="8" max="8"/>
    <col width="7" customWidth="1" min="9" max="9"/>
    <col width="10" customWidth="1" min="10" max="10"/>
    <col width="10" customWidth="1" min="11" max="11"/>
    <col width="9" customWidth="1" min="12" max="12"/>
    <col width="7" customWidth="1" min="13" max="13"/>
    <col width="10" customWidth="1" min="14" max="14"/>
    <col width="10" customWidth="1" min="15" max="15"/>
    <col width="9" customWidth="1" min="16" max="16"/>
    <col width="7" customWidth="1" min="17" max="17"/>
    <col width="10" customWidth="1" min="18" max="18"/>
    <col width="10" customWidth="1" min="19" max="19"/>
    <col width="9" customWidth="1" min="20" max="20"/>
    <col width="7" customWidth="1" min="21" max="21"/>
    <col width="10" customWidth="1" min="22" max="22"/>
    <col width="10" customWidth="1" min="23" max="23"/>
    <col width="9" customWidth="1" min="24" max="24"/>
    <col width="7" customWidth="1" min="25" max="25"/>
    <col width="10" customWidth="1" min="26" max="26"/>
    <col width="10" customWidth="1" min="27" max="27"/>
    <col width="9" customWidth="1" min="28" max="28"/>
    <col width="7" customWidth="1" min="29" max="29"/>
    <col width="10" customWidth="1" min="30" max="30"/>
    <col width="10" customWidth="1" min="31" max="31"/>
    <col width="9" customWidth="1" min="32" max="32"/>
    <col width="7" customWidth="1" min="33" max="33"/>
    <col width="10" customWidth="1" min="34" max="34"/>
    <col width="10" customWidth="1" min="35" max="35"/>
    <col width="9" customWidth="1" min="36" max="36"/>
    <col width="7" customWidth="1" min="37" max="37"/>
    <col width="10" customWidth="1" min="38" max="38"/>
    <col width="10" customWidth="1" min="39" max="39"/>
    <col width="9" customWidth="1" min="40" max="40"/>
    <col width="7" customWidth="1" min="41" max="41"/>
    <col width="10" customWidth="1" min="42" max="42"/>
    <col width="10" customWidth="1" min="43" max="43"/>
    <col width="9" customWidth="1" min="44" max="44"/>
    <col width="7" customWidth="1" min="45" max="45"/>
    <col width="10" customWidth="1" min="46" max="46"/>
    <col width="10" customWidth="1" min="47" max="47"/>
    <col width="9" customWidth="1" min="48" max="48"/>
    <col width="7" customWidth="1" min="49" max="49"/>
    <col width="10" customWidth="1" min="50" max="50"/>
    <col width="10" customWidth="1" min="51" max="51"/>
    <col width="9" customWidth="1" min="52" max="52"/>
    <col width="7" customWidth="1" min="53" max="53"/>
    <col width="10" customWidth="1" min="54" max="54"/>
    <col width="10" customWidth="1" min="55" max="55"/>
    <col width="9" customWidth="1" min="56" max="56"/>
    <col width="7" customWidth="1" min="57" max="57"/>
    <col width="10" customWidth="1" min="58" max="58"/>
    <col width="10" customWidth="1" min="59" max="59"/>
    <col width="9" customWidth="1" min="60" max="60"/>
    <col width="7" customWidth="1" min="61" max="61"/>
    <col width="10" customWidth="1" min="62" max="62"/>
    <col width="10" customWidth="1" min="63" max="63"/>
    <col width="9" customWidth="1" min="64" max="64"/>
    <col width="7" customWidth="1" min="65" max="65"/>
    <col width="10" customWidth="1" min="66" max="66"/>
    <col width="10" customWidth="1" min="67" max="67"/>
    <col width="9" customWidth="1" min="68" max="68"/>
    <col width="7" customWidth="1" min="69" max="69"/>
    <col width="10" customWidth="1" min="70" max="70"/>
    <col width="10" customWidth="1" min="71" max="71"/>
    <col width="9" customWidth="1" min="72" max="72"/>
    <col width="7" customWidth="1" min="73" max="73"/>
    <col width="10" customWidth="1" min="74" max="74"/>
    <col width="10" customWidth="1" min="75" max="75"/>
    <col width="9" customWidth="1" min="76" max="76"/>
    <col width="7" customWidth="1" min="77" max="77"/>
    <col width="10" customWidth="1" min="78" max="78"/>
    <col width="10" customWidth="1" min="79" max="79"/>
    <col width="9" customWidth="1" min="80" max="80"/>
    <col width="7" customWidth="1" min="81" max="81"/>
    <col width="10" customWidth="1" min="82" max="82"/>
    <col width="10" customWidth="1" min="83" max="83"/>
    <col width="9" customWidth="1" min="84" max="84"/>
    <col width="7" customWidth="1" min="85" max="85"/>
    <col width="10" customWidth="1" min="86" max="86"/>
    <col width="10" customWidth="1" min="87" max="87"/>
    <col width="9" customWidth="1" min="88" max="88"/>
    <col width="7" customWidth="1" min="89" max="89"/>
    <col width="10" customWidth="1" min="90" max="90"/>
    <col width="10" customWidth="1" min="91" max="91"/>
    <col width="9" customWidth="1" min="92" max="92"/>
    <col width="7" customWidth="1" min="93" max="93"/>
    <col width="10" customWidth="1" min="94" max="94"/>
    <col width="10" customWidth="1" min="95" max="95"/>
    <col width="9" customWidth="1" min="96" max="96"/>
    <col width="7" customWidth="1" min="97" max="97"/>
    <col width="10" customWidth="1" min="98" max="98"/>
    <col width="10" customWidth="1" min="99" max="99"/>
    <col width="9" customWidth="1" min="100" max="100"/>
    <col width="7" customWidth="1" min="101" max="101"/>
    <col width="10" customWidth="1" min="102" max="102"/>
    <col width="10" customWidth="1" min="103" max="103"/>
    <col width="9" customWidth="1" min="104" max="104"/>
    <col width="7" customWidth="1" min="105" max="105"/>
    <col width="10" customWidth="1" min="106" max="106"/>
    <col width="10" customWidth="1" min="107" max="107"/>
    <col width="9" customWidth="1" min="108" max="108"/>
    <col width="7" customWidth="1" min="109" max="109"/>
    <col width="10" customWidth="1" min="110" max="110"/>
    <col width="10" customWidth="1" min="111" max="111"/>
    <col width="9" customWidth="1" min="112" max="112"/>
    <col width="7" customWidth="1" min="113" max="113"/>
    <col width="10" customWidth="1" min="114" max="114"/>
    <col width="10" customWidth="1" min="115" max="115"/>
    <col width="9" customWidth="1" min="116" max="116"/>
    <col width="7" customWidth="1" min="117" max="117"/>
    <col width="10" customWidth="1" min="118" max="118"/>
    <col width="10" customWidth="1" min="119" max="119"/>
    <col width="9" customWidth="1" min="120" max="120"/>
    <col width="7" customWidth="1" min="121" max="121"/>
    <col width="10" customWidth="1" min="122" max="122"/>
    <col width="10" customWidth="1" min="123" max="123"/>
    <col width="9" customWidth="1" min="124" max="124"/>
    <col width="7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</cols>
  <sheetData>
    <row r="1" ht="52" customFormat="1" customHeight="1" s="53">
      <c r="A1" s="6" t="inlineStr">
        <is>
          <t>打卡地点</t>
        </is>
      </c>
      <c r="B1" s="6" t="inlineStr">
        <is>
          <t>姓名</t>
        </is>
      </c>
      <c r="C1" s="6" t="inlineStr">
        <is>
          <t>工号</t>
        </is>
      </c>
      <c r="D1" s="6" t="inlineStr">
        <is>
          <t>一级部门</t>
        </is>
      </c>
      <c r="E1" s="6" t="inlineStr">
        <is>
          <t>二级部门</t>
        </is>
      </c>
      <c r="F1" s="114" t="n">
        <v>46113</v>
      </c>
      <c r="G1" s="6" t="n"/>
      <c r="H1" s="6" t="inlineStr">
        <is>
          <t>小时数</t>
        </is>
      </c>
      <c r="I1" s="6" t="inlineStr">
        <is>
          <t>天数</t>
        </is>
      </c>
      <c r="J1" s="114" t="n">
        <v>46114</v>
      </c>
      <c r="K1" s="6" t="n"/>
      <c r="L1" s="6" t="inlineStr">
        <is>
          <t>小时数</t>
        </is>
      </c>
      <c r="M1" s="6" t="inlineStr">
        <is>
          <t>天数</t>
        </is>
      </c>
      <c r="N1" s="114" t="n">
        <v>46115</v>
      </c>
      <c r="O1" s="6" t="n"/>
      <c r="P1" s="6" t="inlineStr">
        <is>
          <t>小时数</t>
        </is>
      </c>
      <c r="Q1" s="6" t="inlineStr">
        <is>
          <t>天数</t>
        </is>
      </c>
      <c r="R1" s="114" t="n">
        <v>46116</v>
      </c>
      <c r="S1" s="6" t="n"/>
      <c r="T1" s="6" t="inlineStr">
        <is>
          <t>小时数</t>
        </is>
      </c>
      <c r="U1" s="6" t="inlineStr">
        <is>
          <t>天数</t>
        </is>
      </c>
      <c r="V1" s="114" t="n">
        <v>46117</v>
      </c>
      <c r="W1" s="6" t="n"/>
      <c r="X1" s="6" t="inlineStr">
        <is>
          <t>小时数</t>
        </is>
      </c>
      <c r="Y1" s="6" t="inlineStr">
        <is>
          <t>天数</t>
        </is>
      </c>
      <c r="Z1" s="114" t="n">
        <v>46118</v>
      </c>
      <c r="AA1" s="6" t="n"/>
      <c r="AB1" s="6" t="inlineStr">
        <is>
          <t>小时数</t>
        </is>
      </c>
      <c r="AC1" s="6" t="inlineStr">
        <is>
          <t>天数</t>
        </is>
      </c>
      <c r="AD1" s="114" t="n">
        <v>46119</v>
      </c>
      <c r="AE1" s="6" t="n"/>
      <c r="AF1" s="6" t="inlineStr">
        <is>
          <t>小时数</t>
        </is>
      </c>
      <c r="AG1" s="6" t="inlineStr">
        <is>
          <t>天数</t>
        </is>
      </c>
      <c r="AH1" s="114" t="n">
        <v>46120</v>
      </c>
      <c r="AI1" s="6" t="n"/>
      <c r="AJ1" s="6" t="inlineStr">
        <is>
          <t>小时数</t>
        </is>
      </c>
      <c r="AK1" s="6" t="inlineStr">
        <is>
          <t>天数</t>
        </is>
      </c>
      <c r="AL1" s="114" t="n">
        <v>46121</v>
      </c>
      <c r="AM1" s="6" t="n"/>
      <c r="AN1" s="6" t="inlineStr">
        <is>
          <t>小时数</t>
        </is>
      </c>
      <c r="AO1" s="6" t="inlineStr">
        <is>
          <t>天数</t>
        </is>
      </c>
      <c r="AP1" s="114" t="n">
        <v>46122</v>
      </c>
      <c r="AQ1" s="6" t="n"/>
      <c r="AR1" s="6" t="inlineStr">
        <is>
          <t>小时数</t>
        </is>
      </c>
      <c r="AS1" s="6" t="inlineStr">
        <is>
          <t>天数</t>
        </is>
      </c>
      <c r="AT1" s="114" t="n">
        <v>46123</v>
      </c>
      <c r="AU1" s="6" t="n"/>
      <c r="AV1" s="6" t="inlineStr">
        <is>
          <t>小时数</t>
        </is>
      </c>
      <c r="AW1" s="6" t="inlineStr">
        <is>
          <t>天数</t>
        </is>
      </c>
      <c r="AX1" s="114" t="n">
        <v>46124</v>
      </c>
      <c r="AY1" s="6" t="n"/>
      <c r="AZ1" s="6" t="inlineStr">
        <is>
          <t>小时数</t>
        </is>
      </c>
      <c r="BA1" s="6" t="inlineStr">
        <is>
          <t>天数</t>
        </is>
      </c>
      <c r="BB1" s="114" t="n">
        <v>46125</v>
      </c>
      <c r="BC1" s="6" t="n"/>
      <c r="BD1" s="6" t="inlineStr">
        <is>
          <t>小时数</t>
        </is>
      </c>
      <c r="BE1" s="6" t="inlineStr">
        <is>
          <t>天数</t>
        </is>
      </c>
      <c r="BF1" s="114" t="n">
        <v>46126</v>
      </c>
      <c r="BG1" s="6" t="n"/>
      <c r="BH1" s="6" t="inlineStr">
        <is>
          <t>小时数</t>
        </is>
      </c>
      <c r="BI1" s="6" t="inlineStr">
        <is>
          <t>天数</t>
        </is>
      </c>
      <c r="BJ1" s="114" t="n">
        <v>46127</v>
      </c>
      <c r="BK1" s="6" t="n"/>
      <c r="BL1" s="6" t="inlineStr">
        <is>
          <t>小时数</t>
        </is>
      </c>
      <c r="BM1" s="6" t="inlineStr">
        <is>
          <t>天数</t>
        </is>
      </c>
      <c r="BN1" s="114" t="n">
        <v>46128</v>
      </c>
      <c r="BO1" s="6" t="n"/>
      <c r="BP1" s="6" t="inlineStr">
        <is>
          <t>小时数</t>
        </is>
      </c>
      <c r="BQ1" s="6" t="inlineStr">
        <is>
          <t>天数</t>
        </is>
      </c>
      <c r="BR1" s="114" t="n">
        <v>46129</v>
      </c>
      <c r="BS1" s="6" t="n"/>
      <c r="BT1" s="6" t="inlineStr">
        <is>
          <t>小时数</t>
        </is>
      </c>
      <c r="BU1" s="6" t="inlineStr">
        <is>
          <t>天数</t>
        </is>
      </c>
      <c r="BV1" s="114" t="n">
        <v>46130</v>
      </c>
      <c r="BW1" s="6" t="n"/>
      <c r="BX1" s="6" t="inlineStr">
        <is>
          <t>小时数</t>
        </is>
      </c>
      <c r="BY1" s="6" t="inlineStr">
        <is>
          <t>天数</t>
        </is>
      </c>
      <c r="BZ1" s="114" t="n">
        <v>46131</v>
      </c>
      <c r="CA1" s="6" t="n"/>
      <c r="CB1" s="6" t="inlineStr">
        <is>
          <t>小时数</t>
        </is>
      </c>
      <c r="CC1" s="6" t="inlineStr">
        <is>
          <t>天数</t>
        </is>
      </c>
      <c r="CD1" s="114" t="n">
        <v>46132</v>
      </c>
      <c r="CE1" s="6" t="n"/>
      <c r="CF1" s="6" t="inlineStr">
        <is>
          <t>小时数</t>
        </is>
      </c>
      <c r="CG1" s="6" t="inlineStr">
        <is>
          <t>天数</t>
        </is>
      </c>
      <c r="CH1" s="114" t="n">
        <v>46133</v>
      </c>
      <c r="CI1" s="6" t="n"/>
      <c r="CJ1" s="6" t="inlineStr">
        <is>
          <t>小时数</t>
        </is>
      </c>
      <c r="CK1" s="6" t="inlineStr">
        <is>
          <t>天数</t>
        </is>
      </c>
      <c r="CL1" s="114" t="n">
        <v>46134</v>
      </c>
      <c r="CM1" s="6" t="n"/>
      <c r="CN1" s="6" t="inlineStr">
        <is>
          <t>小时数</t>
        </is>
      </c>
      <c r="CO1" s="6" t="inlineStr">
        <is>
          <t>天数</t>
        </is>
      </c>
      <c r="CP1" s="114" t="n">
        <v>46135</v>
      </c>
      <c r="CQ1" s="6" t="n"/>
      <c r="CR1" s="6" t="inlineStr">
        <is>
          <t>小时数</t>
        </is>
      </c>
      <c r="CS1" s="6" t="inlineStr">
        <is>
          <t>天数</t>
        </is>
      </c>
      <c r="CT1" s="114" t="n">
        <v>46136</v>
      </c>
      <c r="CU1" s="6" t="n"/>
      <c r="CV1" s="6" t="inlineStr">
        <is>
          <t>小时数</t>
        </is>
      </c>
      <c r="CW1" s="6" t="inlineStr">
        <is>
          <t>天数</t>
        </is>
      </c>
      <c r="CX1" s="114" t="n">
        <v>46137</v>
      </c>
      <c r="CY1" s="6" t="n"/>
      <c r="CZ1" s="6" t="inlineStr">
        <is>
          <t>小时数</t>
        </is>
      </c>
      <c r="DA1" s="6" t="inlineStr">
        <is>
          <t>天数</t>
        </is>
      </c>
      <c r="DB1" s="114" t="n">
        <v>46138</v>
      </c>
      <c r="DC1" s="6" t="n"/>
      <c r="DD1" s="6" t="inlineStr">
        <is>
          <t>小时数</t>
        </is>
      </c>
      <c r="DE1" s="6" t="inlineStr">
        <is>
          <t>天数</t>
        </is>
      </c>
      <c r="DF1" s="114" t="n">
        <v>46139</v>
      </c>
      <c r="DG1" s="6" t="n"/>
      <c r="DH1" s="6" t="inlineStr">
        <is>
          <t>小时数</t>
        </is>
      </c>
      <c r="DI1" s="6" t="inlineStr">
        <is>
          <t>天数</t>
        </is>
      </c>
      <c r="DJ1" s="114" t="n">
        <v>46140</v>
      </c>
      <c r="DK1" s="6" t="n"/>
      <c r="DL1" s="6" t="inlineStr">
        <is>
          <t>小时数</t>
        </is>
      </c>
      <c r="DM1" s="6" t="inlineStr">
        <is>
          <t>天数</t>
        </is>
      </c>
      <c r="DN1" s="114" t="n">
        <v>46141</v>
      </c>
      <c r="DO1" s="6" t="n"/>
      <c r="DP1" s="6" t="inlineStr">
        <is>
          <t>小时数</t>
        </is>
      </c>
      <c r="DQ1" s="6" t="inlineStr">
        <is>
          <t>天数</t>
        </is>
      </c>
      <c r="DR1" s="114" t="n">
        <v>46142</v>
      </c>
      <c r="DS1" s="6" t="n"/>
      <c r="DT1" s="6" t="inlineStr">
        <is>
          <t>小时数</t>
        </is>
      </c>
      <c r="DU1" s="6" t="inlineStr">
        <is>
          <t>天数</t>
        </is>
      </c>
      <c r="DV1" s="6" t="n"/>
      <c r="DW1" s="6" t="n"/>
      <c r="DX1" s="6" t="n"/>
      <c r="DY1" s="6" t="n"/>
      <c r="DZ1" s="6" t="inlineStr">
        <is>
          <t>总小时数</t>
        </is>
      </c>
      <c r="EA1" s="6" t="inlineStr">
        <is>
          <t>总天数</t>
        </is>
      </c>
      <c r="EB1" s="6" t="inlineStr">
        <is>
          <t>1日异常</t>
        </is>
      </c>
      <c r="EC1" s="6" t="inlineStr">
        <is>
          <t>2日异常</t>
        </is>
      </c>
      <c r="ED1" s="6" t="inlineStr">
        <is>
          <t>3日异常</t>
        </is>
      </c>
      <c r="EE1" s="6" t="inlineStr">
        <is>
          <t>4日异常</t>
        </is>
      </c>
      <c r="EF1" s="6" t="inlineStr">
        <is>
          <t>5日异常</t>
        </is>
      </c>
      <c r="EG1" s="6" t="inlineStr">
        <is>
          <t>6日异常</t>
        </is>
      </c>
      <c r="EH1" s="6" t="inlineStr">
        <is>
          <t>7日异常</t>
        </is>
      </c>
      <c r="EI1" s="6" t="inlineStr">
        <is>
          <t>8日异常</t>
        </is>
      </c>
      <c r="EJ1" s="6" t="inlineStr">
        <is>
          <t>9日异常</t>
        </is>
      </c>
      <c r="EK1" s="6" t="inlineStr">
        <is>
          <t>10日异常</t>
        </is>
      </c>
      <c r="EL1" s="6" t="inlineStr">
        <is>
          <t>11日异常</t>
        </is>
      </c>
      <c r="EM1" s="6" t="inlineStr">
        <is>
          <t>12日异常</t>
        </is>
      </c>
      <c r="EN1" s="6" t="inlineStr">
        <is>
          <t>13日异常</t>
        </is>
      </c>
      <c r="EO1" s="6" t="inlineStr">
        <is>
          <t>14日异常</t>
        </is>
      </c>
      <c r="EP1" s="6" t="inlineStr">
        <is>
          <t>15日异常</t>
        </is>
      </c>
      <c r="EQ1" s="6" t="inlineStr">
        <is>
          <t>16日异常</t>
        </is>
      </c>
      <c r="ER1" s="6" t="inlineStr">
        <is>
          <t>17日异常</t>
        </is>
      </c>
      <c r="ES1" s="6" t="inlineStr">
        <is>
          <t>18日异常</t>
        </is>
      </c>
      <c r="ET1" s="6" t="inlineStr">
        <is>
          <t>19日异常</t>
        </is>
      </c>
      <c r="EU1" s="6" t="inlineStr">
        <is>
          <t>20日异常</t>
        </is>
      </c>
      <c r="EV1" s="6" t="inlineStr">
        <is>
          <t>21日异常</t>
        </is>
      </c>
      <c r="EW1" s="6" t="inlineStr">
        <is>
          <t>22日异常</t>
        </is>
      </c>
      <c r="EX1" s="6" t="inlineStr">
        <is>
          <t>23日异常</t>
        </is>
      </c>
      <c r="EY1" s="6" t="inlineStr">
        <is>
          <t>24日异常</t>
        </is>
      </c>
      <c r="EZ1" s="6" t="inlineStr">
        <is>
          <t>25日异常</t>
        </is>
      </c>
      <c r="FA1" s="6" t="inlineStr">
        <is>
          <t>26日异常</t>
        </is>
      </c>
      <c r="FB1" s="6" t="inlineStr">
        <is>
          <t>27日异常</t>
        </is>
      </c>
      <c r="FC1" s="6" t="inlineStr">
        <is>
          <t>28日异常</t>
        </is>
      </c>
      <c r="FD1" s="6" t="inlineStr">
        <is>
          <t>29日异常</t>
        </is>
      </c>
      <c r="FE1" s="6" t="inlineStr">
        <is>
          <t>30日异常</t>
        </is>
      </c>
    </row>
    <row r="2" ht="59" customFormat="1" customHeight="1" s="54">
      <c r="A2" s="55" t="inlineStr">
        <is>
          <t>五楼</t>
        </is>
      </c>
      <c r="B2" s="56" t="inlineStr">
        <is>
          <t>高淑文</t>
        </is>
      </c>
      <c r="C2" s="41" t="inlineStr">
        <is>
          <t>2</t>
        </is>
      </c>
      <c r="D2" s="41" t="n"/>
      <c r="E2" s="57" t="n"/>
      <c r="F2" s="115" t="n">
        <v>0.3534722222222222</v>
      </c>
      <c r="G2" s="58" t="n">
        <v>0.7361111111111112</v>
      </c>
      <c r="H2" s="83">
        <f>MOD(G2-F2,1)*24</f>
        <v/>
      </c>
      <c r="I2" s="57" t="n">
        <v>1</v>
      </c>
      <c r="J2" s="58" t="n">
        <v>0.3451388888888889</v>
      </c>
      <c r="K2" s="58" t="n"/>
      <c r="L2" s="83" t="n"/>
      <c r="M2" s="57" t="n">
        <v>0.5</v>
      </c>
      <c r="N2" s="58" t="n">
        <v>0.3465277777777778</v>
      </c>
      <c r="O2" s="58" t="n">
        <v>0.7361111111111112</v>
      </c>
      <c r="P2" s="83">
        <f>MOD(O2-N2,1)*24</f>
        <v/>
      </c>
      <c r="Q2" s="57" t="n">
        <v>1</v>
      </c>
      <c r="R2" s="58" t="n"/>
      <c r="S2" s="58" t="n"/>
      <c r="T2" s="83" t="n"/>
      <c r="U2" s="57" t="n"/>
      <c r="V2" s="58" t="n"/>
      <c r="W2" s="58" t="n"/>
      <c r="X2" s="83" t="n"/>
      <c r="Y2" s="57" t="n"/>
      <c r="Z2" s="58" t="n">
        <v>0.3506944444444444</v>
      </c>
      <c r="AA2" s="60" t="n">
        <v>0.7361111111111112</v>
      </c>
      <c r="AB2" s="83">
        <f>MOD(AA2-Z2,1)*24</f>
        <v/>
      </c>
      <c r="AC2" s="41" t="n">
        <v>1</v>
      </c>
      <c r="AD2" s="116" t="n">
        <v>0.3444444444444444</v>
      </c>
      <c r="AE2" s="117" t="n">
        <v>0.7361111111111112</v>
      </c>
      <c r="AF2" s="83">
        <f>MOD(AE2-AD2,1)*24</f>
        <v/>
      </c>
      <c r="AG2" s="57" t="n">
        <v>1</v>
      </c>
      <c r="AH2" s="58" t="n">
        <v>0.3416666666666667</v>
      </c>
      <c r="AI2" s="58" t="n">
        <v>0.7361111111111112</v>
      </c>
      <c r="AJ2" s="83">
        <f>MOD(AI2-AH2,1)*24</f>
        <v/>
      </c>
      <c r="AK2" s="57" t="n">
        <v>1</v>
      </c>
      <c r="AL2" s="58" t="n">
        <v>0.3416666666666667</v>
      </c>
      <c r="AM2" s="58" t="n">
        <v>0.7361111111111112</v>
      </c>
      <c r="AN2" s="83">
        <f>MOD(AM2-AL2,1)*24</f>
        <v/>
      </c>
      <c r="AO2" s="57" t="n">
        <v>1</v>
      </c>
      <c r="AP2" s="58" t="n">
        <v>0.34375</v>
      </c>
      <c r="AQ2" s="58" t="n">
        <v>0.7361111111111112</v>
      </c>
      <c r="AR2" s="83">
        <f>MOD(AQ2-AP2,1)*24</f>
        <v/>
      </c>
      <c r="AS2" s="57" t="n">
        <v>1</v>
      </c>
      <c r="AT2" s="58" t="n">
        <v>0.3472222222222222</v>
      </c>
      <c r="AU2" s="58" t="n">
        <v>0.7361111111111112</v>
      </c>
      <c r="AV2" s="83">
        <f>MOD(AU2-AT2,1)*24</f>
        <v/>
      </c>
      <c r="AW2" s="57" t="n">
        <v>1</v>
      </c>
      <c r="AX2" s="58" t="n"/>
      <c r="AY2" s="58" t="n"/>
      <c r="AZ2" s="83" t="n"/>
      <c r="BA2" s="57" t="n"/>
      <c r="BB2" s="58" t="n">
        <v>0.3493055555555555</v>
      </c>
      <c r="BC2" s="60" t="n">
        <v>0.7368055555555556</v>
      </c>
      <c r="BD2" s="83">
        <f>MOD(BC2-BB2,1)*24</f>
        <v/>
      </c>
      <c r="BE2" s="41" t="n">
        <v>1</v>
      </c>
      <c r="BF2" s="116" t="n">
        <v>0.3472222222222222</v>
      </c>
      <c r="BG2" s="115" t="n">
        <v>0.7361111111111112</v>
      </c>
      <c r="BH2" s="83">
        <f>MOD(BG2-BF2,1)*24</f>
        <v/>
      </c>
      <c r="BI2" s="57" t="n">
        <v>1</v>
      </c>
      <c r="BJ2" s="58" t="n">
        <v>0.3451388888888889</v>
      </c>
      <c r="BK2" s="58" t="n">
        <v>0.7368055555555556</v>
      </c>
      <c r="BL2" s="83">
        <f>MOD(BK2-BJ2,1)*24</f>
        <v/>
      </c>
      <c r="BM2" s="57" t="n">
        <v>1</v>
      </c>
      <c r="BN2" s="58" t="n">
        <v>0.3465277777777778</v>
      </c>
      <c r="BO2" s="58" t="n">
        <v>0.7361111111111112</v>
      </c>
      <c r="BP2" s="83">
        <f>MOD(BO2-BN2,1)*24</f>
        <v/>
      </c>
      <c r="BQ2" s="57" t="n">
        <v>1</v>
      </c>
      <c r="BR2" s="58" t="n">
        <v>0.34375</v>
      </c>
      <c r="BS2" s="58" t="n">
        <v>0.7368055555555556</v>
      </c>
      <c r="BT2" s="83">
        <f>MOD(BS2-BR2,1)*24</f>
        <v/>
      </c>
      <c r="BU2" s="57" t="n">
        <v>1</v>
      </c>
      <c r="BV2" s="58" t="n">
        <v>0.3479166666666667</v>
      </c>
      <c r="BW2" s="60" t="n">
        <v>0.7368055555555556</v>
      </c>
      <c r="BX2" s="83">
        <f>MOD(BW2-BV2,1)*24</f>
        <v/>
      </c>
      <c r="BY2" s="41" t="n">
        <v>1</v>
      </c>
      <c r="BZ2" s="41" t="n"/>
      <c r="CA2" s="41" t="n"/>
      <c r="CB2" s="83" t="n"/>
      <c r="CC2" s="41" t="n"/>
      <c r="CD2" s="116" t="n">
        <v>0.3430555555555556</v>
      </c>
      <c r="CE2" s="115" t="n">
        <v>0.7361111111111112</v>
      </c>
      <c r="CF2" s="83">
        <f>MOD(CE2-CD2,1)*24</f>
        <v/>
      </c>
      <c r="CG2" s="57" t="n">
        <v>1</v>
      </c>
      <c r="CH2" s="58" t="n">
        <v>0.3465277777777778</v>
      </c>
      <c r="CI2" s="58" t="n">
        <v>0.7368055555555556</v>
      </c>
      <c r="CJ2" s="83">
        <f>MOD(CI2-CH2,1)*24</f>
        <v/>
      </c>
      <c r="CK2" s="57" t="n">
        <v>1</v>
      </c>
      <c r="CL2" s="58" t="n">
        <v>0.3423611111111111</v>
      </c>
      <c r="CM2" s="58" t="n">
        <v>0.7361111111111112</v>
      </c>
      <c r="CN2" s="83">
        <f>MOD(CM2-CL2,1)*24</f>
        <v/>
      </c>
      <c r="CO2" s="57" t="n">
        <v>1</v>
      </c>
      <c r="CP2" s="58" t="n">
        <v>0.34375</v>
      </c>
      <c r="CQ2" s="58" t="n">
        <v>0.7361111111111112</v>
      </c>
      <c r="CR2" s="83">
        <f>MOD(CQ2-CP2,1)*24</f>
        <v/>
      </c>
      <c r="CS2" s="57" t="n">
        <v>1</v>
      </c>
      <c r="CT2" s="58" t="n">
        <v>0.3493055555555555</v>
      </c>
      <c r="CU2" s="58" t="n">
        <v>0.7361111111111112</v>
      </c>
      <c r="CV2" s="83">
        <f>MOD(CU2-CT2,1)*24</f>
        <v/>
      </c>
      <c r="CW2" s="57" t="n">
        <v>1</v>
      </c>
      <c r="CX2" s="58" t="n">
        <v>0.3395833333333333</v>
      </c>
      <c r="CY2" s="58" t="n">
        <v>0.7361111111111112</v>
      </c>
      <c r="CZ2" s="83">
        <f>MOD(CY2-CX2,1)*24</f>
        <v/>
      </c>
      <c r="DA2" s="57" t="n">
        <v>1</v>
      </c>
      <c r="DB2" s="58" t="n"/>
      <c r="DC2" s="58" t="n"/>
      <c r="DD2" s="83" t="n"/>
      <c r="DE2" s="57" t="n"/>
      <c r="DF2" s="58" t="n">
        <v>0.3444444444444444</v>
      </c>
      <c r="DG2" s="60" t="n">
        <v>0.7361111111111112</v>
      </c>
      <c r="DH2" s="83">
        <f>MOD(DG2-DF2,1)*24</f>
        <v/>
      </c>
      <c r="DI2" s="41" t="n">
        <v>1</v>
      </c>
      <c r="DJ2" s="116" t="n">
        <v>0.3472222222222222</v>
      </c>
      <c r="DK2" s="116" t="n">
        <v>0.7368055555555556</v>
      </c>
      <c r="DL2" s="83">
        <f>MOD(DK2-DJ2,1)*24</f>
        <v/>
      </c>
      <c r="DM2" s="41" t="n">
        <v>1</v>
      </c>
      <c r="DN2" s="58" t="n">
        <v>0.3409722222222222</v>
      </c>
      <c r="DO2" s="58" t="n">
        <v>0.7368055555555556</v>
      </c>
      <c r="DP2" s="83">
        <f>MOD(DO2-DN2,1)*24</f>
        <v/>
      </c>
      <c r="DQ2" s="57" t="n">
        <v>1</v>
      </c>
      <c r="DR2" s="61" t="n">
        <v>0.3458333333333333</v>
      </c>
      <c r="DS2" s="62" t="n">
        <v>0.7361111111111112</v>
      </c>
      <c r="DT2" s="83">
        <f>MOD(DS2-DR2,1)*24</f>
        <v/>
      </c>
      <c r="DU2" s="41" t="n">
        <v>1</v>
      </c>
      <c r="DV2" s="61">
        <f>SUM(H2,L2,P2,T2,X2,AB2,AF2,AJ2,AN2,AR2,AV2,AZ2,BD2,BH2,BL2,BP2,BT2,BX2,CB2,CF2,CJ2,CN2,CR2,CV2,CZ2,DD2,DH2,DL2,DP2,DT2)</f>
        <v/>
      </c>
      <c r="DW2" s="62">
        <f>SUM(I2,M2,Q2,U2,Y2,AC2,AG2,AK2,AO2,AS2,AW2,BA2,BE2,BI2,BM2,BQ2,BU2,BY2,CC2,CG2,CK2,CO2,CS2,CW2,DA2,DE2,DI2,DM2,DQ2,DU2)</f>
        <v/>
      </c>
      <c r="DX2" s="83" t="n"/>
      <c r="DY2" s="41" t="n"/>
      <c r="DZ2" s="84" t="n"/>
      <c r="EA2" s="84" t="n"/>
      <c r="EB2" s="84" t="n"/>
      <c r="EC2" s="84" t="inlineStr">
        <is>
          <t>只打一次卡</t>
        </is>
      </c>
      <c r="ED2" s="84" t="n"/>
      <c r="EE2" s="84" t="n"/>
      <c r="EF2" s="84" t="n"/>
      <c r="EG2" s="84" t="n"/>
      <c r="EH2" s="84" t="n"/>
      <c r="EI2" s="84" t="n"/>
      <c r="EJ2" s="84" t="n"/>
      <c r="EK2" s="84" t="n"/>
      <c r="EL2" s="84" t="n"/>
      <c r="EM2" s="84" t="n"/>
      <c r="EN2" s="84" t="n"/>
      <c r="EO2" s="84" t="n"/>
      <c r="EP2" s="84" t="n"/>
      <c r="EQ2" s="84" t="n"/>
      <c r="ER2" s="84" t="n"/>
      <c r="ES2" s="84" t="n"/>
      <c r="ET2" s="84" t="n"/>
      <c r="EU2" s="84" t="n"/>
      <c r="EV2" s="84" t="n"/>
      <c r="EW2" s="84" t="n"/>
      <c r="EX2" s="84" t="n"/>
      <c r="EY2" s="84" t="n"/>
      <c r="EZ2" s="84" t="n"/>
      <c r="FA2" s="84" t="n"/>
      <c r="FB2" s="84" t="n"/>
      <c r="FC2" s="84" t="n"/>
      <c r="FD2" s="84" t="n"/>
      <c r="FE2" s="84" t="n"/>
    </row>
    <row r="3" ht="59" customFormat="1" customHeight="1" s="54">
      <c r="A3" s="55" t="inlineStr">
        <is>
          <t>五楼</t>
        </is>
      </c>
      <c r="B3" s="56" t="inlineStr">
        <is>
          <t>伍小雪</t>
        </is>
      </c>
      <c r="C3" s="41" t="inlineStr">
        <is>
          <t>3</t>
        </is>
      </c>
      <c r="D3" s="41" t="n"/>
      <c r="E3" s="57" t="n"/>
      <c r="F3" s="115" t="n">
        <v>0.3534722222222222</v>
      </c>
      <c r="G3" s="58" t="n">
        <v>0.75</v>
      </c>
      <c r="H3" s="83">
        <f>MOD(G3-F3,1)*24</f>
        <v/>
      </c>
      <c r="I3" s="57" t="n">
        <v>1</v>
      </c>
      <c r="J3" s="58" t="n">
        <v>0.3527777777777778</v>
      </c>
      <c r="K3" s="58" t="n">
        <v>0.7381944444444445</v>
      </c>
      <c r="L3" s="83">
        <f>MOD(K3-J3,1)*24</f>
        <v/>
      </c>
      <c r="M3" s="57" t="n">
        <v>1</v>
      </c>
      <c r="N3" s="58" t="n">
        <v>0.3493055555555555</v>
      </c>
      <c r="O3" s="58" t="n">
        <v>0.7402777777777778</v>
      </c>
      <c r="P3" s="83">
        <f>MOD(O3-N3,1)*24</f>
        <v/>
      </c>
      <c r="Q3" s="57" t="n">
        <v>1</v>
      </c>
      <c r="R3" s="58" t="n"/>
      <c r="S3" s="58" t="n"/>
      <c r="T3" s="83" t="n"/>
      <c r="U3" s="57" t="n"/>
      <c r="V3" s="58" t="n"/>
      <c r="W3" s="58" t="n"/>
      <c r="X3" s="83" t="n"/>
      <c r="Y3" s="57" t="n"/>
      <c r="Z3" s="58" t="n">
        <v>0.35</v>
      </c>
      <c r="AA3" s="60" t="n">
        <v>0.7395833333333334</v>
      </c>
      <c r="AB3" s="83">
        <f>MOD(AA3-Z3,1)*24</f>
        <v/>
      </c>
      <c r="AC3" s="41" t="n">
        <v>1</v>
      </c>
      <c r="AD3" s="116" t="n">
        <v>0.3534722222222222</v>
      </c>
      <c r="AE3" s="117" t="n">
        <v>0.7583333333333333</v>
      </c>
      <c r="AF3" s="83">
        <f>MOD(AE3-AD3,1)*24</f>
        <v/>
      </c>
      <c r="AG3" s="57" t="n">
        <v>1</v>
      </c>
      <c r="AH3" s="58" t="n">
        <v>0.35</v>
      </c>
      <c r="AI3" s="58" t="n">
        <v>0.7409722222222223</v>
      </c>
      <c r="AJ3" s="83">
        <f>MOD(AI3-AH3,1)*24</f>
        <v/>
      </c>
      <c r="AK3" s="57" t="n">
        <v>1</v>
      </c>
      <c r="AL3" s="58" t="n">
        <v>0.3520833333333334</v>
      </c>
      <c r="AM3" s="58" t="n">
        <v>0.7375</v>
      </c>
      <c r="AN3" s="83">
        <f>MOD(AM3-AL3,1)*24</f>
        <v/>
      </c>
      <c r="AO3" s="57" t="n">
        <v>1</v>
      </c>
      <c r="AP3" s="58" t="n">
        <v>0.35</v>
      </c>
      <c r="AQ3" s="58" t="n">
        <v>0.74375</v>
      </c>
      <c r="AR3" s="83">
        <f>MOD(AQ3-AP3,1)*24</f>
        <v/>
      </c>
      <c r="AS3" s="57" t="n">
        <v>1</v>
      </c>
      <c r="AT3" s="58" t="n">
        <v>0.3493055555555555</v>
      </c>
      <c r="AU3" s="58" t="n">
        <v>0.7395833333333334</v>
      </c>
      <c r="AV3" s="83">
        <f>MOD(AU3-AT3,1)*24</f>
        <v/>
      </c>
      <c r="AW3" s="57" t="n">
        <v>1</v>
      </c>
      <c r="AX3" s="58" t="n"/>
      <c r="AY3" s="58" t="n"/>
      <c r="AZ3" s="83" t="n"/>
      <c r="BA3" s="57" t="n"/>
      <c r="BB3" s="58" t="n">
        <v>0.3520833333333334</v>
      </c>
      <c r="BC3" s="60" t="n">
        <v>0.7368055555555556</v>
      </c>
      <c r="BD3" s="83">
        <f>MOD(BC3-BB3,1)*24</f>
        <v/>
      </c>
      <c r="BE3" s="41" t="n">
        <v>1</v>
      </c>
      <c r="BF3" s="116" t="n">
        <v>0.3506944444444444</v>
      </c>
      <c r="BG3" s="115" t="n">
        <v>0.8388888888888889</v>
      </c>
      <c r="BH3" s="83">
        <f>MOD(BG3-BF3,1)*24</f>
        <v/>
      </c>
      <c r="BI3" s="57" t="n">
        <v>1</v>
      </c>
      <c r="BJ3" s="58" t="n">
        <v>0.3506944444444444</v>
      </c>
      <c r="BK3" s="58" t="n">
        <v>0.7381944444444445</v>
      </c>
      <c r="BL3" s="83">
        <f>MOD(BK3-BJ3,1)*24</f>
        <v/>
      </c>
      <c r="BM3" s="57" t="n">
        <v>1</v>
      </c>
      <c r="BN3" s="58" t="n">
        <v>0.3513888888888889</v>
      </c>
      <c r="BO3" s="58" t="n">
        <v>0.7381944444444445</v>
      </c>
      <c r="BP3" s="83">
        <f>MOD(BO3-BN3,1)*24</f>
        <v/>
      </c>
      <c r="BQ3" s="57" t="n">
        <v>1</v>
      </c>
      <c r="BR3" s="58" t="n">
        <v>0.3513888888888889</v>
      </c>
      <c r="BS3" s="58" t="n">
        <v>0.7430555555555556</v>
      </c>
      <c r="BT3" s="83">
        <f>MOD(BS3-BR3,1)*24</f>
        <v/>
      </c>
      <c r="BU3" s="57" t="n">
        <v>1</v>
      </c>
      <c r="BV3" s="58" t="n">
        <v>0.3465277777777778</v>
      </c>
      <c r="BW3" s="60" t="n">
        <v>0.7451388888888889</v>
      </c>
      <c r="BX3" s="83">
        <f>MOD(BW3-BV3,1)*24</f>
        <v/>
      </c>
      <c r="BY3" s="41" t="n">
        <v>1</v>
      </c>
      <c r="BZ3" s="41" t="n"/>
      <c r="CA3" s="41" t="n"/>
      <c r="CB3" s="83" t="n"/>
      <c r="CC3" s="41" t="n"/>
      <c r="CD3" s="116" t="n">
        <v>0.3527777777777778</v>
      </c>
      <c r="CE3" s="115" t="n">
        <v>0.7416666666666667</v>
      </c>
      <c r="CF3" s="83">
        <f>MOD(CE3-CD3,1)*24</f>
        <v/>
      </c>
      <c r="CG3" s="57" t="n">
        <v>1</v>
      </c>
      <c r="CH3" s="58" t="n">
        <v>0.3486111111111111</v>
      </c>
      <c r="CI3" s="58" t="n">
        <v>0.7381944444444445</v>
      </c>
      <c r="CJ3" s="83">
        <f>MOD(CI3-CH3,1)*24</f>
        <v/>
      </c>
      <c r="CK3" s="57" t="n">
        <v>1</v>
      </c>
      <c r="CL3" s="58" t="n">
        <v>0.3520833333333334</v>
      </c>
      <c r="CM3" s="58" t="n">
        <v>0.7409722222222223</v>
      </c>
      <c r="CN3" s="83">
        <f>MOD(CM3-CL3,1)*24</f>
        <v/>
      </c>
      <c r="CO3" s="57" t="n">
        <v>1</v>
      </c>
      <c r="CP3" s="58" t="n">
        <v>0.3513888888888889</v>
      </c>
      <c r="CQ3" s="58" t="n">
        <v>0.7423611111111111</v>
      </c>
      <c r="CR3" s="83">
        <f>MOD(CQ3-CP3,1)*24</f>
        <v/>
      </c>
      <c r="CS3" s="57" t="n">
        <v>1</v>
      </c>
      <c r="CT3" s="58" t="n">
        <v>0.3451388888888889</v>
      </c>
      <c r="CU3" s="58" t="n">
        <v>0.7395833333333334</v>
      </c>
      <c r="CV3" s="83">
        <f>MOD(CU3-CT3,1)*24</f>
        <v/>
      </c>
      <c r="CW3" s="57" t="n">
        <v>1</v>
      </c>
      <c r="CX3" s="58" t="n">
        <v>0.3479166666666667</v>
      </c>
      <c r="CY3" s="58" t="n">
        <v>0.7451388888888889</v>
      </c>
      <c r="CZ3" s="83">
        <f>MOD(CY3-CX3,1)*24</f>
        <v/>
      </c>
      <c r="DA3" s="57" t="n">
        <v>1</v>
      </c>
      <c r="DB3" s="58" t="n"/>
      <c r="DC3" s="58" t="n"/>
      <c r="DD3" s="83" t="n"/>
      <c r="DE3" s="57" t="n"/>
      <c r="DF3" s="58" t="n">
        <v>0.35</v>
      </c>
      <c r="DG3" s="60" t="n">
        <v>0.7423611111111111</v>
      </c>
      <c r="DH3" s="83">
        <f>MOD(DG3-DF3,1)*24</f>
        <v/>
      </c>
      <c r="DI3" s="41" t="n">
        <v>1</v>
      </c>
      <c r="DJ3" s="116" t="n">
        <v>0.3479166666666667</v>
      </c>
      <c r="DK3" s="116" t="n">
        <v>0.7395833333333334</v>
      </c>
      <c r="DL3" s="83">
        <f>MOD(DK3-DJ3,1)*24</f>
        <v/>
      </c>
      <c r="DM3" s="41" t="n">
        <v>1</v>
      </c>
      <c r="DN3" s="58" t="n">
        <v>0.3479166666666667</v>
      </c>
      <c r="DO3" s="58" t="n">
        <v>0.7409722222222223</v>
      </c>
      <c r="DP3" s="83">
        <f>MOD(DO3-DN3,1)*24</f>
        <v/>
      </c>
      <c r="DQ3" s="57" t="n">
        <v>1</v>
      </c>
      <c r="DR3" s="61" t="n">
        <v>0.3513888888888889</v>
      </c>
      <c r="DS3" s="62" t="n">
        <v>0.7423611111111111</v>
      </c>
      <c r="DT3" s="83">
        <f>MOD(DS3-DR3,1)*24</f>
        <v/>
      </c>
      <c r="DU3" s="41" t="n">
        <v>1</v>
      </c>
      <c r="DV3" s="61">
        <f>SUM(H3,L3,P3,T3,X3,AB3,AF3,AJ3,AN3,AR3,AV3,AZ3,BD3,BH3,BL3,BP3,BT3,BX3,CB3,CF3,CJ3,CN3,CR3,CV3,CZ3,DD3,DH3,DL3,DP3,DT3)</f>
        <v/>
      </c>
      <c r="DW3" s="62">
        <f>SUM(I3,M3,Q3,U3,Y3,AC3,AG3,AK3,AO3,AS3,AW3,BA3,BE3,BI3,BM3,BQ3,BU3,BY3,CC3,CG3,CK3,CO3,CS3,CW3,DA3,DE3,DI3,DM3,DQ3,DU3)</f>
        <v/>
      </c>
      <c r="DX3" s="83" t="n"/>
      <c r="DY3" s="41" t="n"/>
      <c r="DZ3" s="84" t="n"/>
      <c r="EA3" s="84" t="n"/>
      <c r="EB3" s="84" t="n"/>
      <c r="EC3" s="84" t="n"/>
      <c r="ED3" s="84" t="n"/>
      <c r="EE3" s="84" t="n"/>
      <c r="EF3" s="84" t="n"/>
      <c r="EG3" s="84" t="n"/>
      <c r="EH3" s="84" t="n"/>
      <c r="EI3" s="84" t="n"/>
      <c r="EJ3" s="84" t="n"/>
      <c r="EK3" s="84" t="n"/>
      <c r="EL3" s="84" t="n"/>
      <c r="EM3" s="84" t="n"/>
      <c r="EN3" s="84" t="n"/>
      <c r="EO3" s="84" t="n"/>
      <c r="EP3" s="84" t="n"/>
      <c r="EQ3" s="84" t="n"/>
      <c r="ER3" s="84" t="n"/>
      <c r="ES3" s="84" t="n"/>
      <c r="ET3" s="84" t="n"/>
      <c r="EU3" s="84" t="n"/>
      <c r="EV3" s="84" t="n"/>
      <c r="EW3" s="84" t="n"/>
      <c r="EX3" s="84" t="n"/>
      <c r="EY3" s="84" t="n"/>
      <c r="EZ3" s="84" t="n"/>
      <c r="FA3" s="84" t="n"/>
      <c r="FB3" s="84" t="n"/>
      <c r="FC3" s="84" t="n"/>
      <c r="FD3" s="84" t="n"/>
      <c r="FE3" s="84" t="n"/>
    </row>
    <row r="4" ht="59" customFormat="1" customHeight="1" s="54">
      <c r="A4" s="55" t="inlineStr">
        <is>
          <t>五楼</t>
        </is>
      </c>
      <c r="B4" s="56" t="inlineStr">
        <is>
          <t>邱霞</t>
        </is>
      </c>
      <c r="C4" s="41" t="inlineStr">
        <is>
          <t>4</t>
        </is>
      </c>
      <c r="D4" s="41" t="n"/>
      <c r="E4" s="57" t="n"/>
      <c r="F4" s="115" t="n">
        <v>0.3513888888888889</v>
      </c>
      <c r="G4" s="58" t="n">
        <v>0.75</v>
      </c>
      <c r="H4" s="83">
        <f>MOD(G4-F4,1)*24</f>
        <v/>
      </c>
      <c r="I4" s="57" t="n">
        <v>1</v>
      </c>
      <c r="J4" s="58" t="n">
        <v>0.35</v>
      </c>
      <c r="K4" s="58" t="n">
        <v>0.7388888888888889</v>
      </c>
      <c r="L4" s="83">
        <f>MOD(K4-J4,1)*24</f>
        <v/>
      </c>
      <c r="M4" s="57" t="n">
        <v>1</v>
      </c>
      <c r="N4" s="58" t="n">
        <v>0.3506944444444444</v>
      </c>
      <c r="O4" s="58" t="n">
        <v>0.7409722222222223</v>
      </c>
      <c r="P4" s="83">
        <f>MOD(O4-N4,1)*24</f>
        <v/>
      </c>
      <c r="Q4" s="57" t="n">
        <v>1</v>
      </c>
      <c r="R4" s="58" t="n"/>
      <c r="S4" s="58" t="n"/>
      <c r="T4" s="83" t="n"/>
      <c r="U4" s="57" t="n"/>
      <c r="V4" s="58" t="n"/>
      <c r="W4" s="58" t="n"/>
      <c r="X4" s="83" t="n"/>
      <c r="Y4" s="57" t="n"/>
      <c r="Z4" s="58" t="n">
        <v>0.3527777777777778</v>
      </c>
      <c r="AA4" s="60" t="n">
        <v>0.7395833333333334</v>
      </c>
      <c r="AB4" s="83">
        <f>MOD(AA4-Z4,1)*24</f>
        <v/>
      </c>
      <c r="AC4" s="41" t="n">
        <v>1</v>
      </c>
      <c r="AD4" s="116" t="n">
        <v>0.3513888888888889</v>
      </c>
      <c r="AE4" s="117" t="n">
        <v>0.7375</v>
      </c>
      <c r="AF4" s="83">
        <f>MOD(AE4-AD4,1)*24</f>
        <v/>
      </c>
      <c r="AG4" s="57" t="n">
        <v>1</v>
      </c>
      <c r="AH4" s="58" t="n">
        <v>0.3479166666666667</v>
      </c>
      <c r="AI4" s="58" t="n">
        <v>0.7402777777777778</v>
      </c>
      <c r="AJ4" s="83">
        <f>MOD(AI4-AH4,1)*24</f>
        <v/>
      </c>
      <c r="AK4" s="57" t="n">
        <v>1</v>
      </c>
      <c r="AL4" s="58" t="n">
        <v>0.3493055555555555</v>
      </c>
      <c r="AM4" s="58" t="n">
        <v>0.7381944444444445</v>
      </c>
      <c r="AN4" s="83">
        <f>MOD(AM4-AL4,1)*24</f>
        <v/>
      </c>
      <c r="AO4" s="57" t="n">
        <v>1</v>
      </c>
      <c r="AP4" s="58" t="n">
        <v>0.3506944444444444</v>
      </c>
      <c r="AQ4" s="58" t="n">
        <v>0.7395833333333334</v>
      </c>
      <c r="AR4" s="83">
        <f>MOD(AQ4-AP4,1)*24</f>
        <v/>
      </c>
      <c r="AS4" s="57" t="n">
        <v>1</v>
      </c>
      <c r="AT4" s="58" t="n">
        <v>0.3506944444444444</v>
      </c>
      <c r="AU4" s="58" t="n">
        <v>0.7409722222222223</v>
      </c>
      <c r="AV4" s="83">
        <f>MOD(AU4-AT4,1)*24</f>
        <v/>
      </c>
      <c r="AW4" s="57" t="n">
        <v>1</v>
      </c>
      <c r="AX4" s="58" t="n"/>
      <c r="AY4" s="58" t="n"/>
      <c r="AZ4" s="83" t="n"/>
      <c r="BA4" s="57" t="n"/>
      <c r="BB4" s="58" t="n">
        <v>0.35</v>
      </c>
      <c r="BC4" s="60" t="n">
        <v>0.7381944444444445</v>
      </c>
      <c r="BD4" s="83">
        <f>MOD(BC4-BB4,1)*24</f>
        <v/>
      </c>
      <c r="BE4" s="41" t="n">
        <v>1</v>
      </c>
      <c r="BF4" s="116" t="n">
        <v>0.3506944444444444</v>
      </c>
      <c r="BG4" s="115" t="n">
        <v>0.7395833333333334</v>
      </c>
      <c r="BH4" s="83">
        <f>MOD(BG4-BF4,1)*24</f>
        <v/>
      </c>
      <c r="BI4" s="57" t="n">
        <v>1</v>
      </c>
      <c r="BJ4" s="58" t="n">
        <v>0.3493055555555555</v>
      </c>
      <c r="BK4" s="58" t="n">
        <v>0.7381944444444445</v>
      </c>
      <c r="BL4" s="83">
        <f>MOD(BK4-BJ4,1)*24</f>
        <v/>
      </c>
      <c r="BM4" s="57" t="n">
        <v>1</v>
      </c>
      <c r="BN4" s="58" t="n">
        <v>0.3486111111111111</v>
      </c>
      <c r="BO4" s="58" t="n">
        <v>0.7395833333333334</v>
      </c>
      <c r="BP4" s="83">
        <f>MOD(BO4-BN4,1)*24</f>
        <v/>
      </c>
      <c r="BQ4" s="57" t="n">
        <v>1</v>
      </c>
      <c r="BR4" s="58" t="n">
        <v>0.3479166666666667</v>
      </c>
      <c r="BS4" s="58" t="n">
        <v>0.7381944444444445</v>
      </c>
      <c r="BT4" s="83">
        <f>MOD(BS4-BR4,1)*24</f>
        <v/>
      </c>
      <c r="BU4" s="57" t="n">
        <v>1</v>
      </c>
      <c r="BV4" s="58" t="n"/>
      <c r="BW4" s="60" t="n"/>
      <c r="BX4" s="83" t="n"/>
      <c r="BY4" s="41" t="n"/>
      <c r="BZ4" s="116" t="n">
        <v>0.3479166666666667</v>
      </c>
      <c r="CA4" s="116" t="n">
        <v>0.7368055555555556</v>
      </c>
      <c r="CB4" s="83">
        <f>MOD(CA4-BZ4,1)*24</f>
        <v/>
      </c>
      <c r="CC4" s="41" t="n">
        <v>1</v>
      </c>
      <c r="CD4" s="116" t="n">
        <v>0.3493055555555555</v>
      </c>
      <c r="CE4" s="115" t="n">
        <v>0.7409722222222223</v>
      </c>
      <c r="CF4" s="83">
        <f>MOD(CE4-CD4,1)*24</f>
        <v/>
      </c>
      <c r="CG4" s="57" t="n">
        <v>1</v>
      </c>
      <c r="CH4" s="58" t="n">
        <v>0.3486111111111111</v>
      </c>
      <c r="CI4" s="58" t="n">
        <v>0.7381944444444445</v>
      </c>
      <c r="CJ4" s="83">
        <f>MOD(CI4-CH4,1)*24</f>
        <v/>
      </c>
      <c r="CK4" s="57" t="n">
        <v>1</v>
      </c>
      <c r="CL4" s="58" t="n">
        <v>0.3506944444444444</v>
      </c>
      <c r="CM4" s="58" t="n">
        <v>0.7402777777777778</v>
      </c>
      <c r="CN4" s="83">
        <f>MOD(CM4-CL4,1)*24</f>
        <v/>
      </c>
      <c r="CO4" s="57" t="n">
        <v>1</v>
      </c>
      <c r="CP4" s="58" t="n">
        <v>0.35</v>
      </c>
      <c r="CQ4" s="58" t="n">
        <v>0.7423611111111111</v>
      </c>
      <c r="CR4" s="83">
        <f>MOD(CQ4-CP4,1)*24</f>
        <v/>
      </c>
      <c r="CS4" s="57" t="n">
        <v>1</v>
      </c>
      <c r="CT4" s="58" t="n">
        <v>0.3493055555555555</v>
      </c>
      <c r="CU4" s="58" t="n">
        <v>0.7388888888888889</v>
      </c>
      <c r="CV4" s="83">
        <f>MOD(CU4-CT4,1)*24</f>
        <v/>
      </c>
      <c r="CW4" s="57" t="n">
        <v>1</v>
      </c>
      <c r="CX4" s="58" t="n">
        <v>0.3520833333333334</v>
      </c>
      <c r="CY4" s="58" t="n">
        <v>0.7402777777777778</v>
      </c>
      <c r="CZ4" s="83">
        <f>MOD(CY4-CX4,1)*24</f>
        <v/>
      </c>
      <c r="DA4" s="57" t="n">
        <v>1</v>
      </c>
      <c r="DB4" s="58" t="n"/>
      <c r="DC4" s="58" t="n"/>
      <c r="DD4" s="83" t="n"/>
      <c r="DE4" s="57" t="n"/>
      <c r="DF4" s="58" t="n">
        <v>0.3493055555555555</v>
      </c>
      <c r="DG4" s="60" t="n">
        <v>0.7395833333333334</v>
      </c>
      <c r="DH4" s="83">
        <f>MOD(DG4-DF4,1)*24</f>
        <v/>
      </c>
      <c r="DI4" s="41" t="n">
        <v>1</v>
      </c>
      <c r="DJ4" s="116" t="n">
        <v>0.3513888888888889</v>
      </c>
      <c r="DK4" s="116" t="n">
        <v>0.7381944444444445</v>
      </c>
      <c r="DL4" s="83">
        <f>MOD(DK4-DJ4,1)*24</f>
        <v/>
      </c>
      <c r="DM4" s="41" t="n">
        <v>1</v>
      </c>
      <c r="DN4" s="58" t="n">
        <v>0.3506944444444444</v>
      </c>
      <c r="DO4" s="58" t="n">
        <v>0.7381944444444445</v>
      </c>
      <c r="DP4" s="83">
        <f>MOD(DO4-DN4,1)*24</f>
        <v/>
      </c>
      <c r="DQ4" s="57" t="n">
        <v>1</v>
      </c>
      <c r="DR4" s="61" t="n">
        <v>0.3493055555555555</v>
      </c>
      <c r="DS4" s="62" t="n">
        <v>0.7423611111111111</v>
      </c>
      <c r="DT4" s="83">
        <f>MOD(DS4-DR4,1)*24</f>
        <v/>
      </c>
      <c r="DU4" s="41" t="n">
        <v>1</v>
      </c>
      <c r="DV4" s="61">
        <f>SUM(H4,L4,P4,T4,X4,AB4,AF4,AJ4,AN4,AR4,AV4,AZ4,BD4,BH4,BL4,BP4,BT4,BX4,CB4,CF4,CJ4,CN4,CR4,CV4,CZ4,DD4,DH4,DL4,DP4,DT4)</f>
        <v/>
      </c>
      <c r="DW4" s="62">
        <f>SUM(I4,M4,Q4,U4,Y4,AC4,AG4,AK4,AO4,AS4,AW4,BA4,BE4,BI4,BM4,BQ4,BU4,BY4,CC4,CG4,CK4,CO4,CS4,CW4,DA4,DE4,DI4,DM4,DQ4,DU4)</f>
        <v/>
      </c>
      <c r="DX4" s="83" t="n"/>
      <c r="DY4" s="41" t="n"/>
      <c r="DZ4" s="84" t="n"/>
      <c r="EA4" s="84" t="n"/>
      <c r="EB4" s="84" t="n"/>
      <c r="EC4" s="84" t="n"/>
      <c r="ED4" s="84" t="n"/>
      <c r="EE4" s="84" t="n"/>
      <c r="EF4" s="84" t="n"/>
      <c r="EG4" s="84" t="n"/>
      <c r="EH4" s="84" t="n"/>
      <c r="EI4" s="84" t="n"/>
      <c r="EJ4" s="84" t="n"/>
      <c r="EK4" s="84" t="n"/>
      <c r="EL4" s="84" t="n"/>
      <c r="EM4" s="84" t="n"/>
      <c r="EN4" s="84" t="n"/>
      <c r="EO4" s="84" t="n"/>
      <c r="EP4" s="84" t="n"/>
      <c r="EQ4" s="84" t="n"/>
      <c r="ER4" s="84" t="n"/>
      <c r="ES4" s="84" t="n"/>
      <c r="ET4" s="84" t="n"/>
      <c r="EU4" s="84" t="n"/>
      <c r="EV4" s="84" t="n"/>
      <c r="EW4" s="84" t="n"/>
      <c r="EX4" s="84" t="n"/>
      <c r="EY4" s="84" t="n"/>
      <c r="EZ4" s="84" t="n"/>
      <c r="FA4" s="84" t="n"/>
      <c r="FB4" s="84" t="n"/>
      <c r="FC4" s="84" t="n"/>
      <c r="FD4" s="84" t="n"/>
      <c r="FE4" s="84" t="n"/>
    </row>
    <row r="5" ht="59" customFormat="1" customHeight="1" s="54">
      <c r="A5" s="55" t="inlineStr">
        <is>
          <t>五楼</t>
        </is>
      </c>
      <c r="B5" s="56" t="inlineStr">
        <is>
          <t>黄晓云</t>
        </is>
      </c>
      <c r="C5" s="41" t="inlineStr">
        <is>
          <t>6</t>
        </is>
      </c>
      <c r="D5" s="41" t="n"/>
      <c r="E5" s="57" t="n"/>
      <c r="F5" s="115" t="n">
        <v>0.3534722222222222</v>
      </c>
      <c r="G5" s="58" t="n">
        <v>0.7361111111111112</v>
      </c>
      <c r="H5" s="83">
        <f>MOD(G5-F5,1)*24</f>
        <v/>
      </c>
      <c r="I5" s="57" t="n">
        <v>1</v>
      </c>
      <c r="J5" s="58" t="n">
        <v>0.3513888888888889</v>
      </c>
      <c r="K5" s="58" t="n">
        <v>0.7361111111111112</v>
      </c>
      <c r="L5" s="83">
        <f>MOD(K5-J5,1)*24</f>
        <v/>
      </c>
      <c r="M5" s="57" t="n">
        <v>1</v>
      </c>
      <c r="N5" s="58" t="n">
        <v>0.3527777777777778</v>
      </c>
      <c r="O5" s="58" t="n">
        <v>0.7368055555555556</v>
      </c>
      <c r="P5" s="83">
        <f>MOD(O5-N5,1)*24</f>
        <v/>
      </c>
      <c r="Q5" s="57" t="n">
        <v>1</v>
      </c>
      <c r="R5" s="58" t="n"/>
      <c r="S5" s="58" t="n"/>
      <c r="T5" s="83" t="n"/>
      <c r="U5" s="57" t="n"/>
      <c r="V5" s="58" t="n"/>
      <c r="W5" s="58" t="n"/>
      <c r="X5" s="83" t="n"/>
      <c r="Y5" s="57" t="n"/>
      <c r="Z5" s="58" t="n"/>
      <c r="AA5" s="60" t="n"/>
      <c r="AB5" s="83" t="n"/>
      <c r="AC5" s="41" t="n"/>
      <c r="AD5" s="116" t="n">
        <v>0.3527777777777778</v>
      </c>
      <c r="AE5" s="117" t="n">
        <v>0.7430555555555556</v>
      </c>
      <c r="AF5" s="83">
        <f>MOD(AE5-AD5,1)*24</f>
        <v/>
      </c>
      <c r="AG5" s="57" t="n">
        <v>1</v>
      </c>
      <c r="AH5" s="58" t="n">
        <v>0.3541666666666667</v>
      </c>
      <c r="AI5" s="58" t="n">
        <v>0.7375</v>
      </c>
      <c r="AJ5" s="83">
        <f>MOD(AI5-AH5,1)*24</f>
        <v/>
      </c>
      <c r="AK5" s="57" t="n">
        <v>1</v>
      </c>
      <c r="AL5" s="58" t="n">
        <v>0.3527777777777778</v>
      </c>
      <c r="AM5" s="58" t="n">
        <v>0.7361111111111112</v>
      </c>
      <c r="AN5" s="83">
        <f>MOD(AM5-AL5,1)*24</f>
        <v/>
      </c>
      <c r="AO5" s="57" t="n">
        <v>1</v>
      </c>
      <c r="AP5" s="58" t="n">
        <v>0.3527777777777778</v>
      </c>
      <c r="AQ5" s="58" t="n">
        <v>0.7375</v>
      </c>
      <c r="AR5" s="83">
        <f>MOD(AQ5-AP5,1)*24</f>
        <v/>
      </c>
      <c r="AS5" s="57" t="n">
        <v>1</v>
      </c>
      <c r="AT5" s="58" t="n">
        <v>0.3527777777777778</v>
      </c>
      <c r="AU5" s="58" t="n">
        <v>0.7423611111111111</v>
      </c>
      <c r="AV5" s="83">
        <f>MOD(AU5-AT5,1)*24</f>
        <v/>
      </c>
      <c r="AW5" s="57" t="n">
        <v>1</v>
      </c>
      <c r="AX5" s="58" t="n">
        <v>0.3541666666666667</v>
      </c>
      <c r="AY5" s="58" t="n">
        <v>0.7368055555555556</v>
      </c>
      <c r="AZ5" s="83">
        <f>MOD(AY5-AX5,1)*24</f>
        <v/>
      </c>
      <c r="BA5" s="57" t="n">
        <v>1</v>
      </c>
      <c r="BB5" s="58" t="n">
        <v>0.3520833333333334</v>
      </c>
      <c r="BC5" s="60" t="n">
        <v>0.7361111111111112</v>
      </c>
      <c r="BD5" s="83">
        <f>MOD(BC5-BB5,1)*24</f>
        <v/>
      </c>
      <c r="BE5" s="41" t="n">
        <v>1</v>
      </c>
      <c r="BF5" s="116" t="n">
        <v>0.3513888888888889</v>
      </c>
      <c r="BG5" s="115" t="n">
        <v>0.7368055555555556</v>
      </c>
      <c r="BH5" s="83">
        <f>MOD(BG5-BF5,1)*24</f>
        <v/>
      </c>
      <c r="BI5" s="57" t="n">
        <v>1</v>
      </c>
      <c r="BJ5" s="58" t="n">
        <v>0.3527777777777778</v>
      </c>
      <c r="BK5" s="58" t="n">
        <v>0.7368055555555556</v>
      </c>
      <c r="BL5" s="83">
        <f>MOD(BK5-BJ5,1)*24</f>
        <v/>
      </c>
      <c r="BM5" s="57" t="n">
        <v>1</v>
      </c>
      <c r="BN5" s="58" t="n">
        <v>0.3520833333333334</v>
      </c>
      <c r="BO5" s="58" t="n">
        <v>0.7444444444444445</v>
      </c>
      <c r="BP5" s="83">
        <f>MOD(BO5-BN5,1)*24</f>
        <v/>
      </c>
      <c r="BQ5" s="57" t="n">
        <v>1</v>
      </c>
      <c r="BR5" s="58" t="n">
        <v>0.3513888888888889</v>
      </c>
      <c r="BS5" s="58" t="n">
        <v>0.7361111111111112</v>
      </c>
      <c r="BT5" s="83">
        <f>MOD(BS5-BR5,1)*24</f>
        <v/>
      </c>
      <c r="BU5" s="57" t="n">
        <v>1</v>
      </c>
      <c r="BV5" s="58" t="n">
        <v>0.34375</v>
      </c>
      <c r="BW5" s="60" t="n">
        <v>0.7659722222222223</v>
      </c>
      <c r="BX5" s="83">
        <f>MOD(BW5-BV5,1)*24</f>
        <v/>
      </c>
      <c r="BY5" s="41" t="n">
        <v>0.5</v>
      </c>
      <c r="BZ5" s="41" t="n"/>
      <c r="CA5" s="41" t="n"/>
      <c r="CB5" s="83" t="n"/>
      <c r="CC5" s="41" t="n"/>
      <c r="CD5" s="116" t="n"/>
      <c r="CE5" s="115" t="n"/>
      <c r="CF5" s="83" t="n"/>
      <c r="CG5" s="57" t="n"/>
      <c r="CH5" s="58" t="n">
        <v>0.3513888888888889</v>
      </c>
      <c r="CI5" s="58" t="n">
        <v>0.7388888888888889</v>
      </c>
      <c r="CJ5" s="83">
        <f>MOD(CI5-CH5,1)*24</f>
        <v/>
      </c>
      <c r="CK5" s="57" t="n">
        <v>1</v>
      </c>
      <c r="CL5" s="58" t="n">
        <v>0.3541666666666667</v>
      </c>
      <c r="CM5" s="58" t="n">
        <v>0.7375</v>
      </c>
      <c r="CN5" s="83">
        <f>MOD(CM5-CL5,1)*24</f>
        <v/>
      </c>
      <c r="CO5" s="57" t="n">
        <v>1</v>
      </c>
      <c r="CP5" s="58" t="n">
        <v>0.2784722222222222</v>
      </c>
      <c r="CQ5" s="58" t="n">
        <v>0.3430555555555556</v>
      </c>
      <c r="CR5" s="83">
        <f>MOD(CQ5-CP5,1)*24</f>
        <v/>
      </c>
      <c r="CS5" s="57" t="n">
        <v>0.5</v>
      </c>
      <c r="CT5" s="58" t="n">
        <v>0.3534722222222222</v>
      </c>
      <c r="CU5" s="58" t="n">
        <v>0.7416666666666667</v>
      </c>
      <c r="CV5" s="83">
        <f>MOD(CU5-CT5,1)*24</f>
        <v/>
      </c>
      <c r="CW5" s="57" t="n">
        <v>1</v>
      </c>
      <c r="CX5" s="58" t="n">
        <v>0.3534722222222222</v>
      </c>
      <c r="CY5" s="58" t="n">
        <v>0.7368055555555556</v>
      </c>
      <c r="CZ5" s="83">
        <f>MOD(CY5-CX5,1)*24</f>
        <v/>
      </c>
      <c r="DA5" s="57" t="n">
        <v>1</v>
      </c>
      <c r="DB5" s="58" t="n">
        <v>0.3541666666666667</v>
      </c>
      <c r="DC5" s="58" t="n">
        <v>0.7368055555555556</v>
      </c>
      <c r="DD5" s="83">
        <f>MOD(DC5-DB5,1)*24</f>
        <v/>
      </c>
      <c r="DE5" s="57" t="n">
        <v>1</v>
      </c>
      <c r="DF5" s="58" t="n">
        <v>0.3527777777777778</v>
      </c>
      <c r="DG5" s="60" t="n">
        <v>0.7430555555555556</v>
      </c>
      <c r="DH5" s="83">
        <f>MOD(DG5-DF5,1)*24</f>
        <v/>
      </c>
      <c r="DI5" s="41" t="n">
        <v>1</v>
      </c>
      <c r="DJ5" s="116" t="n">
        <v>0.3555555555555556</v>
      </c>
      <c r="DK5" s="116" t="n"/>
      <c r="DL5" s="83" t="n"/>
      <c r="DM5" s="41" t="n">
        <v>0.5</v>
      </c>
      <c r="DN5" s="58" t="n">
        <v>0.3541666666666667</v>
      </c>
      <c r="DO5" s="58" t="n">
        <v>0.7416666666666667</v>
      </c>
      <c r="DP5" s="83">
        <f>MOD(DO5-DN5,1)*24</f>
        <v/>
      </c>
      <c r="DQ5" s="57" t="n">
        <v>1</v>
      </c>
      <c r="DR5" s="61" t="n">
        <v>0.3395833333333333</v>
      </c>
      <c r="DS5" s="62" t="n"/>
      <c r="DT5" s="83" t="n"/>
      <c r="DU5" s="41" t="n">
        <v>0.5</v>
      </c>
      <c r="DV5" s="61">
        <f>SUM(H5,L5,P5,T5,X5,AB5,AF5,AJ5,AN5,AR5,AV5,AZ5,BD5,BH5,BL5,BP5,BT5,BX5,CB5,CF5,CJ5,CN5,CR5,CV5,CZ5,DD5,DH5,DL5,DP5,DT5)</f>
        <v/>
      </c>
      <c r="DW5" s="62">
        <f>SUM(I5,M5,Q5,U5,Y5,AC5,AG5,AK5,AO5,AS5,AW5,BA5,BE5,BI5,BM5,BQ5,BU5,BY5,CC5,CG5,CK5,CO5,CS5,CW5,DA5,DE5,DI5,DM5,DQ5,DU5)</f>
        <v/>
      </c>
      <c r="DX5" s="83" t="n"/>
      <c r="DY5" s="41" t="n"/>
      <c r="DZ5" s="84" t="n"/>
      <c r="EA5" s="84" t="n"/>
      <c r="EB5" s="84" t="n"/>
      <c r="EC5" s="84" t="n"/>
      <c r="ED5" s="84" t="n"/>
      <c r="EE5" s="84" t="n"/>
      <c r="EF5" s="84" t="n"/>
      <c r="EG5" s="84" t="n"/>
      <c r="EH5" s="84" t="n"/>
      <c r="EI5" s="84" t="n"/>
      <c r="EJ5" s="84" t="n"/>
      <c r="EK5" s="84" t="n"/>
      <c r="EL5" s="84" t="n"/>
      <c r="EM5" s="84" t="n"/>
      <c r="EN5" s="84" t="n"/>
      <c r="EO5" s="84" t="n"/>
      <c r="EP5" s="84" t="n"/>
      <c r="EQ5" s="84" t="n"/>
      <c r="ER5" s="84" t="n"/>
      <c r="ES5" s="84" t="n"/>
      <c r="ET5" s="84" t="n"/>
      <c r="EU5" s="84" t="n"/>
      <c r="EV5" s="84" t="n"/>
      <c r="EW5" s="84" t="n"/>
      <c r="EX5" s="84" t="inlineStr">
        <is>
          <t>早退</t>
        </is>
      </c>
      <c r="EY5" s="84" t="n"/>
      <c r="EZ5" s="84" t="n"/>
      <c r="FA5" s="84" t="n"/>
      <c r="FB5" s="84" t="n"/>
      <c r="FC5" s="84" t="inlineStr">
        <is>
          <t>只打一次卡</t>
        </is>
      </c>
      <c r="FD5" s="84" t="n"/>
      <c r="FE5" s="84" t="inlineStr">
        <is>
          <t>只打一次卡</t>
        </is>
      </c>
    </row>
    <row r="6" ht="59" customFormat="1" customHeight="1" s="54">
      <c r="A6" s="55" t="inlineStr">
        <is>
          <t>五楼</t>
        </is>
      </c>
      <c r="B6" s="56" t="inlineStr">
        <is>
          <t>黄晓云</t>
        </is>
      </c>
      <c r="C6" s="41" t="inlineStr">
        <is>
          <t>6</t>
        </is>
      </c>
      <c r="D6" s="41" t="n"/>
      <c r="E6" s="57" t="n"/>
      <c r="F6" s="115" t="n"/>
      <c r="G6" s="58" t="n"/>
      <c r="H6" s="83" t="n"/>
      <c r="I6" s="57" t="n"/>
      <c r="J6" s="58" t="n"/>
      <c r="K6" s="58" t="n"/>
      <c r="L6" s="83" t="n"/>
      <c r="M6" s="57" t="n"/>
      <c r="N6" s="58" t="n"/>
      <c r="O6" s="58" t="n"/>
      <c r="P6" s="83" t="n"/>
      <c r="Q6" s="57" t="n"/>
      <c r="R6" s="58" t="n"/>
      <c r="S6" s="58" t="n"/>
      <c r="T6" s="83" t="n"/>
      <c r="U6" s="57" t="n"/>
      <c r="V6" s="58" t="n"/>
      <c r="W6" s="58" t="n"/>
      <c r="X6" s="83" t="n"/>
      <c r="Y6" s="57" t="n"/>
      <c r="Z6" s="58" t="n"/>
      <c r="AA6" s="60" t="n"/>
      <c r="AB6" s="83" t="n"/>
      <c r="AC6" s="41" t="n"/>
      <c r="AD6" s="116" t="n"/>
      <c r="AE6" s="117" t="n"/>
      <c r="AF6" s="83" t="n"/>
      <c r="AG6" s="57" t="n"/>
      <c r="AH6" s="58" t="n"/>
      <c r="AI6" s="58" t="n"/>
      <c r="AJ6" s="83" t="n"/>
      <c r="AK6" s="57" t="n"/>
      <c r="AL6" s="58" t="n"/>
      <c r="AM6" s="58" t="n"/>
      <c r="AN6" s="83" t="n"/>
      <c r="AO6" s="57" t="n"/>
      <c r="AP6" s="58" t="n"/>
      <c r="AQ6" s="58" t="n"/>
      <c r="AR6" s="83" t="n"/>
      <c r="AS6" s="57" t="n"/>
      <c r="AT6" s="58" t="n"/>
      <c r="AU6" s="58" t="n"/>
      <c r="AV6" s="83" t="n"/>
      <c r="AW6" s="57" t="n"/>
      <c r="AX6" s="58" t="n"/>
      <c r="AY6" s="58" t="n"/>
      <c r="AZ6" s="83" t="n"/>
      <c r="BA6" s="57" t="n"/>
      <c r="BB6" s="58" t="n"/>
      <c r="BC6" s="60" t="n"/>
      <c r="BD6" s="83" t="n"/>
      <c r="BE6" s="41" t="n"/>
      <c r="BF6" s="116" t="n"/>
      <c r="BG6" s="115" t="n"/>
      <c r="BH6" s="83" t="n"/>
      <c r="BI6" s="57" t="n"/>
      <c r="BJ6" s="58" t="n"/>
      <c r="BK6" s="58" t="n"/>
      <c r="BL6" s="83" t="n"/>
      <c r="BM6" s="57" t="n"/>
      <c r="BN6" s="58" t="n"/>
      <c r="BO6" s="58" t="n"/>
      <c r="BP6" s="83" t="n"/>
      <c r="BQ6" s="57" t="n"/>
      <c r="BR6" s="58" t="n"/>
      <c r="BS6" s="58" t="n"/>
      <c r="BT6" s="83" t="n"/>
      <c r="BU6" s="57" t="n"/>
      <c r="BV6" s="58" t="n">
        <v>0.76875</v>
      </c>
      <c r="BW6" s="60" t="n"/>
      <c r="BX6" s="83" t="n"/>
      <c r="BY6" s="41" t="n">
        <v>0.5</v>
      </c>
      <c r="BZ6" s="41" t="n"/>
      <c r="CA6" s="41" t="n"/>
      <c r="CB6" s="83" t="n"/>
      <c r="CC6" s="41" t="n"/>
      <c r="CD6" s="116" t="n"/>
      <c r="CE6" s="115" t="n"/>
      <c r="CF6" s="83" t="n"/>
      <c r="CG6" s="57" t="n"/>
      <c r="CH6" s="58" t="n"/>
      <c r="CI6" s="58" t="n"/>
      <c r="CJ6" s="83" t="n"/>
      <c r="CK6" s="57" t="n"/>
      <c r="CL6" s="58" t="n"/>
      <c r="CM6" s="58" t="n"/>
      <c r="CN6" s="83" t="n"/>
      <c r="CO6" s="57" t="n"/>
      <c r="CP6" s="58" t="n"/>
      <c r="CQ6" s="58" t="n"/>
      <c r="CR6" s="83" t="n"/>
      <c r="CS6" s="57" t="n"/>
      <c r="CT6" s="58" t="n"/>
      <c r="CU6" s="58" t="n"/>
      <c r="CV6" s="83" t="n"/>
      <c r="CW6" s="57" t="n"/>
      <c r="CX6" s="58" t="n"/>
      <c r="CY6" s="58" t="n"/>
      <c r="CZ6" s="83" t="n"/>
      <c r="DA6" s="57" t="n"/>
      <c r="DB6" s="58" t="n"/>
      <c r="DC6" s="58" t="n"/>
      <c r="DD6" s="83" t="n"/>
      <c r="DE6" s="57" t="n"/>
      <c r="DF6" s="58" t="n"/>
      <c r="DG6" s="60" t="n"/>
      <c r="DH6" s="83" t="n"/>
      <c r="DI6" s="41" t="n"/>
      <c r="DJ6" s="116" t="n"/>
      <c r="DK6" s="116" t="n"/>
      <c r="DL6" s="83" t="n"/>
      <c r="DM6" s="41" t="n"/>
      <c r="DN6" s="58" t="n"/>
      <c r="DO6" s="58" t="n"/>
      <c r="DP6" s="83" t="n"/>
      <c r="DQ6" s="57" t="n"/>
      <c r="DR6" s="61" t="n"/>
      <c r="DS6" s="62" t="n"/>
      <c r="DT6" s="83" t="n"/>
      <c r="DU6" s="41" t="n"/>
      <c r="DV6" s="61">
        <f>SUM(H6,L6,P6,T6,X6,AB6,AF6,AJ6,AN6,AR6,AV6,AZ6,BD6,BH6,BL6,BP6,BT6,BX6,CB6,CF6,CJ6,CN6,CR6,CV6,CZ6,DD6,DH6,DL6,DP6,DT6)</f>
        <v/>
      </c>
      <c r="DW6" s="62">
        <f>SUM(I6,M6,Q6,U6,Y6,AC6,AG6,AK6,AO6,AS6,AW6,BA6,BE6,BI6,BM6,BQ6,BU6,BY6,CC6,CG6,CK6,CO6,CS6,CW6,DA6,DE6,DI6,DM6,DQ6,DU6)</f>
        <v/>
      </c>
      <c r="DX6" s="83" t="n"/>
      <c r="DY6" s="41" t="n"/>
      <c r="DZ6" s="84" t="n"/>
      <c r="EA6" s="84" t="n"/>
      <c r="EB6" s="84" t="n"/>
      <c r="EC6" s="84" t="n"/>
      <c r="ED6" s="84" t="n"/>
      <c r="EE6" s="84" t="n"/>
      <c r="EF6" s="84" t="n"/>
      <c r="EG6" s="84" t="n"/>
      <c r="EH6" s="84" t="n"/>
      <c r="EI6" s="84" t="n"/>
      <c r="EJ6" s="84" t="n"/>
      <c r="EK6" s="84" t="n"/>
      <c r="EL6" s="84" t="n"/>
      <c r="EM6" s="84" t="n"/>
      <c r="EN6" s="84" t="n"/>
      <c r="EO6" s="84" t="n"/>
      <c r="EP6" s="84" t="n"/>
      <c r="EQ6" s="84" t="n"/>
      <c r="ER6" s="84" t="n"/>
      <c r="ES6" s="84" t="n"/>
      <c r="ET6" s="84" t="n"/>
      <c r="EU6" s="84" t="n"/>
      <c r="EV6" s="84" t="n"/>
      <c r="EW6" s="84" t="n"/>
      <c r="EX6" s="84" t="n"/>
      <c r="EY6" s="84" t="n"/>
      <c r="EZ6" s="84" t="n"/>
      <c r="FA6" s="84" t="n"/>
      <c r="FB6" s="84" t="n"/>
      <c r="FC6" s="84" t="n"/>
      <c r="FD6" s="84" t="n"/>
      <c r="FE6" s="84" t="n"/>
    </row>
    <row r="7" ht="59" customFormat="1" customHeight="1" s="54">
      <c r="A7" s="55" t="inlineStr">
        <is>
          <t>五楼</t>
        </is>
      </c>
      <c r="B7" s="56" t="inlineStr">
        <is>
          <t>陈小红</t>
        </is>
      </c>
      <c r="C7" s="41" t="inlineStr">
        <is>
          <t>7</t>
        </is>
      </c>
      <c r="D7" s="41" t="n"/>
      <c r="E7" s="57" t="n"/>
      <c r="F7" s="115" t="n">
        <v>0.35</v>
      </c>
      <c r="G7" s="58" t="n">
        <v>0.7423611111111111</v>
      </c>
      <c r="H7" s="83">
        <f>MOD(G7-F7,1)*24</f>
        <v/>
      </c>
      <c r="I7" s="57" t="n">
        <v>1</v>
      </c>
      <c r="J7" s="58" t="n">
        <v>0.35</v>
      </c>
      <c r="K7" s="58" t="n">
        <v>0.7479166666666667</v>
      </c>
      <c r="L7" s="83">
        <f>MOD(K7-J7,1)*24</f>
        <v/>
      </c>
      <c r="M7" s="57" t="n">
        <v>1</v>
      </c>
      <c r="N7" s="58" t="n">
        <v>0.3513888888888889</v>
      </c>
      <c r="O7" s="58" t="n">
        <v>0.8194444444444444</v>
      </c>
      <c r="P7" s="83">
        <f>MOD(O7-N7,1)*24</f>
        <v/>
      </c>
      <c r="Q7" s="57" t="n">
        <v>1</v>
      </c>
      <c r="R7" s="58" t="n">
        <v>0.3486111111111111</v>
      </c>
      <c r="S7" s="58" t="n">
        <v>0.7361111111111112</v>
      </c>
      <c r="T7" s="83">
        <f>MOD(S7-R7,1)*24</f>
        <v/>
      </c>
      <c r="U7" s="57" t="n">
        <v>1</v>
      </c>
      <c r="V7" s="58" t="n"/>
      <c r="W7" s="58" t="n"/>
      <c r="X7" s="83" t="n"/>
      <c r="Y7" s="57" t="n"/>
      <c r="Z7" s="58" t="n">
        <v>0.3548611111111111</v>
      </c>
      <c r="AA7" s="60" t="n">
        <v>0.7402777777777778</v>
      </c>
      <c r="AB7" s="83">
        <f>MOD(AA7-Z7,1)*24</f>
        <v/>
      </c>
      <c r="AC7" s="41" t="n">
        <v>1</v>
      </c>
      <c r="AD7" s="116" t="n">
        <v>0.3430555555555556</v>
      </c>
      <c r="AE7" s="117" t="n">
        <v>0.7402777777777778</v>
      </c>
      <c r="AF7" s="83">
        <f>MOD(AE7-AD7,1)*24</f>
        <v/>
      </c>
      <c r="AG7" s="57" t="n">
        <v>1</v>
      </c>
      <c r="AH7" s="58" t="n">
        <v>0.3430555555555556</v>
      </c>
      <c r="AI7" s="58" t="n">
        <v>0.7361111111111112</v>
      </c>
      <c r="AJ7" s="83">
        <f>MOD(AI7-AH7,1)*24</f>
        <v/>
      </c>
      <c r="AK7" s="57" t="n">
        <v>1</v>
      </c>
      <c r="AL7" s="58" t="n">
        <v>0.3416666666666667</v>
      </c>
      <c r="AM7" s="58" t="n">
        <v>0.7423611111111111</v>
      </c>
      <c r="AN7" s="83">
        <f>MOD(AM7-AL7,1)*24</f>
        <v/>
      </c>
      <c r="AO7" s="57" t="n">
        <v>1</v>
      </c>
      <c r="AP7" s="58" t="n">
        <v>0.3527777777777778</v>
      </c>
      <c r="AQ7" s="58" t="n">
        <v>0.7444444444444445</v>
      </c>
      <c r="AR7" s="83">
        <f>MOD(AQ7-AP7,1)*24</f>
        <v/>
      </c>
      <c r="AS7" s="57" t="n">
        <v>1</v>
      </c>
      <c r="AT7" s="58" t="n">
        <v>0.3555555555555556</v>
      </c>
      <c r="AU7" s="58" t="n">
        <v>0.7493055555555556</v>
      </c>
      <c r="AV7" s="83">
        <f>MOD(AU7-AT7,1)*24</f>
        <v/>
      </c>
      <c r="AW7" s="57" t="n">
        <v>1</v>
      </c>
      <c r="AX7" s="58" t="n"/>
      <c r="AY7" s="58" t="n"/>
      <c r="AZ7" s="83" t="n"/>
      <c r="BA7" s="57" t="n"/>
      <c r="BB7" s="58" t="n">
        <v>0.3506944444444444</v>
      </c>
      <c r="BC7" s="60" t="n">
        <v>0.7493055555555556</v>
      </c>
      <c r="BD7" s="83">
        <f>MOD(BC7-BB7,1)*24</f>
        <v/>
      </c>
      <c r="BE7" s="41" t="n">
        <v>1</v>
      </c>
      <c r="BF7" s="116" t="n">
        <v>0.3430555555555556</v>
      </c>
      <c r="BG7" s="115" t="n">
        <v>0.7416666666666667</v>
      </c>
      <c r="BH7" s="83">
        <f>MOD(BG7-BF7,1)*24</f>
        <v/>
      </c>
      <c r="BI7" s="57" t="n">
        <v>1</v>
      </c>
      <c r="BJ7" s="58" t="n">
        <v>0.3506944444444444</v>
      </c>
      <c r="BK7" s="58" t="n">
        <v>0.7430555555555556</v>
      </c>
      <c r="BL7" s="83">
        <f>MOD(BK7-BJ7,1)*24</f>
        <v/>
      </c>
      <c r="BM7" s="57" t="n">
        <v>1</v>
      </c>
      <c r="BN7" s="58" t="n">
        <v>0.3506944444444444</v>
      </c>
      <c r="BO7" s="58" t="n">
        <v>0.7451388888888889</v>
      </c>
      <c r="BP7" s="83">
        <f>MOD(BO7-BN7,1)*24</f>
        <v/>
      </c>
      <c r="BQ7" s="57" t="n">
        <v>1</v>
      </c>
      <c r="BR7" s="58" t="n">
        <v>0.3506944444444444</v>
      </c>
      <c r="BS7" s="58" t="n">
        <v>0.7430555555555556</v>
      </c>
      <c r="BT7" s="83">
        <f>MOD(BS7-BR7,1)*24</f>
        <v/>
      </c>
      <c r="BU7" s="57" t="n">
        <v>1</v>
      </c>
      <c r="BV7" s="58" t="n">
        <v>0.35625</v>
      </c>
      <c r="BW7" s="60" t="n">
        <v>0.7451388888888889</v>
      </c>
      <c r="BX7" s="83">
        <f>MOD(BW7-BV7,1)*24</f>
        <v/>
      </c>
      <c r="BY7" s="41" t="n">
        <v>1</v>
      </c>
      <c r="BZ7" s="41" t="n"/>
      <c r="CA7" s="41" t="n"/>
      <c r="CB7" s="83" t="n"/>
      <c r="CC7" s="41" t="n"/>
      <c r="CD7" s="116" t="n">
        <v>0.3520833333333334</v>
      </c>
      <c r="CE7" s="115" t="n">
        <v>0.7479166666666667</v>
      </c>
      <c r="CF7" s="83">
        <f>MOD(CE7-CD7,1)*24</f>
        <v/>
      </c>
      <c r="CG7" s="57" t="n">
        <v>1</v>
      </c>
      <c r="CH7" s="58" t="n">
        <v>0.3423611111111111</v>
      </c>
      <c r="CI7" s="58" t="n">
        <v>0.8291666666666667</v>
      </c>
      <c r="CJ7" s="83">
        <f>MOD(CI7-CH7,1)*24</f>
        <v/>
      </c>
      <c r="CK7" s="57" t="n">
        <v>1</v>
      </c>
      <c r="CL7" s="58" t="n">
        <v>0.34375</v>
      </c>
      <c r="CM7" s="58" t="n">
        <v>0.7826388888888889</v>
      </c>
      <c r="CN7" s="83">
        <f>MOD(CM7-CL7,1)*24</f>
        <v/>
      </c>
      <c r="CO7" s="57" t="n">
        <v>1</v>
      </c>
      <c r="CP7" s="58" t="n">
        <v>0.3388888888888889</v>
      </c>
      <c r="CQ7" s="58" t="n">
        <v>0.7631944444444444</v>
      </c>
      <c r="CR7" s="83">
        <f>MOD(CQ7-CP7,1)*24</f>
        <v/>
      </c>
      <c r="CS7" s="57" t="n">
        <v>0.5</v>
      </c>
      <c r="CT7" s="58" t="n">
        <v>0.3506944444444444</v>
      </c>
      <c r="CU7" s="58" t="n">
        <v>0.7472222222222222</v>
      </c>
      <c r="CV7" s="83">
        <f>MOD(CU7-CT7,1)*24</f>
        <v/>
      </c>
      <c r="CW7" s="57" t="n">
        <v>1</v>
      </c>
      <c r="CX7" s="58" t="n">
        <v>0.3395833333333333</v>
      </c>
      <c r="CY7" s="58" t="n">
        <v>0.7701388888888889</v>
      </c>
      <c r="CZ7" s="83">
        <f>MOD(CY7-CX7,1)*24</f>
        <v/>
      </c>
      <c r="DA7" s="57" t="n">
        <v>1</v>
      </c>
      <c r="DB7" s="58" t="n">
        <v>0.3506944444444444</v>
      </c>
      <c r="DC7" s="58" t="n">
        <v>0.7375</v>
      </c>
      <c r="DD7" s="83">
        <f>MOD(DC7-DB7,1)*24</f>
        <v/>
      </c>
      <c r="DE7" s="57" t="n">
        <v>1</v>
      </c>
      <c r="DF7" s="58" t="n">
        <v>0.3381944444444445</v>
      </c>
      <c r="DG7" s="60" t="n">
        <v>0.7888888888888889</v>
      </c>
      <c r="DH7" s="83">
        <f>MOD(DG7-DF7,1)*24</f>
        <v/>
      </c>
      <c r="DI7" s="41" t="n">
        <v>1</v>
      </c>
      <c r="DJ7" s="116" t="n">
        <v>0.3430555555555556</v>
      </c>
      <c r="DK7" s="116" t="n">
        <v>0.8590277777777777</v>
      </c>
      <c r="DL7" s="83">
        <f>MOD(DK7-DJ7,1)*24</f>
        <v/>
      </c>
      <c r="DM7" s="41" t="n">
        <v>1</v>
      </c>
      <c r="DN7" s="58" t="n">
        <v>0.3361111111111111</v>
      </c>
      <c r="DO7" s="58" t="n">
        <v>0.8861111111111111</v>
      </c>
      <c r="DP7" s="83">
        <f>MOD(DO7-DN7,1)*24</f>
        <v/>
      </c>
      <c r="DQ7" s="57" t="n">
        <v>1</v>
      </c>
      <c r="DR7" s="61" t="n">
        <v>0.3395833333333333</v>
      </c>
      <c r="DS7" s="62" t="n">
        <v>0.7895833333333333</v>
      </c>
      <c r="DT7" s="83">
        <f>MOD(DS7-DR7,1)*24</f>
        <v/>
      </c>
      <c r="DU7" s="41" t="n">
        <v>1</v>
      </c>
      <c r="DV7" s="61">
        <f>SUM(H7,L7,P7,T7,X7,AB7,AF7,AJ7,AN7,AR7,AV7,AZ7,BD7,BH7,BL7,BP7,BT7,BX7,CB7,CF7,CJ7,CN7,CR7,CV7,CZ7,DD7,DH7,DL7,DP7,DT7)</f>
        <v/>
      </c>
      <c r="DW7" s="62">
        <f>SUM(I7,M7,Q7,U7,Y7,AC7,AG7,AK7,AO7,AS7,AW7,BA7,BE7,BI7,BM7,BQ7,BU7,BY7,CC7,CG7,CK7,CO7,CS7,CW7,DA7,DE7,DI7,DM7,DQ7,DU7)</f>
        <v/>
      </c>
      <c r="DX7" s="83" t="n"/>
      <c r="DY7" s="41" t="n"/>
      <c r="DZ7" s="84" t="n"/>
      <c r="EA7" s="84" t="n"/>
      <c r="EB7" s="84" t="n"/>
      <c r="EC7" s="84" t="n"/>
      <c r="ED7" s="84" t="n"/>
      <c r="EE7" s="84" t="n"/>
      <c r="EF7" s="84" t="n"/>
      <c r="EG7" s="84" t="inlineStr">
        <is>
          <t>迟到</t>
        </is>
      </c>
      <c r="EH7" s="84" t="n"/>
      <c r="EI7" s="84" t="n"/>
      <c r="EJ7" s="84" t="n"/>
      <c r="EK7" s="84" t="n"/>
      <c r="EL7" s="84" t="inlineStr">
        <is>
          <t>迟到</t>
        </is>
      </c>
      <c r="EM7" s="84" t="n"/>
      <c r="EN7" s="84" t="n"/>
      <c r="EO7" s="84" t="n"/>
      <c r="EP7" s="84" t="n"/>
      <c r="EQ7" s="84" t="n"/>
      <c r="ER7" s="84" t="n"/>
      <c r="ES7" s="84" t="inlineStr">
        <is>
          <t>迟到</t>
        </is>
      </c>
      <c r="ET7" s="84" t="n"/>
      <c r="EU7" s="84" t="n"/>
      <c r="EV7" s="84" t="n"/>
      <c r="EW7" s="84" t="n"/>
      <c r="EX7" s="84" t="n"/>
      <c r="EY7" s="84" t="n"/>
      <c r="EZ7" s="84" t="n"/>
      <c r="FA7" s="84" t="n"/>
      <c r="FB7" s="84" t="n"/>
      <c r="FC7" s="84" t="n"/>
      <c r="FD7" s="84" t="n"/>
      <c r="FE7" s="84" t="n"/>
    </row>
    <row r="8" ht="59" customFormat="1" customHeight="1" s="54">
      <c r="A8" s="55" t="inlineStr">
        <is>
          <t>五楼</t>
        </is>
      </c>
      <c r="B8" s="56" t="inlineStr">
        <is>
          <t>陈小红</t>
        </is>
      </c>
      <c r="C8" s="41" t="inlineStr">
        <is>
          <t>7</t>
        </is>
      </c>
      <c r="D8" s="41" t="n"/>
      <c r="E8" s="57" t="n"/>
      <c r="F8" s="115" t="n"/>
      <c r="G8" s="58" t="n"/>
      <c r="H8" s="83" t="n"/>
      <c r="I8" s="57" t="n"/>
      <c r="J8" s="58" t="n"/>
      <c r="K8" s="58" t="n"/>
      <c r="L8" s="83" t="n"/>
      <c r="M8" s="57" t="n"/>
      <c r="N8" s="58" t="n"/>
      <c r="O8" s="58" t="n"/>
      <c r="P8" s="83" t="n"/>
      <c r="Q8" s="57" t="n"/>
      <c r="R8" s="58" t="n"/>
      <c r="S8" s="58" t="n"/>
      <c r="T8" s="83" t="n"/>
      <c r="U8" s="57" t="n"/>
      <c r="V8" s="58" t="n"/>
      <c r="W8" s="58" t="n"/>
      <c r="X8" s="83" t="n"/>
      <c r="Y8" s="57" t="n"/>
      <c r="Z8" s="58" t="n"/>
      <c r="AA8" s="60" t="n"/>
      <c r="AB8" s="83" t="n"/>
      <c r="AC8" s="41" t="n"/>
      <c r="AD8" s="116" t="n"/>
      <c r="AE8" s="117" t="n"/>
      <c r="AF8" s="83" t="n"/>
      <c r="AG8" s="57" t="n"/>
      <c r="AH8" s="58" t="n"/>
      <c r="AI8" s="58" t="n"/>
      <c r="AJ8" s="83" t="n"/>
      <c r="AK8" s="57" t="n"/>
      <c r="AL8" s="58" t="n"/>
      <c r="AM8" s="58" t="n"/>
      <c r="AN8" s="83" t="n"/>
      <c r="AO8" s="57" t="n"/>
      <c r="AP8" s="58" t="n"/>
      <c r="AQ8" s="58" t="n"/>
      <c r="AR8" s="83" t="n"/>
      <c r="AS8" s="57" t="n"/>
      <c r="AT8" s="58" t="n"/>
      <c r="AU8" s="58" t="n"/>
      <c r="AV8" s="83" t="n"/>
      <c r="AW8" s="57" t="n"/>
      <c r="AX8" s="58" t="n"/>
      <c r="AY8" s="58" t="n"/>
      <c r="AZ8" s="83" t="n"/>
      <c r="BA8" s="57" t="n"/>
      <c r="BB8" s="58" t="n"/>
      <c r="BC8" s="60" t="n"/>
      <c r="BD8" s="83" t="n"/>
      <c r="BE8" s="41" t="n"/>
      <c r="BF8" s="116" t="n"/>
      <c r="BG8" s="115" t="n"/>
      <c r="BH8" s="83" t="n"/>
      <c r="BI8" s="57" t="n"/>
      <c r="BJ8" s="58" t="n"/>
      <c r="BK8" s="58" t="n"/>
      <c r="BL8" s="83" t="n"/>
      <c r="BM8" s="57" t="n"/>
      <c r="BN8" s="58" t="n"/>
      <c r="BO8" s="58" t="n"/>
      <c r="BP8" s="83" t="n"/>
      <c r="BQ8" s="57" t="n"/>
      <c r="BR8" s="58" t="n"/>
      <c r="BS8" s="58" t="n"/>
      <c r="BT8" s="83" t="n"/>
      <c r="BU8" s="57" t="n"/>
      <c r="BV8" s="58" t="n"/>
      <c r="BW8" s="60" t="n"/>
      <c r="BX8" s="83" t="n"/>
      <c r="BY8" s="41" t="n"/>
      <c r="BZ8" s="41" t="n"/>
      <c r="CA8" s="41" t="n"/>
      <c r="CB8" s="83" t="n"/>
      <c r="CC8" s="41" t="n"/>
      <c r="CD8" s="116" t="n"/>
      <c r="CE8" s="115" t="n"/>
      <c r="CF8" s="83" t="n"/>
      <c r="CG8" s="57" t="n"/>
      <c r="CH8" s="58" t="n"/>
      <c r="CI8" s="58" t="n"/>
      <c r="CJ8" s="83" t="n"/>
      <c r="CK8" s="57" t="n"/>
      <c r="CL8" s="58" t="n"/>
      <c r="CM8" s="58" t="n"/>
      <c r="CN8" s="83" t="n"/>
      <c r="CO8" s="57" t="n"/>
      <c r="CP8" s="58" t="n">
        <v>0.8180555555555555</v>
      </c>
      <c r="CQ8" s="58" t="n"/>
      <c r="CR8" s="83" t="n"/>
      <c r="CS8" s="57" t="n">
        <v>0.5</v>
      </c>
      <c r="CT8" s="58" t="n"/>
      <c r="CU8" s="58" t="n"/>
      <c r="CV8" s="83" t="n"/>
      <c r="CW8" s="57" t="n"/>
      <c r="CX8" s="58" t="n"/>
      <c r="CY8" s="58" t="n"/>
      <c r="CZ8" s="83" t="n"/>
      <c r="DA8" s="57" t="n"/>
      <c r="DB8" s="58" t="n"/>
      <c r="DC8" s="58" t="n"/>
      <c r="DD8" s="83" t="n"/>
      <c r="DE8" s="57" t="n"/>
      <c r="DF8" s="58" t="n"/>
      <c r="DG8" s="60" t="n"/>
      <c r="DH8" s="83" t="n"/>
      <c r="DI8" s="41" t="n"/>
      <c r="DJ8" s="116" t="n"/>
      <c r="DK8" s="116" t="n"/>
      <c r="DL8" s="83" t="n"/>
      <c r="DM8" s="41" t="n"/>
      <c r="DN8" s="58" t="n"/>
      <c r="DO8" s="58" t="n"/>
      <c r="DP8" s="83" t="n"/>
      <c r="DQ8" s="57" t="n"/>
      <c r="DR8" s="61" t="n"/>
      <c r="DS8" s="62" t="n"/>
      <c r="DT8" s="83" t="n"/>
      <c r="DU8" s="41" t="n"/>
      <c r="DV8" s="61">
        <f>SUM(H8,L8,P8,T8,X8,AB8,AF8,AJ8,AN8,AR8,AV8,AZ8,BD8,BH8,BL8,BP8,BT8,BX8,CB8,CF8,CJ8,CN8,CR8,CV8,CZ8,DD8,DH8,DL8,DP8,DT8)</f>
        <v/>
      </c>
      <c r="DW8" s="62">
        <f>SUM(I8,M8,Q8,U8,Y8,AC8,AG8,AK8,AO8,AS8,AW8,BA8,BE8,BI8,BM8,BQ8,BU8,BY8,CC8,CG8,CK8,CO8,CS8,CW8,DA8,DE8,DI8,DM8,DQ8,DU8)</f>
        <v/>
      </c>
      <c r="DX8" s="83" t="n"/>
      <c r="DY8" s="41" t="n"/>
      <c r="DZ8" s="84" t="n"/>
      <c r="EA8" s="84" t="n"/>
      <c r="EB8" s="84" t="n"/>
      <c r="EC8" s="84" t="n"/>
      <c r="ED8" s="84" t="n"/>
      <c r="EE8" s="84" t="n"/>
      <c r="EF8" s="84" t="n"/>
      <c r="EG8" s="84" t="n"/>
      <c r="EH8" s="84" t="n"/>
      <c r="EI8" s="84" t="n"/>
      <c r="EJ8" s="84" t="n"/>
      <c r="EK8" s="84" t="n"/>
      <c r="EL8" s="84" t="n"/>
      <c r="EM8" s="84" t="n"/>
      <c r="EN8" s="84" t="n"/>
      <c r="EO8" s="84" t="n"/>
      <c r="EP8" s="84" t="n"/>
      <c r="EQ8" s="84" t="n"/>
      <c r="ER8" s="84" t="n"/>
      <c r="ES8" s="84" t="n"/>
      <c r="ET8" s="84" t="n"/>
      <c r="EU8" s="84" t="n"/>
      <c r="EV8" s="84" t="n"/>
      <c r="EW8" s="84" t="n"/>
      <c r="EX8" s="84" t="n"/>
      <c r="EY8" s="84" t="n"/>
      <c r="EZ8" s="84" t="n"/>
      <c r="FA8" s="84" t="n"/>
      <c r="FB8" s="84" t="n"/>
      <c r="FC8" s="84" t="n"/>
      <c r="FD8" s="84" t="n"/>
      <c r="FE8" s="84" t="n"/>
    </row>
    <row r="9" ht="59" customFormat="1" customHeight="1" s="54">
      <c r="A9" s="55" t="inlineStr">
        <is>
          <t>五楼</t>
        </is>
      </c>
      <c r="B9" s="56" t="inlineStr">
        <is>
          <t>胡娅</t>
        </is>
      </c>
      <c r="C9" s="41" t="inlineStr">
        <is>
          <t>9</t>
        </is>
      </c>
      <c r="D9" s="41" t="n"/>
      <c r="E9" s="57" t="n"/>
      <c r="F9" s="115" t="n"/>
      <c r="G9" s="58" t="n"/>
      <c r="H9" s="83" t="n"/>
      <c r="I9" s="57" t="n"/>
      <c r="J9" s="58" t="n">
        <v>0.3458333333333333</v>
      </c>
      <c r="K9" s="58" t="n">
        <v>0.7375</v>
      </c>
      <c r="L9" s="83">
        <f>MOD(K9-J9,1)*24</f>
        <v/>
      </c>
      <c r="M9" s="57" t="n">
        <v>1</v>
      </c>
      <c r="N9" s="58" t="n">
        <v>0.3479166666666667</v>
      </c>
      <c r="O9" s="58" t="n">
        <v>0.7388888888888889</v>
      </c>
      <c r="P9" s="83">
        <f>MOD(O9-N9,1)*24</f>
        <v/>
      </c>
      <c r="Q9" s="57" t="n">
        <v>1</v>
      </c>
      <c r="R9" s="58" t="n">
        <v>0.3402777777777778</v>
      </c>
      <c r="S9" s="58" t="n">
        <v>0.7361111111111112</v>
      </c>
      <c r="T9" s="83">
        <f>MOD(S9-R9,1)*24</f>
        <v/>
      </c>
      <c r="U9" s="57" t="n">
        <v>1</v>
      </c>
      <c r="V9" s="58" t="n"/>
      <c r="W9" s="58" t="n"/>
      <c r="X9" s="83" t="n"/>
      <c r="Y9" s="57" t="n"/>
      <c r="Z9" s="58" t="n">
        <v>0.3451388888888889</v>
      </c>
      <c r="AA9" s="60" t="n">
        <v>0.7361111111111112</v>
      </c>
      <c r="AB9" s="83">
        <f>MOD(AA9-Z9,1)*24</f>
        <v/>
      </c>
      <c r="AC9" s="41" t="n">
        <v>1</v>
      </c>
      <c r="AD9" s="116" t="n">
        <v>0.3451388888888889</v>
      </c>
      <c r="AE9" s="117" t="n">
        <v>0.7361111111111112</v>
      </c>
      <c r="AF9" s="83">
        <f>MOD(AE9-AD9,1)*24</f>
        <v/>
      </c>
      <c r="AG9" s="57" t="n">
        <v>1</v>
      </c>
      <c r="AH9" s="58" t="n">
        <v>0.3465277777777778</v>
      </c>
      <c r="AI9" s="58" t="n">
        <v>0.7368055555555556</v>
      </c>
      <c r="AJ9" s="83">
        <f>MOD(AI9-AH9,1)*24</f>
        <v/>
      </c>
      <c r="AK9" s="57" t="n">
        <v>1</v>
      </c>
      <c r="AL9" s="58" t="n">
        <v>0.7368055555555556</v>
      </c>
      <c r="AM9" s="58" t="n"/>
      <c r="AN9" s="83" t="n"/>
      <c r="AO9" s="57" t="n">
        <v>0.5</v>
      </c>
      <c r="AP9" s="58" t="n">
        <v>0.3458333333333333</v>
      </c>
      <c r="AQ9" s="58" t="n"/>
      <c r="AR9" s="83" t="n"/>
      <c r="AS9" s="57" t="n">
        <v>0.5</v>
      </c>
      <c r="AT9" s="58" t="n">
        <v>0.3444444444444444</v>
      </c>
      <c r="AU9" s="58" t="n">
        <v>0.7361111111111112</v>
      </c>
      <c r="AV9" s="83">
        <f>MOD(AU9-AT9,1)*24</f>
        <v/>
      </c>
      <c r="AW9" s="57" t="n">
        <v>1</v>
      </c>
      <c r="AX9" s="58" t="n"/>
      <c r="AY9" s="58" t="n"/>
      <c r="AZ9" s="83" t="n"/>
      <c r="BA9" s="57" t="n"/>
      <c r="BB9" s="58" t="n">
        <v>0.3458333333333333</v>
      </c>
      <c r="BC9" s="60" t="n">
        <v>0.7361111111111112</v>
      </c>
      <c r="BD9" s="83">
        <f>MOD(BC9-BB9,1)*24</f>
        <v/>
      </c>
      <c r="BE9" s="41" t="n">
        <v>1</v>
      </c>
      <c r="BF9" s="116" t="n">
        <v>0.3458333333333333</v>
      </c>
      <c r="BG9" s="115" t="n">
        <v>0.7368055555555556</v>
      </c>
      <c r="BH9" s="83">
        <f>MOD(BG9-BF9,1)*24</f>
        <v/>
      </c>
      <c r="BI9" s="57" t="n">
        <v>1</v>
      </c>
      <c r="BJ9" s="58" t="n">
        <v>0.3444444444444444</v>
      </c>
      <c r="BK9" s="58" t="n">
        <v>0.7361111111111112</v>
      </c>
      <c r="BL9" s="83">
        <f>MOD(BK9-BJ9,1)*24</f>
        <v/>
      </c>
      <c r="BM9" s="57" t="n">
        <v>1</v>
      </c>
      <c r="BN9" s="58" t="n">
        <v>0.3479166666666667</v>
      </c>
      <c r="BO9" s="58" t="n">
        <v>0.7368055555555556</v>
      </c>
      <c r="BP9" s="83">
        <f>MOD(BO9-BN9,1)*24</f>
        <v/>
      </c>
      <c r="BQ9" s="57" t="n">
        <v>1</v>
      </c>
      <c r="BR9" s="58" t="n">
        <v>0.3465277777777778</v>
      </c>
      <c r="BS9" s="58" t="n">
        <v>0.7361111111111112</v>
      </c>
      <c r="BT9" s="83">
        <f>MOD(BS9-BR9,1)*24</f>
        <v/>
      </c>
      <c r="BU9" s="57" t="n">
        <v>1</v>
      </c>
      <c r="BV9" s="58" t="n">
        <v>0.3458333333333333</v>
      </c>
      <c r="BW9" s="60" t="n">
        <v>0.7375</v>
      </c>
      <c r="BX9" s="83">
        <f>MOD(BW9-BV9,1)*24</f>
        <v/>
      </c>
      <c r="BY9" s="41" t="n">
        <v>1</v>
      </c>
      <c r="BZ9" s="41" t="n"/>
      <c r="CA9" s="41" t="n"/>
      <c r="CB9" s="83" t="n"/>
      <c r="CC9" s="41" t="n"/>
      <c r="CD9" s="116" t="n">
        <v>0.3465277777777778</v>
      </c>
      <c r="CE9" s="115" t="n">
        <v>0.7368055555555556</v>
      </c>
      <c r="CF9" s="83">
        <f>MOD(CE9-CD9,1)*24</f>
        <v/>
      </c>
      <c r="CG9" s="57" t="n">
        <v>1</v>
      </c>
      <c r="CH9" s="58" t="n">
        <v>0.3479166666666667</v>
      </c>
      <c r="CI9" s="58" t="n">
        <v>0.7368055555555556</v>
      </c>
      <c r="CJ9" s="83">
        <f>MOD(CI9-CH9,1)*24</f>
        <v/>
      </c>
      <c r="CK9" s="57" t="n">
        <v>1</v>
      </c>
      <c r="CL9" s="58" t="n">
        <v>0.3416666666666667</v>
      </c>
      <c r="CM9" s="58" t="n">
        <v>0.7375</v>
      </c>
      <c r="CN9" s="83">
        <f>MOD(CM9-CL9,1)*24</f>
        <v/>
      </c>
      <c r="CO9" s="57" t="n">
        <v>1</v>
      </c>
      <c r="CP9" s="58" t="n">
        <v>0.2784722222222222</v>
      </c>
      <c r="CQ9" s="58" t="n">
        <v>0.3381944444444445</v>
      </c>
      <c r="CR9" s="83">
        <f>MOD(CQ9-CP9,1)*24</f>
        <v/>
      </c>
      <c r="CS9" s="57" t="n">
        <v>0.5</v>
      </c>
      <c r="CT9" s="58" t="n">
        <v>0.3375</v>
      </c>
      <c r="CU9" s="58" t="n">
        <v>0.7375</v>
      </c>
      <c r="CV9" s="83">
        <f>MOD(CU9-CT9,1)*24</f>
        <v/>
      </c>
      <c r="CW9" s="57" t="n">
        <v>1</v>
      </c>
      <c r="CX9" s="58" t="n">
        <v>0.34375</v>
      </c>
      <c r="CY9" s="58" t="n">
        <v>0.7368055555555556</v>
      </c>
      <c r="CZ9" s="83">
        <f>MOD(CY9-CX9,1)*24</f>
        <v/>
      </c>
      <c r="DA9" s="57" t="n">
        <v>1</v>
      </c>
      <c r="DB9" s="58" t="n"/>
      <c r="DC9" s="58" t="n"/>
      <c r="DD9" s="83" t="n"/>
      <c r="DE9" s="57" t="n"/>
      <c r="DF9" s="58" t="n">
        <v>0.3479166666666667</v>
      </c>
      <c r="DG9" s="60" t="n">
        <v>0.7368055555555556</v>
      </c>
      <c r="DH9" s="83">
        <f>MOD(DG9-DF9,1)*24</f>
        <v/>
      </c>
      <c r="DI9" s="41" t="n">
        <v>1</v>
      </c>
      <c r="DJ9" s="116" t="n">
        <v>0.3513888888888889</v>
      </c>
      <c r="DK9" s="116" t="n">
        <v>0.7381944444444445</v>
      </c>
      <c r="DL9" s="83">
        <f>MOD(DK9-DJ9,1)*24</f>
        <v/>
      </c>
      <c r="DM9" s="41" t="n">
        <v>1</v>
      </c>
      <c r="DN9" s="58" t="n">
        <v>0.34375</v>
      </c>
      <c r="DO9" s="58" t="n">
        <v>0.7361111111111112</v>
      </c>
      <c r="DP9" s="83">
        <f>MOD(DO9-DN9,1)*24</f>
        <v/>
      </c>
      <c r="DQ9" s="57" t="n">
        <v>1</v>
      </c>
      <c r="DR9" s="61" t="n">
        <v>0.3465277777777778</v>
      </c>
      <c r="DS9" s="62" t="n">
        <v>0.7416666666666667</v>
      </c>
      <c r="DT9" s="83">
        <f>MOD(DS9-DR9,1)*24</f>
        <v/>
      </c>
      <c r="DU9" s="41" t="n">
        <v>1</v>
      </c>
      <c r="DV9" s="61">
        <f>SUM(H9,L9,P9,T9,X9,AB9,AF9,AJ9,AN9,AR9,AV9,AZ9,BD9,BH9,BL9,BP9,BT9,BX9,CB9,CF9,CJ9,CN9,CR9,CV9,CZ9,DD9,DH9,DL9,DP9,DT9)</f>
        <v/>
      </c>
      <c r="DW9" s="62">
        <f>SUM(I9,M9,Q9,U9,Y9,AC9,AG9,AK9,AO9,AS9,AW9,BA9,BE9,BI9,BM9,BQ9,BU9,BY9,CC9,CG9,CK9,CO9,CS9,CW9,DA9,DE9,DI9,DM9,DQ9,DU9)</f>
        <v/>
      </c>
      <c r="DX9" s="83" t="n"/>
      <c r="DY9" s="41" t="n"/>
      <c r="DZ9" s="84" t="n"/>
      <c r="EA9" s="84" t="n"/>
      <c r="EB9" s="84" t="n"/>
      <c r="EC9" s="84" t="n"/>
      <c r="ED9" s="84" t="n"/>
      <c r="EE9" s="84" t="n"/>
      <c r="EF9" s="84" t="n"/>
      <c r="EG9" s="84" t="n"/>
      <c r="EH9" s="84" t="n"/>
      <c r="EI9" s="84" t="n"/>
      <c r="EJ9" s="84" t="inlineStr">
        <is>
          <t>只打一次卡</t>
        </is>
      </c>
      <c r="EK9" s="84" t="inlineStr">
        <is>
          <t>只打一次卡</t>
        </is>
      </c>
      <c r="EL9" s="84" t="n"/>
      <c r="EM9" s="84" t="n"/>
      <c r="EN9" s="84" t="n"/>
      <c r="EO9" s="84" t="n"/>
      <c r="EP9" s="84" t="n"/>
      <c r="EQ9" s="84" t="n"/>
      <c r="ER9" s="84" t="n"/>
      <c r="ES9" s="84" t="n"/>
      <c r="ET9" s="84" t="n"/>
      <c r="EU9" s="84" t="n"/>
      <c r="EV9" s="84" t="n"/>
      <c r="EW9" s="84" t="n"/>
      <c r="EX9" s="84" t="inlineStr">
        <is>
          <t>早退</t>
        </is>
      </c>
      <c r="EY9" s="84" t="n"/>
      <c r="EZ9" s="84" t="n"/>
      <c r="FA9" s="84" t="n"/>
      <c r="FB9" s="84" t="n"/>
      <c r="FC9" s="84" t="n"/>
      <c r="FD9" s="84" t="n"/>
      <c r="FE9" s="84" t="n"/>
    </row>
    <row r="10" ht="59" customFormat="1" customHeight="1" s="54">
      <c r="A10" s="55" t="inlineStr">
        <is>
          <t>五楼</t>
        </is>
      </c>
      <c r="B10" s="56" t="inlineStr">
        <is>
          <t>杨青青</t>
        </is>
      </c>
      <c r="C10" s="41" t="inlineStr">
        <is>
          <t>10</t>
        </is>
      </c>
      <c r="D10" s="41" t="n"/>
      <c r="E10" s="57" t="n"/>
      <c r="F10" s="115" t="n">
        <v>0.3409722222222222</v>
      </c>
      <c r="G10" s="58" t="n">
        <v>0.7375</v>
      </c>
      <c r="H10" s="83">
        <f>MOD(G10-F10,1)*24</f>
        <v/>
      </c>
      <c r="I10" s="57" t="n">
        <v>1</v>
      </c>
      <c r="J10" s="58" t="n">
        <v>0.3361111111111111</v>
      </c>
      <c r="K10" s="58" t="n">
        <v>0.7479166666666667</v>
      </c>
      <c r="L10" s="83">
        <f>MOD(K10-J10,1)*24</f>
        <v/>
      </c>
      <c r="M10" s="57" t="n">
        <v>1</v>
      </c>
      <c r="N10" s="58" t="n">
        <v>0.3409722222222222</v>
      </c>
      <c r="O10" s="58" t="n">
        <v>0.7388888888888889</v>
      </c>
      <c r="P10" s="83">
        <f>MOD(O10-N10,1)*24</f>
        <v/>
      </c>
      <c r="Q10" s="57" t="n">
        <v>1</v>
      </c>
      <c r="R10" s="58" t="n"/>
      <c r="S10" s="58" t="n"/>
      <c r="T10" s="83" t="n"/>
      <c r="U10" s="57" t="n"/>
      <c r="V10" s="58" t="n"/>
      <c r="W10" s="58" t="n"/>
      <c r="X10" s="83" t="n"/>
      <c r="Y10" s="57" t="n"/>
      <c r="Z10" s="58" t="n">
        <v>0.3284722222222222</v>
      </c>
      <c r="AA10" s="60" t="n">
        <v>0.7375</v>
      </c>
      <c r="AB10" s="83">
        <f>MOD(AA10-Z10,1)*24</f>
        <v/>
      </c>
      <c r="AC10" s="41" t="n">
        <v>1</v>
      </c>
      <c r="AD10" s="116" t="n"/>
      <c r="AE10" s="117" t="n"/>
      <c r="AF10" s="83" t="n"/>
      <c r="AG10" s="57" t="n"/>
      <c r="AH10" s="58" t="n">
        <v>0.3506944444444444</v>
      </c>
      <c r="AI10" s="58" t="n">
        <v>0.7402777777777778</v>
      </c>
      <c r="AJ10" s="83">
        <f>MOD(AI10-AH10,1)*24</f>
        <v/>
      </c>
      <c r="AK10" s="57" t="n">
        <v>1</v>
      </c>
      <c r="AL10" s="58" t="n">
        <v>0.3493055555555555</v>
      </c>
      <c r="AM10" s="58" t="n">
        <v>0.7368055555555556</v>
      </c>
      <c r="AN10" s="83">
        <f>MOD(AM10-AL10,1)*24</f>
        <v/>
      </c>
      <c r="AO10" s="57" t="n">
        <v>1</v>
      </c>
      <c r="AP10" s="58" t="n">
        <v>0.3513888888888889</v>
      </c>
      <c r="AQ10" s="58" t="n">
        <v>0.7395833333333334</v>
      </c>
      <c r="AR10" s="83">
        <f>MOD(AQ10-AP10,1)*24</f>
        <v/>
      </c>
      <c r="AS10" s="57" t="n">
        <v>1</v>
      </c>
      <c r="AT10" s="58" t="n">
        <v>0.3486111111111111</v>
      </c>
      <c r="AU10" s="58" t="n">
        <v>0.7388888888888889</v>
      </c>
      <c r="AV10" s="83">
        <f>MOD(AU10-AT10,1)*24</f>
        <v/>
      </c>
      <c r="AW10" s="57" t="n">
        <v>1</v>
      </c>
      <c r="AX10" s="58" t="n">
        <v>0.3520833333333334</v>
      </c>
      <c r="AY10" s="58" t="n">
        <v>0.7368055555555556</v>
      </c>
      <c r="AZ10" s="83">
        <f>MOD(AY10-AX10,1)*24</f>
        <v/>
      </c>
      <c r="BA10" s="57" t="n">
        <v>1</v>
      </c>
      <c r="BB10" s="58" t="n">
        <v>0.3479166666666667</v>
      </c>
      <c r="BC10" s="60" t="n">
        <v>0.7388888888888889</v>
      </c>
      <c r="BD10" s="83">
        <f>MOD(BC10-BB10,1)*24</f>
        <v/>
      </c>
      <c r="BE10" s="41" t="n">
        <v>1</v>
      </c>
      <c r="BF10" s="116" t="n">
        <v>0.35</v>
      </c>
      <c r="BG10" s="115" t="n">
        <v>0.7402777777777778</v>
      </c>
      <c r="BH10" s="83">
        <f>MOD(BG10-BF10,1)*24</f>
        <v/>
      </c>
      <c r="BI10" s="57" t="n">
        <v>1</v>
      </c>
      <c r="BJ10" s="58" t="n">
        <v>0.3506944444444444</v>
      </c>
      <c r="BK10" s="58" t="n">
        <v>0.7395833333333334</v>
      </c>
      <c r="BL10" s="83">
        <f>MOD(BK10-BJ10,1)*24</f>
        <v/>
      </c>
      <c r="BM10" s="57" t="n">
        <v>1</v>
      </c>
      <c r="BN10" s="58" t="n">
        <v>0.3506944444444444</v>
      </c>
      <c r="BO10" s="58" t="n">
        <v>0.7395833333333334</v>
      </c>
      <c r="BP10" s="83">
        <f>MOD(BO10-BN10,1)*24</f>
        <v/>
      </c>
      <c r="BQ10" s="57" t="n">
        <v>1</v>
      </c>
      <c r="BR10" s="58" t="n">
        <v>0.3534722222222222</v>
      </c>
      <c r="BS10" s="58" t="n">
        <v>0.7388888888888889</v>
      </c>
      <c r="BT10" s="83">
        <f>MOD(BS10-BR10,1)*24</f>
        <v/>
      </c>
      <c r="BU10" s="57" t="n">
        <v>1</v>
      </c>
      <c r="BV10" s="58" t="n">
        <v>0.3506944444444444</v>
      </c>
      <c r="BW10" s="60" t="n">
        <v>0.7388888888888889</v>
      </c>
      <c r="BX10" s="83">
        <f>MOD(BW10-BV10,1)*24</f>
        <v/>
      </c>
      <c r="BY10" s="41" t="n">
        <v>1</v>
      </c>
      <c r="BZ10" s="41" t="n"/>
      <c r="CA10" s="41" t="n"/>
      <c r="CB10" s="83" t="n"/>
      <c r="CC10" s="41" t="n"/>
      <c r="CD10" s="116" t="n">
        <v>0.3527777777777778</v>
      </c>
      <c r="CE10" s="115" t="n">
        <v>0.7409722222222223</v>
      </c>
      <c r="CF10" s="83">
        <f>MOD(CE10-CD10,1)*24</f>
        <v/>
      </c>
      <c r="CG10" s="57" t="n">
        <v>1</v>
      </c>
      <c r="CH10" s="58" t="n">
        <v>0.3513888888888889</v>
      </c>
      <c r="CI10" s="58" t="n">
        <v>0.7375</v>
      </c>
      <c r="CJ10" s="83">
        <f>MOD(CI10-CH10,1)*24</f>
        <v/>
      </c>
      <c r="CK10" s="57" t="n">
        <v>1</v>
      </c>
      <c r="CL10" s="58" t="n">
        <v>0.3548611111111111</v>
      </c>
      <c r="CM10" s="58" t="n">
        <v>0.7368055555555556</v>
      </c>
      <c r="CN10" s="83">
        <f>MOD(CM10-CL10,1)*24</f>
        <v/>
      </c>
      <c r="CO10" s="57" t="n">
        <v>1</v>
      </c>
      <c r="CP10" s="58" t="n">
        <v>0.3472222222222222</v>
      </c>
      <c r="CQ10" s="58" t="n">
        <v>0.7423611111111111</v>
      </c>
      <c r="CR10" s="83">
        <f>MOD(CQ10-CP10,1)*24</f>
        <v/>
      </c>
      <c r="CS10" s="57" t="n">
        <v>1</v>
      </c>
      <c r="CT10" s="58" t="n">
        <v>0.3534722222222222</v>
      </c>
      <c r="CU10" s="58" t="n">
        <v>0.7375</v>
      </c>
      <c r="CV10" s="83">
        <f>MOD(CU10-CT10,1)*24</f>
        <v/>
      </c>
      <c r="CW10" s="57" t="n">
        <v>1</v>
      </c>
      <c r="CX10" s="58" t="n"/>
      <c r="CY10" s="58" t="n"/>
      <c r="CZ10" s="83" t="n"/>
      <c r="DA10" s="57" t="n"/>
      <c r="DB10" s="58" t="n">
        <v>0.3527777777777778</v>
      </c>
      <c r="DC10" s="58" t="n">
        <v>0.7361111111111112</v>
      </c>
      <c r="DD10" s="83">
        <f>MOD(DC10-DB10,1)*24</f>
        <v/>
      </c>
      <c r="DE10" s="57" t="n">
        <v>1</v>
      </c>
      <c r="DF10" s="58" t="n">
        <v>0.3444444444444444</v>
      </c>
      <c r="DG10" s="60" t="n">
        <v>0.7416666666666667</v>
      </c>
      <c r="DH10" s="83">
        <f>MOD(DG10-DF10,1)*24</f>
        <v/>
      </c>
      <c r="DI10" s="41" t="n">
        <v>1</v>
      </c>
      <c r="DJ10" s="116" t="n">
        <v>0.3486111111111111</v>
      </c>
      <c r="DK10" s="116" t="n">
        <v>0.7381944444444445</v>
      </c>
      <c r="DL10" s="83">
        <f>MOD(DK10-DJ10,1)*24</f>
        <v/>
      </c>
      <c r="DM10" s="41" t="n">
        <v>1</v>
      </c>
      <c r="DN10" s="58" t="n">
        <v>0.3479166666666667</v>
      </c>
      <c r="DO10" s="58" t="n">
        <v>0.7368055555555556</v>
      </c>
      <c r="DP10" s="83">
        <f>MOD(DO10-DN10,1)*24</f>
        <v/>
      </c>
      <c r="DQ10" s="57" t="n">
        <v>1</v>
      </c>
      <c r="DR10" s="61" t="n">
        <v>0.3472222222222222</v>
      </c>
      <c r="DS10" s="62" t="n">
        <v>0.7402777777777778</v>
      </c>
      <c r="DT10" s="83">
        <f>MOD(DS10-DR10,1)*24</f>
        <v/>
      </c>
      <c r="DU10" s="41" t="n">
        <v>1</v>
      </c>
      <c r="DV10" s="61">
        <f>SUM(H10,L10,P10,T10,X10,AB10,AF10,AJ10,AN10,AR10,AV10,AZ10,BD10,BH10,BL10,BP10,BT10,BX10,CB10,CF10,CJ10,CN10,CR10,CV10,CZ10,DD10,DH10,DL10,DP10,DT10)</f>
        <v/>
      </c>
      <c r="DW10" s="62">
        <f>SUM(I10,M10,Q10,U10,Y10,AC10,AG10,AK10,AO10,AS10,AW10,BA10,BE10,BI10,BM10,BQ10,BU10,BY10,CC10,CG10,CK10,CO10,CS10,CW10,DA10,DE10,DI10,DM10,DQ10,DU10)</f>
        <v/>
      </c>
      <c r="DX10" s="83" t="n"/>
      <c r="DY10" s="41" t="n"/>
      <c r="DZ10" s="84" t="n"/>
      <c r="EA10" s="84" t="n"/>
      <c r="EB10" s="84" t="n"/>
      <c r="EC10" s="84" t="n"/>
      <c r="ED10" s="84" t="n"/>
      <c r="EE10" s="84" t="n"/>
      <c r="EF10" s="84" t="n"/>
      <c r="EG10" s="84" t="n"/>
      <c r="EH10" s="84" t="n"/>
      <c r="EI10" s="84" t="n"/>
      <c r="EJ10" s="84" t="n"/>
      <c r="EK10" s="84" t="n"/>
      <c r="EL10" s="84" t="n"/>
      <c r="EM10" s="84" t="n"/>
      <c r="EN10" s="84" t="n"/>
      <c r="EO10" s="84" t="n"/>
      <c r="EP10" s="84" t="n"/>
      <c r="EQ10" s="84" t="n"/>
      <c r="ER10" s="84" t="n"/>
      <c r="ES10" s="84" t="n"/>
      <c r="ET10" s="84" t="n"/>
      <c r="EU10" s="84" t="n"/>
      <c r="EV10" s="84" t="n"/>
      <c r="EW10" s="84" t="inlineStr">
        <is>
          <t>迟到</t>
        </is>
      </c>
      <c r="EX10" s="84" t="n"/>
      <c r="EY10" s="84" t="n"/>
      <c r="EZ10" s="84" t="n"/>
      <c r="FA10" s="84" t="n"/>
      <c r="FB10" s="84" t="n"/>
      <c r="FC10" s="84" t="n"/>
      <c r="FD10" s="84" t="n"/>
      <c r="FE10" s="84" t="n"/>
    </row>
    <row r="11" ht="59" customFormat="1" customHeight="1" s="54">
      <c r="A11" s="55" t="inlineStr">
        <is>
          <t>五楼</t>
        </is>
      </c>
      <c r="B11" s="56" t="inlineStr">
        <is>
          <t>向锋</t>
        </is>
      </c>
      <c r="C11" s="41" t="inlineStr">
        <is>
          <t>12</t>
        </is>
      </c>
      <c r="D11" s="41" t="n"/>
      <c r="E11" s="57" t="n"/>
      <c r="F11" s="115" t="n">
        <v>0.3513888888888889</v>
      </c>
      <c r="G11" s="58" t="n">
        <v>0.75</v>
      </c>
      <c r="H11" s="83">
        <f>MOD(G11-F11,1)*24</f>
        <v/>
      </c>
      <c r="I11" s="57" t="n">
        <v>1</v>
      </c>
      <c r="J11" s="58" t="n">
        <v>0.3506944444444444</v>
      </c>
      <c r="K11" s="58" t="n">
        <v>0.7402777777777778</v>
      </c>
      <c r="L11" s="83">
        <f>MOD(K11-J11,1)*24</f>
        <v/>
      </c>
      <c r="M11" s="57" t="n">
        <v>1</v>
      </c>
      <c r="N11" s="58" t="n">
        <v>0.35</v>
      </c>
      <c r="O11" s="58" t="n">
        <v>0.83125</v>
      </c>
      <c r="P11" s="83">
        <f>MOD(O11-N11,1)*24</f>
        <v/>
      </c>
      <c r="Q11" s="57" t="n">
        <v>1</v>
      </c>
      <c r="R11" s="58" t="n">
        <v>0.3493055555555555</v>
      </c>
      <c r="S11" s="58" t="n">
        <v>0.7375</v>
      </c>
      <c r="T11" s="83">
        <f>MOD(S11-R11,1)*24</f>
        <v/>
      </c>
      <c r="U11" s="57" t="n">
        <v>1</v>
      </c>
      <c r="V11" s="58" t="n"/>
      <c r="W11" s="58" t="n"/>
      <c r="X11" s="83" t="n"/>
      <c r="Y11" s="57" t="n"/>
      <c r="Z11" s="58" t="n">
        <v>0.9722222222222222</v>
      </c>
      <c r="AA11" s="60" t="n"/>
      <c r="AB11" s="83" t="n"/>
      <c r="AC11" s="41" t="n">
        <v>0.5</v>
      </c>
      <c r="AD11" s="116" t="n">
        <v>0.3520833333333334</v>
      </c>
      <c r="AE11" s="117" t="n">
        <v>0.7729166666666667</v>
      </c>
      <c r="AF11" s="83">
        <f>MOD(AE11-AD11,1)*24</f>
        <v/>
      </c>
      <c r="AG11" s="57" t="n">
        <v>1</v>
      </c>
      <c r="AH11" s="58" t="n">
        <v>0.3513888888888889</v>
      </c>
      <c r="AI11" s="58" t="n">
        <v>0.8326388888888889</v>
      </c>
      <c r="AJ11" s="83">
        <f>MOD(AI11-AH11,1)*24</f>
        <v/>
      </c>
      <c r="AK11" s="57" t="n">
        <v>1</v>
      </c>
      <c r="AL11" s="58" t="n">
        <v>0.3506944444444444</v>
      </c>
      <c r="AM11" s="58" t="n">
        <v>0.7631944444444444</v>
      </c>
      <c r="AN11" s="83">
        <f>MOD(AM11-AL11,1)*24</f>
        <v/>
      </c>
      <c r="AO11" s="57" t="n">
        <v>1</v>
      </c>
      <c r="AP11" s="58" t="n">
        <v>0.35</v>
      </c>
      <c r="AQ11" s="58" t="n">
        <v>0.8076388888888889</v>
      </c>
      <c r="AR11" s="83">
        <f>MOD(AQ11-AP11,1)*24</f>
        <v/>
      </c>
      <c r="AS11" s="57" t="n">
        <v>1</v>
      </c>
      <c r="AT11" s="58" t="n">
        <v>0.35</v>
      </c>
      <c r="AU11" s="58" t="n">
        <v>0.7513888888888889</v>
      </c>
      <c r="AV11" s="83">
        <f>MOD(AU11-AT11,1)*24</f>
        <v/>
      </c>
      <c r="AW11" s="57" t="n">
        <v>1</v>
      </c>
      <c r="AX11" s="58" t="n">
        <v>0.2659722222222222</v>
      </c>
      <c r="AY11" s="58" t="n">
        <v>0.7965277777777777</v>
      </c>
      <c r="AZ11" s="83">
        <f>MOD(AY11-AX11,1)*24</f>
        <v/>
      </c>
      <c r="BA11" s="57" t="n">
        <v>1</v>
      </c>
      <c r="BB11" s="58" t="n">
        <v>0.3513888888888889</v>
      </c>
      <c r="BC11" s="60" t="n">
        <v>0.7388888888888889</v>
      </c>
      <c r="BD11" s="83">
        <f>MOD(BC11-BB11,1)*24</f>
        <v/>
      </c>
      <c r="BE11" s="41" t="n">
        <v>1</v>
      </c>
      <c r="BF11" s="116" t="n"/>
      <c r="BG11" s="115" t="n"/>
      <c r="BH11" s="83" t="n"/>
      <c r="BI11" s="57" t="n"/>
      <c r="BJ11" s="58" t="n">
        <v>0.3458333333333333</v>
      </c>
      <c r="BK11" s="58" t="n">
        <v>0.7493055555555556</v>
      </c>
      <c r="BL11" s="83">
        <f>MOD(BK11-BJ11,1)*24</f>
        <v/>
      </c>
      <c r="BM11" s="57" t="n">
        <v>1</v>
      </c>
      <c r="BN11" s="58" t="n"/>
      <c r="BO11" s="58" t="n"/>
      <c r="BP11" s="83" t="n"/>
      <c r="BQ11" s="57" t="n"/>
      <c r="BR11" s="58" t="n"/>
      <c r="BS11" s="58" t="n"/>
      <c r="BT11" s="83" t="n"/>
      <c r="BU11" s="57" t="n"/>
      <c r="BV11" s="58" t="n"/>
      <c r="BW11" s="60" t="n"/>
      <c r="BX11" s="83" t="n"/>
      <c r="BY11" s="41" t="n"/>
      <c r="BZ11" s="41" t="n"/>
      <c r="CA11" s="41" t="n"/>
      <c r="CB11" s="83" t="n"/>
      <c r="CC11" s="41" t="n"/>
      <c r="CD11" s="116" t="n">
        <v>0.3506944444444444</v>
      </c>
      <c r="CE11" s="115" t="n">
        <v>0.7666666666666667</v>
      </c>
      <c r="CF11" s="83">
        <f>MOD(CE11-CD11,1)*24</f>
        <v/>
      </c>
      <c r="CG11" s="57" t="n">
        <v>1</v>
      </c>
      <c r="CH11" s="58" t="n">
        <v>0.3520833333333334</v>
      </c>
      <c r="CI11" s="58" t="n">
        <v>0.7479166666666667</v>
      </c>
      <c r="CJ11" s="83">
        <f>MOD(CI11-CH11,1)*24</f>
        <v/>
      </c>
      <c r="CK11" s="57" t="n">
        <v>1</v>
      </c>
      <c r="CL11" s="58" t="n">
        <v>0.8354166666666667</v>
      </c>
      <c r="CM11" s="58" t="n"/>
      <c r="CN11" s="83" t="n"/>
      <c r="CO11" s="57" t="n">
        <v>0.5</v>
      </c>
      <c r="CP11" s="58" t="n">
        <v>0.35</v>
      </c>
      <c r="CQ11" s="58" t="n">
        <v>0.85625</v>
      </c>
      <c r="CR11" s="83">
        <f>MOD(CQ11-CP11,1)*24</f>
        <v/>
      </c>
      <c r="CS11" s="57" t="n">
        <v>1</v>
      </c>
      <c r="CT11" s="58" t="n">
        <v>0.3506944444444444</v>
      </c>
      <c r="CU11" s="58" t="n">
        <v>0.8854166666666666</v>
      </c>
      <c r="CV11" s="83">
        <f>MOD(CU11-CT11,1)*24</f>
        <v/>
      </c>
      <c r="CW11" s="57" t="n">
        <v>1</v>
      </c>
      <c r="CX11" s="58" t="n">
        <v>0.35</v>
      </c>
      <c r="CY11" s="58" t="n">
        <v>0.7409722222222223</v>
      </c>
      <c r="CZ11" s="83">
        <f>MOD(CY11-CX11,1)*24</f>
        <v/>
      </c>
      <c r="DA11" s="57" t="n">
        <v>1</v>
      </c>
      <c r="DB11" s="58" t="n"/>
      <c r="DC11" s="58" t="n"/>
      <c r="DD11" s="83" t="n"/>
      <c r="DE11" s="57" t="n"/>
      <c r="DF11" s="58" t="n">
        <v>0.3472222222222222</v>
      </c>
      <c r="DG11" s="60" t="n">
        <v>0.8402777777777778</v>
      </c>
      <c r="DH11" s="83">
        <f>MOD(DG11-DF11,1)*24</f>
        <v/>
      </c>
      <c r="DI11" s="41" t="n">
        <v>1</v>
      </c>
      <c r="DJ11" s="116" t="n">
        <v>0.3513888888888889</v>
      </c>
      <c r="DK11" s="116" t="n">
        <v>0.7708333333333334</v>
      </c>
      <c r="DL11" s="83">
        <f>MOD(DK11-DJ11,1)*24</f>
        <v/>
      </c>
      <c r="DM11" s="41" t="n">
        <v>1</v>
      </c>
      <c r="DN11" s="58" t="n">
        <v>0.3520833333333334</v>
      </c>
      <c r="DO11" s="58" t="n">
        <v>0.8493055555555555</v>
      </c>
      <c r="DP11" s="83">
        <f>MOD(DO11-DN11,1)*24</f>
        <v/>
      </c>
      <c r="DQ11" s="57" t="n">
        <v>1</v>
      </c>
      <c r="DR11" s="61" t="n">
        <v>0.35</v>
      </c>
      <c r="DS11" s="62" t="n">
        <v>0.7534722222222222</v>
      </c>
      <c r="DT11" s="83">
        <f>MOD(DS11-DR11,1)*24</f>
        <v/>
      </c>
      <c r="DU11" s="41" t="n">
        <v>1</v>
      </c>
      <c r="DV11" s="61">
        <f>SUM(H11,L11,P11,T11,X11,AB11,AF11,AJ11,AN11,AR11,AV11,AZ11,BD11,BH11,BL11,BP11,BT11,BX11,CB11,CF11,CJ11,CN11,CR11,CV11,CZ11,DD11,DH11,DL11,DP11,DT11)</f>
        <v/>
      </c>
      <c r="DW11" s="62">
        <f>SUM(I11,M11,Q11,U11,Y11,AC11,AG11,AK11,AO11,AS11,AW11,BA11,BE11,BI11,BM11,BQ11,BU11,BY11,CC11,CG11,CK11,CO11,CS11,CW11,DA11,DE11,DI11,DM11,DQ11,DU11)</f>
        <v/>
      </c>
      <c r="DX11" s="83" t="n"/>
      <c r="DY11" s="41" t="n"/>
      <c r="DZ11" s="84" t="n"/>
      <c r="EA11" s="84" t="n"/>
      <c r="EB11" s="84" t="n"/>
      <c r="EC11" s="84" t="n"/>
      <c r="ED11" s="84" t="n"/>
      <c r="EE11" s="84" t="n"/>
      <c r="EF11" s="84" t="n"/>
      <c r="EG11" s="84" t="inlineStr">
        <is>
          <t>只打一次卡</t>
        </is>
      </c>
      <c r="EH11" s="84" t="n"/>
      <c r="EI11" s="84" t="n"/>
      <c r="EJ11" s="84" t="n"/>
      <c r="EK11" s="84" t="n"/>
      <c r="EL11" s="84" t="n"/>
      <c r="EM11" s="84" t="n"/>
      <c r="EN11" s="84" t="n"/>
      <c r="EO11" s="84" t="n"/>
      <c r="EP11" s="84" t="n"/>
      <c r="EQ11" s="84" t="n"/>
      <c r="ER11" s="84" t="n"/>
      <c r="ES11" s="84" t="n"/>
      <c r="ET11" s="84" t="n"/>
      <c r="EU11" s="84" t="n"/>
      <c r="EV11" s="84" t="n"/>
      <c r="EW11" s="84" t="inlineStr">
        <is>
          <t>只打一次卡</t>
        </is>
      </c>
      <c r="EX11" s="84" t="n"/>
      <c r="EY11" s="84" t="n"/>
      <c r="EZ11" s="84" t="n"/>
      <c r="FA11" s="84" t="n"/>
      <c r="FB11" s="84" t="n"/>
      <c r="FC11" s="84" t="n"/>
      <c r="FD11" s="84" t="n"/>
      <c r="FE11" s="84" t="n"/>
    </row>
    <row r="12" ht="59" customFormat="1" customHeight="1" s="54">
      <c r="A12" s="55" t="inlineStr">
        <is>
          <t>五楼</t>
        </is>
      </c>
      <c r="B12" s="56" t="inlineStr">
        <is>
          <t>雷松儒</t>
        </is>
      </c>
      <c r="C12" s="41" t="inlineStr">
        <is>
          <t>13</t>
        </is>
      </c>
      <c r="D12" s="41" t="n"/>
      <c r="E12" s="57" t="n"/>
      <c r="F12" s="115" t="n">
        <v>0.3652777777777778</v>
      </c>
      <c r="G12" s="58" t="n">
        <v>0.7506944444444444</v>
      </c>
      <c r="H12" s="83">
        <f>MOD(G12-F12,1)*24</f>
        <v/>
      </c>
      <c r="I12" s="57" t="n">
        <v>1</v>
      </c>
      <c r="J12" s="58" t="n">
        <v>0.34375</v>
      </c>
      <c r="K12" s="58" t="n">
        <v>0.8118055555555556</v>
      </c>
      <c r="L12" s="83">
        <f>MOD(K12-J12,1)*24</f>
        <v/>
      </c>
      <c r="M12" s="57" t="n">
        <v>1</v>
      </c>
      <c r="N12" s="58" t="n">
        <v>0.34375</v>
      </c>
      <c r="O12" s="58" t="n">
        <v>0.7486111111111111</v>
      </c>
      <c r="P12" s="83">
        <f>MOD(O12-N12,1)*24</f>
        <v/>
      </c>
      <c r="Q12" s="57" t="n">
        <v>1</v>
      </c>
      <c r="R12" s="58" t="n">
        <v>0.3451388888888889</v>
      </c>
      <c r="S12" s="58" t="n">
        <v>0.7375</v>
      </c>
      <c r="T12" s="83">
        <f>MOD(S12-R12,1)*24</f>
        <v/>
      </c>
      <c r="U12" s="57" t="n">
        <v>1</v>
      </c>
      <c r="V12" s="58" t="n"/>
      <c r="W12" s="58" t="n"/>
      <c r="X12" s="83" t="n"/>
      <c r="Y12" s="57" t="n"/>
      <c r="Z12" s="58" t="n">
        <v>0.85</v>
      </c>
      <c r="AA12" s="60" t="n"/>
      <c r="AB12" s="83" t="n"/>
      <c r="AC12" s="41" t="n">
        <v>0.5</v>
      </c>
      <c r="AD12" s="116" t="n">
        <v>0.3520833333333334</v>
      </c>
      <c r="AE12" s="117" t="n">
        <v>0.7743055555555556</v>
      </c>
      <c r="AF12" s="83">
        <f>MOD(AE12-AD12,1)*24</f>
        <v/>
      </c>
      <c r="AG12" s="57" t="n">
        <v>1</v>
      </c>
      <c r="AH12" s="58" t="n">
        <v>0.3513888888888889</v>
      </c>
      <c r="AI12" s="58" t="n">
        <v>0.7534722222222222</v>
      </c>
      <c r="AJ12" s="83">
        <f>MOD(AI12-AH12,1)*24</f>
        <v/>
      </c>
      <c r="AK12" s="57" t="n">
        <v>1</v>
      </c>
      <c r="AL12" s="58" t="n">
        <v>0.3444444444444444</v>
      </c>
      <c r="AM12" s="58" t="n">
        <v>0.8236111111111111</v>
      </c>
      <c r="AN12" s="83">
        <f>MOD(AM12-AL12,1)*24</f>
        <v/>
      </c>
      <c r="AO12" s="57" t="n">
        <v>1</v>
      </c>
      <c r="AP12" s="58" t="n">
        <v>0.3465277777777778</v>
      </c>
      <c r="AQ12" s="58" t="n">
        <v>0.7902777777777777</v>
      </c>
      <c r="AR12" s="83">
        <f>MOD(AQ12-AP12,1)*24</f>
        <v/>
      </c>
      <c r="AS12" s="57" t="n">
        <v>1</v>
      </c>
      <c r="AT12" s="58" t="n">
        <v>0.3479166666666667</v>
      </c>
      <c r="AU12" s="58" t="n"/>
      <c r="AV12" s="83" t="n"/>
      <c r="AW12" s="57" t="n">
        <v>0.5</v>
      </c>
      <c r="AX12" s="58" t="n">
        <v>0.7979166666666667</v>
      </c>
      <c r="AY12" s="58" t="n"/>
      <c r="AZ12" s="83" t="n"/>
      <c r="BA12" s="57" t="n">
        <v>0.5</v>
      </c>
      <c r="BB12" s="58" t="n">
        <v>0.3451388888888889</v>
      </c>
      <c r="BC12" s="60" t="n">
        <v>0.7465277777777778</v>
      </c>
      <c r="BD12" s="83">
        <f>MOD(BC12-BB12,1)*24</f>
        <v/>
      </c>
      <c r="BE12" s="41" t="n">
        <v>1</v>
      </c>
      <c r="BF12" s="116" t="n">
        <v>0.35</v>
      </c>
      <c r="BG12" s="115" t="n">
        <v>0.7895833333333333</v>
      </c>
      <c r="BH12" s="83">
        <f>MOD(BG12-BF12,1)*24</f>
        <v/>
      </c>
      <c r="BI12" s="57" t="n">
        <v>1</v>
      </c>
      <c r="BJ12" s="58" t="n">
        <v>0.3416666666666667</v>
      </c>
      <c r="BK12" s="58" t="n">
        <v>0.7583333333333333</v>
      </c>
      <c r="BL12" s="83">
        <f>MOD(BK12-BJ12,1)*24</f>
        <v/>
      </c>
      <c r="BM12" s="57" t="n">
        <v>1</v>
      </c>
      <c r="BN12" s="58" t="n">
        <v>0.3458333333333333</v>
      </c>
      <c r="BO12" s="58" t="n">
        <v>0.7444444444444445</v>
      </c>
      <c r="BP12" s="83">
        <f>MOD(BO12-BN12,1)*24</f>
        <v/>
      </c>
      <c r="BQ12" s="57" t="n">
        <v>1</v>
      </c>
      <c r="BR12" s="58" t="n">
        <v>0.3444444444444444</v>
      </c>
      <c r="BS12" s="58" t="n">
        <v>0.7479166666666667</v>
      </c>
      <c r="BT12" s="83">
        <f>MOD(BS12-BR12,1)*24</f>
        <v/>
      </c>
      <c r="BU12" s="57" t="n">
        <v>1</v>
      </c>
      <c r="BV12" s="58" t="n">
        <v>0.3430555555555556</v>
      </c>
      <c r="BW12" s="60" t="n">
        <v>0.7444444444444445</v>
      </c>
      <c r="BX12" s="83">
        <f>MOD(BW12-BV12,1)*24</f>
        <v/>
      </c>
      <c r="BY12" s="41" t="n">
        <v>1</v>
      </c>
      <c r="BZ12" s="116" t="n">
        <v>0.3465277777777778</v>
      </c>
      <c r="CA12" s="116" t="n">
        <v>0.8402777777777778</v>
      </c>
      <c r="CB12" s="83">
        <f>MOD(CA12-BZ12,1)*24</f>
        <v/>
      </c>
      <c r="CC12" s="41" t="n">
        <v>1</v>
      </c>
      <c r="CD12" s="116" t="n">
        <v>0.3506944444444444</v>
      </c>
      <c r="CE12" s="115" t="n">
        <v>0.7402777777777778</v>
      </c>
      <c r="CF12" s="83">
        <f>MOD(CE12-CD12,1)*24</f>
        <v/>
      </c>
      <c r="CG12" s="57" t="n">
        <v>1</v>
      </c>
      <c r="CH12" s="58" t="n">
        <v>0.3465277777777778</v>
      </c>
      <c r="CI12" s="58" t="n">
        <v>0.7479166666666667</v>
      </c>
      <c r="CJ12" s="83">
        <f>MOD(CI12-CH12,1)*24</f>
        <v/>
      </c>
      <c r="CK12" s="57" t="n">
        <v>1</v>
      </c>
      <c r="CL12" s="58" t="n">
        <v>0.3381944444444445</v>
      </c>
      <c r="CM12" s="58" t="n">
        <v>0.7493055555555556</v>
      </c>
      <c r="CN12" s="83">
        <f>MOD(CM12-CL12,1)*24</f>
        <v/>
      </c>
      <c r="CO12" s="57" t="n">
        <v>1</v>
      </c>
      <c r="CP12" s="58" t="n">
        <v>0.3479166666666667</v>
      </c>
      <c r="CQ12" s="58" t="n">
        <v>0.7701388888888889</v>
      </c>
      <c r="CR12" s="83">
        <f>MOD(CQ12-CP12,1)*24</f>
        <v/>
      </c>
      <c r="CS12" s="57" t="n">
        <v>1</v>
      </c>
      <c r="CT12" s="58" t="n">
        <v>0.3465277777777778</v>
      </c>
      <c r="CU12" s="58" t="n">
        <v>0.8229166666666666</v>
      </c>
      <c r="CV12" s="83">
        <f>MOD(CU12-CT12,1)*24</f>
        <v/>
      </c>
      <c r="CW12" s="57" t="n">
        <v>1</v>
      </c>
      <c r="CX12" s="58" t="n">
        <v>0.3423611111111111</v>
      </c>
      <c r="CY12" s="58" t="n">
        <v>0.7368055555555556</v>
      </c>
      <c r="CZ12" s="83">
        <f>MOD(CY12-CX12,1)*24</f>
        <v/>
      </c>
      <c r="DA12" s="57" t="n">
        <v>1</v>
      </c>
      <c r="DB12" s="58" t="n"/>
      <c r="DC12" s="58" t="n"/>
      <c r="DD12" s="83" t="n"/>
      <c r="DE12" s="57" t="n"/>
      <c r="DF12" s="58" t="n">
        <v>0.8215277777777777</v>
      </c>
      <c r="DG12" s="60" t="n"/>
      <c r="DH12" s="83" t="n"/>
      <c r="DI12" s="41" t="n">
        <v>0.5</v>
      </c>
      <c r="DJ12" s="116" t="n">
        <v>0.3555555555555556</v>
      </c>
      <c r="DK12" s="116" t="n">
        <v>0.8013888888888889</v>
      </c>
      <c r="DL12" s="83">
        <f>MOD(DK12-DJ12,1)*24</f>
        <v/>
      </c>
      <c r="DM12" s="41" t="n">
        <v>1</v>
      </c>
      <c r="DN12" s="58" t="n">
        <v>0.3423611111111111</v>
      </c>
      <c r="DO12" s="58" t="n">
        <v>0.7736111111111111</v>
      </c>
      <c r="DP12" s="83">
        <f>MOD(DO12-DN12,1)*24</f>
        <v/>
      </c>
      <c r="DQ12" s="57" t="n">
        <v>1</v>
      </c>
      <c r="DR12" s="61" t="n">
        <v>0.3458333333333333</v>
      </c>
      <c r="DS12" s="62" t="n">
        <v>0.7506944444444444</v>
      </c>
      <c r="DT12" s="83">
        <f>MOD(DS12-DR12,1)*24</f>
        <v/>
      </c>
      <c r="DU12" s="41" t="n">
        <v>1</v>
      </c>
      <c r="DV12" s="61">
        <f>SUM(H12,L12,P12,T12,X12,AB12,AF12,AJ12,AN12,AR12,AV12,AZ12,BD12,BH12,BL12,BP12,BT12,BX12,CB12,CF12,CJ12,CN12,CR12,CV12,CZ12,DD12,DH12,DL12,DP12,DT12)</f>
        <v/>
      </c>
      <c r="DW12" s="62">
        <f>SUM(I12,M12,Q12,U12,Y12,AC12,AG12,AK12,AO12,AS12,AW12,BA12,BE12,BI12,BM12,BQ12,BU12,BY12,CC12,CG12,CK12,CO12,CS12,CW12,DA12,DE12,DI12,DM12,DQ12,DU12)</f>
        <v/>
      </c>
      <c r="DX12" s="83" t="n"/>
      <c r="DY12" s="41" t="n"/>
      <c r="DZ12" s="84" t="n"/>
      <c r="EA12" s="84" t="n"/>
      <c r="EB12" s="84" t="inlineStr">
        <is>
          <t>迟到</t>
        </is>
      </c>
      <c r="EC12" s="84" t="n"/>
      <c r="ED12" s="84" t="n"/>
      <c r="EE12" s="84" t="n"/>
      <c r="EF12" s="84" t="n"/>
      <c r="EG12" s="84" t="inlineStr">
        <is>
          <t>只打一次卡</t>
        </is>
      </c>
      <c r="EH12" s="84" t="n"/>
      <c r="EI12" s="84" t="n"/>
      <c r="EJ12" s="84" t="n"/>
      <c r="EK12" s="84" t="n"/>
      <c r="EL12" s="84" t="inlineStr">
        <is>
          <t>只打一次卡</t>
        </is>
      </c>
      <c r="EM12" s="84" t="inlineStr">
        <is>
          <t>只打一次卡</t>
        </is>
      </c>
      <c r="EN12" s="84" t="n"/>
      <c r="EO12" s="84" t="n"/>
      <c r="EP12" s="84" t="n"/>
      <c r="EQ12" s="84" t="n"/>
      <c r="ER12" s="84" t="n"/>
      <c r="ES12" s="84" t="n"/>
      <c r="ET12" s="84" t="n"/>
      <c r="EU12" s="84" t="n"/>
      <c r="EV12" s="84" t="n"/>
      <c r="EW12" s="84" t="n"/>
      <c r="EX12" s="84" t="n"/>
      <c r="EY12" s="84" t="n"/>
      <c r="EZ12" s="84" t="n"/>
      <c r="FA12" s="84" t="n"/>
      <c r="FB12" s="84" t="inlineStr">
        <is>
          <t>只打一次卡</t>
        </is>
      </c>
      <c r="FC12" s="84" t="inlineStr">
        <is>
          <t>迟到</t>
        </is>
      </c>
      <c r="FD12" s="84" t="n"/>
      <c r="FE12" s="84" t="n"/>
    </row>
    <row r="13" ht="59" customFormat="1" customHeight="1" s="54">
      <c r="A13" s="55" t="inlineStr">
        <is>
          <t>五楼</t>
        </is>
      </c>
      <c r="B13" s="56" t="inlineStr">
        <is>
          <t>杨首琴</t>
        </is>
      </c>
      <c r="C13" s="41" t="inlineStr">
        <is>
          <t>14</t>
        </is>
      </c>
      <c r="D13" s="41" t="n"/>
      <c r="E13" s="57" t="n"/>
      <c r="F13" s="115" t="n">
        <v>0.3534722222222222</v>
      </c>
      <c r="G13" s="58" t="n">
        <v>0.7590277777777777</v>
      </c>
      <c r="H13" s="83">
        <f>MOD(G13-F13,1)*24</f>
        <v/>
      </c>
      <c r="I13" s="57" t="n">
        <v>1</v>
      </c>
      <c r="J13" s="58" t="n">
        <v>0.3479166666666667</v>
      </c>
      <c r="K13" s="58" t="n">
        <v>0.7625</v>
      </c>
      <c r="L13" s="83">
        <f>MOD(K13-J13,1)*24</f>
        <v/>
      </c>
      <c r="M13" s="57" t="n">
        <v>1</v>
      </c>
      <c r="N13" s="58" t="n">
        <v>0.3513888888888889</v>
      </c>
      <c r="O13" s="58" t="n">
        <v>0.7465277777777778</v>
      </c>
      <c r="P13" s="83">
        <f>MOD(O13-N13,1)*24</f>
        <v/>
      </c>
      <c r="Q13" s="57" t="n">
        <v>1</v>
      </c>
      <c r="R13" s="58" t="n"/>
      <c r="S13" s="58" t="n"/>
      <c r="T13" s="83" t="n"/>
      <c r="U13" s="57" t="n"/>
      <c r="V13" s="58" t="n"/>
      <c r="W13" s="58" t="n"/>
      <c r="X13" s="83" t="n"/>
      <c r="Y13" s="57" t="n"/>
      <c r="Z13" s="58" t="n">
        <v>0.3506944444444444</v>
      </c>
      <c r="AA13" s="60" t="n">
        <v>0.7416666666666667</v>
      </c>
      <c r="AB13" s="83">
        <f>MOD(AA13-Z13,1)*24</f>
        <v/>
      </c>
      <c r="AC13" s="41" t="n">
        <v>1</v>
      </c>
      <c r="AD13" s="116" t="n">
        <v>0.3520833333333334</v>
      </c>
      <c r="AE13" s="117" t="n">
        <v>0.7395833333333334</v>
      </c>
      <c r="AF13" s="83">
        <f>MOD(AE13-AD13,1)*24</f>
        <v/>
      </c>
      <c r="AG13" s="57" t="n">
        <v>1</v>
      </c>
      <c r="AH13" s="58" t="n">
        <v>0.3513888888888889</v>
      </c>
      <c r="AI13" s="58" t="n">
        <v>0.7479166666666667</v>
      </c>
      <c r="AJ13" s="83">
        <f>MOD(AI13-AH13,1)*24</f>
        <v/>
      </c>
      <c r="AK13" s="57" t="n">
        <v>1</v>
      </c>
      <c r="AL13" s="58" t="n">
        <v>0.3513888888888889</v>
      </c>
      <c r="AM13" s="58" t="n">
        <v>0.7388888888888889</v>
      </c>
      <c r="AN13" s="83">
        <f>MOD(AM13-AL13,1)*24</f>
        <v/>
      </c>
      <c r="AO13" s="57" t="n">
        <v>1</v>
      </c>
      <c r="AP13" s="58" t="n">
        <v>0.3534722222222222</v>
      </c>
      <c r="AQ13" s="58" t="n">
        <v>0.7388888888888889</v>
      </c>
      <c r="AR13" s="83">
        <f>MOD(AQ13-AP13,1)*24</f>
        <v/>
      </c>
      <c r="AS13" s="57" t="n">
        <v>1</v>
      </c>
      <c r="AT13" s="58" t="n">
        <v>0.3506944444444444</v>
      </c>
      <c r="AU13" s="58" t="n">
        <v>0.7395833333333334</v>
      </c>
      <c r="AV13" s="83">
        <f>MOD(AU13-AT13,1)*24</f>
        <v/>
      </c>
      <c r="AW13" s="57" t="n">
        <v>1</v>
      </c>
      <c r="AX13" s="58" t="n"/>
      <c r="AY13" s="58" t="n"/>
      <c r="AZ13" s="83" t="n"/>
      <c r="BA13" s="57" t="n"/>
      <c r="BB13" s="58" t="n">
        <v>0.3513888888888889</v>
      </c>
      <c r="BC13" s="60" t="n">
        <v>0.7381944444444445</v>
      </c>
      <c r="BD13" s="83">
        <f>MOD(BC13-BB13,1)*24</f>
        <v/>
      </c>
      <c r="BE13" s="41" t="n">
        <v>1</v>
      </c>
      <c r="BF13" s="116" t="n">
        <v>0.3534722222222222</v>
      </c>
      <c r="BG13" s="115" t="n">
        <v>0.7368055555555556</v>
      </c>
      <c r="BH13" s="83">
        <f>MOD(BG13-BF13,1)*24</f>
        <v/>
      </c>
      <c r="BI13" s="57" t="n">
        <v>1</v>
      </c>
      <c r="BJ13" s="58" t="n">
        <v>0.3506944444444444</v>
      </c>
      <c r="BK13" s="58" t="n">
        <v>0.7395833333333334</v>
      </c>
      <c r="BL13" s="83">
        <f>MOD(BK13-BJ13,1)*24</f>
        <v/>
      </c>
      <c r="BM13" s="57" t="n">
        <v>1</v>
      </c>
      <c r="BN13" s="58" t="n">
        <v>0.3506944444444444</v>
      </c>
      <c r="BO13" s="58" t="n">
        <v>0.7361111111111112</v>
      </c>
      <c r="BP13" s="83">
        <f>MOD(BO13-BN13,1)*24</f>
        <v/>
      </c>
      <c r="BQ13" s="57" t="n">
        <v>1</v>
      </c>
      <c r="BR13" s="58" t="n">
        <v>0.3506944444444444</v>
      </c>
      <c r="BS13" s="58" t="n">
        <v>0.7388888888888889</v>
      </c>
      <c r="BT13" s="83">
        <f>MOD(BS13-BR13,1)*24</f>
        <v/>
      </c>
      <c r="BU13" s="57" t="n">
        <v>1</v>
      </c>
      <c r="BV13" s="58" t="n">
        <v>0.3430555555555556</v>
      </c>
      <c r="BW13" s="60" t="n">
        <v>0.7409722222222223</v>
      </c>
      <c r="BX13" s="83">
        <f>MOD(BW13-BV13,1)*24</f>
        <v/>
      </c>
      <c r="BY13" s="41" t="n">
        <v>1</v>
      </c>
      <c r="BZ13" s="41" t="n"/>
      <c r="CA13" s="41" t="n"/>
      <c r="CB13" s="83" t="n"/>
      <c r="CC13" s="41" t="n"/>
      <c r="CD13" s="116" t="n">
        <v>0.3520833333333334</v>
      </c>
      <c r="CE13" s="115" t="n">
        <v>0.7395833333333334</v>
      </c>
      <c r="CF13" s="83">
        <f>MOD(CE13-CD13,1)*24</f>
        <v/>
      </c>
      <c r="CG13" s="57" t="n">
        <v>0.5</v>
      </c>
      <c r="CH13" s="58" t="n">
        <v>0.3520833333333334</v>
      </c>
      <c r="CI13" s="58" t="n">
        <v>0.7479166666666667</v>
      </c>
      <c r="CJ13" s="83">
        <f>MOD(CI13-CH13,1)*24</f>
        <v/>
      </c>
      <c r="CK13" s="57" t="n">
        <v>0.5</v>
      </c>
      <c r="CL13" s="58" t="n">
        <v>0.35</v>
      </c>
      <c r="CM13" s="58" t="n">
        <v>0.7458333333333333</v>
      </c>
      <c r="CN13" s="83">
        <f>MOD(CM13-CL13,1)*24</f>
        <v/>
      </c>
      <c r="CO13" s="57" t="n">
        <v>1</v>
      </c>
      <c r="CP13" s="58" t="n">
        <v>0.3513888888888889</v>
      </c>
      <c r="CQ13" s="58" t="n">
        <v>0.7423611111111111</v>
      </c>
      <c r="CR13" s="83">
        <f>MOD(CQ13-CP13,1)*24</f>
        <v/>
      </c>
      <c r="CS13" s="57" t="n">
        <v>1</v>
      </c>
      <c r="CT13" s="58" t="n">
        <v>0.3506944444444444</v>
      </c>
      <c r="CU13" s="58" t="n">
        <v>0.7423611111111111</v>
      </c>
      <c r="CV13" s="83">
        <f>MOD(CU13-CT13,1)*24</f>
        <v/>
      </c>
      <c r="CW13" s="57" t="n">
        <v>1</v>
      </c>
      <c r="CX13" s="58" t="n">
        <v>0.3444444444444444</v>
      </c>
      <c r="CY13" s="58" t="n">
        <v>0.7402777777777778</v>
      </c>
      <c r="CZ13" s="83">
        <f>MOD(CY13-CX13,1)*24</f>
        <v/>
      </c>
      <c r="DA13" s="57" t="n">
        <v>1</v>
      </c>
      <c r="DB13" s="58" t="n">
        <v>0.3493055555555555</v>
      </c>
      <c r="DC13" s="58" t="n">
        <v>0.5006944444444444</v>
      </c>
      <c r="DD13" s="83">
        <f>MOD(DC13-DB13,1)*24</f>
        <v/>
      </c>
      <c r="DE13" s="57" t="n">
        <v>0.5</v>
      </c>
      <c r="DF13" s="58" t="n">
        <v>0.3493055555555555</v>
      </c>
      <c r="DG13" s="60" t="n">
        <v>0.7479166666666667</v>
      </c>
      <c r="DH13" s="83">
        <f>MOD(DG13-DF13,1)*24</f>
        <v/>
      </c>
      <c r="DI13" s="41" t="n">
        <v>1</v>
      </c>
      <c r="DJ13" s="116" t="n">
        <v>0.3506944444444444</v>
      </c>
      <c r="DK13" s="116" t="n">
        <v>0.7611111111111111</v>
      </c>
      <c r="DL13" s="83">
        <f>MOD(DK13-DJ13,1)*24</f>
        <v/>
      </c>
      <c r="DM13" s="41" t="n">
        <v>0.5</v>
      </c>
      <c r="DN13" s="58" t="n">
        <v>0.5430555555555555</v>
      </c>
      <c r="DO13" s="58" t="n">
        <v>0.7416666666666667</v>
      </c>
      <c r="DP13" s="83">
        <f>MOD(DO13-DN13,1)*24</f>
        <v/>
      </c>
      <c r="DQ13" s="57" t="n">
        <v>0.5</v>
      </c>
      <c r="DR13" s="61" t="n">
        <v>0.3458333333333333</v>
      </c>
      <c r="DS13" s="62" t="n">
        <v>0.7465277777777778</v>
      </c>
      <c r="DT13" s="83">
        <f>MOD(DS13-DR13,1)*24</f>
        <v/>
      </c>
      <c r="DU13" s="41" t="n">
        <v>0.5</v>
      </c>
      <c r="DV13" s="61">
        <f>SUM(H13,L13,P13,T13,X13,AB13,AF13,AJ13,AN13,AR13,AV13,AZ13,BD13,BH13,BL13,BP13,BT13,BX13,CB13,CF13,CJ13,CN13,CR13,CV13,CZ13,DD13,DH13,DL13,DP13,DT13)</f>
        <v/>
      </c>
      <c r="DW13" s="62">
        <f>SUM(I13,M13,Q13,U13,Y13,AC13,AG13,AK13,AO13,AS13,AW13,BA13,BE13,BI13,BM13,BQ13,BU13,BY13,CC13,CG13,CK13,CO13,CS13,CW13,DA13,DE13,DI13,DM13,DQ13,DU13)</f>
        <v/>
      </c>
      <c r="DX13" s="83" t="n"/>
      <c r="DY13" s="41" t="n"/>
      <c r="DZ13" s="84" t="n"/>
      <c r="EA13" s="84" t="n"/>
      <c r="EB13" s="84" t="n"/>
      <c r="EC13" s="84" t="n"/>
      <c r="ED13" s="84" t="n"/>
      <c r="EE13" s="84" t="n"/>
      <c r="EF13" s="84" t="n"/>
      <c r="EG13" s="84" t="n"/>
      <c r="EH13" s="84" t="n"/>
      <c r="EI13" s="84" t="n"/>
      <c r="EJ13" s="84" t="n"/>
      <c r="EK13" s="84" t="n"/>
      <c r="EL13" s="84" t="n"/>
      <c r="EM13" s="84" t="n"/>
      <c r="EN13" s="84" t="n"/>
      <c r="EO13" s="84" t="n"/>
      <c r="EP13" s="84" t="n"/>
      <c r="EQ13" s="84" t="n"/>
      <c r="ER13" s="84" t="n"/>
      <c r="ES13" s="84" t="n"/>
      <c r="ET13" s="84" t="n"/>
      <c r="EU13" s="84" t="n"/>
      <c r="EV13" s="84" t="n"/>
      <c r="EW13" s="84" t="n"/>
      <c r="EX13" s="84" t="n"/>
      <c r="EY13" s="84" t="n"/>
      <c r="EZ13" s="84" t="n"/>
      <c r="FA13" s="84" t="inlineStr">
        <is>
          <t>早退</t>
        </is>
      </c>
      <c r="FB13" s="84" t="n"/>
      <c r="FC13" s="84" t="n"/>
      <c r="FD13" s="84" t="inlineStr">
        <is>
          <t>迟到</t>
        </is>
      </c>
      <c r="FE13" s="84" t="n"/>
    </row>
    <row r="14" ht="59" customFormat="1" customHeight="1" s="54">
      <c r="A14" s="55" t="inlineStr">
        <is>
          <t>五楼</t>
        </is>
      </c>
      <c r="B14" s="56" t="inlineStr">
        <is>
          <t>杨首琴</t>
        </is>
      </c>
      <c r="C14" s="41" t="inlineStr">
        <is>
          <t>14</t>
        </is>
      </c>
      <c r="D14" s="41" t="n"/>
      <c r="E14" s="57" t="n"/>
      <c r="F14" s="115" t="n"/>
      <c r="G14" s="58" t="n"/>
      <c r="H14" s="83" t="n"/>
      <c r="I14" s="57" t="n"/>
      <c r="J14" s="58" t="n"/>
      <c r="K14" s="58" t="n"/>
      <c r="L14" s="83" t="n"/>
      <c r="M14" s="57" t="n"/>
      <c r="N14" s="58" t="n"/>
      <c r="O14" s="58" t="n"/>
      <c r="P14" s="83" t="n"/>
      <c r="Q14" s="57" t="n"/>
      <c r="R14" s="58" t="n"/>
      <c r="S14" s="58" t="n"/>
      <c r="T14" s="83" t="n"/>
      <c r="U14" s="57" t="n"/>
      <c r="V14" s="58" t="n"/>
      <c r="W14" s="58" t="n"/>
      <c r="X14" s="83" t="n"/>
      <c r="Y14" s="57" t="n"/>
      <c r="Z14" s="58" t="n"/>
      <c r="AA14" s="60" t="n"/>
      <c r="AB14" s="83" t="n"/>
      <c r="AC14" s="41" t="n"/>
      <c r="AD14" s="116" t="n"/>
      <c r="AE14" s="117" t="n"/>
      <c r="AF14" s="83" t="n"/>
      <c r="AG14" s="57" t="n"/>
      <c r="AH14" s="58" t="n"/>
      <c r="AI14" s="58" t="n"/>
      <c r="AJ14" s="83" t="n"/>
      <c r="AK14" s="57" t="n"/>
      <c r="AL14" s="58" t="n"/>
      <c r="AM14" s="58" t="n"/>
      <c r="AN14" s="83" t="n"/>
      <c r="AO14" s="57" t="n"/>
      <c r="AP14" s="58" t="n"/>
      <c r="AQ14" s="58" t="n"/>
      <c r="AR14" s="83" t="n"/>
      <c r="AS14" s="57" t="n"/>
      <c r="AT14" s="58" t="n"/>
      <c r="AU14" s="58" t="n"/>
      <c r="AV14" s="83" t="n"/>
      <c r="AW14" s="57" t="n"/>
      <c r="AX14" s="58" t="n"/>
      <c r="AY14" s="58" t="n"/>
      <c r="AZ14" s="83" t="n"/>
      <c r="BA14" s="57" t="n"/>
      <c r="BB14" s="58" t="n"/>
      <c r="BC14" s="60" t="n"/>
      <c r="BD14" s="83" t="n"/>
      <c r="BE14" s="41" t="n"/>
      <c r="BF14" s="116" t="n"/>
      <c r="BG14" s="115" t="n"/>
      <c r="BH14" s="83" t="n"/>
      <c r="BI14" s="57" t="n"/>
      <c r="BJ14" s="58" t="n"/>
      <c r="BK14" s="58" t="n"/>
      <c r="BL14" s="83" t="n"/>
      <c r="BM14" s="57" t="n"/>
      <c r="BN14" s="58" t="n"/>
      <c r="BO14" s="58" t="n"/>
      <c r="BP14" s="83" t="n"/>
      <c r="BQ14" s="57" t="n"/>
      <c r="BR14" s="58" t="n"/>
      <c r="BS14" s="58" t="n"/>
      <c r="BT14" s="83" t="n"/>
      <c r="BU14" s="57" t="n"/>
      <c r="BV14" s="58" t="n"/>
      <c r="BW14" s="60" t="n"/>
      <c r="BX14" s="83" t="n"/>
      <c r="BY14" s="41" t="n"/>
      <c r="BZ14" s="41" t="n"/>
      <c r="CA14" s="41" t="n"/>
      <c r="CB14" s="83" t="n"/>
      <c r="CC14" s="41" t="n"/>
      <c r="CD14" s="116" t="n">
        <v>0.7402777777777778</v>
      </c>
      <c r="CE14" s="115" t="n"/>
      <c r="CF14" s="83" t="n"/>
      <c r="CG14" s="57" t="n">
        <v>0.5</v>
      </c>
      <c r="CH14" s="58" t="n">
        <v>0.7493055555555556</v>
      </c>
      <c r="CI14" s="58" t="n"/>
      <c r="CJ14" s="83" t="n"/>
      <c r="CK14" s="57" t="n">
        <v>0.5</v>
      </c>
      <c r="CL14" s="58" t="n"/>
      <c r="CM14" s="58" t="n"/>
      <c r="CN14" s="83" t="n"/>
      <c r="CO14" s="57" t="n"/>
      <c r="CP14" s="58" t="n"/>
      <c r="CQ14" s="58" t="n"/>
      <c r="CR14" s="83" t="n"/>
      <c r="CS14" s="57" t="n"/>
      <c r="CT14" s="58" t="n"/>
      <c r="CU14" s="58" t="n"/>
      <c r="CV14" s="83" t="n"/>
      <c r="CW14" s="57" t="n"/>
      <c r="CX14" s="58" t="n"/>
      <c r="CY14" s="58" t="n"/>
      <c r="CZ14" s="83" t="n"/>
      <c r="DA14" s="57" t="n"/>
      <c r="DB14" s="58" t="n"/>
      <c r="DC14" s="58" t="n"/>
      <c r="DD14" s="83" t="n"/>
      <c r="DE14" s="57" t="n"/>
      <c r="DF14" s="58" t="n"/>
      <c r="DG14" s="60" t="n"/>
      <c r="DH14" s="83" t="n"/>
      <c r="DI14" s="41" t="n"/>
      <c r="DJ14" s="116" t="n">
        <v>0.7631944444444444</v>
      </c>
      <c r="DK14" s="116" t="n"/>
      <c r="DL14" s="83" t="n"/>
      <c r="DM14" s="41" t="n">
        <v>0.5</v>
      </c>
      <c r="DN14" s="58" t="n"/>
      <c r="DO14" s="58" t="n"/>
      <c r="DP14" s="83" t="n"/>
      <c r="DQ14" s="57" t="n"/>
      <c r="DR14" s="61" t="n">
        <v>0.7479166666666667</v>
      </c>
      <c r="DS14" s="62" t="n"/>
      <c r="DT14" s="83" t="n"/>
      <c r="DU14" s="41" t="n">
        <v>0.5</v>
      </c>
      <c r="DV14" s="61">
        <f>SUM(H14,L14,P14,T14,X14,AB14,AF14,AJ14,AN14,AR14,AV14,AZ14,BD14,BH14,BL14,BP14,BT14,BX14,CB14,CF14,CJ14,CN14,CR14,CV14,CZ14,DD14,DH14,DL14,DP14,DT14)</f>
        <v/>
      </c>
      <c r="DW14" s="62">
        <f>SUM(I14,M14,Q14,U14,Y14,AC14,AG14,AK14,AO14,AS14,AW14,BA14,BE14,BI14,BM14,BQ14,BU14,BY14,CC14,CG14,CK14,CO14,CS14,CW14,DA14,DE14,DI14,DM14,DQ14,DU14)</f>
        <v/>
      </c>
      <c r="DX14" s="83" t="n"/>
      <c r="DY14" s="41" t="n"/>
      <c r="DZ14" s="84" t="n"/>
      <c r="EA14" s="84" t="n"/>
      <c r="EB14" s="84" t="n"/>
      <c r="EC14" s="84" t="n"/>
      <c r="ED14" s="84" t="n"/>
      <c r="EE14" s="84" t="n"/>
      <c r="EF14" s="84" t="n"/>
      <c r="EG14" s="84" t="n"/>
      <c r="EH14" s="84" t="n"/>
      <c r="EI14" s="84" t="n"/>
      <c r="EJ14" s="84" t="n"/>
      <c r="EK14" s="84" t="n"/>
      <c r="EL14" s="84" t="n"/>
      <c r="EM14" s="84" t="n"/>
      <c r="EN14" s="84" t="n"/>
      <c r="EO14" s="84" t="n"/>
      <c r="EP14" s="84" t="n"/>
      <c r="EQ14" s="84" t="n"/>
      <c r="ER14" s="84" t="n"/>
      <c r="ES14" s="84" t="n"/>
      <c r="ET14" s="84" t="n"/>
      <c r="EU14" s="84" t="n"/>
      <c r="EV14" s="84" t="n"/>
      <c r="EW14" s="84" t="n"/>
      <c r="EX14" s="84" t="n"/>
      <c r="EY14" s="84" t="n"/>
      <c r="EZ14" s="84" t="n"/>
      <c r="FA14" s="84" t="n"/>
      <c r="FB14" s="84" t="n"/>
      <c r="FC14" s="84" t="n"/>
      <c r="FD14" s="84" t="n"/>
      <c r="FE14" s="84" t="n"/>
    </row>
    <row r="15" ht="59" customFormat="1" customHeight="1" s="54">
      <c r="A15" s="55" t="inlineStr">
        <is>
          <t>五楼</t>
        </is>
      </c>
      <c r="B15" s="56" t="inlineStr">
        <is>
          <t>王晓兰</t>
        </is>
      </c>
      <c r="C15" s="41" t="inlineStr">
        <is>
          <t>15</t>
        </is>
      </c>
      <c r="D15" s="41" t="n"/>
      <c r="E15" s="57" t="n"/>
      <c r="F15" s="115" t="n">
        <v>0.3513888888888889</v>
      </c>
      <c r="G15" s="58" t="n">
        <v>0.7402777777777778</v>
      </c>
      <c r="H15" s="83">
        <f>MOD(G15-F15,1)*24</f>
        <v/>
      </c>
      <c r="I15" s="57" t="n">
        <v>1</v>
      </c>
      <c r="J15" s="58" t="n">
        <v>0.3506944444444444</v>
      </c>
      <c r="K15" s="58" t="n">
        <v>0.7375</v>
      </c>
      <c r="L15" s="83">
        <f>MOD(K15-J15,1)*24</f>
        <v/>
      </c>
      <c r="M15" s="57" t="n">
        <v>1</v>
      </c>
      <c r="N15" s="58" t="n"/>
      <c r="O15" s="58" t="n"/>
      <c r="P15" s="83" t="n"/>
      <c r="Q15" s="57" t="n"/>
      <c r="R15" s="58" t="n">
        <v>0.3493055555555555</v>
      </c>
      <c r="S15" s="58" t="n">
        <v>0.7409722222222223</v>
      </c>
      <c r="T15" s="83">
        <f>MOD(S15-R15,1)*24</f>
        <v/>
      </c>
      <c r="U15" s="57" t="n">
        <v>1</v>
      </c>
      <c r="V15" s="58" t="n"/>
      <c r="W15" s="58" t="n"/>
      <c r="X15" s="83" t="n"/>
      <c r="Y15" s="57" t="n"/>
      <c r="Z15" s="58" t="n">
        <v>0.3527777777777778</v>
      </c>
      <c r="AA15" s="60" t="n">
        <v>0.7402777777777778</v>
      </c>
      <c r="AB15" s="83">
        <f>MOD(AA15-Z15,1)*24</f>
        <v/>
      </c>
      <c r="AC15" s="41" t="n">
        <v>1</v>
      </c>
      <c r="AD15" s="116" t="n">
        <v>0.3465277777777778</v>
      </c>
      <c r="AE15" s="117" t="n">
        <v>0.7395833333333334</v>
      </c>
      <c r="AF15" s="83">
        <f>MOD(AE15-AD15,1)*24</f>
        <v/>
      </c>
      <c r="AG15" s="57" t="n">
        <v>1</v>
      </c>
      <c r="AH15" s="58" t="n">
        <v>0.3423611111111111</v>
      </c>
      <c r="AI15" s="58" t="n">
        <v>0.7423611111111111</v>
      </c>
      <c r="AJ15" s="83">
        <f>MOD(AI15-AH15,1)*24</f>
        <v/>
      </c>
      <c r="AK15" s="57" t="n">
        <v>1</v>
      </c>
      <c r="AL15" s="58" t="n">
        <v>0.3479166666666667</v>
      </c>
      <c r="AM15" s="58" t="n">
        <v>0.7395833333333334</v>
      </c>
      <c r="AN15" s="83">
        <f>MOD(AM15-AL15,1)*24</f>
        <v/>
      </c>
      <c r="AO15" s="57" t="n">
        <v>1</v>
      </c>
      <c r="AP15" s="58" t="n">
        <v>0.3368055555555556</v>
      </c>
      <c r="AQ15" s="58" t="n">
        <v>0.7388888888888889</v>
      </c>
      <c r="AR15" s="83">
        <f>MOD(AQ15-AP15,1)*24</f>
        <v/>
      </c>
      <c r="AS15" s="57" t="n">
        <v>1</v>
      </c>
      <c r="AT15" s="58" t="n">
        <v>0.3520833333333334</v>
      </c>
      <c r="AU15" s="58" t="n">
        <v>0.7375</v>
      </c>
      <c r="AV15" s="83">
        <f>MOD(AU15-AT15,1)*24</f>
        <v/>
      </c>
      <c r="AW15" s="57" t="n">
        <v>1</v>
      </c>
      <c r="AX15" s="58" t="n"/>
      <c r="AY15" s="58" t="n"/>
      <c r="AZ15" s="83" t="n"/>
      <c r="BA15" s="57" t="n"/>
      <c r="BB15" s="58" t="n">
        <v>0.3479166666666667</v>
      </c>
      <c r="BC15" s="60" t="n">
        <v>0.7381944444444445</v>
      </c>
      <c r="BD15" s="83">
        <f>MOD(BC15-BB15,1)*24</f>
        <v/>
      </c>
      <c r="BE15" s="41" t="n">
        <v>1</v>
      </c>
      <c r="BF15" s="116" t="n">
        <v>0.3416666666666667</v>
      </c>
      <c r="BG15" s="115" t="n">
        <v>0.7368055555555556</v>
      </c>
      <c r="BH15" s="83">
        <f>MOD(BG15-BF15,1)*24</f>
        <v/>
      </c>
      <c r="BI15" s="57" t="n">
        <v>1</v>
      </c>
      <c r="BJ15" s="58" t="n">
        <v>0.3486111111111111</v>
      </c>
      <c r="BK15" s="58" t="n">
        <v>0.7395833333333334</v>
      </c>
      <c r="BL15" s="83">
        <f>MOD(BK15-BJ15,1)*24</f>
        <v/>
      </c>
      <c r="BM15" s="57" t="n">
        <v>1</v>
      </c>
      <c r="BN15" s="58" t="n">
        <v>0.3451388888888889</v>
      </c>
      <c r="BO15" s="58" t="n">
        <v>0.7388888888888889</v>
      </c>
      <c r="BP15" s="83">
        <f>MOD(BO15-BN15,1)*24</f>
        <v/>
      </c>
      <c r="BQ15" s="57" t="n">
        <v>1</v>
      </c>
      <c r="BR15" s="58" t="n">
        <v>0.3451388888888889</v>
      </c>
      <c r="BS15" s="58" t="n">
        <v>0.7381944444444445</v>
      </c>
      <c r="BT15" s="83">
        <f>MOD(BS15-BR15,1)*24</f>
        <v/>
      </c>
      <c r="BU15" s="57" t="n">
        <v>1</v>
      </c>
      <c r="BV15" s="58" t="n">
        <v>0.35</v>
      </c>
      <c r="BW15" s="60" t="n">
        <v>0.7388888888888889</v>
      </c>
      <c r="BX15" s="83">
        <f>MOD(BW15-BV15,1)*24</f>
        <v/>
      </c>
      <c r="BY15" s="41" t="n">
        <v>1</v>
      </c>
      <c r="BZ15" s="41" t="n"/>
      <c r="CA15" s="41" t="n"/>
      <c r="CB15" s="83" t="n"/>
      <c r="CC15" s="41" t="n"/>
      <c r="CD15" s="116" t="n">
        <v>0.3444444444444444</v>
      </c>
      <c r="CE15" s="115" t="n">
        <v>0.7402777777777778</v>
      </c>
      <c r="CF15" s="83">
        <f>MOD(CE15-CD15,1)*24</f>
        <v/>
      </c>
      <c r="CG15" s="57" t="n">
        <v>1</v>
      </c>
      <c r="CH15" s="58" t="n">
        <v>0.35</v>
      </c>
      <c r="CI15" s="58" t="n">
        <v>0.7444444444444445</v>
      </c>
      <c r="CJ15" s="83">
        <f>MOD(CI15-CH15,1)*24</f>
        <v/>
      </c>
      <c r="CK15" s="57" t="n">
        <v>1</v>
      </c>
      <c r="CL15" s="58" t="n">
        <v>0.3368055555555556</v>
      </c>
      <c r="CM15" s="58" t="n">
        <v>0.7388888888888889</v>
      </c>
      <c r="CN15" s="83">
        <f>MOD(CM15-CL15,1)*24</f>
        <v/>
      </c>
      <c r="CO15" s="57" t="n">
        <v>1</v>
      </c>
      <c r="CP15" s="58" t="n">
        <v>0.3395833333333333</v>
      </c>
      <c r="CQ15" s="58" t="n">
        <v>0.7402777777777778</v>
      </c>
      <c r="CR15" s="83">
        <f>MOD(CQ15-CP15,1)*24</f>
        <v/>
      </c>
      <c r="CS15" s="57" t="n">
        <v>1</v>
      </c>
      <c r="CT15" s="58" t="n">
        <v>0.3513888888888889</v>
      </c>
      <c r="CU15" s="58" t="n">
        <v>0.7402777777777778</v>
      </c>
      <c r="CV15" s="83">
        <f>MOD(CU15-CT15,1)*24</f>
        <v/>
      </c>
      <c r="CW15" s="57" t="n">
        <v>1</v>
      </c>
      <c r="CX15" s="58" t="n">
        <v>0.5451388888888888</v>
      </c>
      <c r="CY15" s="58" t="n">
        <v>0.7388888888888889</v>
      </c>
      <c r="CZ15" s="83">
        <f>MOD(CY15-CX15,1)*24</f>
        <v/>
      </c>
      <c r="DA15" s="57" t="n">
        <v>0.5</v>
      </c>
      <c r="DB15" s="58" t="n">
        <v>0.3506944444444444</v>
      </c>
      <c r="DC15" s="58" t="n">
        <v>0.5333333333333333</v>
      </c>
      <c r="DD15" s="83">
        <f>MOD(DC15-DB15,1)*24</f>
        <v/>
      </c>
      <c r="DE15" s="57" t="n">
        <v>0.5</v>
      </c>
      <c r="DF15" s="58" t="n">
        <v>0.3416666666666667</v>
      </c>
      <c r="DG15" s="60" t="n">
        <v>0.7430555555555556</v>
      </c>
      <c r="DH15" s="83">
        <f>MOD(DG15-DF15,1)*24</f>
        <v/>
      </c>
      <c r="DI15" s="41" t="n">
        <v>1</v>
      </c>
      <c r="DJ15" s="116" t="n">
        <v>0.3527777777777778</v>
      </c>
      <c r="DK15" s="116" t="n">
        <v>0.7381944444444445</v>
      </c>
      <c r="DL15" s="83">
        <f>MOD(DK15-DJ15,1)*24</f>
        <v/>
      </c>
      <c r="DM15" s="41" t="n">
        <v>1</v>
      </c>
      <c r="DN15" s="58" t="n">
        <v>0.3423611111111111</v>
      </c>
      <c r="DO15" s="58" t="n">
        <v>0.7368055555555556</v>
      </c>
      <c r="DP15" s="83">
        <f>MOD(DO15-DN15,1)*24</f>
        <v/>
      </c>
      <c r="DQ15" s="57" t="n">
        <v>1</v>
      </c>
      <c r="DR15" s="61" t="n">
        <v>0.3381944444444445</v>
      </c>
      <c r="DS15" s="62" t="n">
        <v>0.7381944444444445</v>
      </c>
      <c r="DT15" s="83">
        <f>MOD(DS15-DR15,1)*24</f>
        <v/>
      </c>
      <c r="DU15" s="41" t="n">
        <v>1</v>
      </c>
      <c r="DV15" s="61">
        <f>SUM(H15,L15,P15,T15,X15,AB15,AF15,AJ15,AN15,AR15,AV15,AZ15,BD15,BH15,BL15,BP15,BT15,BX15,CB15,CF15,CJ15,CN15,CR15,CV15,CZ15,DD15,DH15,DL15,DP15,DT15)</f>
        <v/>
      </c>
      <c r="DW15" s="62">
        <f>SUM(I15,M15,Q15,U15,Y15,AC15,AG15,AK15,AO15,AS15,AW15,BA15,BE15,BI15,BM15,BQ15,BU15,BY15,CC15,CG15,CK15,CO15,CS15,CW15,DA15,DE15,DI15,DM15,DQ15,DU15)</f>
        <v/>
      </c>
      <c r="DX15" s="83" t="n"/>
      <c r="DY15" s="41" t="n"/>
      <c r="DZ15" s="84" t="n"/>
      <c r="EA15" s="84" t="n"/>
      <c r="EB15" s="84" t="n"/>
      <c r="EC15" s="84" t="n"/>
      <c r="ED15" s="84" t="n"/>
      <c r="EE15" s="84" t="n"/>
      <c r="EF15" s="84" t="n"/>
      <c r="EG15" s="84" t="n"/>
      <c r="EH15" s="84" t="n"/>
      <c r="EI15" s="84" t="n"/>
      <c r="EJ15" s="84" t="n"/>
      <c r="EK15" s="84" t="n"/>
      <c r="EL15" s="84" t="n"/>
      <c r="EM15" s="84" t="n"/>
      <c r="EN15" s="84" t="n"/>
      <c r="EO15" s="84" t="n"/>
      <c r="EP15" s="84" t="n"/>
      <c r="EQ15" s="84" t="n"/>
      <c r="ER15" s="84" t="n"/>
      <c r="ES15" s="84" t="n"/>
      <c r="ET15" s="84" t="n"/>
      <c r="EU15" s="84" t="n"/>
      <c r="EV15" s="84" t="n"/>
      <c r="EW15" s="84" t="n"/>
      <c r="EX15" s="84" t="n"/>
      <c r="EY15" s="84" t="n"/>
      <c r="EZ15" s="84" t="inlineStr">
        <is>
          <t>迟到</t>
        </is>
      </c>
      <c r="FA15" s="84" t="inlineStr">
        <is>
          <t>早退</t>
        </is>
      </c>
      <c r="FB15" s="84" t="n"/>
      <c r="FC15" s="84" t="n"/>
      <c r="FD15" s="84" t="n"/>
      <c r="FE15" s="84" t="n"/>
    </row>
    <row r="16" ht="59" customFormat="1" customHeight="1" s="54">
      <c r="A16" s="55" t="inlineStr">
        <is>
          <t>五楼</t>
        </is>
      </c>
      <c r="B16" s="56" t="inlineStr">
        <is>
          <t>杨益琴</t>
        </is>
      </c>
      <c r="C16" s="41" t="inlineStr">
        <is>
          <t>16</t>
        </is>
      </c>
      <c r="D16" s="41" t="n"/>
      <c r="E16" s="57" t="n"/>
      <c r="F16" s="115" t="n">
        <v>0.3451388888888889</v>
      </c>
      <c r="G16" s="58" t="n">
        <v>0.7368055555555556</v>
      </c>
      <c r="H16" s="83">
        <f>MOD(G16-F16,1)*24</f>
        <v/>
      </c>
      <c r="I16" s="57" t="n">
        <v>1</v>
      </c>
      <c r="J16" s="58" t="n">
        <v>0.35</v>
      </c>
      <c r="K16" s="58" t="n">
        <v>0.7368055555555556</v>
      </c>
      <c r="L16" s="83">
        <f>MOD(K16-J16,1)*24</f>
        <v/>
      </c>
      <c r="M16" s="57" t="n">
        <v>1</v>
      </c>
      <c r="N16" s="58" t="n">
        <v>0.3465277777777778</v>
      </c>
      <c r="O16" s="58" t="n">
        <v>0.7375</v>
      </c>
      <c r="P16" s="83">
        <f>MOD(O16-N16,1)*24</f>
        <v/>
      </c>
      <c r="Q16" s="57" t="n">
        <v>1</v>
      </c>
      <c r="R16" s="58" t="n"/>
      <c r="S16" s="58" t="n"/>
      <c r="T16" s="83" t="n"/>
      <c r="U16" s="57" t="n"/>
      <c r="V16" s="58" t="n"/>
      <c r="W16" s="58" t="n"/>
      <c r="X16" s="83" t="n"/>
      <c r="Y16" s="57" t="n"/>
      <c r="Z16" s="58" t="n">
        <v>0.3465277777777778</v>
      </c>
      <c r="AA16" s="60" t="n">
        <v>0.7368055555555556</v>
      </c>
      <c r="AB16" s="83">
        <f>MOD(AA16-Z16,1)*24</f>
        <v/>
      </c>
      <c r="AC16" s="41" t="n">
        <v>1</v>
      </c>
      <c r="AD16" s="116" t="n">
        <v>0.3486111111111111</v>
      </c>
      <c r="AE16" s="117" t="n">
        <v>0.7375</v>
      </c>
      <c r="AF16" s="83">
        <f>MOD(AE16-AD16,1)*24</f>
        <v/>
      </c>
      <c r="AG16" s="57" t="n">
        <v>1</v>
      </c>
      <c r="AH16" s="58" t="n">
        <v>0.3465277777777778</v>
      </c>
      <c r="AI16" s="58" t="n">
        <v>0.7375</v>
      </c>
      <c r="AJ16" s="83">
        <f>MOD(AI16-AH16,1)*24</f>
        <v/>
      </c>
      <c r="AK16" s="57" t="n">
        <v>1</v>
      </c>
      <c r="AL16" s="58" t="n">
        <v>0.3430555555555556</v>
      </c>
      <c r="AM16" s="58" t="n">
        <v>0.7375</v>
      </c>
      <c r="AN16" s="83">
        <f>MOD(AM16-AL16,1)*24</f>
        <v/>
      </c>
      <c r="AO16" s="57" t="n">
        <v>1</v>
      </c>
      <c r="AP16" s="58" t="n">
        <v>0.3423611111111111</v>
      </c>
      <c r="AQ16" s="58" t="n">
        <v>0.7375</v>
      </c>
      <c r="AR16" s="83">
        <f>MOD(AQ16-AP16,1)*24</f>
        <v/>
      </c>
      <c r="AS16" s="57" t="n">
        <v>1</v>
      </c>
      <c r="AT16" s="58" t="n"/>
      <c r="AU16" s="58" t="n"/>
      <c r="AV16" s="83" t="n"/>
      <c r="AW16" s="57" t="n"/>
      <c r="AX16" s="58" t="n">
        <v>0.3472222222222222</v>
      </c>
      <c r="AY16" s="58" t="n">
        <v>0.7368055555555556</v>
      </c>
      <c r="AZ16" s="83">
        <f>MOD(AY16-AX16,1)*24</f>
        <v/>
      </c>
      <c r="BA16" s="57" t="n">
        <v>1</v>
      </c>
      <c r="BB16" s="58" t="n">
        <v>0.3472222222222222</v>
      </c>
      <c r="BC16" s="60" t="n">
        <v>0.7375</v>
      </c>
      <c r="BD16" s="83">
        <f>MOD(BC16-BB16,1)*24</f>
        <v/>
      </c>
      <c r="BE16" s="41" t="n">
        <v>1</v>
      </c>
      <c r="BF16" s="116" t="n">
        <v>0.35</v>
      </c>
      <c r="BG16" s="115" t="n">
        <v>0.7375</v>
      </c>
      <c r="BH16" s="83">
        <f>MOD(BG16-BF16,1)*24</f>
        <v/>
      </c>
      <c r="BI16" s="57" t="n">
        <v>1</v>
      </c>
      <c r="BJ16" s="58" t="n">
        <v>0.3479166666666667</v>
      </c>
      <c r="BK16" s="58" t="n">
        <v>0.7375</v>
      </c>
      <c r="BL16" s="83">
        <f>MOD(BK16-BJ16,1)*24</f>
        <v/>
      </c>
      <c r="BM16" s="57" t="n">
        <v>1</v>
      </c>
      <c r="BN16" s="58" t="n">
        <v>0.3493055555555555</v>
      </c>
      <c r="BO16" s="58" t="n">
        <v>0.7375</v>
      </c>
      <c r="BP16" s="83">
        <f>MOD(BO16-BN16,1)*24</f>
        <v/>
      </c>
      <c r="BQ16" s="57" t="n">
        <v>1</v>
      </c>
      <c r="BR16" s="58" t="n">
        <v>0.3416666666666667</v>
      </c>
      <c r="BS16" s="58" t="n">
        <v>0.7388888888888889</v>
      </c>
      <c r="BT16" s="83">
        <f>MOD(BS16-BR16,1)*24</f>
        <v/>
      </c>
      <c r="BU16" s="57" t="n">
        <v>1</v>
      </c>
      <c r="BV16" s="58" t="n">
        <v>0.3430555555555556</v>
      </c>
      <c r="BW16" s="60" t="n">
        <v>0.7381944444444445</v>
      </c>
      <c r="BX16" s="83">
        <f>MOD(BW16-BV16,1)*24</f>
        <v/>
      </c>
      <c r="BY16" s="41" t="n">
        <v>1</v>
      </c>
      <c r="BZ16" s="41" t="n"/>
      <c r="CA16" s="41" t="n"/>
      <c r="CB16" s="83" t="n"/>
      <c r="CC16" s="41" t="n"/>
      <c r="CD16" s="116" t="n">
        <v>0.3479166666666667</v>
      </c>
      <c r="CE16" s="115" t="n">
        <v>0.7375</v>
      </c>
      <c r="CF16" s="83">
        <f>MOD(CE16-CD16,1)*24</f>
        <v/>
      </c>
      <c r="CG16" s="57" t="n">
        <v>1</v>
      </c>
      <c r="CH16" s="58" t="n">
        <v>0.3493055555555555</v>
      </c>
      <c r="CI16" s="58" t="n">
        <v>0.7375</v>
      </c>
      <c r="CJ16" s="83">
        <f>MOD(CI16-CH16,1)*24</f>
        <v/>
      </c>
      <c r="CK16" s="57" t="n">
        <v>1</v>
      </c>
      <c r="CL16" s="58" t="n">
        <v>0.3451388888888889</v>
      </c>
      <c r="CM16" s="58" t="n">
        <v>0.7375</v>
      </c>
      <c r="CN16" s="83">
        <f>MOD(CM16-CL16,1)*24</f>
        <v/>
      </c>
      <c r="CO16" s="57" t="n">
        <v>1</v>
      </c>
      <c r="CP16" s="58" t="n">
        <v>0.2784722222222222</v>
      </c>
      <c r="CQ16" s="58" t="n">
        <v>0.3479166666666667</v>
      </c>
      <c r="CR16" s="83">
        <f>MOD(CQ16-CP16,1)*24</f>
        <v/>
      </c>
      <c r="CS16" s="57" t="n">
        <v>0.5</v>
      </c>
      <c r="CT16" s="58" t="n">
        <v>0.34375</v>
      </c>
      <c r="CU16" s="58" t="n">
        <v>0.7368055555555556</v>
      </c>
      <c r="CV16" s="83">
        <f>MOD(CU16-CT16,1)*24</f>
        <v/>
      </c>
      <c r="CW16" s="57" t="n">
        <v>1</v>
      </c>
      <c r="CX16" s="58" t="n">
        <v>0.35</v>
      </c>
      <c r="CY16" s="58" t="n">
        <v>0.7368055555555556</v>
      </c>
      <c r="CZ16" s="83">
        <f>MOD(CY16-CX16,1)*24</f>
        <v/>
      </c>
      <c r="DA16" s="57" t="n">
        <v>1</v>
      </c>
      <c r="DB16" s="58" t="n">
        <v>0.35</v>
      </c>
      <c r="DC16" s="58" t="n">
        <v>0.7368055555555556</v>
      </c>
      <c r="DD16" s="83">
        <f>MOD(DC16-DB16,1)*24</f>
        <v/>
      </c>
      <c r="DE16" s="57" t="n">
        <v>1</v>
      </c>
      <c r="DF16" s="58" t="n"/>
      <c r="DG16" s="60" t="n"/>
      <c r="DH16" s="83" t="n"/>
      <c r="DI16" s="41" t="n"/>
      <c r="DJ16" s="116" t="n">
        <v>0.3472222222222222</v>
      </c>
      <c r="DK16" s="116" t="n">
        <v>0.8104166666666667</v>
      </c>
      <c r="DL16" s="83">
        <f>MOD(DK16-DJ16,1)*24</f>
        <v/>
      </c>
      <c r="DM16" s="41" t="n">
        <v>1</v>
      </c>
      <c r="DN16" s="58" t="n">
        <v>0.3465277777777778</v>
      </c>
      <c r="DO16" s="58" t="n">
        <v>0.7388888888888889</v>
      </c>
      <c r="DP16" s="83">
        <f>MOD(DO16-DN16,1)*24</f>
        <v/>
      </c>
      <c r="DQ16" s="57" t="n">
        <v>1</v>
      </c>
      <c r="DR16" s="61" t="n">
        <v>0.3486111111111111</v>
      </c>
      <c r="DS16" s="62" t="n">
        <v>0.9652777777777778</v>
      </c>
      <c r="DT16" s="83">
        <f>MOD(DS16-DR16,1)*24</f>
        <v/>
      </c>
      <c r="DU16" s="41" t="n">
        <v>1</v>
      </c>
      <c r="DV16" s="61">
        <f>SUM(H16,L16,P16,T16,X16,AB16,AF16,AJ16,AN16,AR16,AV16,AZ16,BD16,BH16,BL16,BP16,BT16,BX16,CB16,CF16,CJ16,CN16,CR16,CV16,CZ16,DD16,DH16,DL16,DP16,DT16)</f>
        <v/>
      </c>
      <c r="DW16" s="62">
        <f>SUM(I16,M16,Q16,U16,Y16,AC16,AG16,AK16,AO16,AS16,AW16,BA16,BE16,BI16,BM16,BQ16,BU16,BY16,CC16,CG16,CK16,CO16,CS16,CW16,DA16,DE16,DI16,DM16,DQ16,DU16)</f>
        <v/>
      </c>
      <c r="DX16" s="83" t="n"/>
      <c r="DY16" s="41" t="n"/>
      <c r="DZ16" s="84" t="n"/>
      <c r="EA16" s="84" t="n"/>
      <c r="EB16" s="84" t="n"/>
      <c r="EC16" s="84" t="n"/>
      <c r="ED16" s="84" t="n"/>
      <c r="EE16" s="84" t="n"/>
      <c r="EF16" s="84" t="n"/>
      <c r="EG16" s="84" t="n"/>
      <c r="EH16" s="84" t="n"/>
      <c r="EI16" s="84" t="n"/>
      <c r="EJ16" s="84" t="n"/>
      <c r="EK16" s="84" t="n"/>
      <c r="EL16" s="84" t="n"/>
      <c r="EM16" s="84" t="n"/>
      <c r="EN16" s="84" t="n"/>
      <c r="EO16" s="84" t="n"/>
      <c r="EP16" s="84" t="n"/>
      <c r="EQ16" s="84" t="n"/>
      <c r="ER16" s="84" t="n"/>
      <c r="ES16" s="84" t="n"/>
      <c r="ET16" s="84" t="n"/>
      <c r="EU16" s="84" t="n"/>
      <c r="EV16" s="84" t="n"/>
      <c r="EW16" s="84" t="n"/>
      <c r="EX16" s="84" t="inlineStr">
        <is>
          <t>早退</t>
        </is>
      </c>
      <c r="EY16" s="84" t="n"/>
      <c r="EZ16" s="84" t="n"/>
      <c r="FA16" s="84" t="n"/>
      <c r="FB16" s="84" t="n"/>
      <c r="FC16" s="84" t="n"/>
      <c r="FD16" s="84" t="n"/>
      <c r="FE16" s="84" t="n"/>
    </row>
    <row r="17" ht="59" customFormat="1" customHeight="1" s="54">
      <c r="A17" s="55" t="inlineStr">
        <is>
          <t>五楼</t>
        </is>
      </c>
      <c r="B17" s="56" t="inlineStr">
        <is>
          <t>刘琴</t>
        </is>
      </c>
      <c r="C17" s="41" t="inlineStr">
        <is>
          <t>17</t>
        </is>
      </c>
      <c r="D17" s="41" t="n"/>
      <c r="E17" s="57" t="n"/>
      <c r="F17" s="115" t="n">
        <v>0.3513888888888889</v>
      </c>
      <c r="G17" s="58" t="n">
        <v>0.8756944444444444</v>
      </c>
      <c r="H17" s="83">
        <f>MOD(G17-F17,1)*24</f>
        <v/>
      </c>
      <c r="I17" s="57" t="n">
        <v>1</v>
      </c>
      <c r="J17" s="58" t="n">
        <v>0.3513888888888889</v>
      </c>
      <c r="K17" s="58" t="n">
        <v>0.8055555555555556</v>
      </c>
      <c r="L17" s="83">
        <f>MOD(K17-J17,1)*24</f>
        <v/>
      </c>
      <c r="M17" s="57" t="n">
        <v>1</v>
      </c>
      <c r="N17" s="58" t="n">
        <v>0.3527777777777778</v>
      </c>
      <c r="O17" s="58" t="n">
        <v>0.7555555555555555</v>
      </c>
      <c r="P17" s="83">
        <f>MOD(O17-N17,1)*24</f>
        <v/>
      </c>
      <c r="Q17" s="57" t="n">
        <v>0.5</v>
      </c>
      <c r="R17" s="58" t="n">
        <v>0.3486111111111111</v>
      </c>
      <c r="S17" s="58" t="n">
        <v>0.5027777777777778</v>
      </c>
      <c r="T17" s="83">
        <f>MOD(S17-R17,1)*24</f>
        <v/>
      </c>
      <c r="U17" s="57" t="n">
        <v>0.5</v>
      </c>
      <c r="V17" s="58" t="n"/>
      <c r="W17" s="58" t="n"/>
      <c r="X17" s="83" t="n"/>
      <c r="Y17" s="57" t="n"/>
      <c r="Z17" s="58" t="n">
        <v>0.3520833333333334</v>
      </c>
      <c r="AA17" s="60" t="n">
        <v>0.7416666666666667</v>
      </c>
      <c r="AB17" s="83">
        <f>MOD(AA17-Z17,1)*24</f>
        <v/>
      </c>
      <c r="AC17" s="41" t="n">
        <v>1</v>
      </c>
      <c r="AD17" s="116" t="n">
        <v>0.3493055555555555</v>
      </c>
      <c r="AE17" s="117" t="n">
        <v>0.8756944444444444</v>
      </c>
      <c r="AF17" s="83">
        <f>MOD(AE17-AD17,1)*24</f>
        <v/>
      </c>
      <c r="AG17" s="57" t="n">
        <v>1</v>
      </c>
      <c r="AH17" s="58" t="n">
        <v>0.3513888888888889</v>
      </c>
      <c r="AI17" s="58" t="n">
        <v>0.7506944444444444</v>
      </c>
      <c r="AJ17" s="83">
        <f>MOD(AI17-AH17,1)*24</f>
        <v/>
      </c>
      <c r="AK17" s="57" t="n">
        <v>1</v>
      </c>
      <c r="AL17" s="58" t="n">
        <v>0.3520833333333334</v>
      </c>
      <c r="AM17" s="58" t="n">
        <v>0.7652777777777777</v>
      </c>
      <c r="AN17" s="83">
        <f>MOD(AM17-AL17,1)*24</f>
        <v/>
      </c>
      <c r="AO17" s="57" t="n">
        <v>1</v>
      </c>
      <c r="AP17" s="58" t="n">
        <v>0.3506944444444444</v>
      </c>
      <c r="AQ17" s="58" t="n">
        <v>0.7993055555555556</v>
      </c>
      <c r="AR17" s="83">
        <f>MOD(AQ17-AP17,1)*24</f>
        <v/>
      </c>
      <c r="AS17" s="57" t="n">
        <v>1</v>
      </c>
      <c r="AT17" s="58" t="n">
        <v>0.3534722222222222</v>
      </c>
      <c r="AU17" s="58" t="n">
        <v>0.7576388888888889</v>
      </c>
      <c r="AV17" s="83">
        <f>MOD(AU17-AT17,1)*24</f>
        <v/>
      </c>
      <c r="AW17" s="57" t="n">
        <v>0.5</v>
      </c>
      <c r="AX17" s="58" t="n"/>
      <c r="AY17" s="58" t="n"/>
      <c r="AZ17" s="83" t="n"/>
      <c r="BA17" s="57" t="n"/>
      <c r="BB17" s="58" t="n">
        <v>0.3527777777777778</v>
      </c>
      <c r="BC17" s="60" t="n">
        <v>0.7381944444444445</v>
      </c>
      <c r="BD17" s="83">
        <f>MOD(BC17-BB17,1)*24</f>
        <v/>
      </c>
      <c r="BE17" s="41" t="n">
        <v>1</v>
      </c>
      <c r="BF17" s="116" t="n">
        <v>0.3506944444444444</v>
      </c>
      <c r="BG17" s="115" t="n">
        <v>0.8298611111111112</v>
      </c>
      <c r="BH17" s="83">
        <f>MOD(BG17-BF17,1)*24</f>
        <v/>
      </c>
      <c r="BI17" s="57" t="n">
        <v>0.5</v>
      </c>
      <c r="BJ17" s="58" t="n">
        <v>0.3506944444444444</v>
      </c>
      <c r="BK17" s="58" t="n">
        <v>0.7375</v>
      </c>
      <c r="BL17" s="83">
        <f>MOD(BK17-BJ17,1)*24</f>
        <v/>
      </c>
      <c r="BM17" s="57" t="n">
        <v>1</v>
      </c>
      <c r="BN17" s="58" t="n"/>
      <c r="BO17" s="58" t="n"/>
      <c r="BP17" s="83" t="n"/>
      <c r="BQ17" s="57" t="n"/>
      <c r="BR17" s="58" t="n">
        <v>0.7472222222222222</v>
      </c>
      <c r="BS17" s="58" t="n"/>
      <c r="BT17" s="83" t="n"/>
      <c r="BU17" s="57" t="n">
        <v>0.5</v>
      </c>
      <c r="BV17" s="58" t="n">
        <v>0.3479166666666667</v>
      </c>
      <c r="BW17" s="60" t="n">
        <v>0.7402777777777778</v>
      </c>
      <c r="BX17" s="83">
        <f>MOD(BW17-BV17,1)*24</f>
        <v/>
      </c>
      <c r="BY17" s="41" t="n">
        <v>1</v>
      </c>
      <c r="BZ17" s="41" t="n"/>
      <c r="CA17" s="41" t="n"/>
      <c r="CB17" s="83" t="n"/>
      <c r="CC17" s="41" t="n"/>
      <c r="CD17" s="116" t="n"/>
      <c r="CE17" s="115" t="n"/>
      <c r="CF17" s="83" t="n"/>
      <c r="CG17" s="57" t="n"/>
      <c r="CH17" s="58" t="n"/>
      <c r="CI17" s="58" t="n"/>
      <c r="CJ17" s="83" t="n"/>
      <c r="CK17" s="57" t="n"/>
      <c r="CL17" s="58" t="n"/>
      <c r="CM17" s="58" t="n"/>
      <c r="CN17" s="83" t="n"/>
      <c r="CO17" s="57" t="n"/>
      <c r="CP17" s="58" t="n"/>
      <c r="CQ17" s="58" t="n"/>
      <c r="CR17" s="83" t="n"/>
      <c r="CS17" s="57" t="n"/>
      <c r="CT17" s="58" t="n">
        <v>0.35</v>
      </c>
      <c r="CU17" s="58" t="n">
        <v>0.75</v>
      </c>
      <c r="CV17" s="83">
        <f>MOD(CU17-CT17,1)*24</f>
        <v/>
      </c>
      <c r="CW17" s="57" t="n">
        <v>1</v>
      </c>
      <c r="CX17" s="58" t="n">
        <v>0.35</v>
      </c>
      <c r="CY17" s="58" t="n">
        <v>0.7534722222222222</v>
      </c>
      <c r="CZ17" s="83">
        <f>MOD(CY17-CX17,1)*24</f>
        <v/>
      </c>
      <c r="DA17" s="57" t="n">
        <v>1</v>
      </c>
      <c r="DB17" s="58" t="n"/>
      <c r="DC17" s="58" t="n"/>
      <c r="DD17" s="83" t="n"/>
      <c r="DE17" s="57" t="n"/>
      <c r="DF17" s="58" t="n">
        <v>0.3493055555555555</v>
      </c>
      <c r="DG17" s="60" t="n">
        <v>0.7673611111111112</v>
      </c>
      <c r="DH17" s="83">
        <f>MOD(DG17-DF17,1)*24</f>
        <v/>
      </c>
      <c r="DI17" s="41" t="n">
        <v>1</v>
      </c>
      <c r="DJ17" s="116" t="n">
        <v>0.3486111111111111</v>
      </c>
      <c r="DK17" s="116" t="n">
        <v>0.7583333333333333</v>
      </c>
      <c r="DL17" s="83">
        <f>MOD(DK17-DJ17,1)*24</f>
        <v/>
      </c>
      <c r="DM17" s="41" t="n">
        <v>1</v>
      </c>
      <c r="DN17" s="58" t="n">
        <v>0.35</v>
      </c>
      <c r="DO17" s="58" t="n">
        <v>0.7722222222222223</v>
      </c>
      <c r="DP17" s="83">
        <f>MOD(DO17-DN17,1)*24</f>
        <v/>
      </c>
      <c r="DQ17" s="57" t="n">
        <v>1</v>
      </c>
      <c r="DR17" s="61" t="n">
        <v>0.3493055555555555</v>
      </c>
      <c r="DS17" s="62" t="n">
        <v>0.7611111111111111</v>
      </c>
      <c r="DT17" s="83">
        <f>MOD(DS17-DR17,1)*24</f>
        <v/>
      </c>
      <c r="DU17" s="41" t="n">
        <v>1</v>
      </c>
      <c r="DV17" s="61">
        <f>SUM(H17,L17,P17,T17,X17,AB17,AF17,AJ17,AN17,AR17,AV17,AZ17,BD17,BH17,BL17,BP17,BT17,BX17,CB17,CF17,CJ17,CN17,CR17,CV17,CZ17,DD17,DH17,DL17,DP17,DT17)</f>
        <v/>
      </c>
      <c r="DW17" s="62">
        <f>SUM(I17,M17,Q17,U17,Y17,AC17,AG17,AK17,AO17,AS17,AW17,BA17,BE17,BI17,BM17,BQ17,BU17,BY17,CC17,CG17,CK17,CO17,CS17,CW17,DA17,DE17,DI17,DM17,DQ17,DU17)</f>
        <v/>
      </c>
      <c r="DX17" s="83" t="n"/>
      <c r="DY17" s="41" t="n"/>
      <c r="DZ17" s="84" t="n"/>
      <c r="EA17" s="84" t="n"/>
      <c r="EB17" s="84" t="n"/>
      <c r="EC17" s="84" t="n"/>
      <c r="ED17" s="84" t="n"/>
      <c r="EE17" s="84" t="inlineStr">
        <is>
          <t>早退</t>
        </is>
      </c>
      <c r="EF17" s="84" t="n"/>
      <c r="EG17" s="84" t="n"/>
      <c r="EH17" s="84" t="n"/>
      <c r="EI17" s="84" t="n"/>
      <c r="EJ17" s="84" t="n"/>
      <c r="EK17" s="84" t="n"/>
      <c r="EL17" s="84" t="n"/>
      <c r="EM17" s="84" t="n"/>
      <c r="EN17" s="84" t="n"/>
      <c r="EO17" s="84" t="n"/>
      <c r="EP17" s="84" t="n"/>
      <c r="EQ17" s="84" t="n"/>
      <c r="ER17" s="84" t="inlineStr">
        <is>
          <t>只打一次卡</t>
        </is>
      </c>
      <c r="ES17" s="84" t="n"/>
      <c r="ET17" s="84" t="n"/>
      <c r="EU17" s="84" t="n"/>
      <c r="EV17" s="84" t="n"/>
      <c r="EW17" s="84" t="n"/>
      <c r="EX17" s="84" t="n"/>
      <c r="EY17" s="84" t="n"/>
      <c r="EZ17" s="84" t="n"/>
      <c r="FA17" s="84" t="n"/>
      <c r="FB17" s="84" t="n"/>
      <c r="FC17" s="84" t="n"/>
      <c r="FD17" s="84" t="n"/>
      <c r="FE17" s="84" t="n"/>
    </row>
    <row r="18" ht="59" customFormat="1" customHeight="1" s="54">
      <c r="A18" s="55" t="inlineStr">
        <is>
          <t>五楼</t>
        </is>
      </c>
      <c r="B18" s="56" t="inlineStr">
        <is>
          <t>刘琴</t>
        </is>
      </c>
      <c r="C18" s="41" t="inlineStr">
        <is>
          <t>17</t>
        </is>
      </c>
      <c r="D18" s="41" t="n"/>
      <c r="E18" s="57" t="n"/>
      <c r="F18" s="115" t="n"/>
      <c r="G18" s="58" t="n"/>
      <c r="H18" s="83" t="n"/>
      <c r="I18" s="57" t="n"/>
      <c r="J18" s="58" t="n"/>
      <c r="K18" s="58" t="n"/>
      <c r="L18" s="83" t="n"/>
      <c r="M18" s="57" t="n"/>
      <c r="N18" s="58" t="n">
        <v>0.7569444444444444</v>
      </c>
      <c r="O18" s="58" t="n"/>
      <c r="P18" s="83" t="n"/>
      <c r="Q18" s="57" t="n">
        <v>0.5</v>
      </c>
      <c r="R18" s="58" t="n"/>
      <c r="S18" s="58" t="n"/>
      <c r="T18" s="83" t="n"/>
      <c r="U18" s="57" t="n"/>
      <c r="V18" s="58" t="n"/>
      <c r="W18" s="58" t="n"/>
      <c r="X18" s="83" t="n"/>
      <c r="Y18" s="57" t="n"/>
      <c r="Z18" s="58" t="n"/>
      <c r="AA18" s="60" t="n"/>
      <c r="AB18" s="83" t="n"/>
      <c r="AC18" s="41" t="n"/>
      <c r="AD18" s="116" t="n"/>
      <c r="AE18" s="117" t="n"/>
      <c r="AF18" s="83" t="n"/>
      <c r="AG18" s="57" t="n"/>
      <c r="AH18" s="58" t="n"/>
      <c r="AI18" s="58" t="n"/>
      <c r="AJ18" s="83" t="n"/>
      <c r="AK18" s="57" t="n"/>
      <c r="AL18" s="58" t="n"/>
      <c r="AM18" s="58" t="n"/>
      <c r="AN18" s="83" t="n"/>
      <c r="AO18" s="57" t="n"/>
      <c r="AP18" s="58" t="n"/>
      <c r="AQ18" s="58" t="n"/>
      <c r="AR18" s="83" t="n"/>
      <c r="AS18" s="57" t="n"/>
      <c r="AT18" s="58" t="n">
        <v>0.7631944444444444</v>
      </c>
      <c r="AU18" s="58" t="n"/>
      <c r="AV18" s="83" t="n"/>
      <c r="AW18" s="57" t="n">
        <v>0.5</v>
      </c>
      <c r="AX18" s="58" t="n"/>
      <c r="AY18" s="58" t="n"/>
      <c r="AZ18" s="83" t="n"/>
      <c r="BA18" s="57" t="n"/>
      <c r="BB18" s="58" t="n"/>
      <c r="BC18" s="60" t="n"/>
      <c r="BD18" s="83" t="n"/>
      <c r="BE18" s="41" t="n"/>
      <c r="BF18" s="116" t="n">
        <v>0.8340277777777778</v>
      </c>
      <c r="BG18" s="115" t="n"/>
      <c r="BH18" s="83" t="n"/>
      <c r="BI18" s="57" t="n">
        <v>0.5</v>
      </c>
      <c r="BJ18" s="58" t="n"/>
      <c r="BK18" s="58" t="n"/>
      <c r="BL18" s="83" t="n"/>
      <c r="BM18" s="57" t="n"/>
      <c r="BN18" s="58" t="n"/>
      <c r="BO18" s="58" t="n"/>
      <c r="BP18" s="83" t="n"/>
      <c r="BQ18" s="57" t="n"/>
      <c r="BR18" s="58" t="n"/>
      <c r="BS18" s="58" t="n"/>
      <c r="BT18" s="83" t="n"/>
      <c r="BU18" s="57" t="n"/>
      <c r="BV18" s="58" t="n"/>
      <c r="BW18" s="60" t="n"/>
      <c r="BX18" s="83" t="n"/>
      <c r="BY18" s="41" t="n"/>
      <c r="BZ18" s="41" t="n"/>
      <c r="CA18" s="41" t="n"/>
      <c r="CB18" s="83" t="n"/>
      <c r="CC18" s="41" t="n"/>
      <c r="CD18" s="116" t="n"/>
      <c r="CE18" s="115" t="n"/>
      <c r="CF18" s="83" t="n"/>
      <c r="CG18" s="57" t="n"/>
      <c r="CH18" s="58" t="n"/>
      <c r="CI18" s="58" t="n"/>
      <c r="CJ18" s="83" t="n"/>
      <c r="CK18" s="57" t="n"/>
      <c r="CL18" s="58" t="n"/>
      <c r="CM18" s="58" t="n"/>
      <c r="CN18" s="83" t="n"/>
      <c r="CO18" s="57" t="n"/>
      <c r="CP18" s="58" t="n"/>
      <c r="CQ18" s="58" t="n"/>
      <c r="CR18" s="83" t="n"/>
      <c r="CS18" s="57" t="n"/>
      <c r="CT18" s="58" t="n"/>
      <c r="CU18" s="58" t="n"/>
      <c r="CV18" s="83" t="n"/>
      <c r="CW18" s="57" t="n"/>
      <c r="CX18" s="58" t="n"/>
      <c r="CY18" s="58" t="n"/>
      <c r="CZ18" s="83" t="n"/>
      <c r="DA18" s="57" t="n"/>
      <c r="DB18" s="58" t="n"/>
      <c r="DC18" s="58" t="n"/>
      <c r="DD18" s="83" t="n"/>
      <c r="DE18" s="57" t="n"/>
      <c r="DF18" s="58" t="n"/>
      <c r="DG18" s="60" t="n"/>
      <c r="DH18" s="83" t="n"/>
      <c r="DI18" s="41" t="n"/>
      <c r="DJ18" s="116" t="n"/>
      <c r="DK18" s="116" t="n"/>
      <c r="DL18" s="83" t="n"/>
      <c r="DM18" s="41" t="n"/>
      <c r="DN18" s="58" t="n"/>
      <c r="DO18" s="58" t="n"/>
      <c r="DP18" s="83" t="n"/>
      <c r="DQ18" s="57" t="n"/>
      <c r="DR18" s="61" t="n"/>
      <c r="DS18" s="62" t="n"/>
      <c r="DT18" s="83" t="n"/>
      <c r="DU18" s="41" t="n"/>
      <c r="DV18" s="61">
        <f>SUM(H18,L18,P18,T18,X18,AB18,AF18,AJ18,AN18,AR18,AV18,AZ18,BD18,BH18,BL18,BP18,BT18,BX18,CB18,CF18,CJ18,CN18,CR18,CV18,CZ18,DD18,DH18,DL18,DP18,DT18)</f>
        <v/>
      </c>
      <c r="DW18" s="62">
        <f>SUM(I18,M18,Q18,U18,Y18,AC18,AG18,AK18,AO18,AS18,AW18,BA18,BE18,BI18,BM18,BQ18,BU18,BY18,CC18,CG18,CK18,CO18,CS18,CW18,DA18,DE18,DI18,DM18,DQ18,DU18)</f>
        <v/>
      </c>
      <c r="DX18" s="83" t="n"/>
      <c r="DY18" s="41" t="n"/>
      <c r="DZ18" s="84" t="n"/>
      <c r="EA18" s="84" t="n"/>
      <c r="EB18" s="84" t="n"/>
      <c r="EC18" s="84" t="n"/>
      <c r="ED18" s="84" t="n"/>
      <c r="EE18" s="84" t="n"/>
      <c r="EF18" s="84" t="n"/>
      <c r="EG18" s="84" t="n"/>
      <c r="EH18" s="84" t="n"/>
      <c r="EI18" s="84" t="n"/>
      <c r="EJ18" s="84" t="n"/>
      <c r="EK18" s="84" t="n"/>
      <c r="EL18" s="84" t="n"/>
      <c r="EM18" s="84" t="n"/>
      <c r="EN18" s="84" t="n"/>
      <c r="EO18" s="84" t="n"/>
      <c r="EP18" s="84" t="n"/>
      <c r="EQ18" s="84" t="n"/>
      <c r="ER18" s="84" t="n"/>
      <c r="ES18" s="84" t="n"/>
      <c r="ET18" s="84" t="n"/>
      <c r="EU18" s="84" t="n"/>
      <c r="EV18" s="84" t="n"/>
      <c r="EW18" s="84" t="n"/>
      <c r="EX18" s="84" t="n"/>
      <c r="EY18" s="84" t="n"/>
      <c r="EZ18" s="84" t="n"/>
      <c r="FA18" s="84" t="n"/>
      <c r="FB18" s="84" t="n"/>
      <c r="FC18" s="84" t="n"/>
      <c r="FD18" s="84" t="n"/>
      <c r="FE18" s="84" t="n"/>
    </row>
    <row r="19" ht="59" customFormat="1" customHeight="1" s="54">
      <c r="A19" s="55" t="inlineStr">
        <is>
          <t>五楼</t>
        </is>
      </c>
      <c r="B19" s="56" t="inlineStr">
        <is>
          <t>刘文旦</t>
        </is>
      </c>
      <c r="C19" s="41" t="inlineStr">
        <is>
          <t>18</t>
        </is>
      </c>
      <c r="D19" s="41" t="n"/>
      <c r="E19" s="57" t="n"/>
      <c r="F19" s="115" t="n"/>
      <c r="G19" s="58" t="n"/>
      <c r="H19" s="83" t="n"/>
      <c r="I19" s="57" t="n"/>
      <c r="J19" s="58" t="n">
        <v>0.3465277777777778</v>
      </c>
      <c r="K19" s="58" t="n">
        <v>0.8152777777777778</v>
      </c>
      <c r="L19" s="83">
        <f>MOD(K19-J19,1)*24</f>
        <v/>
      </c>
      <c r="M19" s="57" t="n">
        <v>1</v>
      </c>
      <c r="N19" s="58" t="n">
        <v>0.3527777777777778</v>
      </c>
      <c r="O19" s="58" t="n">
        <v>0.7784722222222222</v>
      </c>
      <c r="P19" s="83">
        <f>MOD(O19-N19,1)*24</f>
        <v/>
      </c>
      <c r="Q19" s="57" t="n">
        <v>1</v>
      </c>
      <c r="R19" s="58" t="n">
        <v>0.3548611111111111</v>
      </c>
      <c r="S19" s="58" t="n">
        <v>0.7777777777777778</v>
      </c>
      <c r="T19" s="83">
        <f>MOD(S19-R19,1)*24</f>
        <v/>
      </c>
      <c r="U19" s="57" t="n">
        <v>1</v>
      </c>
      <c r="V19" s="58" t="n">
        <v>0.3506944444444444</v>
      </c>
      <c r="W19" s="58" t="n"/>
      <c r="X19" s="83" t="n"/>
      <c r="Y19" s="57" t="n">
        <v>0.5</v>
      </c>
      <c r="Z19" s="58" t="n">
        <v>0.3520833333333334</v>
      </c>
      <c r="AA19" s="60" t="n">
        <v>0.9368055555555556</v>
      </c>
      <c r="AB19" s="83">
        <f>MOD(AA19-Z19,1)*24</f>
        <v/>
      </c>
      <c r="AC19" s="41" t="n">
        <v>1</v>
      </c>
      <c r="AD19" s="116" t="n">
        <v>0.3541666666666667</v>
      </c>
      <c r="AE19" s="117" t="n">
        <v>0.7770833333333333</v>
      </c>
      <c r="AF19" s="83">
        <f>MOD(AE19-AD19,1)*24</f>
        <v/>
      </c>
      <c r="AG19" s="57" t="n">
        <v>1</v>
      </c>
      <c r="AH19" s="58" t="n">
        <v>0.3430555555555556</v>
      </c>
      <c r="AI19" s="58" t="n">
        <v>0.8104166666666667</v>
      </c>
      <c r="AJ19" s="83">
        <f>MOD(AI19-AH19,1)*24</f>
        <v/>
      </c>
      <c r="AK19" s="57" t="n">
        <v>1</v>
      </c>
      <c r="AL19" s="58" t="n">
        <v>0.35625</v>
      </c>
      <c r="AM19" s="58" t="n">
        <v>0.8138888888888889</v>
      </c>
      <c r="AN19" s="83">
        <f>MOD(AM19-AL19,1)*24</f>
        <v/>
      </c>
      <c r="AO19" s="57" t="n">
        <v>1</v>
      </c>
      <c r="AP19" s="58" t="n">
        <v>0.3548611111111111</v>
      </c>
      <c r="AQ19" s="58" t="n">
        <v>0.8215277777777777</v>
      </c>
      <c r="AR19" s="83">
        <f>MOD(AQ19-AP19,1)*24</f>
        <v/>
      </c>
      <c r="AS19" s="57" t="n">
        <v>1</v>
      </c>
      <c r="AT19" s="58" t="n">
        <v>0.7993055555555556</v>
      </c>
      <c r="AU19" s="58" t="n"/>
      <c r="AV19" s="83" t="n"/>
      <c r="AW19" s="57" t="n">
        <v>0.5</v>
      </c>
      <c r="AX19" s="58" t="n"/>
      <c r="AY19" s="58" t="n"/>
      <c r="AZ19" s="83" t="n"/>
      <c r="BA19" s="57" t="n"/>
      <c r="BB19" s="58" t="n"/>
      <c r="BC19" s="60" t="n"/>
      <c r="BD19" s="83" t="n"/>
      <c r="BE19" s="41" t="n"/>
      <c r="BF19" s="116" t="n"/>
      <c r="BG19" s="115" t="n"/>
      <c r="BH19" s="83" t="n"/>
      <c r="BI19" s="57" t="n"/>
      <c r="BJ19" s="58" t="n">
        <v>0.7506944444444444</v>
      </c>
      <c r="BK19" s="58" t="n"/>
      <c r="BL19" s="83" t="n"/>
      <c r="BM19" s="57" t="n">
        <v>0.5</v>
      </c>
      <c r="BN19" s="58" t="n">
        <v>0.3534722222222222</v>
      </c>
      <c r="BO19" s="58" t="n">
        <v>0.7958333333333333</v>
      </c>
      <c r="BP19" s="83">
        <f>MOD(BO19-BN19,1)*24</f>
        <v/>
      </c>
      <c r="BQ19" s="57" t="n">
        <v>1</v>
      </c>
      <c r="BR19" s="58" t="n">
        <v>0.3548611111111111</v>
      </c>
      <c r="BS19" s="58" t="n">
        <v>0.7916666666666666</v>
      </c>
      <c r="BT19" s="83">
        <f>MOD(BS19-BR19,1)*24</f>
        <v/>
      </c>
      <c r="BU19" s="57" t="n">
        <v>1</v>
      </c>
      <c r="BV19" s="58" t="n">
        <v>0.775</v>
      </c>
      <c r="BW19" s="60" t="n"/>
      <c r="BX19" s="83" t="n"/>
      <c r="BY19" s="41" t="n">
        <v>0.5</v>
      </c>
      <c r="BZ19" s="116" t="n">
        <v>0.7868055555555555</v>
      </c>
      <c r="CA19" s="41" t="n"/>
      <c r="CB19" s="83" t="n"/>
      <c r="CC19" s="41" t="n">
        <v>0.5</v>
      </c>
      <c r="CD19" s="116" t="n">
        <v>0.3590277777777778</v>
      </c>
      <c r="CE19" s="115" t="n">
        <v>0.8666666666666667</v>
      </c>
      <c r="CF19" s="83">
        <f>MOD(CE19-CD19,1)*24</f>
        <v/>
      </c>
      <c r="CG19" s="57" t="n">
        <v>1</v>
      </c>
      <c r="CH19" s="58" t="n">
        <v>0.8076388888888889</v>
      </c>
      <c r="CI19" s="58" t="n"/>
      <c r="CJ19" s="83" t="n"/>
      <c r="CK19" s="57" t="n">
        <v>0.5</v>
      </c>
      <c r="CL19" s="58" t="n">
        <v>0.3493055555555555</v>
      </c>
      <c r="CM19" s="58" t="n">
        <v>0.8027777777777778</v>
      </c>
      <c r="CN19" s="83">
        <f>MOD(CM19-CL19,1)*24</f>
        <v/>
      </c>
      <c r="CO19" s="57" t="n">
        <v>1</v>
      </c>
      <c r="CP19" s="58" t="n">
        <v>0.3527777777777778</v>
      </c>
      <c r="CQ19" s="58" t="n">
        <v>0.80625</v>
      </c>
      <c r="CR19" s="83">
        <f>MOD(CQ19-CP19,1)*24</f>
        <v/>
      </c>
      <c r="CS19" s="57" t="n">
        <v>1</v>
      </c>
      <c r="CT19" s="58" t="n">
        <v>0.8416666666666667</v>
      </c>
      <c r="CU19" s="58" t="n"/>
      <c r="CV19" s="83" t="n"/>
      <c r="CW19" s="57" t="n">
        <v>0.5</v>
      </c>
      <c r="CX19" s="58" t="n">
        <v>0.3506944444444444</v>
      </c>
      <c r="CY19" s="58" t="n">
        <v>0.8208333333333333</v>
      </c>
      <c r="CZ19" s="83">
        <f>MOD(CY19-CX19,1)*24</f>
        <v/>
      </c>
      <c r="DA19" s="57" t="n">
        <v>1</v>
      </c>
      <c r="DB19" s="58" t="n">
        <v>0.75</v>
      </c>
      <c r="DC19" s="58" t="n"/>
      <c r="DD19" s="83" t="n"/>
      <c r="DE19" s="57" t="n">
        <v>0.5</v>
      </c>
      <c r="DF19" s="58" t="n">
        <v>0.3506944444444444</v>
      </c>
      <c r="DG19" s="60" t="n">
        <v>0.8326388888888889</v>
      </c>
      <c r="DH19" s="83">
        <f>MOD(DG19-DF19,1)*24</f>
        <v/>
      </c>
      <c r="DI19" s="41" t="n">
        <v>1</v>
      </c>
      <c r="DJ19" s="116" t="n">
        <v>0.3569444444444445</v>
      </c>
      <c r="DK19" s="116" t="n">
        <v>0.9222222222222223</v>
      </c>
      <c r="DL19" s="83">
        <f>MOD(DK19-DJ19,1)*24</f>
        <v/>
      </c>
      <c r="DM19" s="41" t="n">
        <v>1</v>
      </c>
      <c r="DN19" s="58" t="n">
        <v>0.3534722222222222</v>
      </c>
      <c r="DO19" s="58" t="n">
        <v>0.8305555555555556</v>
      </c>
      <c r="DP19" s="83">
        <f>MOD(DO19-DN19,1)*24</f>
        <v/>
      </c>
      <c r="DQ19" s="57" t="n">
        <v>1</v>
      </c>
      <c r="DR19" s="61" t="n">
        <v>0.3555555555555556</v>
      </c>
      <c r="DS19" s="62" t="n">
        <v>0.8826388888888889</v>
      </c>
      <c r="DT19" s="83">
        <f>MOD(DS19-DR19,1)*24</f>
        <v/>
      </c>
      <c r="DU19" s="41" t="n">
        <v>1</v>
      </c>
      <c r="DV19" s="61">
        <f>SUM(H19,L19,P19,T19,X19,AB19,AF19,AJ19,AN19,AR19,AV19,AZ19,BD19,BH19,BL19,BP19,BT19,BX19,CB19,CF19,CJ19,CN19,CR19,CV19,CZ19,DD19,DH19,DL19,DP19,DT19)</f>
        <v/>
      </c>
      <c r="DW19" s="62">
        <f>SUM(I19,M19,Q19,U19,Y19,AC19,AG19,AK19,AO19,AS19,AW19,BA19,BE19,BI19,BM19,BQ19,BU19,BY19,CC19,CG19,CK19,CO19,CS19,CW19,DA19,DE19,DI19,DM19,DQ19,DU19)</f>
        <v/>
      </c>
      <c r="DX19" s="83" t="n"/>
      <c r="DY19" s="41" t="n"/>
      <c r="DZ19" s="84" t="n"/>
      <c r="EA19" s="84" t="n"/>
      <c r="EB19" s="84" t="n"/>
      <c r="EC19" s="84" t="n"/>
      <c r="ED19" s="84" t="n"/>
      <c r="EE19" s="84" t="inlineStr">
        <is>
          <t>迟到</t>
        </is>
      </c>
      <c r="EF19" s="84" t="inlineStr">
        <is>
          <t>只打一次卡</t>
        </is>
      </c>
      <c r="EG19" s="84" t="n"/>
      <c r="EH19" s="84" t="n"/>
      <c r="EI19" s="84" t="n"/>
      <c r="EJ19" s="84" t="inlineStr">
        <is>
          <t>迟到</t>
        </is>
      </c>
      <c r="EK19" s="84" t="inlineStr">
        <is>
          <t>迟到</t>
        </is>
      </c>
      <c r="EL19" s="84" t="inlineStr">
        <is>
          <t>只打一次卡</t>
        </is>
      </c>
      <c r="EM19" s="84" t="n"/>
      <c r="EN19" s="84" t="n"/>
      <c r="EO19" s="84" t="n"/>
      <c r="EP19" s="84" t="inlineStr">
        <is>
          <t>只打一次卡</t>
        </is>
      </c>
      <c r="EQ19" s="84" t="n"/>
      <c r="ER19" s="84" t="inlineStr">
        <is>
          <t>迟到</t>
        </is>
      </c>
      <c r="ES19" s="84" t="inlineStr">
        <is>
          <t>只打一次卡</t>
        </is>
      </c>
      <c r="ET19" s="84" t="inlineStr">
        <is>
          <t>只打一次卡</t>
        </is>
      </c>
      <c r="EU19" s="84" t="inlineStr">
        <is>
          <t>迟到</t>
        </is>
      </c>
      <c r="EV19" s="84" t="inlineStr">
        <is>
          <t>只打一次卡</t>
        </is>
      </c>
      <c r="EW19" s="84" t="n"/>
      <c r="EX19" s="84" t="n"/>
      <c r="EY19" s="84" t="inlineStr">
        <is>
          <t>只打一次卡</t>
        </is>
      </c>
      <c r="EZ19" s="84" t="n"/>
      <c r="FA19" s="84" t="inlineStr">
        <is>
          <t>只打一次卡</t>
        </is>
      </c>
      <c r="FB19" s="84" t="n"/>
      <c r="FC19" s="84" t="inlineStr">
        <is>
          <t>迟到</t>
        </is>
      </c>
      <c r="FD19" s="84" t="n"/>
      <c r="FE19" s="84" t="inlineStr">
        <is>
          <t>迟到</t>
        </is>
      </c>
    </row>
    <row r="20" ht="59" customFormat="1" customHeight="1" s="54">
      <c r="A20" s="55" t="inlineStr">
        <is>
          <t>五楼</t>
        </is>
      </c>
      <c r="B20" s="56" t="inlineStr">
        <is>
          <t>王一程</t>
        </is>
      </c>
      <c r="C20" s="41" t="inlineStr">
        <is>
          <t>19</t>
        </is>
      </c>
      <c r="D20" s="41" t="n"/>
      <c r="E20" s="57" t="n"/>
      <c r="F20" s="115" t="n">
        <v>0.3534722222222222</v>
      </c>
      <c r="G20" s="58" t="n">
        <v>0.7381944444444445</v>
      </c>
      <c r="H20" s="83">
        <f>MOD(G20-F20,1)*24</f>
        <v/>
      </c>
      <c r="I20" s="57" t="n">
        <v>1</v>
      </c>
      <c r="J20" s="58" t="n">
        <v>0.3527777777777778</v>
      </c>
      <c r="K20" s="58" t="n">
        <v>0.7479166666666667</v>
      </c>
      <c r="L20" s="83">
        <f>MOD(K20-J20,1)*24</f>
        <v/>
      </c>
      <c r="M20" s="57" t="n">
        <v>1</v>
      </c>
      <c r="N20" s="58" t="n">
        <v>0.3493055555555555</v>
      </c>
      <c r="O20" s="58" t="n">
        <v>0.9125</v>
      </c>
      <c r="P20" s="83">
        <f>MOD(O20-N20,1)*24</f>
        <v/>
      </c>
      <c r="Q20" s="57" t="n">
        <v>1</v>
      </c>
      <c r="R20" s="58" t="n">
        <v>0.3486111111111111</v>
      </c>
      <c r="S20" s="58" t="n">
        <v>0.7361111111111112</v>
      </c>
      <c r="T20" s="83">
        <f>MOD(S20-R20,1)*24</f>
        <v/>
      </c>
      <c r="U20" s="57" t="n">
        <v>1</v>
      </c>
      <c r="V20" s="58" t="n"/>
      <c r="W20" s="58" t="n"/>
      <c r="X20" s="83" t="n"/>
      <c r="Y20" s="57" t="n"/>
      <c r="Z20" s="58" t="n">
        <v>0.3506944444444444</v>
      </c>
      <c r="AA20" s="60" t="n">
        <v>0.7548611111111111</v>
      </c>
      <c r="AB20" s="83">
        <f>MOD(AA20-Z20,1)*24</f>
        <v/>
      </c>
      <c r="AC20" s="41" t="n">
        <v>1</v>
      </c>
      <c r="AD20" s="116" t="n">
        <v>0.3534722222222222</v>
      </c>
      <c r="AE20" s="117" t="n">
        <v>0.7527777777777778</v>
      </c>
      <c r="AF20" s="83">
        <f>MOD(AE20-AD20,1)*24</f>
        <v/>
      </c>
      <c r="AG20" s="57" t="n">
        <v>0.5</v>
      </c>
      <c r="AH20" s="58" t="n">
        <v>0.35</v>
      </c>
      <c r="AI20" s="58" t="n">
        <v>0.7381944444444445</v>
      </c>
      <c r="AJ20" s="83">
        <f>MOD(AI20-AH20,1)*24</f>
        <v/>
      </c>
      <c r="AK20" s="57" t="n">
        <v>1</v>
      </c>
      <c r="AL20" s="58" t="n">
        <v>0.3520833333333334</v>
      </c>
      <c r="AM20" s="58" t="n">
        <v>0.7368055555555556</v>
      </c>
      <c r="AN20" s="83">
        <f>MOD(AM20-AL20,1)*24</f>
        <v/>
      </c>
      <c r="AO20" s="57" t="n">
        <v>1</v>
      </c>
      <c r="AP20" s="58" t="n"/>
      <c r="AQ20" s="58" t="n"/>
      <c r="AR20" s="83" t="n"/>
      <c r="AS20" s="57" t="n"/>
      <c r="AT20" s="58" t="n">
        <v>0.3493055555555555</v>
      </c>
      <c r="AU20" s="58" t="n">
        <v>0.7375</v>
      </c>
      <c r="AV20" s="83">
        <f>MOD(AU20-AT20,1)*24</f>
        <v/>
      </c>
      <c r="AW20" s="57" t="n">
        <v>1</v>
      </c>
      <c r="AX20" s="58" t="n"/>
      <c r="AY20" s="58" t="n"/>
      <c r="AZ20" s="83" t="n"/>
      <c r="BA20" s="57" t="n"/>
      <c r="BB20" s="58" t="n">
        <v>0.3520833333333334</v>
      </c>
      <c r="BC20" s="60" t="n">
        <v>0.7375</v>
      </c>
      <c r="BD20" s="83">
        <f>MOD(BC20-BB20,1)*24</f>
        <v/>
      </c>
      <c r="BE20" s="41" t="n">
        <v>1</v>
      </c>
      <c r="BF20" s="116" t="n">
        <v>0.3527777777777778</v>
      </c>
      <c r="BG20" s="115" t="n">
        <v>0.7375</v>
      </c>
      <c r="BH20" s="83">
        <f>MOD(BG20-BF20,1)*24</f>
        <v/>
      </c>
      <c r="BI20" s="57" t="n">
        <v>1</v>
      </c>
      <c r="BJ20" s="58" t="n">
        <v>0.3506944444444444</v>
      </c>
      <c r="BK20" s="58" t="n">
        <v>0.7375</v>
      </c>
      <c r="BL20" s="83">
        <f>MOD(BK20-BJ20,1)*24</f>
        <v/>
      </c>
      <c r="BM20" s="57" t="n">
        <v>1</v>
      </c>
      <c r="BN20" s="58" t="n">
        <v>0.3513888888888889</v>
      </c>
      <c r="BO20" s="58" t="n">
        <v>0.7368055555555556</v>
      </c>
      <c r="BP20" s="83">
        <f>MOD(BO20-BN20,1)*24</f>
        <v/>
      </c>
      <c r="BQ20" s="57" t="n">
        <v>1</v>
      </c>
      <c r="BR20" s="58" t="n">
        <v>0.3513888888888889</v>
      </c>
      <c r="BS20" s="58" t="n">
        <v>0.7368055555555556</v>
      </c>
      <c r="BT20" s="83">
        <f>MOD(BS20-BR20,1)*24</f>
        <v/>
      </c>
      <c r="BU20" s="57" t="n">
        <v>1</v>
      </c>
      <c r="BV20" s="58" t="n">
        <v>0.3465277777777778</v>
      </c>
      <c r="BW20" s="60" t="n">
        <v>0.7375</v>
      </c>
      <c r="BX20" s="83">
        <f>MOD(BW20-BV20,1)*24</f>
        <v/>
      </c>
      <c r="BY20" s="41" t="n">
        <v>1</v>
      </c>
      <c r="BZ20" s="41" t="n"/>
      <c r="CA20" s="41" t="n"/>
      <c r="CB20" s="83" t="n"/>
      <c r="CC20" s="41" t="n"/>
      <c r="CD20" s="116" t="n">
        <v>0.3527777777777778</v>
      </c>
      <c r="CE20" s="115" t="n">
        <v>0.7381944444444445</v>
      </c>
      <c r="CF20" s="83">
        <f>MOD(CE20-CD20,1)*24</f>
        <v/>
      </c>
      <c r="CG20" s="57" t="n">
        <v>1</v>
      </c>
      <c r="CH20" s="58" t="n">
        <v>0.3486111111111111</v>
      </c>
      <c r="CI20" s="58" t="n">
        <v>0.7375</v>
      </c>
      <c r="CJ20" s="83">
        <f>MOD(CI20-CH20,1)*24</f>
        <v/>
      </c>
      <c r="CK20" s="57" t="n">
        <v>1</v>
      </c>
      <c r="CL20" s="58" t="n">
        <v>0.3520833333333334</v>
      </c>
      <c r="CM20" s="58" t="n">
        <v>0.7375</v>
      </c>
      <c r="CN20" s="83">
        <f>MOD(CM20-CL20,1)*24</f>
        <v/>
      </c>
      <c r="CO20" s="57" t="n">
        <v>1</v>
      </c>
      <c r="CP20" s="58" t="n">
        <v>0.3513888888888889</v>
      </c>
      <c r="CQ20" s="58" t="n">
        <v>0.7416666666666667</v>
      </c>
      <c r="CR20" s="83">
        <f>MOD(CQ20-CP20,1)*24</f>
        <v/>
      </c>
      <c r="CS20" s="57" t="n">
        <v>1</v>
      </c>
      <c r="CT20" s="58" t="n">
        <v>0.3451388888888889</v>
      </c>
      <c r="CU20" s="58" t="n">
        <v>0.7368055555555556</v>
      </c>
      <c r="CV20" s="83">
        <f>MOD(CU20-CT20,1)*24</f>
        <v/>
      </c>
      <c r="CW20" s="57" t="n">
        <v>1</v>
      </c>
      <c r="CX20" s="58" t="n">
        <v>0.3479166666666667</v>
      </c>
      <c r="CY20" s="58" t="n">
        <v>0.7368055555555556</v>
      </c>
      <c r="CZ20" s="83">
        <f>MOD(CY20-CX20,1)*24</f>
        <v/>
      </c>
      <c r="DA20" s="57" t="n">
        <v>1</v>
      </c>
      <c r="DB20" s="58" t="n"/>
      <c r="DC20" s="58" t="n"/>
      <c r="DD20" s="83" t="n"/>
      <c r="DE20" s="57" t="n"/>
      <c r="DF20" s="58" t="n">
        <v>0.35</v>
      </c>
      <c r="DG20" s="60" t="n">
        <v>0.74375</v>
      </c>
      <c r="DH20" s="83">
        <f>MOD(DG20-DF20,1)*24</f>
        <v/>
      </c>
      <c r="DI20" s="41" t="n">
        <v>0.5</v>
      </c>
      <c r="DJ20" s="116" t="n">
        <v>0.3465277777777778</v>
      </c>
      <c r="DK20" s="116" t="n">
        <v>0.7395833333333334</v>
      </c>
      <c r="DL20" s="83">
        <f>MOD(DK20-DJ20,1)*24</f>
        <v/>
      </c>
      <c r="DM20" s="41" t="n">
        <v>1</v>
      </c>
      <c r="DN20" s="58" t="n">
        <v>0.3486111111111111</v>
      </c>
      <c r="DO20" s="58" t="n">
        <v>0.8888888888888888</v>
      </c>
      <c r="DP20" s="83">
        <f>MOD(DO20-DN20,1)*24</f>
        <v/>
      </c>
      <c r="DQ20" s="57" t="n">
        <v>1</v>
      </c>
      <c r="DR20" s="61" t="n">
        <v>0.3506944444444444</v>
      </c>
      <c r="DS20" s="62" t="n">
        <v>0.7395833333333334</v>
      </c>
      <c r="DT20" s="83">
        <f>MOD(DS20-DR20,1)*24</f>
        <v/>
      </c>
      <c r="DU20" s="41" t="n">
        <v>1</v>
      </c>
      <c r="DV20" s="61">
        <f>SUM(H20,L20,P20,T20,X20,AB20,AF20,AJ20,AN20,AR20,AV20,AZ20,BD20,BH20,BL20,BP20,BT20,BX20,CB20,CF20,CJ20,CN20,CR20,CV20,CZ20,DD20,DH20,DL20,DP20,DT20)</f>
        <v/>
      </c>
      <c r="DW20" s="62">
        <f>SUM(I20,M20,Q20,U20,Y20,AC20,AG20,AK20,AO20,AS20,AW20,BA20,BE20,BI20,BM20,BQ20,BU20,BY20,CC20,CG20,CK20,CO20,CS20,CW20,DA20,DE20,DI20,DM20,DQ20,DU20)</f>
        <v/>
      </c>
      <c r="DX20" s="83" t="n"/>
      <c r="DY20" s="41" t="n"/>
      <c r="DZ20" s="84" t="n"/>
      <c r="EA20" s="84" t="n"/>
      <c r="EB20" s="84" t="n"/>
      <c r="EC20" s="84" t="n"/>
      <c r="ED20" s="84" t="n"/>
      <c r="EE20" s="84" t="n"/>
      <c r="EF20" s="84" t="n"/>
      <c r="EG20" s="84" t="n"/>
      <c r="EH20" s="84" t="n"/>
      <c r="EI20" s="84" t="n"/>
      <c r="EJ20" s="84" t="n"/>
      <c r="EK20" s="84" t="n"/>
      <c r="EL20" s="84" t="n"/>
      <c r="EM20" s="84" t="n"/>
      <c r="EN20" s="84" t="n"/>
      <c r="EO20" s="84" t="n"/>
      <c r="EP20" s="84" t="n"/>
      <c r="EQ20" s="84" t="n"/>
      <c r="ER20" s="84" t="n"/>
      <c r="ES20" s="84" t="n"/>
      <c r="ET20" s="84" t="n"/>
      <c r="EU20" s="84" t="n"/>
      <c r="EV20" s="84" t="n"/>
      <c r="EW20" s="84" t="n"/>
      <c r="EX20" s="84" t="n"/>
      <c r="EY20" s="84" t="n"/>
      <c r="EZ20" s="84" t="n"/>
      <c r="FA20" s="84" t="n"/>
      <c r="FB20" s="84" t="n"/>
      <c r="FC20" s="84" t="n"/>
      <c r="FD20" s="84" t="n"/>
      <c r="FE20" s="84" t="n"/>
    </row>
    <row r="21" ht="59" customFormat="1" customHeight="1" s="54">
      <c r="A21" s="55" t="inlineStr">
        <is>
          <t>五楼</t>
        </is>
      </c>
      <c r="B21" s="56" t="inlineStr">
        <is>
          <t>王一程</t>
        </is>
      </c>
      <c r="C21" s="41" t="inlineStr">
        <is>
          <t>19</t>
        </is>
      </c>
      <c r="D21" s="41" t="n"/>
      <c r="E21" s="57" t="n"/>
      <c r="F21" s="115" t="n"/>
      <c r="G21" s="58" t="n"/>
      <c r="H21" s="83" t="n"/>
      <c r="I21" s="57" t="n"/>
      <c r="J21" s="58" t="n"/>
      <c r="K21" s="58" t="n"/>
      <c r="L21" s="83" t="n"/>
      <c r="M21" s="57" t="n"/>
      <c r="N21" s="58" t="n"/>
      <c r="O21" s="58" t="n"/>
      <c r="P21" s="83" t="n"/>
      <c r="Q21" s="57" t="n"/>
      <c r="R21" s="58" t="n"/>
      <c r="S21" s="58" t="n"/>
      <c r="T21" s="83" t="n"/>
      <c r="U21" s="57" t="n"/>
      <c r="V21" s="58" t="n"/>
      <c r="W21" s="58" t="n"/>
      <c r="X21" s="83" t="n"/>
      <c r="Y21" s="57" t="n"/>
      <c r="Z21" s="58" t="n"/>
      <c r="AA21" s="60" t="n"/>
      <c r="AB21" s="83" t="n"/>
      <c r="AC21" s="41" t="n"/>
      <c r="AD21" s="116" t="n">
        <v>0.7583333333333333</v>
      </c>
      <c r="AE21" s="117" t="n"/>
      <c r="AF21" s="83" t="n"/>
      <c r="AG21" s="57" t="n">
        <v>0.5</v>
      </c>
      <c r="AH21" s="58" t="n"/>
      <c r="AI21" s="58" t="n"/>
      <c r="AJ21" s="83" t="n"/>
      <c r="AK21" s="57" t="n"/>
      <c r="AL21" s="58" t="n"/>
      <c r="AM21" s="58" t="n"/>
      <c r="AN21" s="83" t="n"/>
      <c r="AO21" s="57" t="n"/>
      <c r="AP21" s="58" t="n"/>
      <c r="AQ21" s="58" t="n"/>
      <c r="AR21" s="83" t="n"/>
      <c r="AS21" s="57" t="n"/>
      <c r="AT21" s="58" t="n"/>
      <c r="AU21" s="58" t="n"/>
      <c r="AV21" s="83" t="n"/>
      <c r="AW21" s="57" t="n"/>
      <c r="AX21" s="58" t="n"/>
      <c r="AY21" s="58" t="n"/>
      <c r="AZ21" s="83" t="n"/>
      <c r="BA21" s="57" t="n"/>
      <c r="BB21" s="58" t="n"/>
      <c r="BC21" s="60" t="n"/>
      <c r="BD21" s="83" t="n"/>
      <c r="BE21" s="41" t="n"/>
      <c r="BF21" s="116" t="n"/>
      <c r="BG21" s="115" t="n"/>
      <c r="BH21" s="83" t="n"/>
      <c r="BI21" s="57" t="n"/>
      <c r="BJ21" s="58" t="n"/>
      <c r="BK21" s="58" t="n"/>
      <c r="BL21" s="83" t="n"/>
      <c r="BM21" s="57" t="n"/>
      <c r="BN21" s="58" t="n"/>
      <c r="BO21" s="58" t="n"/>
      <c r="BP21" s="83" t="n"/>
      <c r="BQ21" s="57" t="n"/>
      <c r="BR21" s="58" t="n"/>
      <c r="BS21" s="58" t="n"/>
      <c r="BT21" s="83" t="n"/>
      <c r="BU21" s="57" t="n"/>
      <c r="BV21" s="58" t="n"/>
      <c r="BW21" s="60" t="n"/>
      <c r="BX21" s="83" t="n"/>
      <c r="BY21" s="41" t="n"/>
      <c r="BZ21" s="41" t="n"/>
      <c r="CA21" s="41" t="n"/>
      <c r="CB21" s="83" t="n"/>
      <c r="CC21" s="41" t="n"/>
      <c r="CD21" s="116" t="n"/>
      <c r="CE21" s="115" t="n"/>
      <c r="CF21" s="83" t="n"/>
      <c r="CG21" s="57" t="n"/>
      <c r="CH21" s="58" t="n"/>
      <c r="CI21" s="58" t="n"/>
      <c r="CJ21" s="83" t="n"/>
      <c r="CK21" s="57" t="n"/>
      <c r="CL21" s="58" t="n"/>
      <c r="CM21" s="58" t="n"/>
      <c r="CN21" s="83" t="n"/>
      <c r="CO21" s="57" t="n"/>
      <c r="CP21" s="58" t="n"/>
      <c r="CQ21" s="58" t="n"/>
      <c r="CR21" s="83" t="n"/>
      <c r="CS21" s="57" t="n"/>
      <c r="CT21" s="58" t="n"/>
      <c r="CU21" s="58" t="n"/>
      <c r="CV21" s="83" t="n"/>
      <c r="CW21" s="57" t="n"/>
      <c r="CX21" s="58" t="n"/>
      <c r="CY21" s="58" t="n"/>
      <c r="CZ21" s="83" t="n"/>
      <c r="DA21" s="57" t="n"/>
      <c r="DB21" s="58" t="n"/>
      <c r="DC21" s="58" t="n"/>
      <c r="DD21" s="83" t="n"/>
      <c r="DE21" s="57" t="n"/>
      <c r="DF21" s="58" t="n">
        <v>0.8104166666666667</v>
      </c>
      <c r="DG21" s="60" t="n"/>
      <c r="DH21" s="83" t="n"/>
      <c r="DI21" s="41" t="n">
        <v>0.5</v>
      </c>
      <c r="DJ21" s="116" t="n"/>
      <c r="DK21" s="116" t="n"/>
      <c r="DL21" s="83" t="n"/>
      <c r="DM21" s="41" t="n"/>
      <c r="DN21" s="58" t="n"/>
      <c r="DO21" s="58" t="n"/>
      <c r="DP21" s="83" t="n"/>
      <c r="DQ21" s="57" t="n"/>
      <c r="DR21" s="61" t="n"/>
      <c r="DS21" s="62" t="n"/>
      <c r="DT21" s="83" t="n"/>
      <c r="DU21" s="41" t="n"/>
      <c r="DV21" s="61">
        <f>SUM(H21,L21,P21,T21,X21,AB21,AF21,AJ21,AN21,AR21,AV21,AZ21,BD21,BH21,BL21,BP21,BT21,BX21,CB21,CF21,CJ21,CN21,CR21,CV21,CZ21,DD21,DH21,DL21,DP21,DT21)</f>
        <v/>
      </c>
      <c r="DW21" s="62">
        <f>SUM(I21,M21,Q21,U21,Y21,AC21,AG21,AK21,AO21,AS21,AW21,BA21,BE21,BI21,BM21,BQ21,BU21,BY21,CC21,CG21,CK21,CO21,CS21,CW21,DA21,DE21,DI21,DM21,DQ21,DU21)</f>
        <v/>
      </c>
      <c r="DX21" s="83" t="n"/>
      <c r="DY21" s="41" t="n"/>
      <c r="DZ21" s="84" t="n"/>
      <c r="EA21" s="84" t="n"/>
      <c r="EB21" s="84" t="n"/>
      <c r="EC21" s="84" t="n"/>
      <c r="ED21" s="84" t="n"/>
      <c r="EE21" s="84" t="n"/>
      <c r="EF21" s="84" t="n"/>
      <c r="EG21" s="84" t="n"/>
      <c r="EH21" s="84" t="n"/>
      <c r="EI21" s="84" t="n"/>
      <c r="EJ21" s="84" t="n"/>
      <c r="EK21" s="84" t="n"/>
      <c r="EL21" s="84" t="n"/>
      <c r="EM21" s="84" t="n"/>
      <c r="EN21" s="84" t="n"/>
      <c r="EO21" s="84" t="n"/>
      <c r="EP21" s="84" t="n"/>
      <c r="EQ21" s="84" t="n"/>
      <c r="ER21" s="84" t="n"/>
      <c r="ES21" s="84" t="n"/>
      <c r="ET21" s="84" t="n"/>
      <c r="EU21" s="84" t="n"/>
      <c r="EV21" s="84" t="n"/>
      <c r="EW21" s="84" t="n"/>
      <c r="EX21" s="84" t="n"/>
      <c r="EY21" s="84" t="n"/>
      <c r="EZ21" s="84" t="n"/>
      <c r="FA21" s="84" t="n"/>
      <c r="FB21" s="84" t="n"/>
      <c r="FC21" s="84" t="n"/>
      <c r="FD21" s="84" t="n"/>
      <c r="FE21" s="84" t="n"/>
    </row>
    <row r="22" ht="59" customFormat="1" customHeight="1" s="54">
      <c r="A22" s="55" t="inlineStr">
        <is>
          <t>五楼</t>
        </is>
      </c>
      <c r="B22" s="56" t="inlineStr">
        <is>
          <t>段绍红</t>
        </is>
      </c>
      <c r="C22" s="41" t="inlineStr">
        <is>
          <t>20</t>
        </is>
      </c>
      <c r="D22" s="41" t="n"/>
      <c r="E22" s="57" t="n"/>
      <c r="F22" s="115" t="n">
        <v>0.3451388888888889</v>
      </c>
      <c r="G22" s="58" t="n">
        <v>0.7368055555555556</v>
      </c>
      <c r="H22" s="83">
        <f>MOD(G22-F22,1)*24</f>
        <v/>
      </c>
      <c r="I22" s="57" t="n">
        <v>1</v>
      </c>
      <c r="J22" s="58" t="n">
        <v>0.3451388888888889</v>
      </c>
      <c r="K22" s="58" t="n">
        <v>0.7375</v>
      </c>
      <c r="L22" s="83">
        <f>MOD(K22-J22,1)*24</f>
        <v/>
      </c>
      <c r="M22" s="57" t="n">
        <v>1</v>
      </c>
      <c r="N22" s="58" t="n"/>
      <c r="O22" s="58" t="n"/>
      <c r="P22" s="83" t="n"/>
      <c r="Q22" s="57" t="n"/>
      <c r="R22" s="58" t="n"/>
      <c r="S22" s="58" t="n"/>
      <c r="T22" s="83" t="n"/>
      <c r="U22" s="57" t="n"/>
      <c r="V22" s="58" t="n"/>
      <c r="W22" s="58" t="n"/>
      <c r="X22" s="83" t="n"/>
      <c r="Y22" s="57" t="n"/>
      <c r="Z22" s="58" t="n">
        <v>0.3395833333333333</v>
      </c>
      <c r="AA22" s="60" t="n">
        <v>0.7368055555555556</v>
      </c>
      <c r="AB22" s="83">
        <f>MOD(AA22-Z22,1)*24</f>
        <v/>
      </c>
      <c r="AC22" s="41" t="n">
        <v>1</v>
      </c>
      <c r="AD22" s="116" t="n">
        <v>0.3486111111111111</v>
      </c>
      <c r="AE22" s="117" t="n">
        <v>0.7361111111111112</v>
      </c>
      <c r="AF22" s="83">
        <f>MOD(AE22-AD22,1)*24</f>
        <v/>
      </c>
      <c r="AG22" s="57" t="n">
        <v>1</v>
      </c>
      <c r="AH22" s="58" t="n">
        <v>0.3472222222222222</v>
      </c>
      <c r="AI22" s="58" t="n">
        <v>0.7368055555555556</v>
      </c>
      <c r="AJ22" s="83">
        <f>MOD(AI22-AH22,1)*24</f>
        <v/>
      </c>
      <c r="AK22" s="57" t="n">
        <v>1</v>
      </c>
      <c r="AL22" s="58" t="n">
        <v>0.3402777777777778</v>
      </c>
      <c r="AM22" s="58" t="n">
        <v>0.7368055555555556</v>
      </c>
      <c r="AN22" s="83">
        <f>MOD(AM22-AL22,1)*24</f>
        <v/>
      </c>
      <c r="AO22" s="57" t="n">
        <v>1</v>
      </c>
      <c r="AP22" s="58" t="n">
        <v>0.3472222222222222</v>
      </c>
      <c r="AQ22" s="58" t="n">
        <v>0.7361111111111112</v>
      </c>
      <c r="AR22" s="83">
        <f>MOD(AQ22-AP22,1)*24</f>
        <v/>
      </c>
      <c r="AS22" s="57" t="n">
        <v>1</v>
      </c>
      <c r="AT22" s="58" t="n">
        <v>0.3493055555555555</v>
      </c>
      <c r="AU22" s="58" t="n">
        <v>0.7395833333333334</v>
      </c>
      <c r="AV22" s="83">
        <f>MOD(AU22-AT22,1)*24</f>
        <v/>
      </c>
      <c r="AW22" s="57" t="n">
        <v>0.5</v>
      </c>
      <c r="AX22" s="58" t="n"/>
      <c r="AY22" s="58" t="n"/>
      <c r="AZ22" s="83" t="n"/>
      <c r="BA22" s="57" t="n"/>
      <c r="BB22" s="58" t="n">
        <v>0.3388888888888889</v>
      </c>
      <c r="BC22" s="60" t="n"/>
      <c r="BD22" s="83" t="n"/>
      <c r="BE22" s="41" t="n">
        <v>0.5</v>
      </c>
      <c r="BF22" s="116" t="n">
        <v>0.3479166666666667</v>
      </c>
      <c r="BG22" s="115" t="n">
        <v>0.7375</v>
      </c>
      <c r="BH22" s="83">
        <f>MOD(BG22-BF22,1)*24</f>
        <v/>
      </c>
      <c r="BI22" s="57" t="n">
        <v>1</v>
      </c>
      <c r="BJ22" s="58" t="n">
        <v>0.3465277777777778</v>
      </c>
      <c r="BK22" s="58" t="n">
        <v>0.7368055555555556</v>
      </c>
      <c r="BL22" s="83">
        <f>MOD(BK22-BJ22,1)*24</f>
        <v/>
      </c>
      <c r="BM22" s="57" t="n">
        <v>0.5</v>
      </c>
      <c r="BN22" s="58" t="n">
        <v>0.3444444444444444</v>
      </c>
      <c r="BO22" s="58" t="n">
        <v>0.7361111111111112</v>
      </c>
      <c r="BP22" s="83">
        <f>MOD(BO22-BN22,1)*24</f>
        <v/>
      </c>
      <c r="BQ22" s="57" t="n">
        <v>1</v>
      </c>
      <c r="BR22" s="58" t="n">
        <v>0.3347222222222222</v>
      </c>
      <c r="BS22" s="58" t="n">
        <v>0.7375</v>
      </c>
      <c r="BT22" s="83">
        <f>MOD(BS22-BR22,1)*24</f>
        <v/>
      </c>
      <c r="BU22" s="57" t="n">
        <v>1</v>
      </c>
      <c r="BV22" s="58" t="n">
        <v>0.3444444444444444</v>
      </c>
      <c r="BW22" s="60" t="n"/>
      <c r="BX22" s="83" t="n"/>
      <c r="BY22" s="41" t="n">
        <v>0.5</v>
      </c>
      <c r="BZ22" s="116" t="n">
        <v>0.3125</v>
      </c>
      <c r="CA22" s="116" t="n">
        <v>0.74375</v>
      </c>
      <c r="CB22" s="83">
        <f>MOD(CA22-BZ22,1)*24</f>
        <v/>
      </c>
      <c r="CC22" s="41" t="n">
        <v>1</v>
      </c>
      <c r="CD22" s="116" t="n">
        <v>0.3423611111111111</v>
      </c>
      <c r="CE22" s="115" t="n">
        <v>0.7409722222222223</v>
      </c>
      <c r="CF22" s="83">
        <f>MOD(CE22-CD22,1)*24</f>
        <v/>
      </c>
      <c r="CG22" s="57" t="n">
        <v>1</v>
      </c>
      <c r="CH22" s="58" t="n">
        <v>0.3409722222222222</v>
      </c>
      <c r="CI22" s="58" t="n">
        <v>0.7368055555555556</v>
      </c>
      <c r="CJ22" s="83">
        <f>MOD(CI22-CH22,1)*24</f>
        <v/>
      </c>
      <c r="CK22" s="57" t="n">
        <v>1</v>
      </c>
      <c r="CL22" s="58" t="n">
        <v>0.3395833333333333</v>
      </c>
      <c r="CM22" s="58" t="n">
        <v>0.7368055555555556</v>
      </c>
      <c r="CN22" s="83">
        <f>MOD(CM22-CL22,1)*24</f>
        <v/>
      </c>
      <c r="CO22" s="57" t="n">
        <v>1</v>
      </c>
      <c r="CP22" s="58" t="n">
        <v>0.2784722222222222</v>
      </c>
      <c r="CQ22" s="58" t="n">
        <v>0.3395833333333333</v>
      </c>
      <c r="CR22" s="83">
        <f>MOD(CQ22-CP22,1)*24</f>
        <v/>
      </c>
      <c r="CS22" s="57" t="n">
        <v>0.5</v>
      </c>
      <c r="CT22" s="58" t="n"/>
      <c r="CU22" s="58" t="n"/>
      <c r="CV22" s="83" t="n"/>
      <c r="CW22" s="57" t="n"/>
      <c r="CX22" s="58" t="n"/>
      <c r="CY22" s="58" t="n"/>
      <c r="CZ22" s="83" t="n"/>
      <c r="DA22" s="57" t="n"/>
      <c r="DB22" s="58" t="n"/>
      <c r="DC22" s="58" t="n"/>
      <c r="DD22" s="83" t="n"/>
      <c r="DE22" s="57" t="n"/>
      <c r="DF22" s="58" t="n"/>
      <c r="DG22" s="60" t="n"/>
      <c r="DH22" s="83" t="n"/>
      <c r="DI22" s="41" t="n"/>
      <c r="DJ22" s="116" t="n"/>
      <c r="DK22" s="116" t="n"/>
      <c r="DL22" s="83" t="n"/>
      <c r="DM22" s="41" t="n"/>
      <c r="DN22" s="58" t="n"/>
      <c r="DO22" s="58" t="n"/>
      <c r="DP22" s="83" t="n"/>
      <c r="DQ22" s="57" t="n"/>
      <c r="DR22" s="61" t="n"/>
      <c r="DS22" s="62" t="n"/>
      <c r="DT22" s="83" t="n"/>
      <c r="DU22" s="41" t="n"/>
      <c r="DV22" s="61">
        <f>SUM(H22,L22,P22,T22,X22,AB22,AF22,AJ22,AN22,AR22,AV22,AZ22,BD22,BH22,BL22,BP22,BT22,BX22,CB22,CF22,CJ22,CN22,CR22,CV22,CZ22,DD22,DH22,DL22,DP22,DT22)</f>
        <v/>
      </c>
      <c r="DW22" s="62">
        <f>SUM(I22,M22,Q22,U22,Y22,AC22,AG22,AK22,AO22,AS22,AW22,BA22,BE22,BI22,BM22,BQ22,BU22,BY22,CC22,CG22,CK22,CO22,CS22,CW22,DA22,DE22,DI22,DM22,DQ22,DU22)</f>
        <v/>
      </c>
      <c r="DX22" s="83" t="n"/>
      <c r="DY22" s="41" t="n"/>
      <c r="DZ22" s="84" t="n"/>
      <c r="EA22" s="84" t="n"/>
      <c r="EB22" s="84" t="n"/>
      <c r="EC22" s="84" t="n"/>
      <c r="ED22" s="84" t="n"/>
      <c r="EE22" s="84" t="n"/>
      <c r="EF22" s="84" t="n"/>
      <c r="EG22" s="84" t="n"/>
      <c r="EH22" s="84" t="n"/>
      <c r="EI22" s="84" t="n"/>
      <c r="EJ22" s="84" t="n"/>
      <c r="EK22" s="84" t="n"/>
      <c r="EL22" s="84" t="n"/>
      <c r="EM22" s="84" t="n"/>
      <c r="EN22" s="84" t="inlineStr">
        <is>
          <t>只打一次卡</t>
        </is>
      </c>
      <c r="EO22" s="84" t="n"/>
      <c r="EP22" s="84" t="n"/>
      <c r="EQ22" s="84" t="n"/>
      <c r="ER22" s="84" t="n"/>
      <c r="ES22" s="84" t="inlineStr">
        <is>
          <t>只打一次卡</t>
        </is>
      </c>
      <c r="ET22" s="84" t="n"/>
      <c r="EU22" s="84" t="n"/>
      <c r="EV22" s="84" t="n"/>
      <c r="EW22" s="84" t="n"/>
      <c r="EX22" s="84" t="inlineStr">
        <is>
          <t>早退</t>
        </is>
      </c>
      <c r="EY22" s="84" t="n"/>
      <c r="EZ22" s="84" t="n"/>
      <c r="FA22" s="84" t="n"/>
      <c r="FB22" s="84" t="n"/>
      <c r="FC22" s="84" t="n"/>
      <c r="FD22" s="84" t="n"/>
      <c r="FE22" s="84" t="n"/>
    </row>
    <row r="23" ht="59" customFormat="1" customHeight="1" s="54">
      <c r="A23" s="55" t="inlineStr">
        <is>
          <t>五楼</t>
        </is>
      </c>
      <c r="B23" s="56" t="inlineStr">
        <is>
          <t>段绍红</t>
        </is>
      </c>
      <c r="C23" s="41" t="inlineStr">
        <is>
          <t>20</t>
        </is>
      </c>
      <c r="D23" s="41" t="n"/>
      <c r="E23" s="57" t="n"/>
      <c r="F23" s="115" t="n"/>
      <c r="G23" s="58" t="n"/>
      <c r="H23" s="83" t="n"/>
      <c r="I23" s="57" t="n"/>
      <c r="J23" s="58" t="n"/>
      <c r="K23" s="58" t="n"/>
      <c r="L23" s="83" t="n"/>
      <c r="M23" s="57" t="n"/>
      <c r="N23" s="58" t="n"/>
      <c r="O23" s="58" t="n"/>
      <c r="P23" s="83" t="n"/>
      <c r="Q23" s="57" t="n"/>
      <c r="R23" s="58" t="n"/>
      <c r="S23" s="58" t="n"/>
      <c r="T23" s="83" t="n"/>
      <c r="U23" s="57" t="n"/>
      <c r="V23" s="58" t="n"/>
      <c r="W23" s="58" t="n"/>
      <c r="X23" s="83" t="n"/>
      <c r="Y23" s="57" t="n"/>
      <c r="Z23" s="58" t="n"/>
      <c r="AA23" s="60" t="n"/>
      <c r="AB23" s="83" t="n"/>
      <c r="AC23" s="41" t="n"/>
      <c r="AD23" s="116" t="n"/>
      <c r="AE23" s="117" t="n"/>
      <c r="AF23" s="83" t="n"/>
      <c r="AG23" s="57" t="n"/>
      <c r="AH23" s="58" t="n"/>
      <c r="AI23" s="58" t="n"/>
      <c r="AJ23" s="83" t="n"/>
      <c r="AK23" s="57" t="n"/>
      <c r="AL23" s="58" t="n"/>
      <c r="AM23" s="58" t="n"/>
      <c r="AN23" s="83" t="n"/>
      <c r="AO23" s="57" t="n"/>
      <c r="AP23" s="58" t="n"/>
      <c r="AQ23" s="58" t="n"/>
      <c r="AR23" s="83" t="n"/>
      <c r="AS23" s="57" t="n"/>
      <c r="AT23" s="58" t="n">
        <v>0.7416666666666667</v>
      </c>
      <c r="AU23" s="58" t="n"/>
      <c r="AV23" s="83" t="n"/>
      <c r="AW23" s="57" t="n">
        <v>0.5</v>
      </c>
      <c r="AX23" s="58" t="n"/>
      <c r="AY23" s="58" t="n"/>
      <c r="AZ23" s="83" t="n"/>
      <c r="BA23" s="57" t="n"/>
      <c r="BB23" s="58" t="n"/>
      <c r="BC23" s="60" t="n"/>
      <c r="BD23" s="83" t="n"/>
      <c r="BE23" s="41" t="n"/>
      <c r="BF23" s="116" t="n"/>
      <c r="BG23" s="115" t="n"/>
      <c r="BH23" s="83" t="n"/>
      <c r="BI23" s="57" t="n"/>
      <c r="BJ23" s="58" t="n">
        <v>0.7430555555555556</v>
      </c>
      <c r="BK23" s="58" t="n"/>
      <c r="BL23" s="83" t="n"/>
      <c r="BM23" s="57" t="n">
        <v>0.5</v>
      </c>
      <c r="BN23" s="58" t="n"/>
      <c r="BO23" s="58" t="n"/>
      <c r="BP23" s="83" t="n"/>
      <c r="BQ23" s="57" t="n"/>
      <c r="BR23" s="58" t="n"/>
      <c r="BS23" s="58" t="n"/>
      <c r="BT23" s="83" t="n"/>
      <c r="BU23" s="57" t="n"/>
      <c r="BV23" s="58" t="n"/>
      <c r="BW23" s="60" t="n"/>
      <c r="BX23" s="83" t="n"/>
      <c r="BY23" s="41" t="n"/>
      <c r="BZ23" s="41" t="n"/>
      <c r="CA23" s="41" t="n"/>
      <c r="CB23" s="83" t="n"/>
      <c r="CC23" s="41" t="n"/>
      <c r="CD23" s="116" t="n"/>
      <c r="CE23" s="115" t="n"/>
      <c r="CF23" s="83" t="n"/>
      <c r="CG23" s="57" t="n"/>
      <c r="CH23" s="58" t="n"/>
      <c r="CI23" s="58" t="n"/>
      <c r="CJ23" s="83" t="n"/>
      <c r="CK23" s="57" t="n"/>
      <c r="CL23" s="58" t="n"/>
      <c r="CM23" s="58" t="n"/>
      <c r="CN23" s="83" t="n"/>
      <c r="CO23" s="57" t="n"/>
      <c r="CP23" s="58" t="n"/>
      <c r="CQ23" s="58" t="n"/>
      <c r="CR23" s="83" t="n"/>
      <c r="CS23" s="57" t="n"/>
      <c r="CT23" s="58" t="n"/>
      <c r="CU23" s="58" t="n"/>
      <c r="CV23" s="83" t="n"/>
      <c r="CW23" s="57" t="n"/>
      <c r="CX23" s="58" t="n"/>
      <c r="CY23" s="58" t="n"/>
      <c r="CZ23" s="83" t="n"/>
      <c r="DA23" s="57" t="n"/>
      <c r="DB23" s="58" t="n"/>
      <c r="DC23" s="58" t="n"/>
      <c r="DD23" s="83" t="n"/>
      <c r="DE23" s="57" t="n"/>
      <c r="DF23" s="58" t="n"/>
      <c r="DG23" s="60" t="n"/>
      <c r="DH23" s="83" t="n"/>
      <c r="DI23" s="41" t="n"/>
      <c r="DJ23" s="116" t="n"/>
      <c r="DK23" s="116" t="n"/>
      <c r="DL23" s="83" t="n"/>
      <c r="DM23" s="41" t="n"/>
      <c r="DN23" s="58" t="n"/>
      <c r="DO23" s="58" t="n"/>
      <c r="DP23" s="83" t="n"/>
      <c r="DQ23" s="57" t="n"/>
      <c r="DR23" s="61" t="n"/>
      <c r="DS23" s="62" t="n"/>
      <c r="DT23" s="83" t="n"/>
      <c r="DU23" s="41" t="n"/>
      <c r="DV23" s="61">
        <f>SUM(H23,L23,P23,T23,X23,AB23,AF23,AJ23,AN23,AR23,AV23,AZ23,BD23,BH23,BL23,BP23,BT23,BX23,CB23,CF23,CJ23,CN23,CR23,CV23,CZ23,DD23,DH23,DL23,DP23,DT23)</f>
        <v/>
      </c>
      <c r="DW23" s="62">
        <f>SUM(I23,M23,Q23,U23,Y23,AC23,AG23,AK23,AO23,AS23,AW23,BA23,BE23,BI23,BM23,BQ23,BU23,BY23,CC23,CG23,CK23,CO23,CS23,CW23,DA23,DE23,DI23,DM23,DQ23,DU23)</f>
        <v/>
      </c>
      <c r="DX23" s="83" t="n"/>
      <c r="DY23" s="41" t="n"/>
      <c r="DZ23" s="84" t="n"/>
      <c r="EA23" s="84" t="n"/>
      <c r="EB23" s="84" t="n"/>
      <c r="EC23" s="84" t="n"/>
      <c r="ED23" s="84" t="n"/>
      <c r="EE23" s="84" t="n"/>
      <c r="EF23" s="84" t="n"/>
      <c r="EG23" s="84" t="n"/>
      <c r="EH23" s="84" t="n"/>
      <c r="EI23" s="84" t="n"/>
      <c r="EJ23" s="84" t="n"/>
      <c r="EK23" s="84" t="n"/>
      <c r="EL23" s="84" t="n"/>
      <c r="EM23" s="84" t="n"/>
      <c r="EN23" s="84" t="n"/>
      <c r="EO23" s="84" t="n"/>
      <c r="EP23" s="84" t="n"/>
      <c r="EQ23" s="84" t="n"/>
      <c r="ER23" s="84" t="n"/>
      <c r="ES23" s="84" t="n"/>
      <c r="ET23" s="84" t="n"/>
      <c r="EU23" s="84" t="n"/>
      <c r="EV23" s="84" t="n"/>
      <c r="EW23" s="84" t="n"/>
      <c r="EX23" s="84" t="n"/>
      <c r="EY23" s="84" t="n"/>
      <c r="EZ23" s="84" t="n"/>
      <c r="FA23" s="84" t="n"/>
      <c r="FB23" s="84" t="n"/>
      <c r="FC23" s="84" t="n"/>
      <c r="FD23" s="84" t="n"/>
      <c r="FE23" s="84" t="n"/>
    </row>
    <row r="24" ht="59" customFormat="1" customHeight="1" s="54">
      <c r="A24" s="55" t="inlineStr">
        <is>
          <t>五楼</t>
        </is>
      </c>
      <c r="B24" s="56" t="inlineStr">
        <is>
          <t>龙训东</t>
        </is>
      </c>
      <c r="C24" s="41" t="inlineStr">
        <is>
          <t>21</t>
        </is>
      </c>
      <c r="D24" s="41" t="n"/>
      <c r="E24" s="57" t="n"/>
      <c r="F24" s="115" t="n">
        <v>0.3444444444444444</v>
      </c>
      <c r="G24" s="58" t="n">
        <v>0.7430555555555556</v>
      </c>
      <c r="H24" s="83">
        <f>MOD(G24-F24,1)*24</f>
        <v/>
      </c>
      <c r="I24" s="57" t="n">
        <v>1</v>
      </c>
      <c r="J24" s="58" t="n">
        <v>0.34375</v>
      </c>
      <c r="K24" s="58" t="n">
        <v>0.7409722222222223</v>
      </c>
      <c r="L24" s="83">
        <f>MOD(K24-J24,1)*24</f>
        <v/>
      </c>
      <c r="M24" s="57" t="n">
        <v>1</v>
      </c>
      <c r="N24" s="58" t="n">
        <v>0.3381944444444445</v>
      </c>
      <c r="O24" s="58" t="n">
        <v>0.7409722222222223</v>
      </c>
      <c r="P24" s="83">
        <f>MOD(O24-N24,1)*24</f>
        <v/>
      </c>
      <c r="Q24" s="57" t="n">
        <v>1</v>
      </c>
      <c r="R24" s="58" t="n">
        <v>0.3423611111111111</v>
      </c>
      <c r="S24" s="58" t="n">
        <v>0.7368055555555556</v>
      </c>
      <c r="T24" s="83">
        <f>MOD(S24-R24,1)*24</f>
        <v/>
      </c>
      <c r="U24" s="57" t="n">
        <v>1</v>
      </c>
      <c r="V24" s="58" t="n"/>
      <c r="W24" s="58" t="n"/>
      <c r="X24" s="83" t="n"/>
      <c r="Y24" s="57" t="n"/>
      <c r="Z24" s="58" t="n"/>
      <c r="AA24" s="60" t="n"/>
      <c r="AB24" s="83" t="n"/>
      <c r="AC24" s="41" t="n"/>
      <c r="AD24" s="116" t="n">
        <v>0.34375</v>
      </c>
      <c r="AE24" s="117" t="n">
        <v>0.7402777777777778</v>
      </c>
      <c r="AF24" s="83">
        <f>MOD(AE24-AD24,1)*24</f>
        <v/>
      </c>
      <c r="AG24" s="57" t="n">
        <v>1</v>
      </c>
      <c r="AH24" s="58" t="n">
        <v>0.3388888888888889</v>
      </c>
      <c r="AI24" s="58" t="n">
        <v>0.7395833333333334</v>
      </c>
      <c r="AJ24" s="83">
        <f>MOD(AI24-AH24,1)*24</f>
        <v/>
      </c>
      <c r="AK24" s="57" t="n">
        <v>1</v>
      </c>
      <c r="AL24" s="58" t="n">
        <v>0.3451388888888889</v>
      </c>
      <c r="AM24" s="58" t="n">
        <v>0.7423611111111111</v>
      </c>
      <c r="AN24" s="83">
        <f>MOD(AM24-AL24,1)*24</f>
        <v/>
      </c>
      <c r="AO24" s="57" t="n">
        <v>1</v>
      </c>
      <c r="AP24" s="58" t="n">
        <v>0.3430555555555556</v>
      </c>
      <c r="AQ24" s="58" t="n">
        <v>0.7381944444444445</v>
      </c>
      <c r="AR24" s="83">
        <f>MOD(AQ24-AP24,1)*24</f>
        <v/>
      </c>
      <c r="AS24" s="57" t="n">
        <v>1</v>
      </c>
      <c r="AT24" s="58" t="n"/>
      <c r="AU24" s="58" t="n"/>
      <c r="AV24" s="83" t="n"/>
      <c r="AW24" s="57" t="n"/>
      <c r="AX24" s="58" t="n">
        <v>0.3451388888888889</v>
      </c>
      <c r="AY24" s="58" t="n">
        <v>0.7381944444444445</v>
      </c>
      <c r="AZ24" s="83">
        <f>MOD(AY24-AX24,1)*24</f>
        <v/>
      </c>
      <c r="BA24" s="57" t="n">
        <v>1</v>
      </c>
      <c r="BB24" s="58" t="n">
        <v>0.3444444444444444</v>
      </c>
      <c r="BC24" s="60" t="n">
        <v>0.7395833333333334</v>
      </c>
      <c r="BD24" s="83">
        <f>MOD(BC24-BB24,1)*24</f>
        <v/>
      </c>
      <c r="BE24" s="41" t="n">
        <v>1</v>
      </c>
      <c r="BF24" s="116" t="n">
        <v>0.3513888888888889</v>
      </c>
      <c r="BG24" s="115" t="n">
        <v>0.7402777777777778</v>
      </c>
      <c r="BH24" s="83">
        <f>MOD(BG24-BF24,1)*24</f>
        <v/>
      </c>
      <c r="BI24" s="57" t="n">
        <v>1</v>
      </c>
      <c r="BJ24" s="58" t="n">
        <v>0.3493055555555555</v>
      </c>
      <c r="BK24" s="58" t="n">
        <v>0.7381944444444445</v>
      </c>
      <c r="BL24" s="83">
        <f>MOD(BK24-BJ24,1)*24</f>
        <v/>
      </c>
      <c r="BM24" s="57" t="n">
        <v>1</v>
      </c>
      <c r="BN24" s="58" t="n">
        <v>0.3513888888888889</v>
      </c>
      <c r="BO24" s="58" t="n">
        <v>0.7381944444444445</v>
      </c>
      <c r="BP24" s="83">
        <f>MOD(BO24-BN24,1)*24</f>
        <v/>
      </c>
      <c r="BQ24" s="57" t="n">
        <v>1</v>
      </c>
      <c r="BR24" s="58" t="n">
        <v>0.3465277777777778</v>
      </c>
      <c r="BS24" s="58" t="n">
        <v>0.7375</v>
      </c>
      <c r="BT24" s="83">
        <f>MOD(BS24-BR24,1)*24</f>
        <v/>
      </c>
      <c r="BU24" s="57" t="n">
        <v>1</v>
      </c>
      <c r="BV24" s="58" t="n"/>
      <c r="BW24" s="60" t="n"/>
      <c r="BX24" s="83" t="n"/>
      <c r="BY24" s="41" t="n"/>
      <c r="BZ24" s="116" t="n">
        <v>0.3506944444444444</v>
      </c>
      <c r="CA24" s="116" t="n">
        <v>0.7375</v>
      </c>
      <c r="CB24" s="83">
        <f>MOD(CA24-BZ24,1)*24</f>
        <v/>
      </c>
      <c r="CC24" s="41" t="n">
        <v>1</v>
      </c>
      <c r="CD24" s="116" t="n">
        <v>0.3333333333333333</v>
      </c>
      <c r="CE24" s="115" t="n">
        <v>0.7395833333333334</v>
      </c>
      <c r="CF24" s="83">
        <f>MOD(CE24-CD24,1)*24</f>
        <v/>
      </c>
      <c r="CG24" s="57" t="n">
        <v>1</v>
      </c>
      <c r="CH24" s="58" t="n">
        <v>0.3423611111111111</v>
      </c>
      <c r="CI24" s="58" t="n">
        <v>0.7402777777777778</v>
      </c>
      <c r="CJ24" s="83">
        <f>MOD(CI24-CH24,1)*24</f>
        <v/>
      </c>
      <c r="CK24" s="57" t="n">
        <v>1</v>
      </c>
      <c r="CL24" s="58" t="n">
        <v>0.3354166666666666</v>
      </c>
      <c r="CM24" s="58" t="n">
        <v>0.7375</v>
      </c>
      <c r="CN24" s="83">
        <f>MOD(CM24-CL24,1)*24</f>
        <v/>
      </c>
      <c r="CO24" s="57" t="n">
        <v>1</v>
      </c>
      <c r="CP24" s="58" t="n"/>
      <c r="CQ24" s="58" t="n"/>
      <c r="CR24" s="83" t="n"/>
      <c r="CS24" s="57" t="n"/>
      <c r="CT24" s="58" t="n">
        <v>0.3354166666666666</v>
      </c>
      <c r="CU24" s="58" t="n">
        <v>0.7409722222222223</v>
      </c>
      <c r="CV24" s="83">
        <f>MOD(CU24-CT24,1)*24</f>
        <v/>
      </c>
      <c r="CW24" s="57" t="n">
        <v>1</v>
      </c>
      <c r="CX24" s="58" t="n">
        <v>0.3333333333333333</v>
      </c>
      <c r="CY24" s="58" t="n">
        <v>0.7416666666666667</v>
      </c>
      <c r="CZ24" s="83">
        <f>MOD(CY24-CX24,1)*24</f>
        <v/>
      </c>
      <c r="DA24" s="57" t="n">
        <v>1</v>
      </c>
      <c r="DB24" s="58" t="n">
        <v>0.3326388888888889</v>
      </c>
      <c r="DC24" s="58" t="n">
        <v>0.7381944444444445</v>
      </c>
      <c r="DD24" s="83">
        <f>MOD(DC24-DB24,1)*24</f>
        <v/>
      </c>
      <c r="DE24" s="57" t="n">
        <v>1</v>
      </c>
      <c r="DF24" s="58" t="n">
        <v>0.3402777777777778</v>
      </c>
      <c r="DG24" s="60" t="n">
        <v>0.7909722222222222</v>
      </c>
      <c r="DH24" s="83">
        <f>MOD(DG24-DF24,1)*24</f>
        <v/>
      </c>
      <c r="DI24" s="41" t="n">
        <v>1</v>
      </c>
      <c r="DJ24" s="116" t="n">
        <v>0.3354166666666666</v>
      </c>
      <c r="DK24" s="116" t="n">
        <v>0.7923611111111111</v>
      </c>
      <c r="DL24" s="83">
        <f>MOD(DK24-DJ24,1)*24</f>
        <v/>
      </c>
      <c r="DM24" s="41" t="n">
        <v>1</v>
      </c>
      <c r="DN24" s="58" t="n">
        <v>0.34375</v>
      </c>
      <c r="DO24" s="58" t="n">
        <v>0.8798611111111111</v>
      </c>
      <c r="DP24" s="83">
        <f>MOD(DO24-DN24,1)*24</f>
        <v/>
      </c>
      <c r="DQ24" s="57" t="n">
        <v>1</v>
      </c>
      <c r="DR24" s="61" t="n">
        <v>0.35</v>
      </c>
      <c r="DS24" s="62" t="n">
        <v>0.8659722222222223</v>
      </c>
      <c r="DT24" s="83">
        <f>MOD(DS24-DR24,1)*24</f>
        <v/>
      </c>
      <c r="DU24" s="41" t="n">
        <v>1</v>
      </c>
      <c r="DV24" s="61">
        <f>SUM(H24,L24,P24,T24,X24,AB24,AF24,AJ24,AN24,AR24,AV24,AZ24,BD24,BH24,BL24,BP24,BT24,BX24,CB24,CF24,CJ24,CN24,CR24,CV24,CZ24,DD24,DH24,DL24,DP24,DT24)</f>
        <v/>
      </c>
      <c r="DW24" s="62">
        <f>SUM(I24,M24,Q24,U24,Y24,AC24,AG24,AK24,AO24,AS24,AW24,BA24,BE24,BI24,BM24,BQ24,BU24,BY24,CC24,CG24,CK24,CO24,CS24,CW24,DA24,DE24,DI24,DM24,DQ24,DU24)</f>
        <v/>
      </c>
      <c r="DX24" s="83" t="n"/>
      <c r="DY24" s="41" t="n"/>
      <c r="DZ24" s="84" t="n"/>
      <c r="EA24" s="84" t="n"/>
      <c r="EB24" s="84" t="n"/>
      <c r="EC24" s="84" t="n"/>
      <c r="ED24" s="84" t="n"/>
      <c r="EE24" s="84" t="n"/>
      <c r="EF24" s="84" t="n"/>
      <c r="EG24" s="84" t="n"/>
      <c r="EH24" s="84" t="n"/>
      <c r="EI24" s="84" t="n"/>
      <c r="EJ24" s="84" t="n"/>
      <c r="EK24" s="84" t="n"/>
      <c r="EL24" s="84" t="n"/>
      <c r="EM24" s="84" t="n"/>
      <c r="EN24" s="84" t="n"/>
      <c r="EO24" s="84" t="n"/>
      <c r="EP24" s="84" t="n"/>
      <c r="EQ24" s="84" t="n"/>
      <c r="ER24" s="84" t="n"/>
      <c r="ES24" s="84" t="n"/>
      <c r="ET24" s="84" t="n"/>
      <c r="EU24" s="84" t="n"/>
      <c r="EV24" s="84" t="n"/>
      <c r="EW24" s="84" t="n"/>
      <c r="EX24" s="84" t="n"/>
      <c r="EY24" s="84" t="n"/>
      <c r="EZ24" s="84" t="n"/>
      <c r="FA24" s="84" t="n"/>
      <c r="FB24" s="84" t="n"/>
      <c r="FC24" s="84" t="n"/>
      <c r="FD24" s="84" t="n"/>
      <c r="FE24" s="84" t="n"/>
    </row>
    <row r="25" ht="59" customFormat="1" customHeight="1" s="54">
      <c r="A25" s="55" t="inlineStr">
        <is>
          <t>五楼</t>
        </is>
      </c>
      <c r="B25" s="56" t="inlineStr">
        <is>
          <t>李荧</t>
        </is>
      </c>
      <c r="C25" s="41" t="inlineStr">
        <is>
          <t>22</t>
        </is>
      </c>
      <c r="D25" s="41" t="n"/>
      <c r="E25" s="57" t="n"/>
      <c r="F25" s="115" t="n">
        <v>0.3506944444444444</v>
      </c>
      <c r="G25" s="58" t="n">
        <v>0.7430555555555556</v>
      </c>
      <c r="H25" s="83">
        <f>MOD(G25-F25,1)*24</f>
        <v/>
      </c>
      <c r="I25" s="57" t="n">
        <v>1</v>
      </c>
      <c r="J25" s="58" t="n">
        <v>0.3465277777777778</v>
      </c>
      <c r="K25" s="58" t="n">
        <v>0.7388888888888889</v>
      </c>
      <c r="L25" s="83">
        <f>MOD(K25-J25,1)*24</f>
        <v/>
      </c>
      <c r="M25" s="57" t="n">
        <v>1</v>
      </c>
      <c r="N25" s="58" t="n">
        <v>0.3472222222222222</v>
      </c>
      <c r="O25" s="58" t="n">
        <v>0.74375</v>
      </c>
      <c r="P25" s="83">
        <f>MOD(O25-N25,1)*24</f>
        <v/>
      </c>
      <c r="Q25" s="57" t="n">
        <v>1</v>
      </c>
      <c r="R25" s="58" t="n"/>
      <c r="S25" s="58" t="n"/>
      <c r="T25" s="83" t="n"/>
      <c r="U25" s="57" t="n"/>
      <c r="V25" s="58" t="n"/>
      <c r="W25" s="58" t="n"/>
      <c r="X25" s="83" t="n"/>
      <c r="Y25" s="57" t="n"/>
      <c r="Z25" s="58" t="n">
        <v>0.3493055555555555</v>
      </c>
      <c r="AA25" s="60" t="n">
        <v>0.7409722222222223</v>
      </c>
      <c r="AB25" s="83">
        <f>MOD(AA25-Z25,1)*24</f>
        <v/>
      </c>
      <c r="AC25" s="41" t="n">
        <v>1</v>
      </c>
      <c r="AD25" s="116" t="n">
        <v>0.34375</v>
      </c>
      <c r="AE25" s="117" t="n">
        <v>0.7444444444444445</v>
      </c>
      <c r="AF25" s="83">
        <f>MOD(AE25-AD25,1)*24</f>
        <v/>
      </c>
      <c r="AG25" s="57" t="n">
        <v>1</v>
      </c>
      <c r="AH25" s="58" t="n">
        <v>0.3465277777777778</v>
      </c>
      <c r="AI25" s="58" t="n">
        <v>0.7430555555555556</v>
      </c>
      <c r="AJ25" s="83">
        <f>MOD(AI25-AH25,1)*24</f>
        <v/>
      </c>
      <c r="AK25" s="57" t="n">
        <v>1</v>
      </c>
      <c r="AL25" s="58" t="n">
        <v>0.3402777777777778</v>
      </c>
      <c r="AM25" s="58" t="n">
        <v>0.7368055555555556</v>
      </c>
      <c r="AN25" s="83">
        <f>MOD(AM25-AL25,1)*24</f>
        <v/>
      </c>
      <c r="AO25" s="57" t="n">
        <v>1</v>
      </c>
      <c r="AP25" s="58" t="n">
        <v>0.3451388888888889</v>
      </c>
      <c r="AQ25" s="58" t="n">
        <v>0.7368055555555556</v>
      </c>
      <c r="AR25" s="83">
        <f>MOD(AQ25-AP25,1)*24</f>
        <v/>
      </c>
      <c r="AS25" s="57" t="n">
        <v>1</v>
      </c>
      <c r="AT25" s="58" t="n">
        <v>0.3423611111111111</v>
      </c>
      <c r="AU25" s="58" t="n">
        <v>0.7381944444444445</v>
      </c>
      <c r="AV25" s="83">
        <f>MOD(AU25-AT25,1)*24</f>
        <v/>
      </c>
      <c r="AW25" s="57" t="n">
        <v>1</v>
      </c>
      <c r="AX25" s="58" t="n">
        <v>0.3409722222222222</v>
      </c>
      <c r="AY25" s="58" t="n">
        <v>0.7368055555555556</v>
      </c>
      <c r="AZ25" s="83">
        <f>MOD(AY25-AX25,1)*24</f>
        <v/>
      </c>
      <c r="BA25" s="57" t="n">
        <v>1</v>
      </c>
      <c r="BB25" s="58" t="n">
        <v>0.3423611111111111</v>
      </c>
      <c r="BC25" s="60" t="n">
        <v>0.7368055555555556</v>
      </c>
      <c r="BD25" s="83">
        <f>MOD(BC25-BB25,1)*24</f>
        <v/>
      </c>
      <c r="BE25" s="41" t="n">
        <v>1</v>
      </c>
      <c r="BF25" s="116" t="n">
        <v>0.34375</v>
      </c>
      <c r="BG25" s="115" t="n">
        <v>0.7375</v>
      </c>
      <c r="BH25" s="83">
        <f>MOD(BG25-BF25,1)*24</f>
        <v/>
      </c>
      <c r="BI25" s="57" t="n">
        <v>1</v>
      </c>
      <c r="BJ25" s="58" t="n">
        <v>0.35</v>
      </c>
      <c r="BK25" s="58" t="n">
        <v>0.7361111111111112</v>
      </c>
      <c r="BL25" s="83">
        <f>MOD(BK25-BJ25,1)*24</f>
        <v/>
      </c>
      <c r="BM25" s="57" t="n">
        <v>1</v>
      </c>
      <c r="BN25" s="58" t="n">
        <v>0.3458333333333333</v>
      </c>
      <c r="BO25" s="58" t="n">
        <v>0.7368055555555556</v>
      </c>
      <c r="BP25" s="83">
        <f>MOD(BO25-BN25,1)*24</f>
        <v/>
      </c>
      <c r="BQ25" s="57" t="n">
        <v>1</v>
      </c>
      <c r="BR25" s="58" t="n">
        <v>0.3465277777777778</v>
      </c>
      <c r="BS25" s="58" t="n">
        <v>0.7388888888888889</v>
      </c>
      <c r="BT25" s="83">
        <f>MOD(BS25-BR25,1)*24</f>
        <v/>
      </c>
      <c r="BU25" s="57" t="n">
        <v>1</v>
      </c>
      <c r="BV25" s="58" t="n"/>
      <c r="BW25" s="60" t="n"/>
      <c r="BX25" s="83" t="n"/>
      <c r="BY25" s="41" t="n"/>
      <c r="BZ25" s="41" t="n"/>
      <c r="CA25" s="41" t="n"/>
      <c r="CB25" s="83" t="n"/>
      <c r="CC25" s="41" t="n"/>
      <c r="CD25" s="116" t="n">
        <v>0.3423611111111111</v>
      </c>
      <c r="CE25" s="115" t="n">
        <v>0.7375</v>
      </c>
      <c r="CF25" s="83">
        <f>MOD(CE25-CD25,1)*24</f>
        <v/>
      </c>
      <c r="CG25" s="57" t="n">
        <v>1</v>
      </c>
      <c r="CH25" s="58" t="n">
        <v>0.3472222222222222</v>
      </c>
      <c r="CI25" s="58" t="n">
        <v>0.7381944444444445</v>
      </c>
      <c r="CJ25" s="83">
        <f>MOD(CI25-CH25,1)*24</f>
        <v/>
      </c>
      <c r="CK25" s="57" t="n">
        <v>1</v>
      </c>
      <c r="CL25" s="58" t="n">
        <v>0.3416666666666667</v>
      </c>
      <c r="CM25" s="58" t="n">
        <v>0.7388888888888889</v>
      </c>
      <c r="CN25" s="83">
        <f>MOD(CM25-CL25,1)*24</f>
        <v/>
      </c>
      <c r="CO25" s="57" t="n">
        <v>1</v>
      </c>
      <c r="CP25" s="58" t="n">
        <v>0.3395833333333333</v>
      </c>
      <c r="CQ25" s="58" t="n">
        <v>0.7402777777777778</v>
      </c>
      <c r="CR25" s="83">
        <f>MOD(CQ25-CP25,1)*24</f>
        <v/>
      </c>
      <c r="CS25" s="57" t="n">
        <v>1</v>
      </c>
      <c r="CT25" s="58" t="n">
        <v>0.3493055555555555</v>
      </c>
      <c r="CU25" s="58" t="n">
        <v>0.7395833333333334</v>
      </c>
      <c r="CV25" s="83">
        <f>MOD(CU25-CT25,1)*24</f>
        <v/>
      </c>
      <c r="CW25" s="57" t="n">
        <v>1</v>
      </c>
      <c r="CX25" s="58" t="n">
        <v>0.3451388888888889</v>
      </c>
      <c r="CY25" s="58" t="n">
        <v>0.7520833333333333</v>
      </c>
      <c r="CZ25" s="83">
        <f>MOD(CY25-CX25,1)*24</f>
        <v/>
      </c>
      <c r="DA25" s="57" t="n">
        <v>1</v>
      </c>
      <c r="DB25" s="58" t="n">
        <v>0.35</v>
      </c>
      <c r="DC25" s="58" t="n">
        <v>0.7375</v>
      </c>
      <c r="DD25" s="83">
        <f>MOD(DC25-DB25,1)*24</f>
        <v/>
      </c>
      <c r="DE25" s="57" t="n">
        <v>1</v>
      </c>
      <c r="DF25" s="58" t="n">
        <v>0.3381944444444445</v>
      </c>
      <c r="DG25" s="60" t="n">
        <v>0.7395833333333334</v>
      </c>
      <c r="DH25" s="83">
        <f>MOD(DG25-DF25,1)*24</f>
        <v/>
      </c>
      <c r="DI25" s="41" t="n">
        <v>1</v>
      </c>
      <c r="DJ25" s="116" t="n">
        <v>0.3465277777777778</v>
      </c>
      <c r="DK25" s="116" t="n">
        <v>0.775</v>
      </c>
      <c r="DL25" s="83">
        <f>MOD(DK25-DJ25,1)*24</f>
        <v/>
      </c>
      <c r="DM25" s="41" t="n">
        <v>1</v>
      </c>
      <c r="DN25" s="58" t="n">
        <v>0.3472222222222222</v>
      </c>
      <c r="DO25" s="58" t="n">
        <v>0.8805555555555555</v>
      </c>
      <c r="DP25" s="83">
        <f>MOD(DO25-DN25,1)*24</f>
        <v/>
      </c>
      <c r="DQ25" s="57" t="n">
        <v>1</v>
      </c>
      <c r="DR25" s="61" t="n">
        <v>0.3486111111111111</v>
      </c>
      <c r="DS25" s="62" t="n">
        <v>0.7854166666666667</v>
      </c>
      <c r="DT25" s="83">
        <f>MOD(DS25-DR25,1)*24</f>
        <v/>
      </c>
      <c r="DU25" s="41" t="n">
        <v>1</v>
      </c>
      <c r="DV25" s="61">
        <f>SUM(H25,L25,P25,T25,X25,AB25,AF25,AJ25,AN25,AR25,AV25,AZ25,BD25,BH25,BL25,BP25,BT25,BX25,CB25,CF25,CJ25,CN25,CR25,CV25,CZ25,DD25,DH25,DL25,DP25,DT25)</f>
        <v/>
      </c>
      <c r="DW25" s="62">
        <f>SUM(I25,M25,Q25,U25,Y25,AC25,AG25,AK25,AO25,AS25,AW25,BA25,BE25,BI25,BM25,BQ25,BU25,BY25,CC25,CG25,CK25,CO25,CS25,CW25,DA25,DE25,DI25,DM25,DQ25,DU25)</f>
        <v/>
      </c>
      <c r="DX25" s="83" t="n"/>
      <c r="DY25" s="41" t="n"/>
      <c r="DZ25" s="84" t="n"/>
      <c r="EA25" s="84" t="n"/>
      <c r="EB25" s="84" t="n"/>
      <c r="EC25" s="84" t="n"/>
      <c r="ED25" s="84" t="n"/>
      <c r="EE25" s="84" t="n"/>
      <c r="EF25" s="84" t="n"/>
      <c r="EG25" s="84" t="n"/>
      <c r="EH25" s="84" t="n"/>
      <c r="EI25" s="84" t="n"/>
      <c r="EJ25" s="84" t="n"/>
      <c r="EK25" s="84" t="n"/>
      <c r="EL25" s="84" t="n"/>
      <c r="EM25" s="84" t="n"/>
      <c r="EN25" s="84" t="n"/>
      <c r="EO25" s="84" t="n"/>
      <c r="EP25" s="84" t="n"/>
      <c r="EQ25" s="84" t="n"/>
      <c r="ER25" s="84" t="n"/>
      <c r="ES25" s="84" t="n"/>
      <c r="ET25" s="84" t="n"/>
      <c r="EU25" s="84" t="n"/>
      <c r="EV25" s="84" t="n"/>
      <c r="EW25" s="84" t="n"/>
      <c r="EX25" s="84" t="n"/>
      <c r="EY25" s="84" t="n"/>
      <c r="EZ25" s="84" t="n"/>
      <c r="FA25" s="84" t="n"/>
      <c r="FB25" s="84" t="n"/>
      <c r="FC25" s="84" t="n"/>
      <c r="FD25" s="84" t="n"/>
      <c r="FE25" s="84" t="n"/>
    </row>
    <row r="26" ht="59" customFormat="1" customHeight="1" s="54">
      <c r="A26" s="55" t="inlineStr">
        <is>
          <t>五楼</t>
        </is>
      </c>
      <c r="B26" s="56" t="inlineStr">
        <is>
          <t>贺悦</t>
        </is>
      </c>
      <c r="C26" s="41" t="inlineStr">
        <is>
          <t>23</t>
        </is>
      </c>
      <c r="D26" s="41" t="n"/>
      <c r="E26" s="57" t="n"/>
      <c r="F26" s="115" t="n">
        <v>0.3520833333333334</v>
      </c>
      <c r="G26" s="58" t="n">
        <v>0.7395833333333334</v>
      </c>
      <c r="H26" s="83">
        <f>MOD(G26-F26,1)*24</f>
        <v/>
      </c>
      <c r="I26" s="57" t="n">
        <v>1</v>
      </c>
      <c r="J26" s="58" t="n">
        <v>0.35</v>
      </c>
      <c r="K26" s="58" t="n">
        <v>0.7423611111111111</v>
      </c>
      <c r="L26" s="83">
        <f>MOD(K26-J26,1)*24</f>
        <v/>
      </c>
      <c r="M26" s="57" t="n">
        <v>1</v>
      </c>
      <c r="N26" s="58" t="n">
        <v>0.3465277777777778</v>
      </c>
      <c r="O26" s="58" t="n">
        <v>0.7381944444444445</v>
      </c>
      <c r="P26" s="83">
        <f>MOD(O26-N26,1)*24</f>
        <v/>
      </c>
      <c r="Q26" s="57" t="n">
        <v>1</v>
      </c>
      <c r="R26" s="58" t="n"/>
      <c r="S26" s="58" t="n"/>
      <c r="T26" s="83" t="n"/>
      <c r="U26" s="57" t="n"/>
      <c r="V26" s="58" t="n"/>
      <c r="W26" s="58" t="n"/>
      <c r="X26" s="83" t="n"/>
      <c r="Y26" s="57" t="n"/>
      <c r="Z26" s="58" t="n">
        <v>0.35</v>
      </c>
      <c r="AA26" s="60" t="n">
        <v>0.7388888888888889</v>
      </c>
      <c r="AB26" s="83">
        <f>MOD(AA26-Z26,1)*24</f>
        <v/>
      </c>
      <c r="AC26" s="41" t="n">
        <v>1</v>
      </c>
      <c r="AD26" s="116" t="n">
        <v>0.3513888888888889</v>
      </c>
      <c r="AE26" s="117" t="n">
        <v>0.7375</v>
      </c>
      <c r="AF26" s="83">
        <f>MOD(AE26-AD26,1)*24</f>
        <v/>
      </c>
      <c r="AG26" s="57" t="n">
        <v>1</v>
      </c>
      <c r="AH26" s="58" t="n">
        <v>0.35</v>
      </c>
      <c r="AI26" s="58" t="n">
        <v>0.7388888888888889</v>
      </c>
      <c r="AJ26" s="83">
        <f>MOD(AI26-AH26,1)*24</f>
        <v/>
      </c>
      <c r="AK26" s="57" t="n">
        <v>1</v>
      </c>
      <c r="AL26" s="58" t="n">
        <v>0.3513888888888889</v>
      </c>
      <c r="AM26" s="58" t="n">
        <v>0.7388888888888889</v>
      </c>
      <c r="AN26" s="83">
        <f>MOD(AM26-AL26,1)*24</f>
        <v/>
      </c>
      <c r="AO26" s="57" t="n">
        <v>1</v>
      </c>
      <c r="AP26" s="58" t="n">
        <v>0.35</v>
      </c>
      <c r="AQ26" s="58" t="n">
        <v>0.7388888888888889</v>
      </c>
      <c r="AR26" s="83">
        <f>MOD(AQ26-AP26,1)*24</f>
        <v/>
      </c>
      <c r="AS26" s="57" t="n">
        <v>1</v>
      </c>
      <c r="AT26" s="58" t="n">
        <v>0.3520833333333334</v>
      </c>
      <c r="AU26" s="58" t="n">
        <v>0.7409722222222223</v>
      </c>
      <c r="AV26" s="83">
        <f>MOD(AU26-AT26,1)*24</f>
        <v/>
      </c>
      <c r="AW26" s="57" t="n">
        <v>0.5</v>
      </c>
      <c r="AX26" s="58" t="n"/>
      <c r="AY26" s="58" t="n"/>
      <c r="AZ26" s="83" t="n"/>
      <c r="BA26" s="57" t="n"/>
      <c r="BB26" s="58" t="n">
        <v>0.3513888888888889</v>
      </c>
      <c r="BC26" s="60" t="n">
        <v>0.7416666666666667</v>
      </c>
      <c r="BD26" s="83">
        <f>MOD(BC26-BB26,1)*24</f>
        <v/>
      </c>
      <c r="BE26" s="41" t="n">
        <v>1</v>
      </c>
      <c r="BF26" s="116" t="n">
        <v>0.3520833333333334</v>
      </c>
      <c r="BG26" s="115" t="n">
        <v>0.74375</v>
      </c>
      <c r="BH26" s="83">
        <f>MOD(BG26-BF26,1)*24</f>
        <v/>
      </c>
      <c r="BI26" s="57" t="n">
        <v>1</v>
      </c>
      <c r="BJ26" s="58" t="n">
        <v>0.3513888888888889</v>
      </c>
      <c r="BK26" s="58" t="n">
        <v>0.7368055555555556</v>
      </c>
      <c r="BL26" s="83">
        <f>MOD(BK26-BJ26,1)*24</f>
        <v/>
      </c>
      <c r="BM26" s="57" t="n">
        <v>1</v>
      </c>
      <c r="BN26" s="58" t="n"/>
      <c r="BO26" s="58" t="n"/>
      <c r="BP26" s="83" t="n"/>
      <c r="BQ26" s="57" t="n"/>
      <c r="BR26" s="58" t="n">
        <v>0.3513888888888889</v>
      </c>
      <c r="BS26" s="58" t="n">
        <v>0.7375</v>
      </c>
      <c r="BT26" s="83">
        <f>MOD(BS26-BR26,1)*24</f>
        <v/>
      </c>
      <c r="BU26" s="57" t="n">
        <v>1</v>
      </c>
      <c r="BV26" s="58" t="n">
        <v>0.3513888888888889</v>
      </c>
      <c r="BW26" s="60" t="n">
        <v>0.7444444444444445</v>
      </c>
      <c r="BX26" s="83">
        <f>MOD(BW26-BV26,1)*24</f>
        <v/>
      </c>
      <c r="BY26" s="41" t="n">
        <v>1</v>
      </c>
      <c r="BZ26" s="116" t="n">
        <v>0.3465277777777778</v>
      </c>
      <c r="CA26" s="41" t="n"/>
      <c r="CB26" s="83" t="n"/>
      <c r="CC26" s="41" t="n">
        <v>0.5</v>
      </c>
      <c r="CD26" s="116" t="n">
        <v>0.35</v>
      </c>
      <c r="CE26" s="115" t="n">
        <v>0.7375</v>
      </c>
      <c r="CF26" s="83">
        <f>MOD(CE26-CD26,1)*24</f>
        <v/>
      </c>
      <c r="CG26" s="57" t="n">
        <v>1</v>
      </c>
      <c r="CH26" s="58" t="n">
        <v>0.3520833333333334</v>
      </c>
      <c r="CI26" s="58" t="n">
        <v>0.7375</v>
      </c>
      <c r="CJ26" s="83">
        <f>MOD(CI26-CH26,1)*24</f>
        <v/>
      </c>
      <c r="CK26" s="57" t="n">
        <v>1</v>
      </c>
      <c r="CL26" s="58" t="n">
        <v>0.3486111111111111</v>
      </c>
      <c r="CM26" s="58" t="n">
        <v>0.7381944444444445</v>
      </c>
      <c r="CN26" s="83">
        <f>MOD(CM26-CL26,1)*24</f>
        <v/>
      </c>
      <c r="CO26" s="57" t="n">
        <v>1</v>
      </c>
      <c r="CP26" s="58" t="n">
        <v>0.3513888888888889</v>
      </c>
      <c r="CQ26" s="58" t="n">
        <v>0.7381944444444445</v>
      </c>
      <c r="CR26" s="83">
        <f>MOD(CQ26-CP26,1)*24</f>
        <v/>
      </c>
      <c r="CS26" s="57" t="n">
        <v>1</v>
      </c>
      <c r="CT26" s="58" t="n">
        <v>0.3506944444444444</v>
      </c>
      <c r="CU26" s="58" t="n">
        <v>0.7430555555555556</v>
      </c>
      <c r="CV26" s="83">
        <f>MOD(CU26-CT26,1)*24</f>
        <v/>
      </c>
      <c r="CW26" s="57" t="n">
        <v>1</v>
      </c>
      <c r="CX26" s="58" t="n">
        <v>0.3520833333333334</v>
      </c>
      <c r="CY26" s="58" t="n">
        <v>0.7375</v>
      </c>
      <c r="CZ26" s="83">
        <f>MOD(CY26-CX26,1)*24</f>
        <v/>
      </c>
      <c r="DA26" s="57" t="n">
        <v>1</v>
      </c>
      <c r="DB26" s="58" t="n"/>
      <c r="DC26" s="58" t="n"/>
      <c r="DD26" s="83" t="n"/>
      <c r="DE26" s="57" t="n"/>
      <c r="DF26" s="58" t="n">
        <v>0.35</v>
      </c>
      <c r="DG26" s="60" t="n">
        <v>0.7409722222222223</v>
      </c>
      <c r="DH26" s="83">
        <f>MOD(DG26-DF26,1)*24</f>
        <v/>
      </c>
      <c r="DI26" s="41" t="n">
        <v>1</v>
      </c>
      <c r="DJ26" s="116" t="n">
        <v>0.3506944444444444</v>
      </c>
      <c r="DK26" s="116" t="n">
        <v>0.7388888888888889</v>
      </c>
      <c r="DL26" s="83">
        <f>MOD(DK26-DJ26,1)*24</f>
        <v/>
      </c>
      <c r="DM26" s="41" t="n">
        <v>1</v>
      </c>
      <c r="DN26" s="58" t="n">
        <v>0.3493055555555555</v>
      </c>
      <c r="DO26" s="58" t="n">
        <v>0.7416666666666667</v>
      </c>
      <c r="DP26" s="83">
        <f>MOD(DO26-DN26,1)*24</f>
        <v/>
      </c>
      <c r="DQ26" s="57" t="n">
        <v>0.5</v>
      </c>
      <c r="DR26" s="61" t="n">
        <v>0.35</v>
      </c>
      <c r="DS26" s="62" t="n">
        <v>0.74375</v>
      </c>
      <c r="DT26" s="83">
        <f>MOD(DS26-DR26,1)*24</f>
        <v/>
      </c>
      <c r="DU26" s="41" t="n">
        <v>1</v>
      </c>
      <c r="DV26" s="61">
        <f>SUM(H26,L26,P26,T26,X26,AB26,AF26,AJ26,AN26,AR26,AV26,AZ26,BD26,BH26,BL26,BP26,BT26,BX26,CB26,CF26,CJ26,CN26,CR26,CV26,CZ26,DD26,DH26,DL26,DP26,DT26)</f>
        <v/>
      </c>
      <c r="DW26" s="62">
        <f>SUM(I26,M26,Q26,U26,Y26,AC26,AG26,AK26,AO26,AS26,AW26,BA26,BE26,BI26,BM26,BQ26,BU26,BY26,CC26,CG26,CK26,CO26,CS26,CW26,DA26,DE26,DI26,DM26,DQ26,DU26)</f>
        <v/>
      </c>
      <c r="DX26" s="83" t="n"/>
      <c r="DY26" s="41" t="n"/>
      <c r="DZ26" s="84" t="n"/>
      <c r="EA26" s="84" t="n"/>
      <c r="EB26" s="84" t="n"/>
      <c r="EC26" s="84" t="n"/>
      <c r="ED26" s="84" t="n"/>
      <c r="EE26" s="84" t="n"/>
      <c r="EF26" s="84" t="n"/>
      <c r="EG26" s="84" t="n"/>
      <c r="EH26" s="84" t="n"/>
      <c r="EI26" s="84" t="n"/>
      <c r="EJ26" s="84" t="n"/>
      <c r="EK26" s="84" t="n"/>
      <c r="EL26" s="84" t="n"/>
      <c r="EM26" s="84" t="n"/>
      <c r="EN26" s="84" t="n"/>
      <c r="EO26" s="84" t="n"/>
      <c r="EP26" s="84" t="n"/>
      <c r="EQ26" s="84" t="n"/>
      <c r="ER26" s="84" t="n"/>
      <c r="ES26" s="84" t="n"/>
      <c r="ET26" s="84" t="inlineStr">
        <is>
          <t>只打一次卡</t>
        </is>
      </c>
      <c r="EU26" s="84" t="n"/>
      <c r="EV26" s="84" t="n"/>
      <c r="EW26" s="84" t="n"/>
      <c r="EX26" s="84" t="n"/>
      <c r="EY26" s="84" t="n"/>
      <c r="EZ26" s="84" t="n"/>
      <c r="FA26" s="84" t="n"/>
      <c r="FB26" s="84" t="n"/>
      <c r="FC26" s="84" t="n"/>
      <c r="FD26" s="84" t="n"/>
      <c r="FE26" s="84" t="n"/>
    </row>
    <row r="27" ht="59" customFormat="1" customHeight="1" s="54">
      <c r="A27" s="55" t="inlineStr">
        <is>
          <t>五楼</t>
        </is>
      </c>
      <c r="B27" s="56" t="inlineStr">
        <is>
          <t>贺悦</t>
        </is>
      </c>
      <c r="C27" s="41" t="inlineStr">
        <is>
          <t>23</t>
        </is>
      </c>
      <c r="D27" s="41" t="n"/>
      <c r="E27" s="57" t="n"/>
      <c r="F27" s="115" t="n"/>
      <c r="G27" s="58" t="n"/>
      <c r="H27" s="83" t="n"/>
      <c r="I27" s="57" t="n"/>
      <c r="J27" s="58" t="n"/>
      <c r="K27" s="58" t="n"/>
      <c r="L27" s="83" t="n"/>
      <c r="M27" s="57" t="n"/>
      <c r="N27" s="58" t="n"/>
      <c r="O27" s="58" t="n"/>
      <c r="P27" s="83" t="n"/>
      <c r="Q27" s="57" t="n"/>
      <c r="R27" s="58" t="n"/>
      <c r="S27" s="58" t="n"/>
      <c r="T27" s="83" t="n"/>
      <c r="U27" s="57" t="n"/>
      <c r="V27" s="58" t="n"/>
      <c r="W27" s="58" t="n"/>
      <c r="X27" s="83" t="n"/>
      <c r="Y27" s="57" t="n"/>
      <c r="Z27" s="58" t="n"/>
      <c r="AA27" s="60" t="n"/>
      <c r="AB27" s="83" t="n"/>
      <c r="AC27" s="41" t="n"/>
      <c r="AD27" s="116" t="n"/>
      <c r="AE27" s="117" t="n"/>
      <c r="AF27" s="83" t="n"/>
      <c r="AG27" s="57" t="n"/>
      <c r="AH27" s="58" t="n"/>
      <c r="AI27" s="58" t="n"/>
      <c r="AJ27" s="83" t="n"/>
      <c r="AK27" s="57" t="n"/>
      <c r="AL27" s="58" t="n"/>
      <c r="AM27" s="58" t="n"/>
      <c r="AN27" s="83" t="n"/>
      <c r="AO27" s="57" t="n"/>
      <c r="AP27" s="58" t="n"/>
      <c r="AQ27" s="58" t="n"/>
      <c r="AR27" s="83" t="n"/>
      <c r="AS27" s="57" t="n"/>
      <c r="AT27" s="58" t="n">
        <v>0.7423611111111111</v>
      </c>
      <c r="AU27" s="58" t="n"/>
      <c r="AV27" s="83" t="n"/>
      <c r="AW27" s="57" t="n">
        <v>0.5</v>
      </c>
      <c r="AX27" s="58" t="n"/>
      <c r="AY27" s="58" t="n"/>
      <c r="AZ27" s="83" t="n"/>
      <c r="BA27" s="57" t="n"/>
      <c r="BB27" s="58" t="n"/>
      <c r="BC27" s="60" t="n"/>
      <c r="BD27" s="83" t="n"/>
      <c r="BE27" s="41" t="n"/>
      <c r="BF27" s="116" t="n"/>
      <c r="BG27" s="115" t="n"/>
      <c r="BH27" s="83" t="n"/>
      <c r="BI27" s="57" t="n"/>
      <c r="BJ27" s="58" t="n"/>
      <c r="BK27" s="58" t="n"/>
      <c r="BL27" s="83" t="n"/>
      <c r="BM27" s="57" t="n"/>
      <c r="BN27" s="58" t="n"/>
      <c r="BO27" s="58" t="n"/>
      <c r="BP27" s="83" t="n"/>
      <c r="BQ27" s="57" t="n"/>
      <c r="BR27" s="58" t="n"/>
      <c r="BS27" s="58" t="n"/>
      <c r="BT27" s="83" t="n"/>
      <c r="BU27" s="57" t="n"/>
      <c r="BV27" s="58" t="n"/>
      <c r="BW27" s="60" t="n"/>
      <c r="BX27" s="83" t="n"/>
      <c r="BY27" s="41" t="n"/>
      <c r="BZ27" s="41" t="n"/>
      <c r="CA27" s="41" t="n"/>
      <c r="CB27" s="83" t="n"/>
      <c r="CC27" s="41" t="n"/>
      <c r="CD27" s="116" t="n"/>
      <c r="CE27" s="115" t="n"/>
      <c r="CF27" s="83" t="n"/>
      <c r="CG27" s="57" t="n"/>
      <c r="CH27" s="58" t="n"/>
      <c r="CI27" s="58" t="n"/>
      <c r="CJ27" s="83" t="n"/>
      <c r="CK27" s="57" t="n"/>
      <c r="CL27" s="58" t="n"/>
      <c r="CM27" s="58" t="n"/>
      <c r="CN27" s="83" t="n"/>
      <c r="CO27" s="57" t="n"/>
      <c r="CP27" s="58" t="n"/>
      <c r="CQ27" s="58" t="n"/>
      <c r="CR27" s="83" t="n"/>
      <c r="CS27" s="57" t="n"/>
      <c r="CT27" s="58" t="n"/>
      <c r="CU27" s="58" t="n"/>
      <c r="CV27" s="83" t="n"/>
      <c r="CW27" s="57" t="n"/>
      <c r="CX27" s="58" t="n"/>
      <c r="CY27" s="58" t="n"/>
      <c r="CZ27" s="83" t="n"/>
      <c r="DA27" s="57" t="n"/>
      <c r="DB27" s="58" t="n"/>
      <c r="DC27" s="58" t="n"/>
      <c r="DD27" s="83" t="n"/>
      <c r="DE27" s="57" t="n"/>
      <c r="DF27" s="58" t="n"/>
      <c r="DG27" s="60" t="n"/>
      <c r="DH27" s="83" t="n"/>
      <c r="DI27" s="41" t="n"/>
      <c r="DJ27" s="116" t="n"/>
      <c r="DK27" s="116" t="n"/>
      <c r="DL27" s="83" t="n"/>
      <c r="DM27" s="41" t="n"/>
      <c r="DN27" s="58" t="n">
        <v>0.7430555555555556</v>
      </c>
      <c r="DO27" s="58" t="n"/>
      <c r="DP27" s="83" t="n"/>
      <c r="DQ27" s="57" t="n">
        <v>0.5</v>
      </c>
      <c r="DR27" s="61" t="n"/>
      <c r="DS27" s="62" t="n"/>
      <c r="DT27" s="83" t="n"/>
      <c r="DU27" s="41" t="n"/>
      <c r="DV27" s="61">
        <f>SUM(H27,L27,P27,T27,X27,AB27,AF27,AJ27,AN27,AR27,AV27,AZ27,BD27,BH27,BL27,BP27,BT27,BX27,CB27,CF27,CJ27,CN27,CR27,CV27,CZ27,DD27,DH27,DL27,DP27,DT27)</f>
        <v/>
      </c>
      <c r="DW27" s="62">
        <f>SUM(I27,M27,Q27,U27,Y27,AC27,AG27,AK27,AO27,AS27,AW27,BA27,BE27,BI27,BM27,BQ27,BU27,BY27,CC27,CG27,CK27,CO27,CS27,CW27,DA27,DE27,DI27,DM27,DQ27,DU27)</f>
        <v/>
      </c>
      <c r="DX27" s="83" t="n"/>
      <c r="DY27" s="41" t="n"/>
      <c r="DZ27" s="84" t="n"/>
      <c r="EA27" s="84" t="n"/>
      <c r="EB27" s="84" t="n"/>
      <c r="EC27" s="84" t="n"/>
      <c r="ED27" s="84" t="n"/>
      <c r="EE27" s="84" t="n"/>
      <c r="EF27" s="84" t="n"/>
      <c r="EG27" s="84" t="n"/>
      <c r="EH27" s="84" t="n"/>
      <c r="EI27" s="84" t="n"/>
      <c r="EJ27" s="84" t="n"/>
      <c r="EK27" s="84" t="n"/>
      <c r="EL27" s="84" t="n"/>
      <c r="EM27" s="84" t="n"/>
      <c r="EN27" s="84" t="n"/>
      <c r="EO27" s="84" t="n"/>
      <c r="EP27" s="84" t="n"/>
      <c r="EQ27" s="84" t="n"/>
      <c r="ER27" s="84" t="n"/>
      <c r="ES27" s="84" t="n"/>
      <c r="ET27" s="84" t="n"/>
      <c r="EU27" s="84" t="n"/>
      <c r="EV27" s="84" t="n"/>
      <c r="EW27" s="84" t="n"/>
      <c r="EX27" s="84" t="n"/>
      <c r="EY27" s="84" t="n"/>
      <c r="EZ27" s="84" t="n"/>
      <c r="FA27" s="84" t="n"/>
      <c r="FB27" s="84" t="n"/>
      <c r="FC27" s="84" t="n"/>
      <c r="FD27" s="84" t="n"/>
      <c r="FE27" s="84" t="n"/>
    </row>
    <row r="28" ht="59" customFormat="1" customHeight="1" s="54">
      <c r="A28" s="55" t="inlineStr">
        <is>
          <t>五楼</t>
        </is>
      </c>
      <c r="B28" s="56" t="inlineStr">
        <is>
          <t>莫娇</t>
        </is>
      </c>
      <c r="C28" s="41" t="inlineStr">
        <is>
          <t>24</t>
        </is>
      </c>
      <c r="D28" s="41" t="n"/>
      <c r="E28" s="57" t="n"/>
      <c r="F28" s="115" t="n">
        <v>0.3493055555555555</v>
      </c>
      <c r="G28" s="58" t="n">
        <v>0.7361111111111112</v>
      </c>
      <c r="H28" s="83">
        <f>MOD(G28-F28,1)*24</f>
        <v/>
      </c>
      <c r="I28" s="57" t="n">
        <v>1</v>
      </c>
      <c r="J28" s="58" t="n">
        <v>0.3465277777777778</v>
      </c>
      <c r="K28" s="58" t="n">
        <v>0.7368055555555556</v>
      </c>
      <c r="L28" s="83">
        <f>MOD(K28-J28,1)*24</f>
        <v/>
      </c>
      <c r="M28" s="57" t="n">
        <v>1</v>
      </c>
      <c r="N28" s="58" t="n">
        <v>0.3472222222222222</v>
      </c>
      <c r="O28" s="58" t="n">
        <v>0.7444444444444445</v>
      </c>
      <c r="P28" s="83">
        <f>MOD(O28-N28,1)*24</f>
        <v/>
      </c>
      <c r="Q28" s="57" t="n">
        <v>1</v>
      </c>
      <c r="R28" s="58" t="n"/>
      <c r="S28" s="58" t="n"/>
      <c r="T28" s="83" t="n"/>
      <c r="U28" s="57" t="n"/>
      <c r="V28" s="58" t="n"/>
      <c r="W28" s="58" t="n"/>
      <c r="X28" s="83" t="n"/>
      <c r="Y28" s="57" t="n"/>
      <c r="Z28" s="58" t="n">
        <v>0.3486111111111111</v>
      </c>
      <c r="AA28" s="60" t="n">
        <v>0.7368055555555556</v>
      </c>
      <c r="AB28" s="83">
        <f>MOD(AA28-Z28,1)*24</f>
        <v/>
      </c>
      <c r="AC28" s="41" t="n">
        <v>1</v>
      </c>
      <c r="AD28" s="116" t="n">
        <v>0.35</v>
      </c>
      <c r="AE28" s="117" t="n">
        <v>0.7368055555555556</v>
      </c>
      <c r="AF28" s="83">
        <f>MOD(AE28-AD28,1)*24</f>
        <v/>
      </c>
      <c r="AG28" s="57" t="n">
        <v>1</v>
      </c>
      <c r="AH28" s="58" t="n">
        <v>0.3486111111111111</v>
      </c>
      <c r="AI28" s="58" t="n">
        <v>0.7388888888888889</v>
      </c>
      <c r="AJ28" s="83">
        <f>MOD(AI28-AH28,1)*24</f>
        <v/>
      </c>
      <c r="AK28" s="57" t="n">
        <v>1</v>
      </c>
      <c r="AL28" s="58" t="n">
        <v>0.34375</v>
      </c>
      <c r="AM28" s="58" t="n">
        <v>0.7375</v>
      </c>
      <c r="AN28" s="83">
        <f>MOD(AM28-AL28,1)*24</f>
        <v/>
      </c>
      <c r="AO28" s="57" t="n">
        <v>1</v>
      </c>
      <c r="AP28" s="58" t="n">
        <v>0.35</v>
      </c>
      <c r="AQ28" s="58" t="n">
        <v>0.7368055555555556</v>
      </c>
      <c r="AR28" s="83">
        <f>MOD(AQ28-AP28,1)*24</f>
        <v/>
      </c>
      <c r="AS28" s="57" t="n">
        <v>1</v>
      </c>
      <c r="AT28" s="58" t="n">
        <v>0.3451388888888889</v>
      </c>
      <c r="AU28" s="58" t="n">
        <v>0.7409722222222223</v>
      </c>
      <c r="AV28" s="83">
        <f>MOD(AU28-AT28,1)*24</f>
        <v/>
      </c>
      <c r="AW28" s="57" t="n">
        <v>1</v>
      </c>
      <c r="AX28" s="58" t="n"/>
      <c r="AY28" s="58" t="n"/>
      <c r="AZ28" s="83" t="n"/>
      <c r="BA28" s="57" t="n"/>
      <c r="BB28" s="58" t="n">
        <v>0.3506944444444444</v>
      </c>
      <c r="BC28" s="60" t="n">
        <v>0.7368055555555556</v>
      </c>
      <c r="BD28" s="83">
        <f>MOD(BC28-BB28,1)*24</f>
        <v/>
      </c>
      <c r="BE28" s="41" t="n">
        <v>1</v>
      </c>
      <c r="BF28" s="116" t="n">
        <v>0.3493055555555555</v>
      </c>
      <c r="BG28" s="115" t="n">
        <v>0.7368055555555556</v>
      </c>
      <c r="BH28" s="83">
        <f>MOD(BG28-BF28,1)*24</f>
        <v/>
      </c>
      <c r="BI28" s="57" t="n">
        <v>1</v>
      </c>
      <c r="BJ28" s="58" t="n">
        <v>0.34375</v>
      </c>
      <c r="BK28" s="58" t="n">
        <v>0.7375</v>
      </c>
      <c r="BL28" s="83">
        <f>MOD(BK28-BJ28,1)*24</f>
        <v/>
      </c>
      <c r="BM28" s="57" t="n">
        <v>1</v>
      </c>
      <c r="BN28" s="58" t="n">
        <v>0.3465277777777778</v>
      </c>
      <c r="BO28" s="58" t="n">
        <v>0.7375</v>
      </c>
      <c r="BP28" s="83">
        <f>MOD(BO28-BN28,1)*24</f>
        <v/>
      </c>
      <c r="BQ28" s="57" t="n">
        <v>1</v>
      </c>
      <c r="BR28" s="58" t="n">
        <v>0.3465277777777778</v>
      </c>
      <c r="BS28" s="58" t="n">
        <v>0.7375</v>
      </c>
      <c r="BT28" s="83">
        <f>MOD(BS28-BR28,1)*24</f>
        <v/>
      </c>
      <c r="BU28" s="57" t="n">
        <v>1</v>
      </c>
      <c r="BV28" s="58" t="n">
        <v>0.3472222222222222</v>
      </c>
      <c r="BW28" s="60" t="n">
        <v>0.7368055555555556</v>
      </c>
      <c r="BX28" s="83">
        <f>MOD(BW28-BV28,1)*24</f>
        <v/>
      </c>
      <c r="BY28" s="41" t="n">
        <v>1</v>
      </c>
      <c r="BZ28" s="116" t="n">
        <v>0.3423611111111111</v>
      </c>
      <c r="CA28" s="116" t="n">
        <v>0.5006944444444444</v>
      </c>
      <c r="CB28" s="83">
        <f>MOD(CA28-BZ28,1)*24</f>
        <v/>
      </c>
      <c r="CC28" s="41" t="n">
        <v>0.5</v>
      </c>
      <c r="CD28" s="116" t="n">
        <v>0.3486111111111111</v>
      </c>
      <c r="CE28" s="115" t="n">
        <v>0.7368055555555556</v>
      </c>
      <c r="CF28" s="83">
        <f>MOD(CE28-CD28,1)*24</f>
        <v/>
      </c>
      <c r="CG28" s="57" t="n">
        <v>1</v>
      </c>
      <c r="CH28" s="58" t="n">
        <v>0.35</v>
      </c>
      <c r="CI28" s="58" t="n">
        <v>0.5104166666666666</v>
      </c>
      <c r="CJ28" s="83">
        <f>MOD(CI28-CH28,1)*24</f>
        <v/>
      </c>
      <c r="CK28" s="57" t="n">
        <v>0.5</v>
      </c>
      <c r="CL28" s="58" t="n">
        <v>0.3486111111111111</v>
      </c>
      <c r="CM28" s="58" t="n">
        <v>0.7375</v>
      </c>
      <c r="CN28" s="83">
        <f>MOD(CM28-CL28,1)*24</f>
        <v/>
      </c>
      <c r="CO28" s="57" t="n">
        <v>1</v>
      </c>
      <c r="CP28" s="58" t="n">
        <v>0.2784722222222222</v>
      </c>
      <c r="CQ28" s="58" t="n">
        <v>0.3486111111111111</v>
      </c>
      <c r="CR28" s="83">
        <f>MOD(CQ28-CP28,1)*24</f>
        <v/>
      </c>
      <c r="CS28" s="57" t="n">
        <v>0.5</v>
      </c>
      <c r="CT28" s="58" t="n">
        <v>0.3451388888888889</v>
      </c>
      <c r="CU28" s="58" t="n">
        <v>0.7368055555555556</v>
      </c>
      <c r="CV28" s="83">
        <f>MOD(CU28-CT28,1)*24</f>
        <v/>
      </c>
      <c r="CW28" s="57" t="n">
        <v>1</v>
      </c>
      <c r="CX28" s="58" t="n">
        <v>0.3486111111111111</v>
      </c>
      <c r="CY28" s="58" t="n">
        <v>0.7375</v>
      </c>
      <c r="CZ28" s="83">
        <f>MOD(CY28-CX28,1)*24</f>
        <v/>
      </c>
      <c r="DA28" s="57" t="n">
        <v>1</v>
      </c>
      <c r="DB28" s="58" t="n"/>
      <c r="DC28" s="58" t="n"/>
      <c r="DD28" s="83" t="n"/>
      <c r="DE28" s="57" t="n"/>
      <c r="DF28" s="58" t="n">
        <v>0.35</v>
      </c>
      <c r="DG28" s="60" t="n">
        <v>0.7381944444444445</v>
      </c>
      <c r="DH28" s="83">
        <f>MOD(DG28-DF28,1)*24</f>
        <v/>
      </c>
      <c r="DI28" s="41" t="n">
        <v>1</v>
      </c>
      <c r="DJ28" s="116" t="n">
        <v>0.3513888888888889</v>
      </c>
      <c r="DK28" s="116" t="n">
        <v>0.7368055555555556</v>
      </c>
      <c r="DL28" s="83">
        <f>MOD(DK28-DJ28,1)*24</f>
        <v/>
      </c>
      <c r="DM28" s="41" t="n">
        <v>1</v>
      </c>
      <c r="DN28" s="58" t="n">
        <v>0.3479166666666667</v>
      </c>
      <c r="DO28" s="58" t="n">
        <v>0.7375</v>
      </c>
      <c r="DP28" s="83">
        <f>MOD(DO28-DN28,1)*24</f>
        <v/>
      </c>
      <c r="DQ28" s="57" t="n">
        <v>1</v>
      </c>
      <c r="DR28" s="61" t="n">
        <v>0.3451388888888889</v>
      </c>
      <c r="DS28" s="62" t="n">
        <v>0.9236111111111112</v>
      </c>
      <c r="DT28" s="83">
        <f>MOD(DS28-DR28,1)*24</f>
        <v/>
      </c>
      <c r="DU28" s="41" t="n">
        <v>1</v>
      </c>
      <c r="DV28" s="61">
        <f>SUM(H28,L28,P28,T28,X28,AB28,AF28,AJ28,AN28,AR28,AV28,AZ28,BD28,BH28,BL28,BP28,BT28,BX28,CB28,CF28,CJ28,CN28,CR28,CV28,CZ28,DD28,DH28,DL28,DP28,DT28)</f>
        <v/>
      </c>
      <c r="DW28" s="62">
        <f>SUM(I28,M28,Q28,U28,Y28,AC28,AG28,AK28,AO28,AS28,AW28,BA28,BE28,BI28,BM28,BQ28,BU28,BY28,CC28,CG28,CK28,CO28,CS28,CW28,DA28,DE28,DI28,DM28,DQ28,DU28)</f>
        <v/>
      </c>
      <c r="DX28" s="83" t="n"/>
      <c r="DY28" s="41" t="n"/>
      <c r="DZ28" s="84" t="n"/>
      <c r="EA28" s="84" t="n"/>
      <c r="EB28" s="84" t="n"/>
      <c r="EC28" s="84" t="n"/>
      <c r="ED28" s="84" t="n"/>
      <c r="EE28" s="84" t="n"/>
      <c r="EF28" s="84" t="n"/>
      <c r="EG28" s="84" t="n"/>
      <c r="EH28" s="84" t="n"/>
      <c r="EI28" s="84" t="n"/>
      <c r="EJ28" s="84" t="n"/>
      <c r="EK28" s="84" t="n"/>
      <c r="EL28" s="84" t="n"/>
      <c r="EM28" s="84" t="n"/>
      <c r="EN28" s="84" t="n"/>
      <c r="EO28" s="84" t="n"/>
      <c r="EP28" s="84" t="n"/>
      <c r="EQ28" s="84" t="n"/>
      <c r="ER28" s="84" t="n"/>
      <c r="ES28" s="84" t="n"/>
      <c r="ET28" s="84" t="inlineStr">
        <is>
          <t>早退</t>
        </is>
      </c>
      <c r="EU28" s="84" t="n"/>
      <c r="EV28" s="84" t="inlineStr">
        <is>
          <t>早退</t>
        </is>
      </c>
      <c r="EW28" s="84" t="n"/>
      <c r="EX28" s="84" t="inlineStr">
        <is>
          <t>早退</t>
        </is>
      </c>
      <c r="EY28" s="84" t="n"/>
      <c r="EZ28" s="84" t="n"/>
      <c r="FA28" s="84" t="n"/>
      <c r="FB28" s="84" t="n"/>
      <c r="FC28" s="84" t="n"/>
      <c r="FD28" s="84" t="n"/>
      <c r="FE28" s="84" t="n"/>
    </row>
    <row r="29" ht="59" customFormat="1" customHeight="1" s="54">
      <c r="A29" s="55" t="inlineStr">
        <is>
          <t>五楼</t>
        </is>
      </c>
      <c r="B29" s="56" t="inlineStr">
        <is>
          <t>蒋年冬</t>
        </is>
      </c>
      <c r="C29" s="41" t="inlineStr">
        <is>
          <t>25</t>
        </is>
      </c>
      <c r="D29" s="41" t="n"/>
      <c r="E29" s="57" t="n"/>
      <c r="F29" s="115" t="n">
        <v>0.3451388888888889</v>
      </c>
      <c r="G29" s="58" t="n">
        <v>0.7388888888888889</v>
      </c>
      <c r="H29" s="83">
        <f>MOD(G29-F29,1)*24</f>
        <v/>
      </c>
      <c r="I29" s="57" t="n">
        <v>1</v>
      </c>
      <c r="J29" s="58" t="n">
        <v>0.3506944444444444</v>
      </c>
      <c r="K29" s="58" t="n">
        <v>0.7368055555555556</v>
      </c>
      <c r="L29" s="83">
        <f>MOD(K29-J29,1)*24</f>
        <v/>
      </c>
      <c r="M29" s="57" t="n">
        <v>1</v>
      </c>
      <c r="N29" s="58" t="n">
        <v>0.3506944444444444</v>
      </c>
      <c r="O29" s="58" t="n">
        <v>0.7451388888888889</v>
      </c>
      <c r="P29" s="83">
        <f>MOD(O29-N29,1)*24</f>
        <v/>
      </c>
      <c r="Q29" s="57" t="n">
        <v>1</v>
      </c>
      <c r="R29" s="58" t="n"/>
      <c r="S29" s="58" t="n"/>
      <c r="T29" s="83" t="n"/>
      <c r="U29" s="57" t="n"/>
      <c r="V29" s="58" t="n"/>
      <c r="W29" s="58" t="n"/>
      <c r="X29" s="83" t="n"/>
      <c r="Y29" s="57" t="n"/>
      <c r="Z29" s="58" t="n">
        <v>0.3486111111111111</v>
      </c>
      <c r="AA29" s="60" t="n">
        <v>0.7368055555555556</v>
      </c>
      <c r="AB29" s="83">
        <f>MOD(AA29-Z29,1)*24</f>
        <v/>
      </c>
      <c r="AC29" s="41" t="n">
        <v>1</v>
      </c>
      <c r="AD29" s="116" t="n">
        <v>0.3458333333333333</v>
      </c>
      <c r="AE29" s="117" t="n">
        <v>0.7361111111111112</v>
      </c>
      <c r="AF29" s="83">
        <f>MOD(AE29-AD29,1)*24</f>
        <v/>
      </c>
      <c r="AG29" s="57" t="n">
        <v>1</v>
      </c>
      <c r="AH29" s="58" t="n">
        <v>0.3451388888888889</v>
      </c>
      <c r="AI29" s="58" t="n">
        <v>0.7368055555555556</v>
      </c>
      <c r="AJ29" s="83">
        <f>MOD(AI29-AH29,1)*24</f>
        <v/>
      </c>
      <c r="AK29" s="57" t="n">
        <v>1</v>
      </c>
      <c r="AL29" s="58" t="n">
        <v>0.3451388888888889</v>
      </c>
      <c r="AM29" s="58" t="n">
        <v>0.7368055555555556</v>
      </c>
      <c r="AN29" s="83">
        <f>MOD(AM29-AL29,1)*24</f>
        <v/>
      </c>
      <c r="AO29" s="57" t="n">
        <v>1</v>
      </c>
      <c r="AP29" s="58" t="n">
        <v>0.3423611111111111</v>
      </c>
      <c r="AQ29" s="58" t="n">
        <v>0.7368055555555556</v>
      </c>
      <c r="AR29" s="83">
        <f>MOD(AQ29-AP29,1)*24</f>
        <v/>
      </c>
      <c r="AS29" s="57" t="n">
        <v>1</v>
      </c>
      <c r="AT29" s="58" t="n">
        <v>0.3493055555555555</v>
      </c>
      <c r="AU29" s="58" t="n">
        <v>0.7368055555555556</v>
      </c>
      <c r="AV29" s="83">
        <f>MOD(AU29-AT29,1)*24</f>
        <v/>
      </c>
      <c r="AW29" s="57" t="n">
        <v>1</v>
      </c>
      <c r="AX29" s="58" t="n"/>
      <c r="AY29" s="58" t="n"/>
      <c r="AZ29" s="83" t="n"/>
      <c r="BA29" s="57" t="n"/>
      <c r="BB29" s="58" t="n">
        <v>0.3416666666666667</v>
      </c>
      <c r="BC29" s="60" t="n">
        <v>0.7368055555555556</v>
      </c>
      <c r="BD29" s="83">
        <f>MOD(BC29-BB29,1)*24</f>
        <v/>
      </c>
      <c r="BE29" s="41" t="n">
        <v>1</v>
      </c>
      <c r="BF29" s="116" t="n">
        <v>0.3493055555555555</v>
      </c>
      <c r="BG29" s="115" t="n">
        <v>0.7368055555555556</v>
      </c>
      <c r="BH29" s="83">
        <f>MOD(BG29-BF29,1)*24</f>
        <v/>
      </c>
      <c r="BI29" s="57" t="n">
        <v>1</v>
      </c>
      <c r="BJ29" s="58" t="n">
        <v>0.3402777777777778</v>
      </c>
      <c r="BK29" s="58" t="n">
        <v>0.7368055555555556</v>
      </c>
      <c r="BL29" s="83">
        <f>MOD(BK29-BJ29,1)*24</f>
        <v/>
      </c>
      <c r="BM29" s="57" t="n">
        <v>1</v>
      </c>
      <c r="BN29" s="58" t="n">
        <v>0.3451388888888889</v>
      </c>
      <c r="BO29" s="58" t="n">
        <v>0.7368055555555556</v>
      </c>
      <c r="BP29" s="83">
        <f>MOD(BO29-BN29,1)*24</f>
        <v/>
      </c>
      <c r="BQ29" s="57" t="n">
        <v>1</v>
      </c>
      <c r="BR29" s="58" t="n">
        <v>0.3506944444444444</v>
      </c>
      <c r="BS29" s="58" t="n">
        <v>0.7368055555555556</v>
      </c>
      <c r="BT29" s="83">
        <f>MOD(BS29-BR29,1)*24</f>
        <v/>
      </c>
      <c r="BU29" s="57" t="n">
        <v>1</v>
      </c>
      <c r="BV29" s="58" t="n">
        <v>0.3506944444444444</v>
      </c>
      <c r="BW29" s="60" t="n">
        <v>0.7368055555555556</v>
      </c>
      <c r="BX29" s="83">
        <f>MOD(BW29-BV29,1)*24</f>
        <v/>
      </c>
      <c r="BY29" s="41" t="n">
        <v>1</v>
      </c>
      <c r="BZ29" s="41" t="n"/>
      <c r="CA29" s="41" t="n"/>
      <c r="CB29" s="83" t="n"/>
      <c r="CC29" s="41" t="n"/>
      <c r="CD29" s="116" t="n">
        <v>0.3534722222222222</v>
      </c>
      <c r="CE29" s="115" t="n">
        <v>0.7388888888888889</v>
      </c>
      <c r="CF29" s="83">
        <f>MOD(CE29-CD29,1)*24</f>
        <v/>
      </c>
      <c r="CG29" s="57" t="n">
        <v>1</v>
      </c>
      <c r="CH29" s="58" t="n">
        <v>0.3423611111111111</v>
      </c>
      <c r="CI29" s="58" t="n">
        <v>0.7368055555555556</v>
      </c>
      <c r="CJ29" s="83">
        <f>MOD(CI29-CH29,1)*24</f>
        <v/>
      </c>
      <c r="CK29" s="57" t="n">
        <v>1</v>
      </c>
      <c r="CL29" s="58" t="n">
        <v>0.3416666666666667</v>
      </c>
      <c r="CM29" s="58" t="n">
        <v>0.7375</v>
      </c>
      <c r="CN29" s="83">
        <f>MOD(CM29-CL29,1)*24</f>
        <v/>
      </c>
      <c r="CO29" s="57" t="n">
        <v>1</v>
      </c>
      <c r="CP29" s="58" t="n">
        <v>0.2784722222222222</v>
      </c>
      <c r="CQ29" s="58" t="n">
        <v>0.3423611111111111</v>
      </c>
      <c r="CR29" s="83">
        <f>MOD(CQ29-CP29,1)*24</f>
        <v/>
      </c>
      <c r="CS29" s="57" t="n">
        <v>0.5</v>
      </c>
      <c r="CT29" s="58" t="n">
        <v>0.3375</v>
      </c>
      <c r="CU29" s="58" t="n">
        <v>0.7368055555555556</v>
      </c>
      <c r="CV29" s="83">
        <f>MOD(CU29-CT29,1)*24</f>
        <v/>
      </c>
      <c r="CW29" s="57" t="n">
        <v>1</v>
      </c>
      <c r="CX29" s="58" t="n"/>
      <c r="CY29" s="58" t="n"/>
      <c r="CZ29" s="83" t="n"/>
      <c r="DA29" s="57" t="n"/>
      <c r="DB29" s="58" t="n"/>
      <c r="DC29" s="58" t="n"/>
      <c r="DD29" s="83" t="n"/>
      <c r="DE29" s="57" t="n"/>
      <c r="DF29" s="58" t="n"/>
      <c r="DG29" s="60" t="n"/>
      <c r="DH29" s="83" t="n"/>
      <c r="DI29" s="41" t="n"/>
      <c r="DJ29" s="116" t="n"/>
      <c r="DK29" s="116" t="n"/>
      <c r="DL29" s="83" t="n"/>
      <c r="DM29" s="41" t="n"/>
      <c r="DN29" s="58" t="n"/>
      <c r="DO29" s="58" t="n"/>
      <c r="DP29" s="83" t="n"/>
      <c r="DQ29" s="57" t="n"/>
      <c r="DR29" s="61" t="n"/>
      <c r="DS29" s="62" t="n"/>
      <c r="DT29" s="83" t="n"/>
      <c r="DU29" s="41" t="n"/>
      <c r="DV29" s="61">
        <f>SUM(H29,L29,P29,T29,X29,AB29,AF29,AJ29,AN29,AR29,AV29,AZ29,BD29,BH29,BL29,BP29,BT29,BX29,CB29,CF29,CJ29,CN29,CR29,CV29,CZ29,DD29,DH29,DL29,DP29,DT29)</f>
        <v/>
      </c>
      <c r="DW29" s="62">
        <f>SUM(I29,M29,Q29,U29,Y29,AC29,AG29,AK29,AO29,AS29,AW29,BA29,BE29,BI29,BM29,BQ29,BU29,BY29,CC29,CG29,CK29,CO29,CS29,CW29,DA29,DE29,DI29,DM29,DQ29,DU29)</f>
        <v/>
      </c>
      <c r="DX29" s="83" t="n"/>
      <c r="DY29" s="41" t="n"/>
      <c r="DZ29" s="84" t="n"/>
      <c r="EA29" s="84" t="n"/>
      <c r="EB29" s="84" t="n"/>
      <c r="EC29" s="84" t="n"/>
      <c r="ED29" s="84" t="n"/>
      <c r="EE29" s="84" t="n"/>
      <c r="EF29" s="84" t="n"/>
      <c r="EG29" s="84" t="n"/>
      <c r="EH29" s="84" t="n"/>
      <c r="EI29" s="84" t="n"/>
      <c r="EJ29" s="84" t="n"/>
      <c r="EK29" s="84" t="n"/>
      <c r="EL29" s="84" t="n"/>
      <c r="EM29" s="84" t="n"/>
      <c r="EN29" s="84" t="n"/>
      <c r="EO29" s="84" t="n"/>
      <c r="EP29" s="84" t="n"/>
      <c r="EQ29" s="84" t="n"/>
      <c r="ER29" s="84" t="n"/>
      <c r="ES29" s="84" t="n"/>
      <c r="ET29" s="84" t="n"/>
      <c r="EU29" s="84" t="n"/>
      <c r="EV29" s="84" t="n"/>
      <c r="EW29" s="84" t="n"/>
      <c r="EX29" s="84" t="inlineStr">
        <is>
          <t>早退</t>
        </is>
      </c>
      <c r="EY29" s="84" t="n"/>
      <c r="EZ29" s="84" t="n"/>
      <c r="FA29" s="84" t="n"/>
      <c r="FB29" s="84" t="n"/>
      <c r="FC29" s="84" t="n"/>
      <c r="FD29" s="84" t="n"/>
      <c r="FE29" s="84" t="n"/>
    </row>
    <row r="30" ht="59" customFormat="1" customHeight="1" s="54">
      <c r="A30" s="55" t="inlineStr">
        <is>
          <t>五楼</t>
        </is>
      </c>
      <c r="B30" s="56" t="inlineStr">
        <is>
          <t>田建锋</t>
        </is>
      </c>
      <c r="C30" s="41" t="inlineStr">
        <is>
          <t>26</t>
        </is>
      </c>
      <c r="D30" s="41" t="n"/>
      <c r="E30" s="57" t="n"/>
      <c r="F30" s="115" t="n">
        <v>0.3416666666666667</v>
      </c>
      <c r="G30" s="58" t="n">
        <v>0.7368055555555556</v>
      </c>
      <c r="H30" s="83">
        <f>MOD(G30-F30,1)*24</f>
        <v/>
      </c>
      <c r="I30" s="57" t="n">
        <v>1</v>
      </c>
      <c r="J30" s="58" t="n">
        <v>0.34375</v>
      </c>
      <c r="K30" s="58" t="n">
        <v>0.7368055555555556</v>
      </c>
      <c r="L30" s="83">
        <f>MOD(K30-J30,1)*24</f>
        <v/>
      </c>
      <c r="M30" s="57" t="n">
        <v>1</v>
      </c>
      <c r="N30" s="58" t="n">
        <v>0.3444444444444444</v>
      </c>
      <c r="O30" s="58" t="n">
        <v>0.7368055555555556</v>
      </c>
      <c r="P30" s="83">
        <f>MOD(O30-N30,1)*24</f>
        <v/>
      </c>
      <c r="Q30" s="57" t="n">
        <v>1</v>
      </c>
      <c r="R30" s="58" t="n">
        <v>0.3416666666666667</v>
      </c>
      <c r="S30" s="58" t="n">
        <v>0.7395833333333334</v>
      </c>
      <c r="T30" s="83">
        <f>MOD(S30-R30,1)*24</f>
        <v/>
      </c>
      <c r="U30" s="57" t="n">
        <v>1</v>
      </c>
      <c r="V30" s="58" t="n"/>
      <c r="W30" s="58" t="n"/>
      <c r="X30" s="83" t="n"/>
      <c r="Y30" s="57" t="n"/>
      <c r="Z30" s="58" t="n">
        <v>0.3479166666666667</v>
      </c>
      <c r="AA30" s="60" t="n">
        <v>0.7375</v>
      </c>
      <c r="AB30" s="83">
        <f>MOD(AA30-Z30,1)*24</f>
        <v/>
      </c>
      <c r="AC30" s="41" t="n">
        <v>1</v>
      </c>
      <c r="AD30" s="116" t="n">
        <v>0.34375</v>
      </c>
      <c r="AE30" s="117" t="n">
        <v>0.7409722222222223</v>
      </c>
      <c r="AF30" s="83">
        <f>MOD(AE30-AD30,1)*24</f>
        <v/>
      </c>
      <c r="AG30" s="57" t="n">
        <v>1</v>
      </c>
      <c r="AH30" s="58" t="n">
        <v>0.3486111111111111</v>
      </c>
      <c r="AI30" s="58" t="n">
        <v>0.7375</v>
      </c>
      <c r="AJ30" s="83">
        <f>MOD(AI30-AH30,1)*24</f>
        <v/>
      </c>
      <c r="AK30" s="57" t="n">
        <v>1</v>
      </c>
      <c r="AL30" s="58" t="n">
        <v>0.34375</v>
      </c>
      <c r="AM30" s="58" t="n">
        <v>0.7368055555555556</v>
      </c>
      <c r="AN30" s="83">
        <f>MOD(AM30-AL30,1)*24</f>
        <v/>
      </c>
      <c r="AO30" s="57" t="n">
        <v>1</v>
      </c>
      <c r="AP30" s="58" t="n">
        <v>0.3444444444444444</v>
      </c>
      <c r="AQ30" s="58" t="n">
        <v>0.7375</v>
      </c>
      <c r="AR30" s="83">
        <f>MOD(AQ30-AP30,1)*24</f>
        <v/>
      </c>
      <c r="AS30" s="57" t="n">
        <v>1</v>
      </c>
      <c r="AT30" s="58" t="n">
        <v>0.3423611111111111</v>
      </c>
      <c r="AU30" s="58" t="n">
        <v>0.7375</v>
      </c>
      <c r="AV30" s="83">
        <f>MOD(AU30-AT30,1)*24</f>
        <v/>
      </c>
      <c r="AW30" s="57" t="n">
        <v>1</v>
      </c>
      <c r="AX30" s="58" t="n"/>
      <c r="AY30" s="58" t="n"/>
      <c r="AZ30" s="83" t="n"/>
      <c r="BA30" s="57" t="n"/>
      <c r="BB30" s="58" t="n">
        <v>0.3451388888888889</v>
      </c>
      <c r="BC30" s="60" t="n">
        <v>0.7375</v>
      </c>
      <c r="BD30" s="83">
        <f>MOD(BC30-BB30,1)*24</f>
        <v/>
      </c>
      <c r="BE30" s="41" t="n">
        <v>1</v>
      </c>
      <c r="BF30" s="116" t="n">
        <v>0.3430555555555556</v>
      </c>
      <c r="BG30" s="115" t="n">
        <v>0.7368055555555556</v>
      </c>
      <c r="BH30" s="83">
        <f>MOD(BG30-BF30,1)*24</f>
        <v/>
      </c>
      <c r="BI30" s="57" t="n">
        <v>1</v>
      </c>
      <c r="BJ30" s="58" t="n">
        <v>0.3388888888888889</v>
      </c>
      <c r="BK30" s="58" t="n">
        <v>0.5</v>
      </c>
      <c r="BL30" s="83">
        <f>MOD(BK30-BJ30,1)*24</f>
        <v/>
      </c>
      <c r="BM30" s="57" t="n">
        <v>0.5</v>
      </c>
      <c r="BN30" s="58" t="n">
        <v>0.3409722222222222</v>
      </c>
      <c r="BO30" s="58" t="n">
        <v>0.7361111111111112</v>
      </c>
      <c r="BP30" s="83">
        <f>MOD(BO30-BN30,1)*24</f>
        <v/>
      </c>
      <c r="BQ30" s="57" t="n">
        <v>1</v>
      </c>
      <c r="BR30" s="58" t="n"/>
      <c r="BS30" s="58" t="n"/>
      <c r="BT30" s="83" t="n"/>
      <c r="BU30" s="57" t="n"/>
      <c r="BV30" s="58" t="n">
        <v>0.3402777777777778</v>
      </c>
      <c r="BW30" s="60" t="n">
        <v>0.7451388888888889</v>
      </c>
      <c r="BX30" s="83">
        <f>MOD(BW30-BV30,1)*24</f>
        <v/>
      </c>
      <c r="BY30" s="41" t="n">
        <v>1</v>
      </c>
      <c r="BZ30" s="116" t="n">
        <v>0.3493055555555555</v>
      </c>
      <c r="CA30" s="116" t="n">
        <v>0.7368055555555556</v>
      </c>
      <c r="CB30" s="83">
        <f>MOD(CA30-BZ30,1)*24</f>
        <v/>
      </c>
      <c r="CC30" s="41" t="n">
        <v>1</v>
      </c>
      <c r="CD30" s="116" t="n">
        <v>0.3423611111111111</v>
      </c>
      <c r="CE30" s="115" t="n">
        <v>0.7388888888888889</v>
      </c>
      <c r="CF30" s="83">
        <f>MOD(CE30-CD30,1)*24</f>
        <v/>
      </c>
      <c r="CG30" s="57" t="n">
        <v>1</v>
      </c>
      <c r="CH30" s="58" t="n">
        <v>0.3423611111111111</v>
      </c>
      <c r="CI30" s="58" t="n">
        <v>0.7368055555555556</v>
      </c>
      <c r="CJ30" s="83">
        <f>MOD(CI30-CH30,1)*24</f>
        <v/>
      </c>
      <c r="CK30" s="57" t="n">
        <v>1</v>
      </c>
      <c r="CL30" s="58" t="n">
        <v>0.3444444444444444</v>
      </c>
      <c r="CM30" s="58" t="n">
        <v>0.7361111111111112</v>
      </c>
      <c r="CN30" s="83">
        <f>MOD(CM30-CL30,1)*24</f>
        <v/>
      </c>
      <c r="CO30" s="57" t="n">
        <v>1</v>
      </c>
      <c r="CP30" s="58" t="n">
        <v>0.3444444444444444</v>
      </c>
      <c r="CQ30" s="58" t="n">
        <v>0.5</v>
      </c>
      <c r="CR30" s="83">
        <f>MOD(CQ30-CP30,1)*24</f>
        <v/>
      </c>
      <c r="CS30" s="57" t="n">
        <v>0.5</v>
      </c>
      <c r="CT30" s="58" t="n">
        <v>0.3430555555555556</v>
      </c>
      <c r="CU30" s="58" t="n">
        <v>0.7388888888888889</v>
      </c>
      <c r="CV30" s="83">
        <f>MOD(CU30-CT30,1)*24</f>
        <v/>
      </c>
      <c r="CW30" s="57" t="n">
        <v>1</v>
      </c>
      <c r="CX30" s="58" t="n">
        <v>0.3486111111111111</v>
      </c>
      <c r="CY30" s="58" t="n">
        <v>0.7597222222222222</v>
      </c>
      <c r="CZ30" s="83">
        <f>MOD(CY30-CX30,1)*24</f>
        <v/>
      </c>
      <c r="DA30" s="57" t="n">
        <v>1</v>
      </c>
      <c r="DB30" s="58" t="n">
        <v>0.3472222222222222</v>
      </c>
      <c r="DC30" s="58" t="n">
        <v>0.7361111111111112</v>
      </c>
      <c r="DD30" s="83">
        <f>MOD(DC30-DB30,1)*24</f>
        <v/>
      </c>
      <c r="DE30" s="57" t="n">
        <v>1</v>
      </c>
      <c r="DF30" s="58" t="n">
        <v>0.3416666666666667</v>
      </c>
      <c r="DG30" s="60" t="n">
        <v>0.7458333333333333</v>
      </c>
      <c r="DH30" s="83">
        <f>MOD(DG30-DF30,1)*24</f>
        <v/>
      </c>
      <c r="DI30" s="41" t="n">
        <v>1</v>
      </c>
      <c r="DJ30" s="116" t="n">
        <v>0.3430555555555556</v>
      </c>
      <c r="DK30" s="116" t="n">
        <v>0.8013888888888889</v>
      </c>
      <c r="DL30" s="83">
        <f>MOD(DK30-DJ30,1)*24</f>
        <v/>
      </c>
      <c r="DM30" s="41" t="n">
        <v>1</v>
      </c>
      <c r="DN30" s="58" t="n">
        <v>0.3444444444444444</v>
      </c>
      <c r="DO30" s="58" t="n">
        <v>0.8861111111111111</v>
      </c>
      <c r="DP30" s="83">
        <f>MOD(DO30-DN30,1)*24</f>
        <v/>
      </c>
      <c r="DQ30" s="57" t="n">
        <v>1</v>
      </c>
      <c r="DR30" s="61" t="n">
        <v>0.3409722222222222</v>
      </c>
      <c r="DS30" s="62" t="n">
        <v>0.9534722222222223</v>
      </c>
      <c r="DT30" s="83">
        <f>MOD(DS30-DR30,1)*24</f>
        <v/>
      </c>
      <c r="DU30" s="41" t="n">
        <v>1</v>
      </c>
      <c r="DV30" s="61">
        <f>SUM(H30,L30,P30,T30,X30,AB30,AF30,AJ30,AN30,AR30,AV30,AZ30,BD30,BH30,BL30,BP30,BT30,BX30,CB30,CF30,CJ30,CN30,CR30,CV30,CZ30,DD30,DH30,DL30,DP30,DT30)</f>
        <v/>
      </c>
      <c r="DW30" s="62">
        <f>SUM(I30,M30,Q30,U30,Y30,AC30,AG30,AK30,AO30,AS30,AW30,BA30,BE30,BI30,BM30,BQ30,BU30,BY30,CC30,CG30,CK30,CO30,CS30,CW30,DA30,DE30,DI30,DM30,DQ30,DU30)</f>
        <v/>
      </c>
      <c r="DX30" s="83" t="n"/>
      <c r="DY30" s="41" t="n"/>
      <c r="DZ30" s="84" t="n"/>
      <c r="EA30" s="84" t="n"/>
      <c r="EB30" s="84" t="n"/>
      <c r="EC30" s="84" t="n"/>
      <c r="ED30" s="84" t="n"/>
      <c r="EE30" s="84" t="n"/>
      <c r="EF30" s="84" t="n"/>
      <c r="EG30" s="84" t="n"/>
      <c r="EH30" s="84" t="n"/>
      <c r="EI30" s="84" t="n"/>
      <c r="EJ30" s="84" t="n"/>
      <c r="EK30" s="84" t="n"/>
      <c r="EL30" s="84" t="n"/>
      <c r="EM30" s="84" t="n"/>
      <c r="EN30" s="84" t="n"/>
      <c r="EO30" s="84" t="n"/>
      <c r="EP30" s="84" t="inlineStr">
        <is>
          <t>早退</t>
        </is>
      </c>
      <c r="EQ30" s="84" t="n"/>
      <c r="ER30" s="84" t="n"/>
      <c r="ES30" s="84" t="n"/>
      <c r="ET30" s="84" t="n"/>
      <c r="EU30" s="84" t="n"/>
      <c r="EV30" s="84" t="n"/>
      <c r="EW30" s="84" t="n"/>
      <c r="EX30" s="84" t="inlineStr">
        <is>
          <t>早退</t>
        </is>
      </c>
      <c r="EY30" s="84" t="n"/>
      <c r="EZ30" s="84" t="n"/>
      <c r="FA30" s="84" t="n"/>
      <c r="FB30" s="84" t="n"/>
      <c r="FC30" s="84" t="n"/>
      <c r="FD30" s="84" t="n"/>
      <c r="FE30" s="84" t="n"/>
    </row>
    <row r="31" ht="59" customFormat="1" customHeight="1" s="54">
      <c r="A31" s="55" t="inlineStr">
        <is>
          <t>五楼</t>
        </is>
      </c>
      <c r="B31" s="56" t="inlineStr">
        <is>
          <t>李红波</t>
        </is>
      </c>
      <c r="C31" s="41" t="inlineStr">
        <is>
          <t>27</t>
        </is>
      </c>
      <c r="D31" s="41" t="n"/>
      <c r="E31" s="57" t="n"/>
      <c r="F31" s="115" t="n">
        <v>0.3472222222222222</v>
      </c>
      <c r="G31" s="58" t="n">
        <v>0.7361111111111112</v>
      </c>
      <c r="H31" s="83">
        <f>MOD(G31-F31,1)*24</f>
        <v/>
      </c>
      <c r="I31" s="57" t="n">
        <v>1</v>
      </c>
      <c r="J31" s="58" t="n">
        <v>0.3479166666666667</v>
      </c>
      <c r="K31" s="58" t="n">
        <v>0.7368055555555556</v>
      </c>
      <c r="L31" s="83">
        <f>MOD(K31-J31,1)*24</f>
        <v/>
      </c>
      <c r="M31" s="57" t="n">
        <v>1</v>
      </c>
      <c r="N31" s="58" t="n">
        <v>0.3451388888888889</v>
      </c>
      <c r="O31" s="58" t="n">
        <v>0.7368055555555556</v>
      </c>
      <c r="P31" s="83">
        <f>MOD(O31-N31,1)*24</f>
        <v/>
      </c>
      <c r="Q31" s="57" t="n">
        <v>1</v>
      </c>
      <c r="R31" s="58" t="n">
        <v>0.34375</v>
      </c>
      <c r="S31" s="58" t="n">
        <v>0.7368055555555556</v>
      </c>
      <c r="T31" s="83">
        <f>MOD(S31-R31,1)*24</f>
        <v/>
      </c>
      <c r="U31" s="57" t="n">
        <v>1</v>
      </c>
      <c r="V31" s="58" t="n"/>
      <c r="W31" s="58" t="n"/>
      <c r="X31" s="83" t="n"/>
      <c r="Y31" s="57" t="n"/>
      <c r="Z31" s="58" t="n">
        <v>0.34375</v>
      </c>
      <c r="AA31" s="60" t="n">
        <v>0.7375</v>
      </c>
      <c r="AB31" s="83">
        <f>MOD(AA31-Z31,1)*24</f>
        <v/>
      </c>
      <c r="AC31" s="41" t="n">
        <v>1</v>
      </c>
      <c r="AD31" s="116" t="n">
        <v>0.3486111111111111</v>
      </c>
      <c r="AE31" s="117" t="n">
        <v>0.7381944444444445</v>
      </c>
      <c r="AF31" s="83">
        <f>MOD(AE31-AD31,1)*24</f>
        <v/>
      </c>
      <c r="AG31" s="57" t="n">
        <v>1</v>
      </c>
      <c r="AH31" s="58" t="n">
        <v>0.3486111111111111</v>
      </c>
      <c r="AI31" s="58" t="n">
        <v>0.7375</v>
      </c>
      <c r="AJ31" s="83">
        <f>MOD(AI31-AH31,1)*24</f>
        <v/>
      </c>
      <c r="AK31" s="57" t="n">
        <v>1</v>
      </c>
      <c r="AL31" s="58" t="n"/>
      <c r="AM31" s="58" t="n"/>
      <c r="AN31" s="83" t="n"/>
      <c r="AO31" s="57" t="n"/>
      <c r="AP31" s="58" t="n">
        <v>0.3430555555555556</v>
      </c>
      <c r="AQ31" s="58" t="n">
        <v>0.7361111111111112</v>
      </c>
      <c r="AR31" s="83">
        <f>MOD(AQ31-AP31,1)*24</f>
        <v/>
      </c>
      <c r="AS31" s="57" t="n">
        <v>1</v>
      </c>
      <c r="AT31" s="58" t="n">
        <v>0.3444444444444444</v>
      </c>
      <c r="AU31" s="58" t="n">
        <v>0.7375</v>
      </c>
      <c r="AV31" s="83">
        <f>MOD(AU31-AT31,1)*24</f>
        <v/>
      </c>
      <c r="AW31" s="57" t="n">
        <v>1</v>
      </c>
      <c r="AX31" s="58" t="n">
        <v>0.3409722222222222</v>
      </c>
      <c r="AY31" s="58" t="n">
        <v>0.7361111111111112</v>
      </c>
      <c r="AZ31" s="83">
        <f>MOD(AY31-AX31,1)*24</f>
        <v/>
      </c>
      <c r="BA31" s="57" t="n">
        <v>1</v>
      </c>
      <c r="BB31" s="58" t="n">
        <v>0.3444444444444444</v>
      </c>
      <c r="BC31" s="60" t="n">
        <v>0.7368055555555556</v>
      </c>
      <c r="BD31" s="83">
        <f>MOD(BC31-BB31,1)*24</f>
        <v/>
      </c>
      <c r="BE31" s="41" t="n">
        <v>1</v>
      </c>
      <c r="BF31" s="116" t="n">
        <v>0.3423611111111111</v>
      </c>
      <c r="BG31" s="115" t="n">
        <v>0.7368055555555556</v>
      </c>
      <c r="BH31" s="83">
        <f>MOD(BG31-BF31,1)*24</f>
        <v/>
      </c>
      <c r="BI31" s="57" t="n">
        <v>1</v>
      </c>
      <c r="BJ31" s="58" t="n"/>
      <c r="BK31" s="58" t="n"/>
      <c r="BL31" s="83" t="n"/>
      <c r="BM31" s="57" t="n"/>
      <c r="BN31" s="58" t="n">
        <v>0.3479166666666667</v>
      </c>
      <c r="BO31" s="58" t="n">
        <v>0.7368055555555556</v>
      </c>
      <c r="BP31" s="83">
        <f>MOD(BO31-BN31,1)*24</f>
        <v/>
      </c>
      <c r="BQ31" s="57" t="n">
        <v>1</v>
      </c>
      <c r="BR31" s="58" t="n">
        <v>0.3479166666666667</v>
      </c>
      <c r="BS31" s="58" t="n">
        <v>0.7368055555555556</v>
      </c>
      <c r="BT31" s="83">
        <f>MOD(BS31-BR31,1)*24</f>
        <v/>
      </c>
      <c r="BU31" s="57" t="n">
        <v>1</v>
      </c>
      <c r="BV31" s="58" t="n">
        <v>0.3486111111111111</v>
      </c>
      <c r="BW31" s="60" t="n">
        <v>0.7368055555555556</v>
      </c>
      <c r="BX31" s="83">
        <f>MOD(BW31-BV31,1)*24</f>
        <v/>
      </c>
      <c r="BY31" s="41" t="n">
        <v>1</v>
      </c>
      <c r="BZ31" s="116" t="n">
        <v>0.3486111111111111</v>
      </c>
      <c r="CA31" s="116" t="n">
        <v>0.7368055555555556</v>
      </c>
      <c r="CB31" s="83">
        <f>MOD(CA31-BZ31,1)*24</f>
        <v/>
      </c>
      <c r="CC31" s="41" t="n">
        <v>1</v>
      </c>
      <c r="CD31" s="116" t="n"/>
      <c r="CE31" s="115" t="n"/>
      <c r="CF31" s="83" t="n"/>
      <c r="CG31" s="57" t="n"/>
      <c r="CH31" s="58" t="n">
        <v>0.3423611111111111</v>
      </c>
      <c r="CI31" s="58" t="n">
        <v>0.7375</v>
      </c>
      <c r="CJ31" s="83">
        <f>MOD(CI31-CH31,1)*24</f>
        <v/>
      </c>
      <c r="CK31" s="57" t="n">
        <v>1</v>
      </c>
      <c r="CL31" s="58" t="n">
        <v>0.3458333333333333</v>
      </c>
      <c r="CM31" s="58" t="n">
        <v>0.7375</v>
      </c>
      <c r="CN31" s="83">
        <f>MOD(CM31-CL31,1)*24</f>
        <v/>
      </c>
      <c r="CO31" s="57" t="n">
        <v>1</v>
      </c>
      <c r="CP31" s="58" t="n">
        <v>0.2784722222222222</v>
      </c>
      <c r="CQ31" s="58" t="n">
        <v>0.3451388888888889</v>
      </c>
      <c r="CR31" s="83">
        <f>MOD(CQ31-CP31,1)*24</f>
        <v/>
      </c>
      <c r="CS31" s="57" t="n">
        <v>0.5</v>
      </c>
      <c r="CT31" s="58" t="n">
        <v>0.3493055555555555</v>
      </c>
      <c r="CU31" s="58" t="n">
        <v>0.7402777777777778</v>
      </c>
      <c r="CV31" s="83">
        <f>MOD(CU31-CT31,1)*24</f>
        <v/>
      </c>
      <c r="CW31" s="57" t="n">
        <v>1</v>
      </c>
      <c r="CX31" s="58" t="n">
        <v>0.3493055555555555</v>
      </c>
      <c r="CY31" s="58" t="n">
        <v>0.7597222222222222</v>
      </c>
      <c r="CZ31" s="83">
        <f>MOD(CY31-CX31,1)*24</f>
        <v/>
      </c>
      <c r="DA31" s="57" t="n">
        <v>1</v>
      </c>
      <c r="DB31" s="58" t="n">
        <v>0.3451388888888889</v>
      </c>
      <c r="DC31" s="58" t="n">
        <v>0.5006944444444444</v>
      </c>
      <c r="DD31" s="83">
        <f>MOD(DC31-DB31,1)*24</f>
        <v/>
      </c>
      <c r="DE31" s="57" t="n">
        <v>0.5</v>
      </c>
      <c r="DF31" s="58" t="n">
        <v>0.35</v>
      </c>
      <c r="DG31" s="60" t="n">
        <v>0.7381944444444445</v>
      </c>
      <c r="DH31" s="83">
        <f>MOD(DG31-DF31,1)*24</f>
        <v/>
      </c>
      <c r="DI31" s="41" t="n">
        <v>1</v>
      </c>
      <c r="DJ31" s="116" t="n">
        <v>0.3458333333333333</v>
      </c>
      <c r="DK31" s="116" t="n">
        <v>0.7805555555555556</v>
      </c>
      <c r="DL31" s="83">
        <f>MOD(DK31-DJ31,1)*24</f>
        <v/>
      </c>
      <c r="DM31" s="41" t="n">
        <v>1</v>
      </c>
      <c r="DN31" s="58" t="n">
        <v>0.3493055555555555</v>
      </c>
      <c r="DO31" s="58" t="n">
        <v>0.7756944444444445</v>
      </c>
      <c r="DP31" s="83">
        <f>MOD(DO31-DN31,1)*24</f>
        <v/>
      </c>
      <c r="DQ31" s="57" t="n">
        <v>1</v>
      </c>
      <c r="DR31" s="61" t="n">
        <v>0.3486111111111111</v>
      </c>
      <c r="DS31" s="62" t="n">
        <v>0.8131944444444444</v>
      </c>
      <c r="DT31" s="83">
        <f>MOD(DS31-DR31,1)*24</f>
        <v/>
      </c>
      <c r="DU31" s="41" t="n">
        <v>1</v>
      </c>
      <c r="DV31" s="61">
        <f>SUM(H31,L31,P31,T31,X31,AB31,AF31,AJ31,AN31,AR31,AV31,AZ31,BD31,BH31,BL31,BP31,BT31,BX31,CB31,CF31,CJ31,CN31,CR31,CV31,CZ31,DD31,DH31,DL31,DP31,DT31)</f>
        <v/>
      </c>
      <c r="DW31" s="62">
        <f>SUM(I31,M31,Q31,U31,Y31,AC31,AG31,AK31,AO31,AS31,AW31,BA31,BE31,BI31,BM31,BQ31,BU31,BY31,CC31,CG31,CK31,CO31,CS31,CW31,DA31,DE31,DI31,DM31,DQ31,DU31)</f>
        <v/>
      </c>
      <c r="DX31" s="83" t="n"/>
      <c r="DY31" s="41" t="n"/>
      <c r="DZ31" s="84" t="n"/>
      <c r="EA31" s="84" t="n"/>
      <c r="EB31" s="84" t="n"/>
      <c r="EC31" s="84" t="n"/>
      <c r="ED31" s="84" t="n"/>
      <c r="EE31" s="84" t="n"/>
      <c r="EF31" s="84" t="n"/>
      <c r="EG31" s="84" t="n"/>
      <c r="EH31" s="84" t="n"/>
      <c r="EI31" s="84" t="n"/>
      <c r="EJ31" s="84" t="n"/>
      <c r="EK31" s="84" t="n"/>
      <c r="EL31" s="84" t="n"/>
      <c r="EM31" s="84" t="n"/>
      <c r="EN31" s="84" t="n"/>
      <c r="EO31" s="84" t="n"/>
      <c r="EP31" s="84" t="n"/>
      <c r="EQ31" s="84" t="n"/>
      <c r="ER31" s="84" t="n"/>
      <c r="ES31" s="84" t="n"/>
      <c r="ET31" s="84" t="n"/>
      <c r="EU31" s="84" t="n"/>
      <c r="EV31" s="84" t="n"/>
      <c r="EW31" s="84" t="n"/>
      <c r="EX31" s="84" t="inlineStr">
        <is>
          <t>早退</t>
        </is>
      </c>
      <c r="EY31" s="84" t="n"/>
      <c r="EZ31" s="84" t="n"/>
      <c r="FA31" s="84" t="inlineStr">
        <is>
          <t>早退</t>
        </is>
      </c>
      <c r="FB31" s="84" t="n"/>
      <c r="FC31" s="84" t="n"/>
      <c r="FD31" s="84" t="n"/>
      <c r="FE31" s="84" t="n"/>
    </row>
    <row r="32" ht="59" customFormat="1" customHeight="1" s="54">
      <c r="A32" s="55" t="inlineStr">
        <is>
          <t>五楼</t>
        </is>
      </c>
      <c r="B32" s="56" t="inlineStr">
        <is>
          <t>陈明会</t>
        </is>
      </c>
      <c r="C32" s="41" t="inlineStr">
        <is>
          <t>28</t>
        </is>
      </c>
      <c r="D32" s="41" t="n"/>
      <c r="E32" s="57" t="n"/>
      <c r="F32" s="115" t="n">
        <v>0.3388888888888889</v>
      </c>
      <c r="G32" s="58" t="n">
        <v>0.7402777777777778</v>
      </c>
      <c r="H32" s="83">
        <f>MOD(G32-F32,1)*24</f>
        <v/>
      </c>
      <c r="I32" s="57" t="n">
        <v>1</v>
      </c>
      <c r="J32" s="58" t="n">
        <v>0.3395833333333333</v>
      </c>
      <c r="K32" s="58" t="n">
        <v>0.7368055555555556</v>
      </c>
      <c r="L32" s="83">
        <f>MOD(K32-J32,1)*24</f>
        <v/>
      </c>
      <c r="M32" s="57" t="n">
        <v>1</v>
      </c>
      <c r="N32" s="58" t="n">
        <v>0.3430555555555556</v>
      </c>
      <c r="O32" s="58" t="n">
        <v>0.7555555555555555</v>
      </c>
      <c r="P32" s="83">
        <f>MOD(O32-N32,1)*24</f>
        <v/>
      </c>
      <c r="Q32" s="57" t="n">
        <v>1</v>
      </c>
      <c r="R32" s="58" t="n"/>
      <c r="S32" s="58" t="n"/>
      <c r="T32" s="83" t="n"/>
      <c r="U32" s="57" t="n"/>
      <c r="V32" s="58" t="n"/>
      <c r="W32" s="58" t="n"/>
      <c r="X32" s="83" t="n"/>
      <c r="Y32" s="57" t="n"/>
      <c r="Z32" s="58" t="n">
        <v>0.34375</v>
      </c>
      <c r="AA32" s="60" t="n">
        <v>0.7388888888888889</v>
      </c>
      <c r="AB32" s="83">
        <f>MOD(AA32-Z32,1)*24</f>
        <v/>
      </c>
      <c r="AC32" s="41" t="n">
        <v>1</v>
      </c>
      <c r="AD32" s="116" t="n">
        <v>0.3229166666666667</v>
      </c>
      <c r="AE32" s="117" t="n">
        <v>0.7402777777777778</v>
      </c>
      <c r="AF32" s="83">
        <f>MOD(AE32-AD32,1)*24</f>
        <v/>
      </c>
      <c r="AG32" s="57" t="n">
        <v>1</v>
      </c>
      <c r="AH32" s="58" t="n">
        <v>0.3347222222222222</v>
      </c>
      <c r="AI32" s="58" t="n">
        <v>0.7375</v>
      </c>
      <c r="AJ32" s="83">
        <f>MOD(AI32-AH32,1)*24</f>
        <v/>
      </c>
      <c r="AK32" s="57" t="n">
        <v>1</v>
      </c>
      <c r="AL32" s="58" t="n">
        <v>0.3395833333333333</v>
      </c>
      <c r="AM32" s="58" t="n">
        <v>0.7381944444444445</v>
      </c>
      <c r="AN32" s="83">
        <f>MOD(AM32-AL32,1)*24</f>
        <v/>
      </c>
      <c r="AO32" s="57" t="n">
        <v>1</v>
      </c>
      <c r="AP32" s="58" t="n">
        <v>0.3395833333333333</v>
      </c>
      <c r="AQ32" s="58" t="n">
        <v>0.7381944444444445</v>
      </c>
      <c r="AR32" s="83">
        <f>MOD(AQ32-AP32,1)*24</f>
        <v/>
      </c>
      <c r="AS32" s="57" t="n">
        <v>1</v>
      </c>
      <c r="AT32" s="58" t="n">
        <v>0.3333333333333333</v>
      </c>
      <c r="AU32" s="58" t="n">
        <v>0.7506944444444444</v>
      </c>
      <c r="AV32" s="83">
        <f>MOD(AU32-AT32,1)*24</f>
        <v/>
      </c>
      <c r="AW32" s="57" t="n">
        <v>1</v>
      </c>
      <c r="AX32" s="58" t="n"/>
      <c r="AY32" s="58" t="n"/>
      <c r="AZ32" s="83" t="n"/>
      <c r="BA32" s="57" t="n"/>
      <c r="BB32" s="58" t="n">
        <v>0.3347222222222222</v>
      </c>
      <c r="BC32" s="60" t="n">
        <v>0.7375</v>
      </c>
      <c r="BD32" s="83">
        <f>MOD(BC32-BB32,1)*24</f>
        <v/>
      </c>
      <c r="BE32" s="41" t="n">
        <v>1</v>
      </c>
      <c r="BF32" s="116" t="n">
        <v>0.3381944444444445</v>
      </c>
      <c r="BG32" s="115" t="n">
        <v>0.7416666666666667</v>
      </c>
      <c r="BH32" s="83">
        <f>MOD(BG32-BF32,1)*24</f>
        <v/>
      </c>
      <c r="BI32" s="57" t="n">
        <v>1</v>
      </c>
      <c r="BJ32" s="58" t="n">
        <v>0.3361111111111111</v>
      </c>
      <c r="BK32" s="58" t="n">
        <v>0.7375</v>
      </c>
      <c r="BL32" s="83">
        <f>MOD(BK32-BJ32,1)*24</f>
        <v/>
      </c>
      <c r="BM32" s="57" t="n">
        <v>1</v>
      </c>
      <c r="BN32" s="58" t="n">
        <v>0.3381944444444445</v>
      </c>
      <c r="BO32" s="58" t="n">
        <v>0.7402777777777778</v>
      </c>
      <c r="BP32" s="83">
        <f>MOD(BO32-BN32,1)*24</f>
        <v/>
      </c>
      <c r="BQ32" s="57" t="n">
        <v>1</v>
      </c>
      <c r="BR32" s="58" t="n"/>
      <c r="BS32" s="58" t="n"/>
      <c r="BT32" s="83" t="n"/>
      <c r="BU32" s="57" t="n"/>
      <c r="BV32" s="58" t="n">
        <v>0.3375</v>
      </c>
      <c r="BW32" s="60" t="n">
        <v>0.7381944444444445</v>
      </c>
      <c r="BX32" s="83">
        <f>MOD(BW32-BV32,1)*24</f>
        <v/>
      </c>
      <c r="BY32" s="41" t="n">
        <v>1</v>
      </c>
      <c r="BZ32" s="116" t="n">
        <v>0.3340277777777778</v>
      </c>
      <c r="CA32" s="116" t="n">
        <v>0.7375</v>
      </c>
      <c r="CB32" s="83">
        <f>MOD(CA32-BZ32,1)*24</f>
        <v/>
      </c>
      <c r="CC32" s="41" t="n">
        <v>1</v>
      </c>
      <c r="CD32" s="116" t="n">
        <v>0.3375</v>
      </c>
      <c r="CE32" s="115" t="n">
        <v>0.7388888888888889</v>
      </c>
      <c r="CF32" s="83">
        <f>MOD(CE32-CD32,1)*24</f>
        <v/>
      </c>
      <c r="CG32" s="57" t="n">
        <v>1</v>
      </c>
      <c r="CH32" s="58" t="n">
        <v>0.3354166666666666</v>
      </c>
      <c r="CI32" s="58" t="n">
        <v>0.7375</v>
      </c>
      <c r="CJ32" s="83">
        <f>MOD(CI32-CH32,1)*24</f>
        <v/>
      </c>
      <c r="CK32" s="57" t="n">
        <v>1</v>
      </c>
      <c r="CL32" s="58" t="n">
        <v>0.3222222222222222</v>
      </c>
      <c r="CM32" s="58" t="n">
        <v>0.7409722222222223</v>
      </c>
      <c r="CN32" s="83">
        <f>MOD(CM32-CL32,1)*24</f>
        <v/>
      </c>
      <c r="CO32" s="57" t="n">
        <v>1</v>
      </c>
      <c r="CP32" s="58" t="n">
        <v>0.3402777777777778</v>
      </c>
      <c r="CQ32" s="58" t="n">
        <v>0.7375</v>
      </c>
      <c r="CR32" s="83">
        <f>MOD(CQ32-CP32,1)*24</f>
        <v/>
      </c>
      <c r="CS32" s="57" t="n">
        <v>1</v>
      </c>
      <c r="CT32" s="58" t="n">
        <v>0.3416666666666667</v>
      </c>
      <c r="CU32" s="58" t="n">
        <v>0.7368055555555556</v>
      </c>
      <c r="CV32" s="83">
        <f>MOD(CU32-CT32,1)*24</f>
        <v/>
      </c>
      <c r="CW32" s="57" t="n">
        <v>1</v>
      </c>
      <c r="CX32" s="58" t="n">
        <v>0.3381944444444445</v>
      </c>
      <c r="CY32" s="58" t="n">
        <v>0.7402777777777778</v>
      </c>
      <c r="CZ32" s="83">
        <f>MOD(CY32-CX32,1)*24</f>
        <v/>
      </c>
      <c r="DA32" s="57" t="n">
        <v>1</v>
      </c>
      <c r="DB32" s="58" t="n"/>
      <c r="DC32" s="58" t="n"/>
      <c r="DD32" s="83" t="n"/>
      <c r="DE32" s="57" t="n"/>
      <c r="DF32" s="58" t="n">
        <v>0.3375</v>
      </c>
      <c r="DG32" s="60" t="n">
        <v>0.3493055555555555</v>
      </c>
      <c r="DH32" s="83">
        <f>MOD(DG32-DF32,1)*24</f>
        <v/>
      </c>
      <c r="DI32" s="41" t="n">
        <v>0.5</v>
      </c>
      <c r="DJ32" s="116" t="n">
        <v>0.3381944444444445</v>
      </c>
      <c r="DK32" s="116" t="n">
        <v>0.7368055555555556</v>
      </c>
      <c r="DL32" s="83">
        <f>MOD(DK32-DJ32,1)*24</f>
        <v/>
      </c>
      <c r="DM32" s="41" t="n">
        <v>1</v>
      </c>
      <c r="DN32" s="58" t="n">
        <v>0.3291666666666667</v>
      </c>
      <c r="DO32" s="58" t="n">
        <v>0.7388888888888889</v>
      </c>
      <c r="DP32" s="83">
        <f>MOD(DO32-DN32,1)*24</f>
        <v/>
      </c>
      <c r="DQ32" s="57" t="n">
        <v>1</v>
      </c>
      <c r="DR32" s="61" t="n">
        <v>0.3354166666666666</v>
      </c>
      <c r="DS32" s="62" t="n">
        <v>0.8743055555555556</v>
      </c>
      <c r="DT32" s="83">
        <f>MOD(DS32-DR32,1)*24</f>
        <v/>
      </c>
      <c r="DU32" s="41" t="n">
        <v>1</v>
      </c>
      <c r="DV32" s="61">
        <f>SUM(H32,L32,P32,T32,X32,AB32,AF32,AJ32,AN32,AR32,AV32,AZ32,BD32,BH32,BL32,BP32,BT32,BX32,CB32,CF32,CJ32,CN32,CR32,CV32,CZ32,DD32,DH32,DL32,DP32,DT32)</f>
        <v/>
      </c>
      <c r="DW32" s="62">
        <f>SUM(I32,M32,Q32,U32,Y32,AC32,AG32,AK32,AO32,AS32,AW32,BA32,BE32,BI32,BM32,BQ32,BU32,BY32,CC32,CG32,CK32,CO32,CS32,CW32,DA32,DE32,DI32,DM32,DQ32,DU32)</f>
        <v/>
      </c>
      <c r="DX32" s="83" t="n"/>
      <c r="DY32" s="41" t="n"/>
      <c r="DZ32" s="84" t="n"/>
      <c r="EA32" s="84" t="n"/>
      <c r="EB32" s="84" t="n"/>
      <c r="EC32" s="84" t="n"/>
      <c r="ED32" s="84" t="n"/>
      <c r="EE32" s="84" t="n"/>
      <c r="EF32" s="84" t="n"/>
      <c r="EG32" s="84" t="n"/>
      <c r="EH32" s="84" t="n"/>
      <c r="EI32" s="84" t="n"/>
      <c r="EJ32" s="84" t="n"/>
      <c r="EK32" s="84" t="n"/>
      <c r="EL32" s="84" t="n"/>
      <c r="EM32" s="84" t="n"/>
      <c r="EN32" s="84" t="n"/>
      <c r="EO32" s="84" t="n"/>
      <c r="EP32" s="84" t="n"/>
      <c r="EQ32" s="84" t="n"/>
      <c r="ER32" s="84" t="n"/>
      <c r="ES32" s="84" t="n"/>
      <c r="ET32" s="84" t="n"/>
      <c r="EU32" s="84" t="n"/>
      <c r="EV32" s="84" t="n"/>
      <c r="EW32" s="84" t="n"/>
      <c r="EX32" s="84" t="n"/>
      <c r="EY32" s="84" t="n"/>
      <c r="EZ32" s="84" t="n"/>
      <c r="FA32" s="84" t="n"/>
      <c r="FB32" s="84" t="n"/>
      <c r="FC32" s="84" t="n"/>
      <c r="FD32" s="84" t="n"/>
      <c r="FE32" s="84" t="n"/>
    </row>
    <row r="33" ht="59" customFormat="1" customHeight="1" s="54">
      <c r="A33" s="55" t="inlineStr">
        <is>
          <t>五楼</t>
        </is>
      </c>
      <c r="B33" s="56" t="inlineStr">
        <is>
          <t>陈明会</t>
        </is>
      </c>
      <c r="C33" s="41" t="inlineStr">
        <is>
          <t>28</t>
        </is>
      </c>
      <c r="D33" s="41" t="n"/>
      <c r="E33" s="57" t="n"/>
      <c r="F33" s="115" t="n"/>
      <c r="G33" s="58" t="n"/>
      <c r="H33" s="83" t="n"/>
      <c r="I33" s="57" t="n"/>
      <c r="J33" s="58" t="n"/>
      <c r="K33" s="58" t="n"/>
      <c r="L33" s="83" t="n"/>
      <c r="M33" s="57" t="n"/>
      <c r="N33" s="58" t="n"/>
      <c r="O33" s="58" t="n"/>
      <c r="P33" s="83" t="n"/>
      <c r="Q33" s="57" t="n"/>
      <c r="R33" s="58" t="n"/>
      <c r="S33" s="58" t="n"/>
      <c r="T33" s="83" t="n"/>
      <c r="U33" s="57" t="n"/>
      <c r="V33" s="58" t="n"/>
      <c r="W33" s="58" t="n"/>
      <c r="X33" s="83" t="n"/>
      <c r="Y33" s="57" t="n"/>
      <c r="Z33" s="58" t="n"/>
      <c r="AA33" s="60" t="n"/>
      <c r="AB33" s="83" t="n"/>
      <c r="AC33" s="41" t="n"/>
      <c r="AD33" s="116" t="n"/>
      <c r="AE33" s="117" t="n"/>
      <c r="AF33" s="83" t="n"/>
      <c r="AG33" s="57" t="n"/>
      <c r="AH33" s="58" t="n"/>
      <c r="AI33" s="58" t="n"/>
      <c r="AJ33" s="83" t="n"/>
      <c r="AK33" s="57" t="n"/>
      <c r="AL33" s="58" t="n"/>
      <c r="AM33" s="58" t="n"/>
      <c r="AN33" s="83" t="n"/>
      <c r="AO33" s="57" t="n"/>
      <c r="AP33" s="58" t="n"/>
      <c r="AQ33" s="58" t="n"/>
      <c r="AR33" s="83" t="n"/>
      <c r="AS33" s="57" t="n"/>
      <c r="AT33" s="58" t="n"/>
      <c r="AU33" s="58" t="n"/>
      <c r="AV33" s="83" t="n"/>
      <c r="AW33" s="57" t="n"/>
      <c r="AX33" s="58" t="n"/>
      <c r="AY33" s="58" t="n"/>
      <c r="AZ33" s="83" t="n"/>
      <c r="BA33" s="57" t="n"/>
      <c r="BB33" s="58" t="n"/>
      <c r="BC33" s="60" t="n"/>
      <c r="BD33" s="83" t="n"/>
      <c r="BE33" s="41" t="n"/>
      <c r="BF33" s="116" t="n"/>
      <c r="BG33" s="115" t="n"/>
      <c r="BH33" s="83" t="n"/>
      <c r="BI33" s="57" t="n"/>
      <c r="BJ33" s="58" t="n"/>
      <c r="BK33" s="58" t="n"/>
      <c r="BL33" s="83" t="n"/>
      <c r="BM33" s="57" t="n"/>
      <c r="BN33" s="58" t="n"/>
      <c r="BO33" s="58" t="n"/>
      <c r="BP33" s="83" t="n"/>
      <c r="BQ33" s="57" t="n"/>
      <c r="BR33" s="58" t="n"/>
      <c r="BS33" s="58" t="n"/>
      <c r="BT33" s="83" t="n"/>
      <c r="BU33" s="57" t="n"/>
      <c r="BV33" s="58" t="n"/>
      <c r="BW33" s="60" t="n"/>
      <c r="BX33" s="83" t="n"/>
      <c r="BY33" s="41" t="n"/>
      <c r="BZ33" s="41" t="n"/>
      <c r="CA33" s="41" t="n"/>
      <c r="CB33" s="83" t="n"/>
      <c r="CC33" s="41" t="n"/>
      <c r="CD33" s="116" t="n"/>
      <c r="CE33" s="115" t="n"/>
      <c r="CF33" s="83" t="n"/>
      <c r="CG33" s="57" t="n"/>
      <c r="CH33" s="58" t="n"/>
      <c r="CI33" s="58" t="n"/>
      <c r="CJ33" s="83" t="n"/>
      <c r="CK33" s="57" t="n"/>
      <c r="CL33" s="58" t="n"/>
      <c r="CM33" s="58" t="n"/>
      <c r="CN33" s="83" t="n"/>
      <c r="CO33" s="57" t="n"/>
      <c r="CP33" s="58" t="n"/>
      <c r="CQ33" s="58" t="n"/>
      <c r="CR33" s="83" t="n"/>
      <c r="CS33" s="57" t="n"/>
      <c r="CT33" s="58" t="n"/>
      <c r="CU33" s="58" t="n"/>
      <c r="CV33" s="83" t="n"/>
      <c r="CW33" s="57" t="n"/>
      <c r="CX33" s="58" t="n"/>
      <c r="CY33" s="58" t="n"/>
      <c r="CZ33" s="83" t="n"/>
      <c r="DA33" s="57" t="n"/>
      <c r="DB33" s="58" t="n"/>
      <c r="DC33" s="58" t="n"/>
      <c r="DD33" s="83" t="n"/>
      <c r="DE33" s="57" t="n"/>
      <c r="DF33" s="58" t="n">
        <v>0.7479166666666667</v>
      </c>
      <c r="DG33" s="60" t="n"/>
      <c r="DH33" s="83" t="n"/>
      <c r="DI33" s="41" t="n">
        <v>0.5</v>
      </c>
      <c r="DJ33" s="116" t="n"/>
      <c r="DK33" s="116" t="n"/>
      <c r="DL33" s="83" t="n"/>
      <c r="DM33" s="41" t="n"/>
      <c r="DN33" s="58" t="n"/>
      <c r="DO33" s="58" t="n"/>
      <c r="DP33" s="83" t="n"/>
      <c r="DQ33" s="57" t="n"/>
      <c r="DR33" s="61" t="n"/>
      <c r="DS33" s="62" t="n"/>
      <c r="DT33" s="83" t="n"/>
      <c r="DU33" s="41" t="n"/>
      <c r="DV33" s="61">
        <f>SUM(H33,L33,P33,T33,X33,AB33,AF33,AJ33,AN33,AR33,AV33,AZ33,BD33,BH33,BL33,BP33,BT33,BX33,CB33,CF33,CJ33,CN33,CR33,CV33,CZ33,DD33,DH33,DL33,DP33,DT33)</f>
        <v/>
      </c>
      <c r="DW33" s="62">
        <f>SUM(I33,M33,Q33,U33,Y33,AC33,AG33,AK33,AO33,AS33,AW33,BA33,BE33,BI33,BM33,BQ33,BU33,BY33,CC33,CG33,CK33,CO33,CS33,CW33,DA33,DE33,DI33,DM33,DQ33,DU33)</f>
        <v/>
      </c>
      <c r="DX33" s="83" t="n"/>
      <c r="DY33" s="41" t="n"/>
      <c r="DZ33" s="84" t="n"/>
      <c r="EA33" s="84" t="n"/>
      <c r="EB33" s="84" t="n"/>
      <c r="EC33" s="84" t="n"/>
      <c r="ED33" s="84" t="n"/>
      <c r="EE33" s="84" t="n"/>
      <c r="EF33" s="84" t="n"/>
      <c r="EG33" s="84" t="n"/>
      <c r="EH33" s="84" t="n"/>
      <c r="EI33" s="84" t="n"/>
      <c r="EJ33" s="84" t="n"/>
      <c r="EK33" s="84" t="n"/>
      <c r="EL33" s="84" t="n"/>
      <c r="EM33" s="84" t="n"/>
      <c r="EN33" s="84" t="n"/>
      <c r="EO33" s="84" t="n"/>
      <c r="EP33" s="84" t="n"/>
      <c r="EQ33" s="84" t="n"/>
      <c r="ER33" s="84" t="n"/>
      <c r="ES33" s="84" t="n"/>
      <c r="ET33" s="84" t="n"/>
      <c r="EU33" s="84" t="n"/>
      <c r="EV33" s="84" t="n"/>
      <c r="EW33" s="84" t="n"/>
      <c r="EX33" s="84" t="n"/>
      <c r="EY33" s="84" t="n"/>
      <c r="EZ33" s="84" t="n"/>
      <c r="FA33" s="84" t="n"/>
      <c r="FB33" s="84" t="n"/>
      <c r="FC33" s="84" t="n"/>
      <c r="FD33" s="84" t="n"/>
      <c r="FE33" s="84" t="n"/>
    </row>
    <row r="34" ht="59" customFormat="1" customHeight="1" s="54">
      <c r="A34" s="55" t="inlineStr">
        <is>
          <t>五楼</t>
        </is>
      </c>
      <c r="B34" s="56" t="inlineStr">
        <is>
          <t>张金彬</t>
        </is>
      </c>
      <c r="C34" s="41" t="inlineStr">
        <is>
          <t>29</t>
        </is>
      </c>
      <c r="D34" s="41" t="n"/>
      <c r="E34" s="57" t="n"/>
      <c r="F34" s="115" t="n">
        <v>0.35</v>
      </c>
      <c r="G34" s="58" t="n">
        <v>0.7409722222222223</v>
      </c>
      <c r="H34" s="83">
        <f>MOD(G34-F34,1)*24</f>
        <v/>
      </c>
      <c r="I34" s="57" t="n">
        <v>1</v>
      </c>
      <c r="J34" s="58" t="n">
        <v>0.35</v>
      </c>
      <c r="K34" s="58" t="n">
        <v>0.7368055555555556</v>
      </c>
      <c r="L34" s="83">
        <f>MOD(K34-J34,1)*24</f>
        <v/>
      </c>
      <c r="M34" s="57" t="n">
        <v>1</v>
      </c>
      <c r="N34" s="58" t="n">
        <v>0.3479166666666667</v>
      </c>
      <c r="O34" s="58" t="n">
        <v>0.74375</v>
      </c>
      <c r="P34" s="83">
        <f>MOD(O34-N34,1)*24</f>
        <v/>
      </c>
      <c r="Q34" s="57" t="n">
        <v>1</v>
      </c>
      <c r="R34" s="58" t="n"/>
      <c r="S34" s="58" t="n"/>
      <c r="T34" s="83" t="n"/>
      <c r="U34" s="57" t="n"/>
      <c r="V34" s="58" t="n"/>
      <c r="W34" s="58" t="n"/>
      <c r="X34" s="83" t="n"/>
      <c r="Y34" s="57" t="n"/>
      <c r="Z34" s="58" t="n">
        <v>0.3527777777777778</v>
      </c>
      <c r="AA34" s="60" t="n">
        <v>0.7423611111111111</v>
      </c>
      <c r="AB34" s="83">
        <f>MOD(AA34-Z34,1)*24</f>
        <v/>
      </c>
      <c r="AC34" s="41" t="n">
        <v>1</v>
      </c>
      <c r="AD34" s="116" t="n">
        <v>0.3506944444444444</v>
      </c>
      <c r="AE34" s="117" t="n">
        <v>0.7388888888888889</v>
      </c>
      <c r="AF34" s="83">
        <f>MOD(AE34-AD34,1)*24</f>
        <v/>
      </c>
      <c r="AG34" s="57" t="n">
        <v>1</v>
      </c>
      <c r="AH34" s="58" t="n">
        <v>0.3513888888888889</v>
      </c>
      <c r="AI34" s="58" t="n">
        <v>0.7527777777777778</v>
      </c>
      <c r="AJ34" s="83">
        <f>MOD(AI34-AH34,1)*24</f>
        <v/>
      </c>
      <c r="AK34" s="57" t="n">
        <v>1</v>
      </c>
      <c r="AL34" s="58" t="n">
        <v>0.3479166666666667</v>
      </c>
      <c r="AM34" s="58" t="n">
        <v>0.7513888888888889</v>
      </c>
      <c r="AN34" s="83">
        <f>MOD(AM34-AL34,1)*24</f>
        <v/>
      </c>
      <c r="AO34" s="57" t="n">
        <v>1</v>
      </c>
      <c r="AP34" s="58" t="n">
        <v>0.3493055555555555</v>
      </c>
      <c r="AQ34" s="58" t="n">
        <v>0.7444444444444445</v>
      </c>
      <c r="AR34" s="83">
        <f>MOD(AQ34-AP34,1)*24</f>
        <v/>
      </c>
      <c r="AS34" s="57" t="n">
        <v>1</v>
      </c>
      <c r="AT34" s="58" t="n">
        <v>0.3506944444444444</v>
      </c>
      <c r="AU34" s="58" t="n">
        <v>0.7402777777777778</v>
      </c>
      <c r="AV34" s="83">
        <f>MOD(AU34-AT34,1)*24</f>
        <v/>
      </c>
      <c r="AW34" s="57" t="n">
        <v>1</v>
      </c>
      <c r="AX34" s="58" t="n"/>
      <c r="AY34" s="58" t="n"/>
      <c r="AZ34" s="83" t="n"/>
      <c r="BA34" s="57" t="n"/>
      <c r="BB34" s="58" t="n">
        <v>0.3520833333333334</v>
      </c>
      <c r="BC34" s="60" t="n"/>
      <c r="BD34" s="83" t="n"/>
      <c r="BE34" s="41" t="n">
        <v>0.5</v>
      </c>
      <c r="BF34" s="116" t="n">
        <v>0.3493055555555555</v>
      </c>
      <c r="BG34" s="115" t="n">
        <v>0.7416666666666667</v>
      </c>
      <c r="BH34" s="83">
        <f>MOD(BG34-BF34,1)*24</f>
        <v/>
      </c>
      <c r="BI34" s="57" t="n">
        <v>1</v>
      </c>
      <c r="BJ34" s="58" t="n">
        <v>0.3465277777777778</v>
      </c>
      <c r="BK34" s="58" t="n">
        <v>0.7430555555555556</v>
      </c>
      <c r="BL34" s="83">
        <f>MOD(BK34-BJ34,1)*24</f>
        <v/>
      </c>
      <c r="BM34" s="57" t="n">
        <v>1</v>
      </c>
      <c r="BN34" s="58" t="n">
        <v>0.3479166666666667</v>
      </c>
      <c r="BO34" s="58" t="n">
        <v>0.7375</v>
      </c>
      <c r="BP34" s="83">
        <f>MOD(BO34-BN34,1)*24</f>
        <v/>
      </c>
      <c r="BQ34" s="57" t="n">
        <v>1</v>
      </c>
      <c r="BR34" s="58" t="n">
        <v>0.3506944444444444</v>
      </c>
      <c r="BS34" s="58" t="n">
        <v>0.7729166666666667</v>
      </c>
      <c r="BT34" s="83">
        <f>MOD(BS34-BR34,1)*24</f>
        <v/>
      </c>
      <c r="BU34" s="57" t="n">
        <v>1</v>
      </c>
      <c r="BV34" s="58" t="n">
        <v>0.3479166666666667</v>
      </c>
      <c r="BW34" s="60" t="n">
        <v>0.7388888888888889</v>
      </c>
      <c r="BX34" s="83">
        <f>MOD(BW34-BV34,1)*24</f>
        <v/>
      </c>
      <c r="BY34" s="41" t="n">
        <v>1</v>
      </c>
      <c r="BZ34" s="116" t="n">
        <v>0.3458333333333333</v>
      </c>
      <c r="CA34" s="116" t="n">
        <v>0.4888888888888889</v>
      </c>
      <c r="CB34" s="83">
        <f>MOD(CA34-BZ34,1)*24</f>
        <v/>
      </c>
      <c r="CC34" s="41" t="n">
        <v>0.5</v>
      </c>
      <c r="CD34" s="116" t="n">
        <v>0.3486111111111111</v>
      </c>
      <c r="CE34" s="115" t="n">
        <v>0.7368055555555556</v>
      </c>
      <c r="CF34" s="83">
        <f>MOD(CE34-CD34,1)*24</f>
        <v/>
      </c>
      <c r="CG34" s="57" t="n">
        <v>1</v>
      </c>
      <c r="CH34" s="58" t="n">
        <v>0.3486111111111111</v>
      </c>
      <c r="CI34" s="58" t="n">
        <v>0.7513888888888889</v>
      </c>
      <c r="CJ34" s="83">
        <f>MOD(CI34-CH34,1)*24</f>
        <v/>
      </c>
      <c r="CK34" s="57" t="n">
        <v>1</v>
      </c>
      <c r="CL34" s="58" t="n">
        <v>0.35</v>
      </c>
      <c r="CM34" s="58" t="n">
        <v>0.7388888888888889</v>
      </c>
      <c r="CN34" s="83">
        <f>MOD(CM34-CL34,1)*24</f>
        <v/>
      </c>
      <c r="CO34" s="57" t="n">
        <v>1</v>
      </c>
      <c r="CP34" s="58" t="n">
        <v>0.3479166666666667</v>
      </c>
      <c r="CQ34" s="58" t="n">
        <v>0.7638888888888888</v>
      </c>
      <c r="CR34" s="83">
        <f>MOD(CQ34-CP34,1)*24</f>
        <v/>
      </c>
      <c r="CS34" s="57" t="n">
        <v>1</v>
      </c>
      <c r="CT34" s="58" t="n">
        <v>0.3451388888888889</v>
      </c>
      <c r="CU34" s="58" t="n">
        <v>0.8548611111111111</v>
      </c>
      <c r="CV34" s="83">
        <f>MOD(CU34-CT34,1)*24</f>
        <v/>
      </c>
      <c r="CW34" s="57" t="n">
        <v>1</v>
      </c>
      <c r="CX34" s="58" t="n">
        <v>0.3479166666666667</v>
      </c>
      <c r="CY34" s="58" t="n">
        <v>0.8548611111111111</v>
      </c>
      <c r="CZ34" s="83">
        <f>MOD(CY34-CX34,1)*24</f>
        <v/>
      </c>
      <c r="DA34" s="57" t="n">
        <v>1</v>
      </c>
      <c r="DB34" s="58" t="n"/>
      <c r="DC34" s="58" t="n"/>
      <c r="DD34" s="83" t="n"/>
      <c r="DE34" s="57" t="n"/>
      <c r="DF34" s="58" t="n">
        <v>0.3506944444444444</v>
      </c>
      <c r="DG34" s="60" t="n">
        <v>0.8472222222222222</v>
      </c>
      <c r="DH34" s="83">
        <f>MOD(DG34-DF34,1)*24</f>
        <v/>
      </c>
      <c r="DI34" s="41" t="n">
        <v>1</v>
      </c>
      <c r="DJ34" s="116" t="n">
        <v>0.35</v>
      </c>
      <c r="DK34" s="116" t="n">
        <v>0.7402777777777778</v>
      </c>
      <c r="DL34" s="83">
        <f>MOD(DK34-DJ34,1)*24</f>
        <v/>
      </c>
      <c r="DM34" s="41" t="n">
        <v>1</v>
      </c>
      <c r="DN34" s="58" t="n">
        <v>0.3486111111111111</v>
      </c>
      <c r="DO34" s="58" t="n">
        <v>0.7395833333333334</v>
      </c>
      <c r="DP34" s="83">
        <f>MOD(DO34-DN34,1)*24</f>
        <v/>
      </c>
      <c r="DQ34" s="57" t="n">
        <v>1</v>
      </c>
      <c r="DR34" s="61" t="n">
        <v>0.3458333333333333</v>
      </c>
      <c r="DS34" s="62" t="n">
        <v>0.7451388888888889</v>
      </c>
      <c r="DT34" s="83">
        <f>MOD(DS34-DR34,1)*24</f>
        <v/>
      </c>
      <c r="DU34" s="41" t="n">
        <v>1</v>
      </c>
      <c r="DV34" s="61">
        <f>SUM(H34,L34,P34,T34,X34,AB34,AF34,AJ34,AN34,AR34,AV34,AZ34,BD34,BH34,BL34,BP34,BT34,BX34,CB34,CF34,CJ34,CN34,CR34,CV34,CZ34,DD34,DH34,DL34,DP34,DT34)</f>
        <v/>
      </c>
      <c r="DW34" s="62">
        <f>SUM(I34,M34,Q34,U34,Y34,AC34,AG34,AK34,AO34,AS34,AW34,BA34,BE34,BI34,BM34,BQ34,BU34,BY34,CC34,CG34,CK34,CO34,CS34,CW34,DA34,DE34,DI34,DM34,DQ34,DU34)</f>
        <v/>
      </c>
      <c r="DX34" s="83" t="n"/>
      <c r="DY34" s="41" t="n"/>
      <c r="DZ34" s="84" t="n"/>
      <c r="EA34" s="84" t="n"/>
      <c r="EB34" s="84" t="n"/>
      <c r="EC34" s="84" t="n"/>
      <c r="ED34" s="84" t="n"/>
      <c r="EE34" s="84" t="n"/>
      <c r="EF34" s="84" t="n"/>
      <c r="EG34" s="84" t="n"/>
      <c r="EH34" s="84" t="n"/>
      <c r="EI34" s="84" t="n"/>
      <c r="EJ34" s="84" t="n"/>
      <c r="EK34" s="84" t="n"/>
      <c r="EL34" s="84" t="n"/>
      <c r="EM34" s="84" t="n"/>
      <c r="EN34" s="84" t="inlineStr">
        <is>
          <t>只打一次卡</t>
        </is>
      </c>
      <c r="EO34" s="84" t="n"/>
      <c r="EP34" s="84" t="n"/>
      <c r="EQ34" s="84" t="n"/>
      <c r="ER34" s="84" t="n"/>
      <c r="ES34" s="84" t="n"/>
      <c r="ET34" s="84" t="inlineStr">
        <is>
          <t>早退</t>
        </is>
      </c>
      <c r="EU34" s="84" t="n"/>
      <c r="EV34" s="84" t="n"/>
      <c r="EW34" s="84" t="n"/>
      <c r="EX34" s="84" t="n"/>
      <c r="EY34" s="84" t="n"/>
      <c r="EZ34" s="84" t="n"/>
      <c r="FA34" s="84" t="n"/>
      <c r="FB34" s="84" t="n"/>
      <c r="FC34" s="84" t="n"/>
      <c r="FD34" s="84" t="n"/>
      <c r="FE34" s="84" t="n"/>
    </row>
    <row r="35" ht="59" customFormat="1" customHeight="1" s="54">
      <c r="A35" s="55" t="inlineStr">
        <is>
          <t>五楼</t>
        </is>
      </c>
      <c r="B35" s="56" t="inlineStr">
        <is>
          <t>刘建君</t>
        </is>
      </c>
      <c r="C35" s="41" t="inlineStr">
        <is>
          <t>30</t>
        </is>
      </c>
      <c r="D35" s="41" t="n"/>
      <c r="E35" s="57" t="n"/>
      <c r="F35" s="115" t="n">
        <v>0.3541666666666667</v>
      </c>
      <c r="G35" s="58" t="n">
        <v>0.7423611111111111</v>
      </c>
      <c r="H35" s="83">
        <f>MOD(G35-F35,1)*24</f>
        <v/>
      </c>
      <c r="I35" s="57" t="n">
        <v>1</v>
      </c>
      <c r="J35" s="58" t="n">
        <v>0.3541666666666667</v>
      </c>
      <c r="K35" s="58" t="n">
        <v>0.7375</v>
      </c>
      <c r="L35" s="83">
        <f>MOD(K35-J35,1)*24</f>
        <v/>
      </c>
      <c r="M35" s="57" t="n">
        <v>1</v>
      </c>
      <c r="N35" s="58" t="n">
        <v>0.3465277777777778</v>
      </c>
      <c r="O35" s="58" t="n">
        <v>0.7395833333333334</v>
      </c>
      <c r="P35" s="83">
        <f>MOD(O35-N35,1)*24</f>
        <v/>
      </c>
      <c r="Q35" s="57" t="n">
        <v>1</v>
      </c>
      <c r="R35" s="58" t="n">
        <v>0.3534722222222222</v>
      </c>
      <c r="S35" s="58" t="n">
        <v>0.5270833333333333</v>
      </c>
      <c r="T35" s="83">
        <f>MOD(S35-R35,1)*24</f>
        <v/>
      </c>
      <c r="U35" s="57" t="n">
        <v>0.5</v>
      </c>
      <c r="V35" s="58" t="n"/>
      <c r="W35" s="58" t="n"/>
      <c r="X35" s="83" t="n"/>
      <c r="Y35" s="57" t="n"/>
      <c r="Z35" s="58" t="n">
        <v>0.3465277777777778</v>
      </c>
      <c r="AA35" s="60" t="n">
        <v>0.7395833333333334</v>
      </c>
      <c r="AB35" s="83">
        <f>MOD(AA35-Z35,1)*24</f>
        <v/>
      </c>
      <c r="AC35" s="41" t="n">
        <v>1</v>
      </c>
      <c r="AD35" s="116" t="n">
        <v>0.3541666666666667</v>
      </c>
      <c r="AE35" s="117" t="n"/>
      <c r="AF35" s="83" t="n"/>
      <c r="AG35" s="57" t="n">
        <v>0.5</v>
      </c>
      <c r="AH35" s="58" t="n">
        <v>0.3486111111111111</v>
      </c>
      <c r="AI35" s="58" t="n">
        <v>0.7506944444444444</v>
      </c>
      <c r="AJ35" s="83">
        <f>MOD(AI35-AH35,1)*24</f>
        <v/>
      </c>
      <c r="AK35" s="57" t="n">
        <v>1</v>
      </c>
      <c r="AL35" s="58" t="n">
        <v>0.3520833333333334</v>
      </c>
      <c r="AM35" s="58" t="n">
        <v>0.7368055555555556</v>
      </c>
      <c r="AN35" s="83">
        <f>MOD(AM35-AL35,1)*24</f>
        <v/>
      </c>
      <c r="AO35" s="57" t="n">
        <v>1</v>
      </c>
      <c r="AP35" s="58" t="n">
        <v>0.3472222222222222</v>
      </c>
      <c r="AQ35" s="58" t="n">
        <v>0.7381944444444445</v>
      </c>
      <c r="AR35" s="83">
        <f>MOD(AQ35-AP35,1)*24</f>
        <v/>
      </c>
      <c r="AS35" s="57" t="n">
        <v>1</v>
      </c>
      <c r="AT35" s="58" t="n">
        <v>0.3520833333333334</v>
      </c>
      <c r="AU35" s="58" t="n">
        <v>0.74375</v>
      </c>
      <c r="AV35" s="83">
        <f>MOD(AU35-AT35,1)*24</f>
        <v/>
      </c>
      <c r="AW35" s="57" t="n">
        <v>1</v>
      </c>
      <c r="AX35" s="58" t="n"/>
      <c r="AY35" s="58" t="n"/>
      <c r="AZ35" s="83" t="n"/>
      <c r="BA35" s="57" t="n"/>
      <c r="BB35" s="58" t="n">
        <v>0.3527777777777778</v>
      </c>
      <c r="BC35" s="60" t="n">
        <v>0.7388888888888889</v>
      </c>
      <c r="BD35" s="83">
        <f>MOD(BC35-BB35,1)*24</f>
        <v/>
      </c>
      <c r="BE35" s="41" t="n">
        <v>1</v>
      </c>
      <c r="BF35" s="116" t="n">
        <v>0.3541666666666667</v>
      </c>
      <c r="BG35" s="115" t="n">
        <v>0.7375</v>
      </c>
      <c r="BH35" s="83">
        <f>MOD(BG35-BF35,1)*24</f>
        <v/>
      </c>
      <c r="BI35" s="57" t="n">
        <v>1</v>
      </c>
      <c r="BJ35" s="58" t="n">
        <v>0.3527777777777778</v>
      </c>
      <c r="BK35" s="58" t="n">
        <v>0.7368055555555556</v>
      </c>
      <c r="BL35" s="83">
        <f>MOD(BK35-BJ35,1)*24</f>
        <v/>
      </c>
      <c r="BM35" s="57" t="n">
        <v>1</v>
      </c>
      <c r="BN35" s="58" t="n">
        <v>0.3527777777777778</v>
      </c>
      <c r="BO35" s="58" t="n">
        <v>0.7381944444444445</v>
      </c>
      <c r="BP35" s="83">
        <f>MOD(BO35-BN35,1)*24</f>
        <v/>
      </c>
      <c r="BQ35" s="57" t="n">
        <v>1</v>
      </c>
      <c r="BR35" s="58" t="n">
        <v>0.35625</v>
      </c>
      <c r="BS35" s="58" t="n">
        <v>0.7444444444444445</v>
      </c>
      <c r="BT35" s="83">
        <f>MOD(BS35-BR35,1)*24</f>
        <v/>
      </c>
      <c r="BU35" s="57" t="n">
        <v>1</v>
      </c>
      <c r="BV35" s="58" t="n">
        <v>0.3534722222222222</v>
      </c>
      <c r="BW35" s="60" t="n">
        <v>0.7368055555555556</v>
      </c>
      <c r="BX35" s="83">
        <f>MOD(BW35-BV35,1)*24</f>
        <v/>
      </c>
      <c r="BY35" s="41" t="n">
        <v>1</v>
      </c>
      <c r="BZ35" s="41" t="n"/>
      <c r="CA35" s="41" t="n"/>
      <c r="CB35" s="83" t="n"/>
      <c r="CC35" s="41" t="n"/>
      <c r="CD35" s="116" t="n">
        <v>0.3506944444444444</v>
      </c>
      <c r="CE35" s="115" t="n">
        <v>0.7381944444444445</v>
      </c>
      <c r="CF35" s="83">
        <f>MOD(CE35-CD35,1)*24</f>
        <v/>
      </c>
      <c r="CG35" s="57" t="n">
        <v>1</v>
      </c>
      <c r="CH35" s="58" t="n">
        <v>0.3458333333333333</v>
      </c>
      <c r="CI35" s="58" t="n">
        <v>0.7361111111111112</v>
      </c>
      <c r="CJ35" s="83">
        <f>MOD(CI35-CH35,1)*24</f>
        <v/>
      </c>
      <c r="CK35" s="57" t="n">
        <v>1</v>
      </c>
      <c r="CL35" s="58" t="n">
        <v>0.7368055555555556</v>
      </c>
      <c r="CM35" s="58" t="n"/>
      <c r="CN35" s="83" t="n"/>
      <c r="CO35" s="57" t="n">
        <v>0.5</v>
      </c>
      <c r="CP35" s="58" t="n">
        <v>0.35</v>
      </c>
      <c r="CQ35" s="58" t="n">
        <v>0.7395833333333334</v>
      </c>
      <c r="CR35" s="83">
        <f>MOD(CQ35-CP35,1)*24</f>
        <v/>
      </c>
      <c r="CS35" s="57" t="n">
        <v>1</v>
      </c>
      <c r="CT35" s="58" t="n">
        <v>0.3541666666666667</v>
      </c>
      <c r="CU35" s="58" t="n">
        <v>0.7375</v>
      </c>
      <c r="CV35" s="83">
        <f>MOD(CU35-CT35,1)*24</f>
        <v/>
      </c>
      <c r="CW35" s="57" t="n">
        <v>1</v>
      </c>
      <c r="CX35" s="58" t="n">
        <v>0.3465277777777778</v>
      </c>
      <c r="CY35" s="58" t="n">
        <v>0.7402777777777778</v>
      </c>
      <c r="CZ35" s="83">
        <f>MOD(CY35-CX35,1)*24</f>
        <v/>
      </c>
      <c r="DA35" s="57" t="n">
        <v>1</v>
      </c>
      <c r="DB35" s="58" t="n"/>
      <c r="DC35" s="58" t="n"/>
      <c r="DD35" s="83" t="n"/>
      <c r="DE35" s="57" t="n"/>
      <c r="DF35" s="58" t="n">
        <v>0.3506944444444444</v>
      </c>
      <c r="DG35" s="60" t="n">
        <v>0.7479166666666667</v>
      </c>
      <c r="DH35" s="83">
        <f>MOD(DG35-DF35,1)*24</f>
        <v/>
      </c>
      <c r="DI35" s="41" t="n">
        <v>1</v>
      </c>
      <c r="DJ35" s="116" t="n">
        <v>0.7625</v>
      </c>
      <c r="DK35" s="116" t="n"/>
      <c r="DL35" s="83" t="n"/>
      <c r="DM35" s="41" t="n">
        <v>0.5</v>
      </c>
      <c r="DN35" s="58" t="n">
        <v>0.3513888888888889</v>
      </c>
      <c r="DO35" s="58" t="n">
        <v>0.7395833333333334</v>
      </c>
      <c r="DP35" s="83">
        <f>MOD(DO35-DN35,1)*24</f>
        <v/>
      </c>
      <c r="DQ35" s="57" t="n">
        <v>1</v>
      </c>
      <c r="DR35" s="61" t="n">
        <v>0.3451388888888889</v>
      </c>
      <c r="DS35" s="62" t="n">
        <v>0.7430555555555556</v>
      </c>
      <c r="DT35" s="83">
        <f>MOD(DS35-DR35,1)*24</f>
        <v/>
      </c>
      <c r="DU35" s="41" t="n">
        <v>1</v>
      </c>
      <c r="DV35" s="61">
        <f>SUM(H35,L35,P35,T35,X35,AB35,AF35,AJ35,AN35,AR35,AV35,AZ35,BD35,BH35,BL35,BP35,BT35,BX35,CB35,CF35,CJ35,CN35,CR35,CV35,CZ35,DD35,DH35,DL35,DP35,DT35)</f>
        <v/>
      </c>
      <c r="DW35" s="62">
        <f>SUM(I35,M35,Q35,U35,Y35,AC35,AG35,AK35,AO35,AS35,AW35,BA35,BE35,BI35,BM35,BQ35,BU35,BY35,CC35,CG35,CK35,CO35,CS35,CW35,DA35,DE35,DI35,DM35,DQ35,DU35)</f>
        <v/>
      </c>
      <c r="DX35" s="83" t="n"/>
      <c r="DY35" s="41" t="n"/>
      <c r="DZ35" s="84" t="n"/>
      <c r="EA35" s="84" t="n"/>
      <c r="EB35" s="84" t="n"/>
      <c r="EC35" s="84" t="n"/>
      <c r="ED35" s="84" t="n"/>
      <c r="EE35" s="84" t="inlineStr">
        <is>
          <t>早退</t>
        </is>
      </c>
      <c r="EF35" s="84" t="n"/>
      <c r="EG35" s="84" t="n"/>
      <c r="EH35" s="84" t="inlineStr">
        <is>
          <t>只打一次卡</t>
        </is>
      </c>
      <c r="EI35" s="84" t="n"/>
      <c r="EJ35" s="84" t="n"/>
      <c r="EK35" s="84" t="n"/>
      <c r="EL35" s="84" t="n"/>
      <c r="EM35" s="84" t="n"/>
      <c r="EN35" s="84" t="n"/>
      <c r="EO35" s="84" t="n"/>
      <c r="EP35" s="84" t="n"/>
      <c r="EQ35" s="84" t="n"/>
      <c r="ER35" s="84" t="inlineStr">
        <is>
          <t>迟到</t>
        </is>
      </c>
      <c r="ES35" s="84" t="n"/>
      <c r="ET35" s="84" t="n"/>
      <c r="EU35" s="84" t="n"/>
      <c r="EV35" s="84" t="n"/>
      <c r="EW35" s="84" t="inlineStr">
        <is>
          <t>只打一次卡</t>
        </is>
      </c>
      <c r="EX35" s="84" t="n"/>
      <c r="EY35" s="84" t="n"/>
      <c r="EZ35" s="84" t="n"/>
      <c r="FA35" s="84" t="n"/>
      <c r="FB35" s="84" t="n"/>
      <c r="FC35" s="84" t="inlineStr">
        <is>
          <t>只打一次卡</t>
        </is>
      </c>
      <c r="FD35" s="84" t="n"/>
      <c r="FE35" s="84" t="n"/>
    </row>
    <row r="36" ht="59" customFormat="1" customHeight="1" s="54">
      <c r="A36" s="55" t="inlineStr">
        <is>
          <t>五楼</t>
        </is>
      </c>
      <c r="B36" s="56" t="inlineStr">
        <is>
          <t>吕丹丹</t>
        </is>
      </c>
      <c r="C36" s="41" t="inlineStr">
        <is>
          <t>31</t>
        </is>
      </c>
      <c r="D36" s="41" t="n"/>
      <c r="E36" s="57" t="n"/>
      <c r="F36" s="115" t="n">
        <v>0.35</v>
      </c>
      <c r="G36" s="58" t="n">
        <v>0.7368055555555556</v>
      </c>
      <c r="H36" s="83">
        <f>MOD(G36-F36,1)*24</f>
        <v/>
      </c>
      <c r="I36" s="57" t="n">
        <v>1</v>
      </c>
      <c r="J36" s="58" t="n">
        <v>0.3465277777777778</v>
      </c>
      <c r="K36" s="58" t="n">
        <v>0.7368055555555556</v>
      </c>
      <c r="L36" s="83">
        <f>MOD(K36-J36,1)*24</f>
        <v/>
      </c>
      <c r="M36" s="57" t="n">
        <v>1</v>
      </c>
      <c r="N36" s="58" t="n">
        <v>0.3472222222222222</v>
      </c>
      <c r="O36" s="58" t="n">
        <v>0.7444444444444445</v>
      </c>
      <c r="P36" s="83">
        <f>MOD(O36-N36,1)*24</f>
        <v/>
      </c>
      <c r="Q36" s="57" t="n">
        <v>1</v>
      </c>
      <c r="R36" s="58" t="n"/>
      <c r="S36" s="58" t="n"/>
      <c r="T36" s="83" t="n"/>
      <c r="U36" s="57" t="n"/>
      <c r="V36" s="58" t="n"/>
      <c r="W36" s="58" t="n"/>
      <c r="X36" s="83" t="n"/>
      <c r="Y36" s="57" t="n"/>
      <c r="Z36" s="58" t="n">
        <v>0.3486111111111111</v>
      </c>
      <c r="AA36" s="60" t="n">
        <v>0.7368055555555556</v>
      </c>
      <c r="AB36" s="83">
        <f>MOD(AA36-Z36,1)*24</f>
        <v/>
      </c>
      <c r="AC36" s="41" t="n">
        <v>1</v>
      </c>
      <c r="AD36" s="116" t="n">
        <v>0.35</v>
      </c>
      <c r="AE36" s="117" t="n">
        <v>0.7368055555555556</v>
      </c>
      <c r="AF36" s="83">
        <f>MOD(AE36-AD36,1)*24</f>
        <v/>
      </c>
      <c r="AG36" s="57" t="n">
        <v>1</v>
      </c>
      <c r="AH36" s="58" t="n">
        <v>0.3486111111111111</v>
      </c>
      <c r="AI36" s="58" t="n">
        <v>0.7375</v>
      </c>
      <c r="AJ36" s="83">
        <f>MOD(AI36-AH36,1)*24</f>
        <v/>
      </c>
      <c r="AK36" s="57" t="n">
        <v>1</v>
      </c>
      <c r="AL36" s="58" t="n">
        <v>0.3430555555555556</v>
      </c>
      <c r="AM36" s="58" t="n">
        <v>0.7368055555555556</v>
      </c>
      <c r="AN36" s="83">
        <f>MOD(AM36-AL36,1)*24</f>
        <v/>
      </c>
      <c r="AO36" s="57" t="n">
        <v>1</v>
      </c>
      <c r="AP36" s="58" t="n">
        <v>0.35</v>
      </c>
      <c r="AQ36" s="58" t="n">
        <v>0.7375</v>
      </c>
      <c r="AR36" s="83">
        <f>MOD(AQ36-AP36,1)*24</f>
        <v/>
      </c>
      <c r="AS36" s="57" t="n">
        <v>1</v>
      </c>
      <c r="AT36" s="58" t="n">
        <v>0.3451388888888889</v>
      </c>
      <c r="AU36" s="58" t="n">
        <v>0.7368055555555556</v>
      </c>
      <c r="AV36" s="83">
        <f>MOD(AU36-AT36,1)*24</f>
        <v/>
      </c>
      <c r="AW36" s="57" t="n">
        <v>1</v>
      </c>
      <c r="AX36" s="58" t="n"/>
      <c r="AY36" s="58" t="n"/>
      <c r="AZ36" s="83" t="n"/>
      <c r="BA36" s="57" t="n"/>
      <c r="BB36" s="58" t="n">
        <v>0.3513888888888889</v>
      </c>
      <c r="BC36" s="60" t="n">
        <v>0.7368055555555556</v>
      </c>
      <c r="BD36" s="83">
        <f>MOD(BC36-BB36,1)*24</f>
        <v/>
      </c>
      <c r="BE36" s="41" t="n">
        <v>1</v>
      </c>
      <c r="BF36" s="116" t="n">
        <v>0.3493055555555555</v>
      </c>
      <c r="BG36" s="115" t="n">
        <v>0.7368055555555556</v>
      </c>
      <c r="BH36" s="83">
        <f>MOD(BG36-BF36,1)*24</f>
        <v/>
      </c>
      <c r="BI36" s="57" t="n">
        <v>1</v>
      </c>
      <c r="BJ36" s="58" t="n">
        <v>0.3493055555555555</v>
      </c>
      <c r="BK36" s="58" t="n">
        <v>0.7368055555555556</v>
      </c>
      <c r="BL36" s="83">
        <f>MOD(BK36-BJ36,1)*24</f>
        <v/>
      </c>
      <c r="BM36" s="57" t="n">
        <v>1</v>
      </c>
      <c r="BN36" s="58" t="n">
        <v>0.3465277777777778</v>
      </c>
      <c r="BO36" s="58" t="n">
        <v>0.7375</v>
      </c>
      <c r="BP36" s="83">
        <f>MOD(BO36-BN36,1)*24</f>
        <v/>
      </c>
      <c r="BQ36" s="57" t="n">
        <v>1</v>
      </c>
      <c r="BR36" s="58" t="n">
        <v>0.3465277777777778</v>
      </c>
      <c r="BS36" s="58" t="n">
        <v>0.7368055555555556</v>
      </c>
      <c r="BT36" s="83">
        <f>MOD(BS36-BR36,1)*24</f>
        <v/>
      </c>
      <c r="BU36" s="57" t="n">
        <v>1</v>
      </c>
      <c r="BV36" s="58" t="n">
        <v>0.3472222222222222</v>
      </c>
      <c r="BW36" s="60" t="n">
        <v>0.7368055555555556</v>
      </c>
      <c r="BX36" s="83">
        <f>MOD(BW36-BV36,1)*24</f>
        <v/>
      </c>
      <c r="BY36" s="41" t="n">
        <v>1</v>
      </c>
      <c r="BZ36" s="41" t="n"/>
      <c r="CA36" s="41" t="n"/>
      <c r="CB36" s="83" t="n"/>
      <c r="CC36" s="41" t="n"/>
      <c r="CD36" s="116" t="n">
        <v>0.3486111111111111</v>
      </c>
      <c r="CE36" s="115" t="n">
        <v>0.7368055555555556</v>
      </c>
      <c r="CF36" s="83">
        <f>MOD(CE36-CD36,1)*24</f>
        <v/>
      </c>
      <c r="CG36" s="57" t="n">
        <v>1</v>
      </c>
      <c r="CH36" s="58" t="n">
        <v>0.35</v>
      </c>
      <c r="CI36" s="58" t="n">
        <v>0.7368055555555556</v>
      </c>
      <c r="CJ36" s="83">
        <f>MOD(CI36-CH36,1)*24</f>
        <v/>
      </c>
      <c r="CK36" s="57" t="n">
        <v>1</v>
      </c>
      <c r="CL36" s="58" t="n">
        <v>0.3486111111111111</v>
      </c>
      <c r="CM36" s="58" t="n">
        <v>0.7375</v>
      </c>
      <c r="CN36" s="83">
        <f>MOD(CM36-CL36,1)*24</f>
        <v/>
      </c>
      <c r="CO36" s="57" t="n">
        <v>1</v>
      </c>
      <c r="CP36" s="58" t="n">
        <v>0.2784722222222222</v>
      </c>
      <c r="CQ36" s="58" t="n">
        <v>0.3486111111111111</v>
      </c>
      <c r="CR36" s="83">
        <f>MOD(CQ36-CP36,1)*24</f>
        <v/>
      </c>
      <c r="CS36" s="57" t="n">
        <v>0.5</v>
      </c>
      <c r="CT36" s="58" t="n">
        <v>0.3451388888888889</v>
      </c>
      <c r="CU36" s="58" t="n">
        <v>0.7368055555555556</v>
      </c>
      <c r="CV36" s="83">
        <f>MOD(CU36-CT36,1)*24</f>
        <v/>
      </c>
      <c r="CW36" s="57" t="n">
        <v>1</v>
      </c>
      <c r="CX36" s="58" t="n">
        <v>0.3486111111111111</v>
      </c>
      <c r="CY36" s="58" t="n">
        <v>0.7361111111111112</v>
      </c>
      <c r="CZ36" s="83">
        <f>MOD(CY36-CX36,1)*24</f>
        <v/>
      </c>
      <c r="DA36" s="57" t="n">
        <v>1</v>
      </c>
      <c r="DB36" s="58" t="n"/>
      <c r="DC36" s="58" t="n"/>
      <c r="DD36" s="83" t="n"/>
      <c r="DE36" s="57" t="n"/>
      <c r="DF36" s="58" t="n">
        <v>0.35</v>
      </c>
      <c r="DG36" s="60" t="n">
        <v>0.7381944444444445</v>
      </c>
      <c r="DH36" s="83">
        <f>MOD(DG36-DF36,1)*24</f>
        <v/>
      </c>
      <c r="DI36" s="41" t="n">
        <v>1</v>
      </c>
      <c r="DJ36" s="116" t="n">
        <v>0.3513888888888889</v>
      </c>
      <c r="DK36" s="116" t="n">
        <v>0.7368055555555556</v>
      </c>
      <c r="DL36" s="83">
        <f>MOD(DK36-DJ36,1)*24</f>
        <v/>
      </c>
      <c r="DM36" s="41" t="n">
        <v>1</v>
      </c>
      <c r="DN36" s="58" t="n">
        <v>0.3479166666666667</v>
      </c>
      <c r="DO36" s="58" t="n">
        <v>0.7375</v>
      </c>
      <c r="DP36" s="83">
        <f>MOD(DO36-DN36,1)*24</f>
        <v/>
      </c>
      <c r="DQ36" s="57" t="n">
        <v>1</v>
      </c>
      <c r="DR36" s="61" t="n">
        <v>0.3451388888888889</v>
      </c>
      <c r="DS36" s="62" t="n">
        <v>0.7381944444444445</v>
      </c>
      <c r="DT36" s="83">
        <f>MOD(DS36-DR36,1)*24</f>
        <v/>
      </c>
      <c r="DU36" s="41" t="n">
        <v>1</v>
      </c>
      <c r="DV36" s="61">
        <f>SUM(H36,L36,P36,T36,X36,AB36,AF36,AJ36,AN36,AR36,AV36,AZ36,BD36,BH36,BL36,BP36,BT36,BX36,CB36,CF36,CJ36,CN36,CR36,CV36,CZ36,DD36,DH36,DL36,DP36,DT36)</f>
        <v/>
      </c>
      <c r="DW36" s="62">
        <f>SUM(I36,M36,Q36,U36,Y36,AC36,AG36,AK36,AO36,AS36,AW36,BA36,BE36,BI36,BM36,BQ36,BU36,BY36,CC36,CG36,CK36,CO36,CS36,CW36,DA36,DE36,DI36,DM36,DQ36,DU36)</f>
        <v/>
      </c>
      <c r="DX36" s="83" t="n"/>
      <c r="DY36" s="41" t="n"/>
      <c r="DZ36" s="84" t="n"/>
      <c r="EA36" s="84" t="n"/>
      <c r="EB36" s="84" t="n"/>
      <c r="EC36" s="84" t="n"/>
      <c r="ED36" s="84" t="n"/>
      <c r="EE36" s="84" t="n"/>
      <c r="EF36" s="84" t="n"/>
      <c r="EG36" s="84" t="n"/>
      <c r="EH36" s="84" t="n"/>
      <c r="EI36" s="84" t="n"/>
      <c r="EJ36" s="84" t="n"/>
      <c r="EK36" s="84" t="n"/>
      <c r="EL36" s="84" t="n"/>
      <c r="EM36" s="84" t="n"/>
      <c r="EN36" s="84" t="n"/>
      <c r="EO36" s="84" t="n"/>
      <c r="EP36" s="84" t="n"/>
      <c r="EQ36" s="84" t="n"/>
      <c r="ER36" s="84" t="n"/>
      <c r="ES36" s="84" t="n"/>
      <c r="ET36" s="84" t="n"/>
      <c r="EU36" s="84" t="n"/>
      <c r="EV36" s="84" t="n"/>
      <c r="EW36" s="84" t="n"/>
      <c r="EX36" s="84" t="inlineStr">
        <is>
          <t>早退</t>
        </is>
      </c>
      <c r="EY36" s="84" t="n"/>
      <c r="EZ36" s="84" t="n"/>
      <c r="FA36" s="84" t="n"/>
      <c r="FB36" s="84" t="n"/>
      <c r="FC36" s="84" t="n"/>
      <c r="FD36" s="84" t="n"/>
      <c r="FE36" s="84" t="n"/>
    </row>
    <row r="37" ht="59" customFormat="1" customHeight="1" s="54">
      <c r="A37" s="55" t="inlineStr">
        <is>
          <t>五楼</t>
        </is>
      </c>
      <c r="B37" s="56" t="inlineStr">
        <is>
          <t>李光义</t>
        </is>
      </c>
      <c r="C37" s="41" t="inlineStr">
        <is>
          <t>32</t>
        </is>
      </c>
      <c r="D37" s="41" t="n"/>
      <c r="E37" s="57" t="n"/>
      <c r="F37" s="115" t="n">
        <v>0.3534722222222222</v>
      </c>
      <c r="G37" s="58" t="n">
        <v>0.7381944444444445</v>
      </c>
      <c r="H37" s="83">
        <f>MOD(G37-F37,1)*24</f>
        <v/>
      </c>
      <c r="I37" s="57" t="n">
        <v>1</v>
      </c>
      <c r="J37" s="58" t="n">
        <v>0.3513888888888889</v>
      </c>
      <c r="K37" s="58" t="n">
        <v>0.7423611111111111</v>
      </c>
      <c r="L37" s="83">
        <f>MOD(K37-J37,1)*24</f>
        <v/>
      </c>
      <c r="M37" s="57" t="n">
        <v>1</v>
      </c>
      <c r="N37" s="58" t="n">
        <v>0.3486111111111111</v>
      </c>
      <c r="O37" s="58" t="n">
        <v>0.7388888888888889</v>
      </c>
      <c r="P37" s="83">
        <f>MOD(O37-N37,1)*24</f>
        <v/>
      </c>
      <c r="Q37" s="57" t="n">
        <v>1</v>
      </c>
      <c r="R37" s="58" t="n"/>
      <c r="S37" s="58" t="n"/>
      <c r="T37" s="83" t="n"/>
      <c r="U37" s="57" t="n"/>
      <c r="V37" s="58" t="n"/>
      <c r="W37" s="58" t="n"/>
      <c r="X37" s="83" t="n"/>
      <c r="Y37" s="57" t="n"/>
      <c r="Z37" s="58" t="n">
        <v>0.35</v>
      </c>
      <c r="AA37" s="60" t="n">
        <v>0.7368055555555556</v>
      </c>
      <c r="AB37" s="83">
        <f>MOD(AA37-Z37,1)*24</f>
        <v/>
      </c>
      <c r="AC37" s="41" t="n">
        <v>1</v>
      </c>
      <c r="AD37" s="116" t="n">
        <v>0.325</v>
      </c>
      <c r="AE37" s="117" t="n">
        <v>0.7368055555555556</v>
      </c>
      <c r="AF37" s="83">
        <f>MOD(AE37-AD37,1)*24</f>
        <v/>
      </c>
      <c r="AG37" s="57" t="n">
        <v>1</v>
      </c>
      <c r="AH37" s="58" t="n">
        <v>0.325</v>
      </c>
      <c r="AI37" s="58" t="n">
        <v>0.7402777777777778</v>
      </c>
      <c r="AJ37" s="83">
        <f>MOD(AI37-AH37,1)*24</f>
        <v/>
      </c>
      <c r="AK37" s="57" t="n">
        <v>1</v>
      </c>
      <c r="AL37" s="58" t="n">
        <v>0.3527777777777778</v>
      </c>
      <c r="AM37" s="58" t="n">
        <v>0.7375</v>
      </c>
      <c r="AN37" s="83">
        <f>MOD(AM37-AL37,1)*24</f>
        <v/>
      </c>
      <c r="AO37" s="57" t="n">
        <v>1</v>
      </c>
      <c r="AP37" s="58" t="n">
        <v>0.3493055555555555</v>
      </c>
      <c r="AQ37" s="58" t="n">
        <v>0.8006944444444445</v>
      </c>
      <c r="AR37" s="83">
        <f>MOD(AQ37-AP37,1)*24</f>
        <v/>
      </c>
      <c r="AS37" s="57" t="n">
        <v>1</v>
      </c>
      <c r="AT37" s="58" t="n">
        <v>0.3527777777777778</v>
      </c>
      <c r="AU37" s="58" t="n">
        <v>0.7666666666666667</v>
      </c>
      <c r="AV37" s="83">
        <f>MOD(AU37-AT37,1)*24</f>
        <v/>
      </c>
      <c r="AW37" s="57" t="n">
        <v>1</v>
      </c>
      <c r="AX37" s="58" t="n"/>
      <c r="AY37" s="58" t="n"/>
      <c r="AZ37" s="83" t="n"/>
      <c r="BA37" s="57" t="n"/>
      <c r="BB37" s="58" t="n">
        <v>0.3458333333333333</v>
      </c>
      <c r="BC37" s="60" t="n">
        <v>0.7395833333333334</v>
      </c>
      <c r="BD37" s="83">
        <f>MOD(BC37-BB37,1)*24</f>
        <v/>
      </c>
      <c r="BE37" s="41" t="n">
        <v>1</v>
      </c>
      <c r="BF37" s="116" t="n">
        <v>0.3284722222222222</v>
      </c>
      <c r="BG37" s="115" t="n">
        <v>0.7416666666666667</v>
      </c>
      <c r="BH37" s="83">
        <f>MOD(BG37-BF37,1)*24</f>
        <v/>
      </c>
      <c r="BI37" s="57" t="n">
        <v>1</v>
      </c>
      <c r="BJ37" s="58" t="n">
        <v>0.3465277777777778</v>
      </c>
      <c r="BK37" s="58" t="n">
        <v>0.7590277777777777</v>
      </c>
      <c r="BL37" s="83">
        <f>MOD(BK37-BJ37,1)*24</f>
        <v/>
      </c>
      <c r="BM37" s="57" t="n">
        <v>1</v>
      </c>
      <c r="BN37" s="58" t="n">
        <v>0.3506944444444444</v>
      </c>
      <c r="BO37" s="58" t="n">
        <v>0.7625</v>
      </c>
      <c r="BP37" s="83">
        <f>MOD(BO37-BN37,1)*24</f>
        <v/>
      </c>
      <c r="BQ37" s="57" t="n">
        <v>1</v>
      </c>
      <c r="BR37" s="58" t="n">
        <v>0.3513888888888889</v>
      </c>
      <c r="BS37" s="58" t="n">
        <v>0.7409722222222223</v>
      </c>
      <c r="BT37" s="83">
        <f>MOD(BS37-BR37,1)*24</f>
        <v/>
      </c>
      <c r="BU37" s="57" t="n">
        <v>1</v>
      </c>
      <c r="BV37" s="58" t="n">
        <v>0.2902777777777778</v>
      </c>
      <c r="BW37" s="60" t="n">
        <v>0.7409722222222223</v>
      </c>
      <c r="BX37" s="83">
        <f>MOD(BW37-BV37,1)*24</f>
        <v/>
      </c>
      <c r="BY37" s="41" t="n">
        <v>1</v>
      </c>
      <c r="BZ37" s="41" t="n"/>
      <c r="CA37" s="41" t="n"/>
      <c r="CB37" s="83" t="n"/>
      <c r="CC37" s="41" t="n"/>
      <c r="CD37" s="116" t="n">
        <v>0.3256944444444445</v>
      </c>
      <c r="CE37" s="115" t="n">
        <v>0.7402777777777778</v>
      </c>
      <c r="CF37" s="83">
        <f>MOD(CE37-CD37,1)*24</f>
        <v/>
      </c>
      <c r="CG37" s="57" t="n">
        <v>1</v>
      </c>
      <c r="CH37" s="58" t="n">
        <v>0.35</v>
      </c>
      <c r="CI37" s="58" t="n">
        <v>0.7409722222222223</v>
      </c>
      <c r="CJ37" s="83">
        <f>MOD(CI37-CH37,1)*24</f>
        <v/>
      </c>
      <c r="CK37" s="57" t="n">
        <v>1</v>
      </c>
      <c r="CL37" s="58" t="n">
        <v>0.3291666666666667</v>
      </c>
      <c r="CM37" s="58" t="n">
        <v>0.7416666666666667</v>
      </c>
      <c r="CN37" s="83">
        <f>MOD(CM37-CL37,1)*24</f>
        <v/>
      </c>
      <c r="CO37" s="57" t="n">
        <v>1</v>
      </c>
      <c r="CP37" s="58" t="n">
        <v>0.33125</v>
      </c>
      <c r="CQ37" s="58" t="n">
        <v>0.7673611111111112</v>
      </c>
      <c r="CR37" s="83">
        <f>MOD(CQ37-CP37,1)*24</f>
        <v/>
      </c>
      <c r="CS37" s="57" t="n">
        <v>1</v>
      </c>
      <c r="CT37" s="58" t="n">
        <v>0.3416666666666667</v>
      </c>
      <c r="CU37" s="58" t="n">
        <v>0.7486111111111111</v>
      </c>
      <c r="CV37" s="83">
        <f>MOD(CU37-CT37,1)*24</f>
        <v/>
      </c>
      <c r="CW37" s="57" t="n">
        <v>1</v>
      </c>
      <c r="CX37" s="58" t="n">
        <v>0.3520833333333334</v>
      </c>
      <c r="CY37" s="58" t="n">
        <v>0.74375</v>
      </c>
      <c r="CZ37" s="83">
        <f>MOD(CY37-CX37,1)*24</f>
        <v/>
      </c>
      <c r="DA37" s="57" t="n">
        <v>1</v>
      </c>
      <c r="DB37" s="58" t="n"/>
      <c r="DC37" s="58" t="n"/>
      <c r="DD37" s="83" t="n"/>
      <c r="DE37" s="57" t="n"/>
      <c r="DF37" s="58" t="n">
        <v>0.3305555555555555</v>
      </c>
      <c r="DG37" s="60" t="n">
        <v>0.7361111111111112</v>
      </c>
      <c r="DH37" s="83">
        <f>MOD(DG37-DF37,1)*24</f>
        <v/>
      </c>
      <c r="DI37" s="41" t="n">
        <v>1</v>
      </c>
      <c r="DJ37" s="116" t="n">
        <v>0.3527777777777778</v>
      </c>
      <c r="DK37" s="116" t="n">
        <v>0.7388888888888889</v>
      </c>
      <c r="DL37" s="83">
        <f>MOD(DK37-DJ37,1)*24</f>
        <v/>
      </c>
      <c r="DM37" s="41" t="n">
        <v>1</v>
      </c>
      <c r="DN37" s="58" t="n">
        <v>0.3527777777777778</v>
      </c>
      <c r="DO37" s="58" t="n">
        <v>0.7409722222222223</v>
      </c>
      <c r="DP37" s="83">
        <f>MOD(DO37-DN37,1)*24</f>
        <v/>
      </c>
      <c r="DQ37" s="57" t="n">
        <v>1</v>
      </c>
      <c r="DR37" s="61" t="n">
        <v>0.3493055555555555</v>
      </c>
      <c r="DS37" s="62" t="n">
        <v>0.7458333333333333</v>
      </c>
      <c r="DT37" s="83">
        <f>MOD(DS37-DR37,1)*24</f>
        <v/>
      </c>
      <c r="DU37" s="41" t="n">
        <v>1</v>
      </c>
      <c r="DV37" s="61">
        <f>SUM(H37,L37,P37,T37,X37,AB37,AF37,AJ37,AN37,AR37,AV37,AZ37,BD37,BH37,BL37,BP37,BT37,BX37,CB37,CF37,CJ37,CN37,CR37,CV37,CZ37,DD37,DH37,DL37,DP37,DT37)</f>
        <v/>
      </c>
      <c r="DW37" s="62">
        <f>SUM(I37,M37,Q37,U37,Y37,AC37,AG37,AK37,AO37,AS37,AW37,BA37,BE37,BI37,BM37,BQ37,BU37,BY37,CC37,CG37,CK37,CO37,CS37,CW37,DA37,DE37,DI37,DM37,DQ37,DU37)</f>
        <v/>
      </c>
      <c r="DX37" s="83" t="n"/>
      <c r="DY37" s="41" t="n"/>
      <c r="DZ37" s="84" t="n"/>
      <c r="EA37" s="84" t="n"/>
      <c r="EB37" s="84" t="n"/>
      <c r="EC37" s="84" t="n"/>
      <c r="ED37" s="84" t="n"/>
      <c r="EE37" s="84" t="n"/>
      <c r="EF37" s="84" t="n"/>
      <c r="EG37" s="84" t="n"/>
      <c r="EH37" s="84" t="n"/>
      <c r="EI37" s="84" t="n"/>
      <c r="EJ37" s="84" t="n"/>
      <c r="EK37" s="84" t="n"/>
      <c r="EL37" s="84" t="n"/>
      <c r="EM37" s="84" t="n"/>
      <c r="EN37" s="84" t="n"/>
      <c r="EO37" s="84" t="n"/>
      <c r="EP37" s="84" t="n"/>
      <c r="EQ37" s="84" t="n"/>
      <c r="ER37" s="84" t="n"/>
      <c r="ES37" s="84" t="n"/>
      <c r="ET37" s="84" t="n"/>
      <c r="EU37" s="84" t="n"/>
      <c r="EV37" s="84" t="n"/>
      <c r="EW37" s="84" t="n"/>
      <c r="EX37" s="84" t="n"/>
      <c r="EY37" s="84" t="n"/>
      <c r="EZ37" s="84" t="n"/>
      <c r="FA37" s="84" t="n"/>
      <c r="FB37" s="84" t="n"/>
      <c r="FC37" s="84" t="n"/>
      <c r="FD37" s="84" t="n"/>
      <c r="FE37" s="84" t="n"/>
    </row>
    <row r="38" ht="59" customFormat="1" customHeight="1" s="54">
      <c r="A38" s="55" t="inlineStr">
        <is>
          <t>五楼</t>
        </is>
      </c>
      <c r="B38" s="56" t="inlineStr">
        <is>
          <t>匡启素</t>
        </is>
      </c>
      <c r="C38" s="41" t="inlineStr">
        <is>
          <t>33</t>
        </is>
      </c>
      <c r="D38" s="41" t="n"/>
      <c r="E38" s="57" t="n"/>
      <c r="F38" s="115" t="n">
        <v>0.3493055555555555</v>
      </c>
      <c r="G38" s="58" t="n">
        <v>0.7402777777777778</v>
      </c>
      <c r="H38" s="83">
        <f>MOD(G38-F38,1)*24</f>
        <v/>
      </c>
      <c r="I38" s="57" t="n">
        <v>1</v>
      </c>
      <c r="J38" s="58" t="n">
        <v>0.3090277777777778</v>
      </c>
      <c r="K38" s="58" t="n">
        <v>0.8472222222222222</v>
      </c>
      <c r="L38" s="83">
        <f>MOD(K38-J38,1)*24</f>
        <v/>
      </c>
      <c r="M38" s="57" t="n">
        <v>1</v>
      </c>
      <c r="N38" s="58" t="n">
        <v>0.3451388888888889</v>
      </c>
      <c r="O38" s="58" t="n">
        <v>0.76875</v>
      </c>
      <c r="P38" s="83">
        <f>MOD(O38-N38,1)*24</f>
        <v/>
      </c>
      <c r="Q38" s="57" t="n">
        <v>1</v>
      </c>
      <c r="R38" s="58" t="n"/>
      <c r="S38" s="58" t="n"/>
      <c r="T38" s="83" t="n"/>
      <c r="U38" s="57" t="n"/>
      <c r="V38" s="58" t="n"/>
      <c r="W38" s="58" t="n"/>
      <c r="X38" s="83" t="n"/>
      <c r="Y38" s="57" t="n"/>
      <c r="Z38" s="58" t="n">
        <v>0.3409722222222222</v>
      </c>
      <c r="AA38" s="60" t="n">
        <v>0.7388888888888889</v>
      </c>
      <c r="AB38" s="83">
        <f>MOD(AA38-Z38,1)*24</f>
        <v/>
      </c>
      <c r="AC38" s="41" t="n">
        <v>1</v>
      </c>
      <c r="AD38" s="116" t="n">
        <v>0.3472222222222222</v>
      </c>
      <c r="AE38" s="117" t="n">
        <v>0.8729166666666667</v>
      </c>
      <c r="AF38" s="83">
        <f>MOD(AE38-AD38,1)*24</f>
        <v/>
      </c>
      <c r="AG38" s="57" t="n">
        <v>1</v>
      </c>
      <c r="AH38" s="58" t="n">
        <v>0.3458333333333333</v>
      </c>
      <c r="AI38" s="58" t="n">
        <v>0.9166666666666666</v>
      </c>
      <c r="AJ38" s="83">
        <f>MOD(AI38-AH38,1)*24</f>
        <v/>
      </c>
      <c r="AK38" s="57" t="n">
        <v>1</v>
      </c>
      <c r="AL38" s="58" t="n">
        <v>0.3458333333333333</v>
      </c>
      <c r="AM38" s="58" t="n">
        <v>0.9243055555555556</v>
      </c>
      <c r="AN38" s="83">
        <f>MOD(AM38-AL38,1)*24</f>
        <v/>
      </c>
      <c r="AO38" s="57" t="n">
        <v>1</v>
      </c>
      <c r="AP38" s="58" t="n">
        <v>0.3479166666666667</v>
      </c>
      <c r="AQ38" s="58" t="n">
        <v>0.94375</v>
      </c>
      <c r="AR38" s="83">
        <f>MOD(AQ38-AP38,1)*24</f>
        <v/>
      </c>
      <c r="AS38" s="57" t="n">
        <v>1</v>
      </c>
      <c r="AT38" s="58" t="n">
        <v>0.3493055555555555</v>
      </c>
      <c r="AU38" s="58" t="n">
        <v>0.7861111111111111</v>
      </c>
      <c r="AV38" s="83">
        <f>MOD(AU38-AT38,1)*24</f>
        <v/>
      </c>
      <c r="AW38" s="57" t="n">
        <v>1</v>
      </c>
      <c r="AX38" s="58" t="n"/>
      <c r="AY38" s="58" t="n"/>
      <c r="AZ38" s="83" t="n"/>
      <c r="BA38" s="57" t="n"/>
      <c r="BB38" s="58" t="n">
        <v>0.3486111111111111</v>
      </c>
      <c r="BC38" s="60" t="n">
        <v>0.7611111111111111</v>
      </c>
      <c r="BD38" s="83">
        <f>MOD(BC38-BB38,1)*24</f>
        <v/>
      </c>
      <c r="BE38" s="41" t="n">
        <v>1</v>
      </c>
      <c r="BF38" s="116" t="n">
        <v>0.3430555555555556</v>
      </c>
      <c r="BG38" s="115" t="n">
        <v>0.83125</v>
      </c>
      <c r="BH38" s="83">
        <f>MOD(BG38-BF38,1)*24</f>
        <v/>
      </c>
      <c r="BI38" s="57" t="n">
        <v>1</v>
      </c>
      <c r="BJ38" s="58" t="n">
        <v>0.34375</v>
      </c>
      <c r="BK38" s="58" t="n">
        <v>0.7479166666666667</v>
      </c>
      <c r="BL38" s="83">
        <f>MOD(BK38-BJ38,1)*24</f>
        <v/>
      </c>
      <c r="BM38" s="57" t="n">
        <v>1</v>
      </c>
      <c r="BN38" s="58" t="n">
        <v>0.3451388888888889</v>
      </c>
      <c r="BO38" s="58" t="n">
        <v>0.7597222222222222</v>
      </c>
      <c r="BP38" s="83">
        <f>MOD(BO38-BN38,1)*24</f>
        <v/>
      </c>
      <c r="BQ38" s="57" t="n">
        <v>1</v>
      </c>
      <c r="BR38" s="58" t="n">
        <v>0.3451388888888889</v>
      </c>
      <c r="BS38" s="58" t="n">
        <v>0.8</v>
      </c>
      <c r="BT38" s="83">
        <f>MOD(BS38-BR38,1)*24</f>
        <v/>
      </c>
      <c r="BU38" s="57" t="n">
        <v>1</v>
      </c>
      <c r="BV38" s="58" t="n">
        <v>0.3430555555555556</v>
      </c>
      <c r="BW38" s="60" t="n">
        <v>0.8006944444444445</v>
      </c>
      <c r="BX38" s="83">
        <f>MOD(BW38-BV38,1)*24</f>
        <v/>
      </c>
      <c r="BY38" s="41" t="n">
        <v>1</v>
      </c>
      <c r="BZ38" s="41" t="n"/>
      <c r="CA38" s="41" t="n"/>
      <c r="CB38" s="83" t="n"/>
      <c r="CC38" s="41" t="n"/>
      <c r="CD38" s="116" t="n">
        <v>0.34375</v>
      </c>
      <c r="CE38" s="115" t="n">
        <v>0.7625</v>
      </c>
      <c r="CF38" s="83">
        <f>MOD(CE38-CD38,1)*24</f>
        <v/>
      </c>
      <c r="CG38" s="57" t="n">
        <v>1</v>
      </c>
      <c r="CH38" s="58" t="n">
        <v>0.3319444444444444</v>
      </c>
      <c r="CI38" s="58" t="n">
        <v>0.7548611111111111</v>
      </c>
      <c r="CJ38" s="83">
        <f>MOD(CI38-CH38,1)*24</f>
        <v/>
      </c>
      <c r="CK38" s="57" t="n">
        <v>1</v>
      </c>
      <c r="CL38" s="58" t="n">
        <v>0.3472222222222222</v>
      </c>
      <c r="CM38" s="58" t="n">
        <v>0.7555555555555555</v>
      </c>
      <c r="CN38" s="83">
        <f>MOD(CM38-CL38,1)*24</f>
        <v/>
      </c>
      <c r="CO38" s="57" t="n">
        <v>1</v>
      </c>
      <c r="CP38" s="58" t="n">
        <v>0.3444444444444444</v>
      </c>
      <c r="CQ38" s="58" t="n">
        <v>0.7416666666666667</v>
      </c>
      <c r="CR38" s="83">
        <f>MOD(CQ38-CP38,1)*24</f>
        <v/>
      </c>
      <c r="CS38" s="57" t="n">
        <v>1</v>
      </c>
      <c r="CT38" s="58" t="n">
        <v>0.3326388888888889</v>
      </c>
      <c r="CU38" s="58" t="n">
        <v>0.7548611111111111</v>
      </c>
      <c r="CV38" s="83">
        <f>MOD(CU38-CT38,1)*24</f>
        <v/>
      </c>
      <c r="CW38" s="57" t="n">
        <v>1</v>
      </c>
      <c r="CX38" s="58" t="n">
        <v>0.3430555555555556</v>
      </c>
      <c r="CY38" s="58" t="n">
        <v>0.7451388888888889</v>
      </c>
      <c r="CZ38" s="83">
        <f>MOD(CY38-CX38,1)*24</f>
        <v/>
      </c>
      <c r="DA38" s="57" t="n">
        <v>1</v>
      </c>
      <c r="DB38" s="58" t="n"/>
      <c r="DC38" s="58" t="n"/>
      <c r="DD38" s="83" t="n"/>
      <c r="DE38" s="57" t="n"/>
      <c r="DF38" s="58" t="n">
        <v>0.3395833333333333</v>
      </c>
      <c r="DG38" s="60" t="n">
        <v>0.7722222222222223</v>
      </c>
      <c r="DH38" s="83">
        <f>MOD(DG38-DF38,1)*24</f>
        <v/>
      </c>
      <c r="DI38" s="41" t="n">
        <v>1</v>
      </c>
      <c r="DJ38" s="116" t="n">
        <v>0.3451388888888889</v>
      </c>
      <c r="DK38" s="116" t="n">
        <v>0.7625</v>
      </c>
      <c r="DL38" s="83">
        <f>MOD(DK38-DJ38,1)*24</f>
        <v/>
      </c>
      <c r="DM38" s="41" t="n">
        <v>1</v>
      </c>
      <c r="DN38" s="58" t="n">
        <v>0.3444444444444444</v>
      </c>
      <c r="DO38" s="58" t="n">
        <v>0.8319444444444445</v>
      </c>
      <c r="DP38" s="83">
        <f>MOD(DO38-DN38,1)*24</f>
        <v/>
      </c>
      <c r="DQ38" s="57" t="n">
        <v>1</v>
      </c>
      <c r="DR38" s="61" t="n">
        <v>0.3430555555555556</v>
      </c>
      <c r="DS38" s="62" t="n">
        <v>0.8284722222222223</v>
      </c>
      <c r="DT38" s="83">
        <f>MOD(DS38-DR38,1)*24</f>
        <v/>
      </c>
      <c r="DU38" s="41" t="n">
        <v>1</v>
      </c>
      <c r="DV38" s="61">
        <f>SUM(H38,L38,P38,T38,X38,AB38,AF38,AJ38,AN38,AR38,AV38,AZ38,BD38,BH38,BL38,BP38,BT38,BX38,CB38,CF38,CJ38,CN38,CR38,CV38,CZ38,DD38,DH38,DL38,DP38,DT38)</f>
        <v/>
      </c>
      <c r="DW38" s="62">
        <f>SUM(I38,M38,Q38,U38,Y38,AC38,AG38,AK38,AO38,AS38,AW38,BA38,BE38,BI38,BM38,BQ38,BU38,BY38,CC38,CG38,CK38,CO38,CS38,CW38,DA38,DE38,DI38,DM38,DQ38,DU38)</f>
        <v/>
      </c>
      <c r="DX38" s="83" t="n"/>
      <c r="DY38" s="41" t="n"/>
      <c r="DZ38" s="84" t="n"/>
      <c r="EA38" s="84" t="n"/>
      <c r="EB38" s="84" t="n"/>
      <c r="EC38" s="84" t="n"/>
      <c r="ED38" s="84" t="n"/>
      <c r="EE38" s="84" t="n"/>
      <c r="EF38" s="84" t="n"/>
      <c r="EG38" s="84" t="n"/>
      <c r="EH38" s="84" t="n"/>
      <c r="EI38" s="84" t="n"/>
      <c r="EJ38" s="84" t="n"/>
      <c r="EK38" s="84" t="n"/>
      <c r="EL38" s="84" t="n"/>
      <c r="EM38" s="84" t="n"/>
      <c r="EN38" s="84" t="n"/>
      <c r="EO38" s="84" t="n"/>
      <c r="EP38" s="84" t="n"/>
      <c r="EQ38" s="84" t="n"/>
      <c r="ER38" s="84" t="n"/>
      <c r="ES38" s="84" t="n"/>
      <c r="ET38" s="84" t="n"/>
      <c r="EU38" s="84" t="n"/>
      <c r="EV38" s="84" t="n"/>
      <c r="EW38" s="84" t="n"/>
      <c r="EX38" s="84" t="n"/>
      <c r="EY38" s="84" t="n"/>
      <c r="EZ38" s="84" t="n"/>
      <c r="FA38" s="84" t="n"/>
      <c r="FB38" s="84" t="n"/>
      <c r="FC38" s="84" t="n"/>
      <c r="FD38" s="84" t="n"/>
      <c r="FE38" s="84" t="n"/>
    </row>
    <row r="39" ht="59" customFormat="1" customHeight="1" s="54">
      <c r="A39" s="55" t="inlineStr">
        <is>
          <t>五楼</t>
        </is>
      </c>
      <c r="B39" s="56" t="inlineStr">
        <is>
          <t>兰媛</t>
        </is>
      </c>
      <c r="C39" s="41" t="inlineStr">
        <is>
          <t>35</t>
        </is>
      </c>
      <c r="D39" s="41" t="n"/>
      <c r="E39" s="57" t="n"/>
      <c r="F39" s="115" t="n">
        <v>0.35</v>
      </c>
      <c r="G39" s="58" t="n">
        <v>0.7368055555555556</v>
      </c>
      <c r="H39" s="83">
        <f>MOD(G39-F39,1)*24</f>
        <v/>
      </c>
      <c r="I39" s="57" t="n">
        <v>1</v>
      </c>
      <c r="J39" s="58" t="n">
        <v>0.3493055555555555</v>
      </c>
      <c r="K39" s="58" t="n">
        <v>0.7368055555555556</v>
      </c>
      <c r="L39" s="83">
        <f>MOD(K39-J39,1)*24</f>
        <v/>
      </c>
      <c r="M39" s="57" t="n">
        <v>1</v>
      </c>
      <c r="N39" s="58" t="n">
        <v>0.3493055555555555</v>
      </c>
      <c r="O39" s="58" t="n">
        <v>0.7375</v>
      </c>
      <c r="P39" s="83">
        <f>MOD(O39-N39,1)*24</f>
        <v/>
      </c>
      <c r="Q39" s="57" t="n">
        <v>1</v>
      </c>
      <c r="R39" s="58" t="n">
        <v>0.3486111111111111</v>
      </c>
      <c r="S39" s="58" t="n">
        <v>0.7368055555555556</v>
      </c>
      <c r="T39" s="83">
        <f>MOD(S39-R39,1)*24</f>
        <v/>
      </c>
      <c r="U39" s="57" t="n">
        <v>1</v>
      </c>
      <c r="V39" s="58" t="n"/>
      <c r="W39" s="58" t="n"/>
      <c r="X39" s="83" t="n"/>
      <c r="Y39" s="57" t="n"/>
      <c r="Z39" s="58" t="n">
        <v>0.3486111111111111</v>
      </c>
      <c r="AA39" s="60" t="n">
        <v>0.7368055555555556</v>
      </c>
      <c r="AB39" s="83">
        <f>MOD(AA39-Z39,1)*24</f>
        <v/>
      </c>
      <c r="AC39" s="41" t="n">
        <v>1</v>
      </c>
      <c r="AD39" s="116" t="n">
        <v>0.3493055555555555</v>
      </c>
      <c r="AE39" s="117" t="n">
        <v>0.7375</v>
      </c>
      <c r="AF39" s="83">
        <f>MOD(AE39-AD39,1)*24</f>
        <v/>
      </c>
      <c r="AG39" s="57" t="n">
        <v>1</v>
      </c>
      <c r="AH39" s="58" t="n">
        <v>0.3486111111111111</v>
      </c>
      <c r="AI39" s="58" t="n">
        <v>0.7375</v>
      </c>
      <c r="AJ39" s="83">
        <f>MOD(AI39-AH39,1)*24</f>
        <v/>
      </c>
      <c r="AK39" s="57" t="n">
        <v>1</v>
      </c>
      <c r="AL39" s="58" t="n"/>
      <c r="AM39" s="58" t="n"/>
      <c r="AN39" s="83" t="n"/>
      <c r="AO39" s="57" t="n"/>
      <c r="AP39" s="58" t="n">
        <v>0.3472222222222222</v>
      </c>
      <c r="AQ39" s="58" t="n">
        <v>0.7375</v>
      </c>
      <c r="AR39" s="83">
        <f>MOD(AQ39-AP39,1)*24</f>
        <v/>
      </c>
      <c r="AS39" s="57" t="n">
        <v>1</v>
      </c>
      <c r="AT39" s="58" t="n">
        <v>0.3493055555555555</v>
      </c>
      <c r="AU39" s="58" t="n">
        <v>0.7375</v>
      </c>
      <c r="AV39" s="83">
        <f>MOD(AU39-AT39,1)*24</f>
        <v/>
      </c>
      <c r="AW39" s="57" t="n">
        <v>1</v>
      </c>
      <c r="AX39" s="58" t="n"/>
      <c r="AY39" s="58" t="n"/>
      <c r="AZ39" s="83" t="n"/>
      <c r="BA39" s="57" t="n"/>
      <c r="BB39" s="58" t="n">
        <v>0.3472222222222222</v>
      </c>
      <c r="BC39" s="60" t="n">
        <v>0.7381944444444445</v>
      </c>
      <c r="BD39" s="83">
        <f>MOD(BC39-BB39,1)*24</f>
        <v/>
      </c>
      <c r="BE39" s="41" t="n">
        <v>1</v>
      </c>
      <c r="BF39" s="116" t="n">
        <v>0.3479166666666667</v>
      </c>
      <c r="BG39" s="115" t="n">
        <v>0.7375</v>
      </c>
      <c r="BH39" s="83">
        <f>MOD(BG39-BF39,1)*24</f>
        <v/>
      </c>
      <c r="BI39" s="57" t="n">
        <v>1</v>
      </c>
      <c r="BJ39" s="58" t="n">
        <v>0.3472222222222222</v>
      </c>
      <c r="BK39" s="58" t="n">
        <v>0.7375</v>
      </c>
      <c r="BL39" s="83">
        <f>MOD(BK39-BJ39,1)*24</f>
        <v/>
      </c>
      <c r="BM39" s="57" t="n">
        <v>1</v>
      </c>
      <c r="BN39" s="58" t="n">
        <v>0.3479166666666667</v>
      </c>
      <c r="BO39" s="58" t="n">
        <v>0.7375</v>
      </c>
      <c r="BP39" s="83">
        <f>MOD(BO39-BN39,1)*24</f>
        <v/>
      </c>
      <c r="BQ39" s="57" t="n">
        <v>1</v>
      </c>
      <c r="BR39" s="58" t="n">
        <v>0.3493055555555555</v>
      </c>
      <c r="BS39" s="58" t="n">
        <v>0.7375</v>
      </c>
      <c r="BT39" s="83">
        <f>MOD(BS39-BR39,1)*24</f>
        <v/>
      </c>
      <c r="BU39" s="57" t="n">
        <v>1</v>
      </c>
      <c r="BV39" s="58" t="n">
        <v>0.3465277777777778</v>
      </c>
      <c r="BW39" s="60" t="n">
        <v>0.7381944444444445</v>
      </c>
      <c r="BX39" s="83">
        <f>MOD(BW39-BV39,1)*24</f>
        <v/>
      </c>
      <c r="BY39" s="41" t="n">
        <v>1</v>
      </c>
      <c r="BZ39" s="41" t="n"/>
      <c r="CA39" s="41" t="n"/>
      <c r="CB39" s="83" t="n"/>
      <c r="CC39" s="41" t="n"/>
      <c r="CD39" s="116" t="n">
        <v>0.3486111111111111</v>
      </c>
      <c r="CE39" s="115" t="n">
        <v>0.7375</v>
      </c>
      <c r="CF39" s="83">
        <f>MOD(CE39-CD39,1)*24</f>
        <v/>
      </c>
      <c r="CG39" s="57" t="n">
        <v>1</v>
      </c>
      <c r="CH39" s="58" t="n">
        <v>0.3465277777777778</v>
      </c>
      <c r="CI39" s="58" t="n">
        <v>0.7381944444444445</v>
      </c>
      <c r="CJ39" s="83">
        <f>MOD(CI39-CH39,1)*24</f>
        <v/>
      </c>
      <c r="CK39" s="57" t="n">
        <v>1</v>
      </c>
      <c r="CL39" s="58" t="n">
        <v>0.3479166666666667</v>
      </c>
      <c r="CM39" s="58" t="n">
        <v>0.7375</v>
      </c>
      <c r="CN39" s="83">
        <f>MOD(CM39-CL39,1)*24</f>
        <v/>
      </c>
      <c r="CO39" s="57" t="n">
        <v>1</v>
      </c>
      <c r="CP39" s="58" t="n">
        <v>0.3479166666666667</v>
      </c>
      <c r="CQ39" s="58" t="n">
        <v>0.7423611111111111</v>
      </c>
      <c r="CR39" s="83">
        <f>MOD(CQ39-CP39,1)*24</f>
        <v/>
      </c>
      <c r="CS39" s="57" t="n">
        <v>1</v>
      </c>
      <c r="CT39" s="58" t="n">
        <v>0.3458333333333333</v>
      </c>
      <c r="CU39" s="58" t="n">
        <v>0.7409722222222223</v>
      </c>
      <c r="CV39" s="83">
        <f>MOD(CU39-CT39,1)*24</f>
        <v/>
      </c>
      <c r="CW39" s="57" t="n">
        <v>1</v>
      </c>
      <c r="CX39" s="58" t="n">
        <v>0.3479166666666667</v>
      </c>
      <c r="CY39" s="58" t="n">
        <v>0.7402777777777778</v>
      </c>
      <c r="CZ39" s="83">
        <f>MOD(CY39-CX39,1)*24</f>
        <v/>
      </c>
      <c r="DA39" s="57" t="n">
        <v>1</v>
      </c>
      <c r="DB39" s="58" t="n"/>
      <c r="DC39" s="58" t="n"/>
      <c r="DD39" s="83" t="n"/>
      <c r="DE39" s="57" t="n"/>
      <c r="DF39" s="58" t="n">
        <v>0.3486111111111111</v>
      </c>
      <c r="DG39" s="60" t="n">
        <v>0.75</v>
      </c>
      <c r="DH39" s="83">
        <f>MOD(DG39-DF39,1)*24</f>
        <v/>
      </c>
      <c r="DI39" s="41" t="n">
        <v>1</v>
      </c>
      <c r="DJ39" s="116" t="n">
        <v>0.3506944444444444</v>
      </c>
      <c r="DK39" s="116" t="n">
        <v>0.7458333333333333</v>
      </c>
      <c r="DL39" s="83">
        <f>MOD(DK39-DJ39,1)*24</f>
        <v/>
      </c>
      <c r="DM39" s="41" t="n">
        <v>1</v>
      </c>
      <c r="DN39" s="58" t="n">
        <v>0.3493055555555555</v>
      </c>
      <c r="DO39" s="58" t="n">
        <v>0.7416666666666667</v>
      </c>
      <c r="DP39" s="83">
        <f>MOD(DO39-DN39,1)*24</f>
        <v/>
      </c>
      <c r="DQ39" s="57" t="n">
        <v>1</v>
      </c>
      <c r="DR39" s="61" t="n">
        <v>0.3486111111111111</v>
      </c>
      <c r="DS39" s="62" t="n">
        <v>0.7423611111111111</v>
      </c>
      <c r="DT39" s="83">
        <f>MOD(DS39-DR39,1)*24</f>
        <v/>
      </c>
      <c r="DU39" s="41" t="n">
        <v>1</v>
      </c>
      <c r="DV39" s="61">
        <f>SUM(H39,L39,P39,T39,X39,AB39,AF39,AJ39,AN39,AR39,AV39,AZ39,BD39,BH39,BL39,BP39,BT39,BX39,CB39,CF39,CJ39,CN39,CR39,CV39,CZ39,DD39,DH39,DL39,DP39,DT39)</f>
        <v/>
      </c>
      <c r="DW39" s="62">
        <f>SUM(I39,M39,Q39,U39,Y39,AC39,AG39,AK39,AO39,AS39,AW39,BA39,BE39,BI39,BM39,BQ39,BU39,BY39,CC39,CG39,CK39,CO39,CS39,CW39,DA39,DE39,DI39,DM39,DQ39,DU39)</f>
        <v/>
      </c>
      <c r="DX39" s="83" t="n"/>
      <c r="DY39" s="41" t="n"/>
      <c r="DZ39" s="84" t="n"/>
      <c r="EA39" s="84" t="n"/>
      <c r="EB39" s="84" t="n"/>
      <c r="EC39" s="84" t="n"/>
      <c r="ED39" s="84" t="n"/>
      <c r="EE39" s="84" t="n"/>
      <c r="EF39" s="84" t="n"/>
      <c r="EG39" s="84" t="n"/>
      <c r="EH39" s="84" t="n"/>
      <c r="EI39" s="84" t="n"/>
      <c r="EJ39" s="84" t="n"/>
      <c r="EK39" s="84" t="n"/>
      <c r="EL39" s="84" t="n"/>
      <c r="EM39" s="84" t="n"/>
      <c r="EN39" s="84" t="n"/>
      <c r="EO39" s="84" t="n"/>
      <c r="EP39" s="84" t="n"/>
      <c r="EQ39" s="84" t="n"/>
      <c r="ER39" s="84" t="n"/>
      <c r="ES39" s="84" t="n"/>
      <c r="ET39" s="84" t="n"/>
      <c r="EU39" s="84" t="n"/>
      <c r="EV39" s="84" t="n"/>
      <c r="EW39" s="84" t="n"/>
      <c r="EX39" s="84" t="n"/>
      <c r="EY39" s="84" t="n"/>
      <c r="EZ39" s="84" t="n"/>
      <c r="FA39" s="84" t="n"/>
      <c r="FB39" s="84" t="n"/>
      <c r="FC39" s="84" t="n"/>
      <c r="FD39" s="84" t="n"/>
      <c r="FE39" s="84" t="n"/>
    </row>
    <row r="40" ht="59" customFormat="1" customHeight="1" s="54">
      <c r="A40" s="55" t="inlineStr">
        <is>
          <t>五楼</t>
        </is>
      </c>
      <c r="B40" s="56" t="inlineStr">
        <is>
          <t>方宇</t>
        </is>
      </c>
      <c r="C40" s="41" t="inlineStr">
        <is>
          <t>36</t>
        </is>
      </c>
      <c r="D40" s="41" t="n"/>
      <c r="E40" s="57" t="n"/>
      <c r="F40" s="115" t="n">
        <v>0.3534722222222222</v>
      </c>
      <c r="G40" s="58" t="n">
        <v>0.7361111111111112</v>
      </c>
      <c r="H40" s="83">
        <f>MOD(G40-F40,1)*24</f>
        <v/>
      </c>
      <c r="I40" s="57" t="n">
        <v>1</v>
      </c>
      <c r="J40" s="58" t="n">
        <v>0.3451388888888889</v>
      </c>
      <c r="K40" s="58" t="n">
        <v>0.7368055555555556</v>
      </c>
      <c r="L40" s="83">
        <f>MOD(K40-J40,1)*24</f>
        <v/>
      </c>
      <c r="M40" s="57" t="n">
        <v>1</v>
      </c>
      <c r="N40" s="58" t="n">
        <v>0.3465277777777778</v>
      </c>
      <c r="O40" s="58" t="n">
        <v>0.7361111111111112</v>
      </c>
      <c r="P40" s="83">
        <f>MOD(O40-N40,1)*24</f>
        <v/>
      </c>
      <c r="Q40" s="57" t="n">
        <v>1</v>
      </c>
      <c r="R40" s="58" t="n"/>
      <c r="S40" s="58" t="n"/>
      <c r="T40" s="83" t="n"/>
      <c r="U40" s="57" t="n"/>
      <c r="V40" s="58" t="n"/>
      <c r="W40" s="58" t="n"/>
      <c r="X40" s="83" t="n"/>
      <c r="Y40" s="57" t="n"/>
      <c r="Z40" s="58" t="n">
        <v>0.3506944444444444</v>
      </c>
      <c r="AA40" s="60" t="n">
        <v>0.7361111111111112</v>
      </c>
      <c r="AB40" s="83">
        <f>MOD(AA40-Z40,1)*24</f>
        <v/>
      </c>
      <c r="AC40" s="41" t="n">
        <v>1</v>
      </c>
      <c r="AD40" s="116" t="n">
        <v>0.3444444444444444</v>
      </c>
      <c r="AE40" s="117" t="n">
        <v>0.7368055555555556</v>
      </c>
      <c r="AF40" s="83">
        <f>MOD(AE40-AD40,1)*24</f>
        <v/>
      </c>
      <c r="AG40" s="57" t="n">
        <v>1</v>
      </c>
      <c r="AH40" s="58" t="n">
        <v>0.3416666666666667</v>
      </c>
      <c r="AI40" s="58" t="n">
        <v>0.7361111111111112</v>
      </c>
      <c r="AJ40" s="83">
        <f>MOD(AI40-AH40,1)*24</f>
        <v/>
      </c>
      <c r="AK40" s="57" t="n">
        <v>1</v>
      </c>
      <c r="AL40" s="58" t="n">
        <v>0.3416666666666667</v>
      </c>
      <c r="AM40" s="58" t="n">
        <v>0.7368055555555556</v>
      </c>
      <c r="AN40" s="83">
        <f>MOD(AM40-AL40,1)*24</f>
        <v/>
      </c>
      <c r="AO40" s="57" t="n">
        <v>1</v>
      </c>
      <c r="AP40" s="58" t="n">
        <v>0.34375</v>
      </c>
      <c r="AQ40" s="58" t="n">
        <v>0.7368055555555556</v>
      </c>
      <c r="AR40" s="83">
        <f>MOD(AQ40-AP40,1)*24</f>
        <v/>
      </c>
      <c r="AS40" s="57" t="n">
        <v>1</v>
      </c>
      <c r="AT40" s="58" t="n">
        <v>0.3472222222222222</v>
      </c>
      <c r="AU40" s="58" t="n">
        <v>0.7368055555555556</v>
      </c>
      <c r="AV40" s="83">
        <f>MOD(AU40-AT40,1)*24</f>
        <v/>
      </c>
      <c r="AW40" s="57" t="n">
        <v>1</v>
      </c>
      <c r="AX40" s="58" t="n"/>
      <c r="AY40" s="58" t="n"/>
      <c r="AZ40" s="83" t="n"/>
      <c r="BA40" s="57" t="n"/>
      <c r="BB40" s="58" t="n">
        <v>0.3493055555555555</v>
      </c>
      <c r="BC40" s="60" t="n">
        <v>0.7361111111111112</v>
      </c>
      <c r="BD40" s="83">
        <f>MOD(BC40-BB40,1)*24</f>
        <v/>
      </c>
      <c r="BE40" s="41" t="n">
        <v>1</v>
      </c>
      <c r="BF40" s="116" t="n">
        <v>0.3472222222222222</v>
      </c>
      <c r="BG40" s="115" t="n">
        <v>0.7368055555555556</v>
      </c>
      <c r="BH40" s="83">
        <f>MOD(BG40-BF40,1)*24</f>
        <v/>
      </c>
      <c r="BI40" s="57" t="n">
        <v>1</v>
      </c>
      <c r="BJ40" s="58" t="n">
        <v>0.3451388888888889</v>
      </c>
      <c r="BK40" s="58" t="n">
        <v>0.7361111111111112</v>
      </c>
      <c r="BL40" s="83">
        <f>MOD(BK40-BJ40,1)*24</f>
        <v/>
      </c>
      <c r="BM40" s="57" t="n">
        <v>1</v>
      </c>
      <c r="BN40" s="58" t="n">
        <v>0.3465277777777778</v>
      </c>
      <c r="BO40" s="58" t="n">
        <v>0.7375</v>
      </c>
      <c r="BP40" s="83">
        <f>MOD(BO40-BN40,1)*24</f>
        <v/>
      </c>
      <c r="BQ40" s="57" t="n">
        <v>1</v>
      </c>
      <c r="BR40" s="58" t="n">
        <v>0.34375</v>
      </c>
      <c r="BS40" s="58" t="n">
        <v>0.7381944444444445</v>
      </c>
      <c r="BT40" s="83">
        <f>MOD(BS40-BR40,1)*24</f>
        <v/>
      </c>
      <c r="BU40" s="57" t="n">
        <v>1</v>
      </c>
      <c r="BV40" s="58" t="n">
        <v>0.3479166666666667</v>
      </c>
      <c r="BW40" s="60" t="n">
        <v>0.7368055555555556</v>
      </c>
      <c r="BX40" s="83">
        <f>MOD(BW40-BV40,1)*24</f>
        <v/>
      </c>
      <c r="BY40" s="41" t="n">
        <v>1</v>
      </c>
      <c r="BZ40" s="41" t="n"/>
      <c r="CA40" s="41" t="n"/>
      <c r="CB40" s="83" t="n"/>
      <c r="CC40" s="41" t="n"/>
      <c r="CD40" s="116" t="n">
        <v>0.34375</v>
      </c>
      <c r="CE40" s="115" t="n">
        <v>0.7361111111111112</v>
      </c>
      <c r="CF40" s="83">
        <f>MOD(CE40-CD40,1)*24</f>
        <v/>
      </c>
      <c r="CG40" s="57" t="n">
        <v>1</v>
      </c>
      <c r="CH40" s="58" t="n">
        <v>0.3465277777777778</v>
      </c>
      <c r="CI40" s="58" t="n">
        <v>0.7368055555555556</v>
      </c>
      <c r="CJ40" s="83">
        <f>MOD(CI40-CH40,1)*24</f>
        <v/>
      </c>
      <c r="CK40" s="57" t="n">
        <v>1</v>
      </c>
      <c r="CL40" s="58" t="n">
        <v>0.3430555555555556</v>
      </c>
      <c r="CM40" s="58" t="n">
        <v>0.7381944444444445</v>
      </c>
      <c r="CN40" s="83">
        <f>MOD(CM40-CL40,1)*24</f>
        <v/>
      </c>
      <c r="CO40" s="57" t="n">
        <v>1</v>
      </c>
      <c r="CP40" s="58" t="n">
        <v>0.2784722222222222</v>
      </c>
      <c r="CQ40" s="58" t="n">
        <v>0.34375</v>
      </c>
      <c r="CR40" s="83">
        <f>MOD(CQ40-CP40,1)*24</f>
        <v/>
      </c>
      <c r="CS40" s="57" t="n">
        <v>0.5</v>
      </c>
      <c r="CT40" s="58" t="n">
        <v>0.3493055555555555</v>
      </c>
      <c r="CU40" s="58" t="n"/>
      <c r="CV40" s="83" t="n"/>
      <c r="CW40" s="57" t="n">
        <v>0.5</v>
      </c>
      <c r="CX40" s="58" t="n">
        <v>0.3395833333333333</v>
      </c>
      <c r="CY40" s="58" t="n">
        <v>0.7368055555555556</v>
      </c>
      <c r="CZ40" s="83">
        <f>MOD(CY40-CX40,1)*24</f>
        <v/>
      </c>
      <c r="DA40" s="57" t="n">
        <v>1</v>
      </c>
      <c r="DB40" s="58" t="n"/>
      <c r="DC40" s="58" t="n"/>
      <c r="DD40" s="83" t="n"/>
      <c r="DE40" s="57" t="n"/>
      <c r="DF40" s="58" t="n">
        <v>0.3444444444444444</v>
      </c>
      <c r="DG40" s="60" t="n">
        <v>0.7361111111111112</v>
      </c>
      <c r="DH40" s="83">
        <f>MOD(DG40-DF40,1)*24</f>
        <v/>
      </c>
      <c r="DI40" s="41" t="n">
        <v>1</v>
      </c>
      <c r="DJ40" s="116" t="n">
        <v>0.3465277777777778</v>
      </c>
      <c r="DK40" s="116" t="n">
        <v>0.7361111111111112</v>
      </c>
      <c r="DL40" s="83">
        <f>MOD(DK40-DJ40,1)*24</f>
        <v/>
      </c>
      <c r="DM40" s="41" t="n">
        <v>1</v>
      </c>
      <c r="DN40" s="58" t="n">
        <v>0.3409722222222222</v>
      </c>
      <c r="DO40" s="58" t="n">
        <v>0.5118055555555555</v>
      </c>
      <c r="DP40" s="83">
        <f>MOD(DO40-DN40,1)*24</f>
        <v/>
      </c>
      <c r="DQ40" s="57" t="n">
        <v>0.5</v>
      </c>
      <c r="DR40" s="61" t="n">
        <v>0.3458333333333333</v>
      </c>
      <c r="DS40" s="62" t="n">
        <v>0.8319444444444445</v>
      </c>
      <c r="DT40" s="83">
        <f>MOD(DS40-DR40,1)*24</f>
        <v/>
      </c>
      <c r="DU40" s="41" t="n">
        <v>1</v>
      </c>
      <c r="DV40" s="61">
        <f>SUM(H40,L40,P40,T40,X40,AB40,AF40,AJ40,AN40,AR40,AV40,AZ40,BD40,BH40,BL40,BP40,BT40,BX40,CB40,CF40,CJ40,CN40,CR40,CV40,CZ40,DD40,DH40,DL40,DP40,DT40)</f>
        <v/>
      </c>
      <c r="DW40" s="62">
        <f>SUM(I40,M40,Q40,U40,Y40,AC40,AG40,AK40,AO40,AS40,AW40,BA40,BE40,BI40,BM40,BQ40,BU40,BY40,CC40,CG40,CK40,CO40,CS40,CW40,DA40,DE40,DI40,DM40,DQ40,DU40)</f>
        <v/>
      </c>
      <c r="DX40" s="83" t="n"/>
      <c r="DY40" s="41" t="n"/>
      <c r="DZ40" s="84" t="n"/>
      <c r="EA40" s="84" t="n"/>
      <c r="EB40" s="84" t="n"/>
      <c r="EC40" s="84" t="n"/>
      <c r="ED40" s="84" t="n"/>
      <c r="EE40" s="84" t="n"/>
      <c r="EF40" s="84" t="n"/>
      <c r="EG40" s="84" t="n"/>
      <c r="EH40" s="84" t="n"/>
      <c r="EI40" s="84" t="n"/>
      <c r="EJ40" s="84" t="n"/>
      <c r="EK40" s="84" t="n"/>
      <c r="EL40" s="84" t="n"/>
      <c r="EM40" s="84" t="n"/>
      <c r="EN40" s="84" t="n"/>
      <c r="EO40" s="84" t="n"/>
      <c r="EP40" s="84" t="n"/>
      <c r="EQ40" s="84" t="n"/>
      <c r="ER40" s="84" t="n"/>
      <c r="ES40" s="84" t="n"/>
      <c r="ET40" s="84" t="n"/>
      <c r="EU40" s="84" t="n"/>
      <c r="EV40" s="84" t="n"/>
      <c r="EW40" s="84" t="n"/>
      <c r="EX40" s="84" t="inlineStr">
        <is>
          <t>早退</t>
        </is>
      </c>
      <c r="EY40" s="84" t="inlineStr">
        <is>
          <t>只打一次卡</t>
        </is>
      </c>
      <c r="EZ40" s="84" t="n"/>
      <c r="FA40" s="84" t="n"/>
      <c r="FB40" s="84" t="n"/>
      <c r="FC40" s="84" t="n"/>
      <c r="FD40" s="84" t="n"/>
      <c r="FE40" s="84" t="n"/>
    </row>
    <row r="41" ht="59" customFormat="1" customHeight="1" s="54">
      <c r="A41" s="55" t="inlineStr">
        <is>
          <t>五楼</t>
        </is>
      </c>
      <c r="B41" s="56" t="inlineStr">
        <is>
          <t>方宇</t>
        </is>
      </c>
      <c r="C41" s="41" t="inlineStr">
        <is>
          <t>36</t>
        </is>
      </c>
      <c r="D41" s="41" t="n"/>
      <c r="E41" s="57" t="n"/>
      <c r="F41" s="115" t="n"/>
      <c r="G41" s="58" t="n"/>
      <c r="H41" s="83" t="n"/>
      <c r="I41" s="57" t="n"/>
      <c r="J41" s="58" t="n"/>
      <c r="K41" s="58" t="n"/>
      <c r="L41" s="83" t="n"/>
      <c r="M41" s="57" t="n"/>
      <c r="N41" s="58" t="n"/>
      <c r="O41" s="58" t="n"/>
      <c r="P41" s="83" t="n"/>
      <c r="Q41" s="57" t="n"/>
      <c r="R41" s="58" t="n"/>
      <c r="S41" s="58" t="n"/>
      <c r="T41" s="83" t="n"/>
      <c r="U41" s="57" t="n"/>
      <c r="V41" s="58" t="n"/>
      <c r="W41" s="58" t="n"/>
      <c r="X41" s="83" t="n"/>
      <c r="Y41" s="57" t="n"/>
      <c r="Z41" s="58" t="n"/>
      <c r="AA41" s="60" t="n"/>
      <c r="AB41" s="83" t="n"/>
      <c r="AC41" s="41" t="n"/>
      <c r="AD41" s="116" t="n"/>
      <c r="AE41" s="117" t="n"/>
      <c r="AF41" s="83" t="n"/>
      <c r="AG41" s="57" t="n"/>
      <c r="AH41" s="58" t="n"/>
      <c r="AI41" s="58" t="n"/>
      <c r="AJ41" s="83" t="n"/>
      <c r="AK41" s="57" t="n"/>
      <c r="AL41" s="58" t="n"/>
      <c r="AM41" s="58" t="n"/>
      <c r="AN41" s="83" t="n"/>
      <c r="AO41" s="57" t="n"/>
      <c r="AP41" s="58" t="n"/>
      <c r="AQ41" s="58" t="n"/>
      <c r="AR41" s="83" t="n"/>
      <c r="AS41" s="57" t="n"/>
      <c r="AT41" s="58" t="n"/>
      <c r="AU41" s="58" t="n"/>
      <c r="AV41" s="83" t="n"/>
      <c r="AW41" s="57" t="n"/>
      <c r="AX41" s="58" t="n"/>
      <c r="AY41" s="58" t="n"/>
      <c r="AZ41" s="83" t="n"/>
      <c r="BA41" s="57" t="n"/>
      <c r="BB41" s="58" t="n"/>
      <c r="BC41" s="60" t="n"/>
      <c r="BD41" s="83" t="n"/>
      <c r="BE41" s="41" t="n"/>
      <c r="BF41" s="116" t="n"/>
      <c r="BG41" s="115" t="n"/>
      <c r="BH41" s="83" t="n"/>
      <c r="BI41" s="57" t="n"/>
      <c r="BJ41" s="58" t="n"/>
      <c r="BK41" s="58" t="n"/>
      <c r="BL41" s="83" t="n"/>
      <c r="BM41" s="57" t="n"/>
      <c r="BN41" s="58" t="n"/>
      <c r="BO41" s="58" t="n"/>
      <c r="BP41" s="83" t="n"/>
      <c r="BQ41" s="57" t="n"/>
      <c r="BR41" s="58" t="n"/>
      <c r="BS41" s="58" t="n"/>
      <c r="BT41" s="83" t="n"/>
      <c r="BU41" s="57" t="n"/>
      <c r="BV41" s="58" t="n"/>
      <c r="BW41" s="60" t="n"/>
      <c r="BX41" s="83" t="n"/>
      <c r="BY41" s="41" t="n"/>
      <c r="BZ41" s="41" t="n"/>
      <c r="CA41" s="41" t="n"/>
      <c r="CB41" s="83" t="n"/>
      <c r="CC41" s="41" t="n"/>
      <c r="CD41" s="116" t="n"/>
      <c r="CE41" s="115" t="n"/>
      <c r="CF41" s="83" t="n"/>
      <c r="CG41" s="57" t="n"/>
      <c r="CH41" s="58" t="n"/>
      <c r="CI41" s="58" t="n"/>
      <c r="CJ41" s="83" t="n"/>
      <c r="CK41" s="57" t="n"/>
      <c r="CL41" s="58" t="n"/>
      <c r="CM41" s="58" t="n"/>
      <c r="CN41" s="83" t="n"/>
      <c r="CO41" s="57" t="n"/>
      <c r="CP41" s="58" t="n"/>
      <c r="CQ41" s="58" t="n"/>
      <c r="CR41" s="83" t="n"/>
      <c r="CS41" s="57" t="n"/>
      <c r="CT41" s="58" t="n"/>
      <c r="CU41" s="58" t="n"/>
      <c r="CV41" s="83" t="n"/>
      <c r="CW41" s="57" t="n"/>
      <c r="CX41" s="58" t="n"/>
      <c r="CY41" s="58" t="n"/>
      <c r="CZ41" s="83" t="n"/>
      <c r="DA41" s="57" t="n"/>
      <c r="DB41" s="58" t="n"/>
      <c r="DC41" s="58" t="n"/>
      <c r="DD41" s="83" t="n"/>
      <c r="DE41" s="57" t="n"/>
      <c r="DF41" s="58" t="n"/>
      <c r="DG41" s="60" t="n"/>
      <c r="DH41" s="83" t="n"/>
      <c r="DI41" s="41" t="n"/>
      <c r="DJ41" s="116" t="n"/>
      <c r="DK41" s="116" t="n"/>
      <c r="DL41" s="83" t="n"/>
      <c r="DM41" s="41" t="n"/>
      <c r="DN41" s="58" t="n">
        <v>0.5138888888888888</v>
      </c>
      <c r="DO41" s="58" t="n">
        <v>0.8777777777777778</v>
      </c>
      <c r="DP41" s="83">
        <f>MOD(DO41-DN41,1)*24</f>
        <v/>
      </c>
      <c r="DQ41" s="57" t="n">
        <v>0.5</v>
      </c>
      <c r="DR41" s="61" t="n"/>
      <c r="DS41" s="62" t="n"/>
      <c r="DT41" s="83" t="n"/>
      <c r="DU41" s="41" t="n"/>
      <c r="DV41" s="61">
        <f>SUM(H41,L41,P41,T41,X41,AB41,AF41,AJ41,AN41,AR41,AV41,AZ41,BD41,BH41,BL41,BP41,BT41,BX41,CB41,CF41,CJ41,CN41,CR41,CV41,CZ41,DD41,DH41,DL41,DP41,DT41)</f>
        <v/>
      </c>
      <c r="DW41" s="62">
        <f>SUM(I41,M41,Q41,U41,Y41,AC41,AG41,AK41,AO41,AS41,AW41,BA41,BE41,BI41,BM41,BQ41,BU41,BY41,CC41,CG41,CK41,CO41,CS41,CW41,DA41,DE41,DI41,DM41,DQ41,DU41)</f>
        <v/>
      </c>
      <c r="DX41" s="83" t="n"/>
      <c r="DY41" s="41" t="n"/>
      <c r="DZ41" s="84" t="n"/>
      <c r="EA41" s="84" t="n"/>
      <c r="EB41" s="84" t="n"/>
      <c r="EC41" s="84" t="n"/>
      <c r="ED41" s="84" t="n"/>
      <c r="EE41" s="84" t="n"/>
      <c r="EF41" s="84" t="n"/>
      <c r="EG41" s="84" t="n"/>
      <c r="EH41" s="84" t="n"/>
      <c r="EI41" s="84" t="n"/>
      <c r="EJ41" s="84" t="n"/>
      <c r="EK41" s="84" t="n"/>
      <c r="EL41" s="84" t="n"/>
      <c r="EM41" s="84" t="n"/>
      <c r="EN41" s="84" t="n"/>
      <c r="EO41" s="84" t="n"/>
      <c r="EP41" s="84" t="n"/>
      <c r="EQ41" s="84" t="n"/>
      <c r="ER41" s="84" t="n"/>
      <c r="ES41" s="84" t="n"/>
      <c r="ET41" s="84" t="n"/>
      <c r="EU41" s="84" t="n"/>
      <c r="EV41" s="84" t="n"/>
      <c r="EW41" s="84" t="n"/>
      <c r="EX41" s="84" t="n"/>
      <c r="EY41" s="84" t="n"/>
      <c r="EZ41" s="84" t="n"/>
      <c r="FA41" s="84" t="n"/>
      <c r="FB41" s="84" t="n"/>
      <c r="FC41" s="84" t="n"/>
      <c r="FD41" s="84" t="n"/>
      <c r="FE41" s="84" t="n"/>
    </row>
    <row r="42" ht="59" customFormat="1" customHeight="1" s="54">
      <c r="A42" s="55" t="inlineStr">
        <is>
          <t>五楼</t>
        </is>
      </c>
      <c r="B42" s="56" t="inlineStr">
        <is>
          <t>莫永兵</t>
        </is>
      </c>
      <c r="C42" s="41" t="inlineStr">
        <is>
          <t>37</t>
        </is>
      </c>
      <c r="D42" s="41" t="n"/>
      <c r="E42" s="57" t="n"/>
      <c r="F42" s="115" t="n">
        <v>0.3416666666666667</v>
      </c>
      <c r="G42" s="58" t="n">
        <v>0.8006944444444445</v>
      </c>
      <c r="H42" s="83">
        <f>MOD(G42-F42,1)*24</f>
        <v/>
      </c>
      <c r="I42" s="57" t="n">
        <v>1</v>
      </c>
      <c r="J42" s="58" t="n">
        <v>0.3173611111111111</v>
      </c>
      <c r="K42" s="58" t="n">
        <v>0.8472222222222222</v>
      </c>
      <c r="L42" s="83">
        <f>MOD(K42-J42,1)*24</f>
        <v/>
      </c>
      <c r="M42" s="57" t="n">
        <v>1</v>
      </c>
      <c r="N42" s="58" t="n">
        <v>0.3465277777777778</v>
      </c>
      <c r="O42" s="58" t="n">
        <v>0.7986111111111112</v>
      </c>
      <c r="P42" s="83">
        <f>MOD(O42-N42,1)*24</f>
        <v/>
      </c>
      <c r="Q42" s="57" t="n">
        <v>1</v>
      </c>
      <c r="R42" s="58" t="n">
        <v>0.3423611111111111</v>
      </c>
      <c r="S42" s="58" t="n">
        <v>0.7506944444444444</v>
      </c>
      <c r="T42" s="83">
        <f>MOD(S42-R42,1)*24</f>
        <v/>
      </c>
      <c r="U42" s="57" t="n">
        <v>1</v>
      </c>
      <c r="V42" s="58" t="n">
        <v>0.8069444444444445</v>
      </c>
      <c r="W42" s="58" t="n"/>
      <c r="X42" s="83" t="n"/>
      <c r="Y42" s="57" t="n">
        <v>0.5</v>
      </c>
      <c r="Z42" s="58" t="n">
        <v>0.3493055555555555</v>
      </c>
      <c r="AA42" s="60" t="n">
        <v>0.7972222222222223</v>
      </c>
      <c r="AB42" s="83">
        <f>MOD(AA42-Z42,1)*24</f>
        <v/>
      </c>
      <c r="AC42" s="41" t="n">
        <v>1</v>
      </c>
      <c r="AD42" s="116" t="n">
        <v>0.3486111111111111</v>
      </c>
      <c r="AE42" s="117" t="n">
        <v>0.8034722222222223</v>
      </c>
      <c r="AF42" s="83">
        <f>MOD(AE42-AD42,1)*24</f>
        <v/>
      </c>
      <c r="AG42" s="57" t="n">
        <v>1</v>
      </c>
      <c r="AH42" s="58" t="n">
        <v>0.3486111111111111</v>
      </c>
      <c r="AI42" s="58" t="n">
        <v>0.81875</v>
      </c>
      <c r="AJ42" s="83">
        <f>MOD(AI42-AH42,1)*24</f>
        <v/>
      </c>
      <c r="AK42" s="57" t="n">
        <v>1</v>
      </c>
      <c r="AL42" s="58" t="n">
        <v>0.3479166666666667</v>
      </c>
      <c r="AM42" s="58" t="n">
        <v>0.8020833333333334</v>
      </c>
      <c r="AN42" s="83">
        <f>MOD(AM42-AL42,1)*24</f>
        <v/>
      </c>
      <c r="AO42" s="57" t="n">
        <v>1</v>
      </c>
      <c r="AP42" s="58" t="n">
        <v>0.3465277777777778</v>
      </c>
      <c r="AQ42" s="58" t="n">
        <v>0.9236111111111112</v>
      </c>
      <c r="AR42" s="83">
        <f>MOD(AQ42-AP42,1)*24</f>
        <v/>
      </c>
      <c r="AS42" s="57" t="n">
        <v>1</v>
      </c>
      <c r="AT42" s="58" t="n">
        <v>0.8736111111111111</v>
      </c>
      <c r="AU42" s="58" t="n"/>
      <c r="AV42" s="83" t="n"/>
      <c r="AW42" s="57" t="n">
        <v>0.5</v>
      </c>
      <c r="AX42" s="58" t="n">
        <v>0.7652777777777777</v>
      </c>
      <c r="AY42" s="58" t="n"/>
      <c r="AZ42" s="83" t="n"/>
      <c r="BA42" s="57" t="n">
        <v>0.5</v>
      </c>
      <c r="BB42" s="58" t="n">
        <v>0.3409722222222222</v>
      </c>
      <c r="BC42" s="60" t="n">
        <v>0.8805555555555555</v>
      </c>
      <c r="BD42" s="83">
        <f>MOD(BC42-BB42,1)*24</f>
        <v/>
      </c>
      <c r="BE42" s="41" t="n">
        <v>1</v>
      </c>
      <c r="BF42" s="116" t="n">
        <v>0.3222222222222222</v>
      </c>
      <c r="BG42" s="115" t="n">
        <v>0.9347222222222222</v>
      </c>
      <c r="BH42" s="83">
        <f>MOD(BG42-BF42,1)*24</f>
        <v/>
      </c>
      <c r="BI42" s="57" t="n">
        <v>1</v>
      </c>
      <c r="BJ42" s="58" t="n">
        <v>0.3145833333333333</v>
      </c>
      <c r="BK42" s="58" t="n">
        <v>0.8840277777777777</v>
      </c>
      <c r="BL42" s="83">
        <f>MOD(BK42-BJ42,1)*24</f>
        <v/>
      </c>
      <c r="BM42" s="57" t="n">
        <v>1</v>
      </c>
      <c r="BN42" s="58" t="n">
        <v>0.3284722222222222</v>
      </c>
      <c r="BO42" s="58" t="n">
        <v>0.9534722222222223</v>
      </c>
      <c r="BP42" s="83">
        <f>MOD(BO42-BN42,1)*24</f>
        <v/>
      </c>
      <c r="BQ42" s="57" t="n">
        <v>1</v>
      </c>
      <c r="BR42" s="58" t="n">
        <v>0.3131944444444444</v>
      </c>
      <c r="BS42" s="58" t="n">
        <v>0.91875</v>
      </c>
      <c r="BT42" s="83">
        <f>MOD(BS42-BR42,1)*24</f>
        <v/>
      </c>
      <c r="BU42" s="57" t="n">
        <v>1</v>
      </c>
      <c r="BV42" s="58" t="n">
        <v>0.3416666666666667</v>
      </c>
      <c r="BW42" s="60" t="n">
        <v>0.9194444444444444</v>
      </c>
      <c r="BX42" s="83">
        <f>MOD(BW42-BV42,1)*24</f>
        <v/>
      </c>
      <c r="BY42" s="41" t="n">
        <v>1</v>
      </c>
      <c r="BZ42" s="116" t="n">
        <v>0.7625</v>
      </c>
      <c r="CA42" s="41" t="n"/>
      <c r="CB42" s="83" t="n"/>
      <c r="CC42" s="41" t="n">
        <v>0.5</v>
      </c>
      <c r="CD42" s="116" t="n">
        <v>0.3229166666666667</v>
      </c>
      <c r="CE42" s="115" t="n">
        <v>0.9256944444444445</v>
      </c>
      <c r="CF42" s="83">
        <f>MOD(CE42-CD42,1)*24</f>
        <v/>
      </c>
      <c r="CG42" s="57" t="n">
        <v>1</v>
      </c>
      <c r="CH42" s="58" t="n">
        <v>0.3444444444444444</v>
      </c>
      <c r="CI42" s="58" t="n">
        <v>0.8965277777777778</v>
      </c>
      <c r="CJ42" s="83">
        <f>MOD(CI42-CH42,1)*24</f>
        <v/>
      </c>
      <c r="CK42" s="57" t="n">
        <v>1</v>
      </c>
      <c r="CL42" s="58" t="n">
        <v>0.3166666666666667</v>
      </c>
      <c r="CM42" s="58" t="n">
        <v>0.8979166666666667</v>
      </c>
      <c r="CN42" s="83">
        <f>MOD(CM42-CL42,1)*24</f>
        <v/>
      </c>
      <c r="CO42" s="57" t="n">
        <v>1</v>
      </c>
      <c r="CP42" s="58" t="n">
        <v>0.3395833333333333</v>
      </c>
      <c r="CQ42" s="58" t="n">
        <v>0.91875</v>
      </c>
      <c r="CR42" s="83">
        <f>MOD(CQ42-CP42,1)*24</f>
        <v/>
      </c>
      <c r="CS42" s="57" t="n">
        <v>1</v>
      </c>
      <c r="CT42" s="58" t="n">
        <v>0.3180555555555555</v>
      </c>
      <c r="CU42" s="58" t="n">
        <v>0.8888888888888888</v>
      </c>
      <c r="CV42" s="83">
        <f>MOD(CU42-CT42,1)*24</f>
        <v/>
      </c>
      <c r="CW42" s="57" t="n">
        <v>1</v>
      </c>
      <c r="CX42" s="58" t="n">
        <v>0.3472222222222222</v>
      </c>
      <c r="CY42" s="58" t="n">
        <v>0.7909722222222222</v>
      </c>
      <c r="CZ42" s="83">
        <f>MOD(CY42-CX42,1)*24</f>
        <v/>
      </c>
      <c r="DA42" s="57" t="n">
        <v>1</v>
      </c>
      <c r="DB42" s="58" t="n">
        <v>0.7361111111111112</v>
      </c>
      <c r="DC42" s="58" t="n"/>
      <c r="DD42" s="83" t="n"/>
      <c r="DE42" s="57" t="n">
        <v>0.5</v>
      </c>
      <c r="DF42" s="58" t="n">
        <v>0.3208333333333334</v>
      </c>
      <c r="DG42" s="60" t="n">
        <v>0.8895833333333333</v>
      </c>
      <c r="DH42" s="83">
        <f>MOD(DG42-DF42,1)*24</f>
        <v/>
      </c>
      <c r="DI42" s="41" t="n">
        <v>1</v>
      </c>
      <c r="DJ42" s="116" t="n">
        <v>0.3354166666666666</v>
      </c>
      <c r="DK42" s="116" t="n">
        <v>0.8909722222222223</v>
      </c>
      <c r="DL42" s="83">
        <f>MOD(DK42-DJ42,1)*24</f>
        <v/>
      </c>
      <c r="DM42" s="41" t="n">
        <v>1</v>
      </c>
      <c r="DN42" s="58" t="n">
        <v>0.3375</v>
      </c>
      <c r="DO42" s="58" t="n">
        <v>0.9166666666666666</v>
      </c>
      <c r="DP42" s="83">
        <f>MOD(DO42-DN42,1)*24</f>
        <v/>
      </c>
      <c r="DQ42" s="57" t="n">
        <v>1</v>
      </c>
      <c r="DR42" s="61" t="n">
        <v>0.3458333333333333</v>
      </c>
      <c r="DS42" s="62" t="n">
        <v>0.8381944444444445</v>
      </c>
      <c r="DT42" s="83">
        <f>MOD(DS42-DR42,1)*24</f>
        <v/>
      </c>
      <c r="DU42" s="41" t="n">
        <v>1</v>
      </c>
      <c r="DV42" s="61">
        <f>SUM(H42,L42,P42,T42,X42,AB42,AF42,AJ42,AN42,AR42,AV42,AZ42,BD42,BH42,BL42,BP42,BT42,BX42,CB42,CF42,CJ42,CN42,CR42,CV42,CZ42,DD42,DH42,DL42,DP42,DT42)</f>
        <v/>
      </c>
      <c r="DW42" s="62">
        <f>SUM(I42,M42,Q42,U42,Y42,AC42,AG42,AK42,AO42,AS42,AW42,BA42,BE42,BI42,BM42,BQ42,BU42,BY42,CC42,CG42,CK42,CO42,CS42,CW42,DA42,DE42,DI42,DM42,DQ42,DU42)</f>
        <v/>
      </c>
      <c r="DX42" s="83" t="n"/>
      <c r="DY42" s="41" t="n"/>
      <c r="DZ42" s="84" t="n"/>
      <c r="EA42" s="84" t="n"/>
      <c r="EB42" s="84" t="n"/>
      <c r="EC42" s="84" t="n"/>
      <c r="ED42" s="84" t="n"/>
      <c r="EE42" s="84" t="n"/>
      <c r="EF42" s="84" t="inlineStr">
        <is>
          <t>只打一次卡</t>
        </is>
      </c>
      <c r="EG42" s="84" t="n"/>
      <c r="EH42" s="84" t="n"/>
      <c r="EI42" s="84" t="n"/>
      <c r="EJ42" s="84" t="n"/>
      <c r="EK42" s="84" t="n"/>
      <c r="EL42" s="84" t="inlineStr">
        <is>
          <t>只打一次卡</t>
        </is>
      </c>
      <c r="EM42" s="84" t="inlineStr">
        <is>
          <t>只打一次卡</t>
        </is>
      </c>
      <c r="EN42" s="84" t="n"/>
      <c r="EO42" s="84" t="n"/>
      <c r="EP42" s="84" t="n"/>
      <c r="EQ42" s="84" t="n"/>
      <c r="ER42" s="84" t="n"/>
      <c r="ES42" s="84" t="n"/>
      <c r="ET42" s="84" t="inlineStr">
        <is>
          <t>只打一次卡</t>
        </is>
      </c>
      <c r="EU42" s="84" t="n"/>
      <c r="EV42" s="84" t="n"/>
      <c r="EW42" s="84" t="n"/>
      <c r="EX42" s="84" t="n"/>
      <c r="EY42" s="84" t="n"/>
      <c r="EZ42" s="84" t="n"/>
      <c r="FA42" s="84" t="inlineStr">
        <is>
          <t>只打一次卡</t>
        </is>
      </c>
      <c r="FB42" s="84" t="n"/>
      <c r="FC42" s="84" t="n"/>
      <c r="FD42" s="84" t="n"/>
      <c r="FE42" s="84" t="n"/>
    </row>
    <row r="43" ht="59" customFormat="1" customHeight="1" s="54">
      <c r="A43" s="55" t="inlineStr">
        <is>
          <t>五楼</t>
        </is>
      </c>
      <c r="B43" s="56" t="inlineStr">
        <is>
          <t>冯钰超</t>
        </is>
      </c>
      <c r="C43" s="41" t="inlineStr">
        <is>
          <t>38</t>
        </is>
      </c>
      <c r="D43" s="41" t="n"/>
      <c r="E43" s="57" t="n"/>
      <c r="F43" s="115" t="n">
        <v>0.3506944444444444</v>
      </c>
      <c r="G43" s="58" t="n">
        <v>0.7361111111111112</v>
      </c>
      <c r="H43" s="83">
        <f>MOD(G43-F43,1)*24</f>
        <v/>
      </c>
      <c r="I43" s="57" t="n">
        <v>1</v>
      </c>
      <c r="J43" s="58" t="n">
        <v>0.3493055555555555</v>
      </c>
      <c r="K43" s="58" t="n">
        <v>0.7465277777777778</v>
      </c>
      <c r="L43" s="83">
        <f>MOD(K43-J43,1)*24</f>
        <v/>
      </c>
      <c r="M43" s="57" t="n">
        <v>1</v>
      </c>
      <c r="N43" s="58" t="n">
        <v>0.3493055555555555</v>
      </c>
      <c r="O43" s="58" t="n">
        <v>0.7368055555555556</v>
      </c>
      <c r="P43" s="83">
        <f>MOD(O43-N43,1)*24</f>
        <v/>
      </c>
      <c r="Q43" s="57" t="n">
        <v>1</v>
      </c>
      <c r="R43" s="58" t="n"/>
      <c r="S43" s="58" t="n"/>
      <c r="T43" s="83" t="n"/>
      <c r="U43" s="57" t="n"/>
      <c r="V43" s="58" t="n"/>
      <c r="W43" s="58" t="n"/>
      <c r="X43" s="83" t="n"/>
      <c r="Y43" s="57" t="n"/>
      <c r="Z43" s="58" t="n">
        <v>0.3493055555555555</v>
      </c>
      <c r="AA43" s="60" t="n">
        <v>0.7416666666666667</v>
      </c>
      <c r="AB43" s="83">
        <f>MOD(AA43-Z43,1)*24</f>
        <v/>
      </c>
      <c r="AC43" s="41" t="n">
        <v>1</v>
      </c>
      <c r="AD43" s="116" t="n">
        <v>0.35</v>
      </c>
      <c r="AE43" s="117" t="n">
        <v>0.7368055555555556</v>
      </c>
      <c r="AF43" s="83">
        <f>MOD(AE43-AD43,1)*24</f>
        <v/>
      </c>
      <c r="AG43" s="57" t="n">
        <v>1</v>
      </c>
      <c r="AH43" s="58" t="n">
        <v>0.3486111111111111</v>
      </c>
      <c r="AI43" s="58" t="n">
        <v>0.7402777777777778</v>
      </c>
      <c r="AJ43" s="83">
        <f>MOD(AI43-AH43,1)*24</f>
        <v/>
      </c>
      <c r="AK43" s="57" t="n">
        <v>1</v>
      </c>
      <c r="AL43" s="58" t="n">
        <v>0.3493055555555555</v>
      </c>
      <c r="AM43" s="58" t="n">
        <v>0.7423611111111111</v>
      </c>
      <c r="AN43" s="83">
        <f>MOD(AM43-AL43,1)*24</f>
        <v/>
      </c>
      <c r="AO43" s="57" t="n">
        <v>1</v>
      </c>
      <c r="AP43" s="58" t="n">
        <v>0.3493055555555555</v>
      </c>
      <c r="AQ43" s="58" t="n">
        <v>0.7381944444444445</v>
      </c>
      <c r="AR43" s="83">
        <f>MOD(AQ43-AP43,1)*24</f>
        <v/>
      </c>
      <c r="AS43" s="57" t="n">
        <v>1</v>
      </c>
      <c r="AT43" s="58" t="n">
        <v>0.3486111111111111</v>
      </c>
      <c r="AU43" s="58" t="n">
        <v>0.7472222222222222</v>
      </c>
      <c r="AV43" s="83">
        <f>MOD(AU43-AT43,1)*24</f>
        <v/>
      </c>
      <c r="AW43" s="57" t="n">
        <v>1</v>
      </c>
      <c r="AX43" s="58" t="n">
        <v>0.3486111111111111</v>
      </c>
      <c r="AY43" s="58" t="n">
        <v>0.7361111111111112</v>
      </c>
      <c r="AZ43" s="83">
        <f>MOD(AY43-AX43,1)*24</f>
        <v/>
      </c>
      <c r="BA43" s="57" t="n">
        <v>1</v>
      </c>
      <c r="BB43" s="58" t="n">
        <v>0.3486111111111111</v>
      </c>
      <c r="BC43" s="60" t="n">
        <v>0.7402777777777778</v>
      </c>
      <c r="BD43" s="83">
        <f>MOD(BC43-BB43,1)*24</f>
        <v/>
      </c>
      <c r="BE43" s="41" t="n">
        <v>1</v>
      </c>
      <c r="BF43" s="116" t="n">
        <v>0.3486111111111111</v>
      </c>
      <c r="BG43" s="115" t="n">
        <v>0.7402777777777778</v>
      </c>
      <c r="BH43" s="83">
        <f>MOD(BG43-BF43,1)*24</f>
        <v/>
      </c>
      <c r="BI43" s="57" t="n">
        <v>1</v>
      </c>
      <c r="BJ43" s="58" t="n"/>
      <c r="BK43" s="58" t="n"/>
      <c r="BL43" s="83" t="n"/>
      <c r="BM43" s="57" t="n"/>
      <c r="BN43" s="58" t="n">
        <v>0.3493055555555555</v>
      </c>
      <c r="BO43" s="58" t="n">
        <v>0.7381944444444445</v>
      </c>
      <c r="BP43" s="83">
        <f>MOD(BO43-BN43,1)*24</f>
        <v/>
      </c>
      <c r="BQ43" s="57" t="n">
        <v>1</v>
      </c>
      <c r="BR43" s="58" t="n">
        <v>0.3486111111111111</v>
      </c>
      <c r="BS43" s="58" t="n">
        <v>0.7736111111111111</v>
      </c>
      <c r="BT43" s="83">
        <f>MOD(BS43-BR43,1)*24</f>
        <v/>
      </c>
      <c r="BU43" s="57" t="n">
        <v>1</v>
      </c>
      <c r="BV43" s="58" t="n">
        <v>0.3493055555555555</v>
      </c>
      <c r="BW43" s="60" t="n">
        <v>0.7381944444444445</v>
      </c>
      <c r="BX43" s="83">
        <f>MOD(BW43-BV43,1)*24</f>
        <v/>
      </c>
      <c r="BY43" s="41" t="n">
        <v>1</v>
      </c>
      <c r="BZ43" s="41" t="n"/>
      <c r="CA43" s="41" t="n"/>
      <c r="CB43" s="83" t="n"/>
      <c r="CC43" s="41" t="n"/>
      <c r="CD43" s="116" t="n">
        <v>0.3493055555555555</v>
      </c>
      <c r="CE43" s="115" t="n">
        <v>0.7375</v>
      </c>
      <c r="CF43" s="83">
        <f>MOD(CE43-CD43,1)*24</f>
        <v/>
      </c>
      <c r="CG43" s="57" t="n">
        <v>1</v>
      </c>
      <c r="CH43" s="58" t="n">
        <v>0.3472222222222222</v>
      </c>
      <c r="CI43" s="58" t="n">
        <v>0.74375</v>
      </c>
      <c r="CJ43" s="83">
        <f>MOD(CI43-CH43,1)*24</f>
        <v/>
      </c>
      <c r="CK43" s="57" t="n">
        <v>1</v>
      </c>
      <c r="CL43" s="58" t="n">
        <v>0.3472222222222222</v>
      </c>
      <c r="CM43" s="58" t="n">
        <v>0.7368055555555556</v>
      </c>
      <c r="CN43" s="83">
        <f>MOD(CM43-CL43,1)*24</f>
        <v/>
      </c>
      <c r="CO43" s="57" t="n">
        <v>1</v>
      </c>
      <c r="CP43" s="58" t="n">
        <v>0.3472222222222222</v>
      </c>
      <c r="CQ43" s="58" t="n">
        <v>0.7493055555555556</v>
      </c>
      <c r="CR43" s="83">
        <f>MOD(CQ43-CP43,1)*24</f>
        <v/>
      </c>
      <c r="CS43" s="57" t="n">
        <v>1</v>
      </c>
      <c r="CT43" s="58" t="n">
        <v>0.3479166666666667</v>
      </c>
      <c r="CU43" s="58" t="n">
        <v>0.7444444444444445</v>
      </c>
      <c r="CV43" s="83">
        <f>MOD(CU43-CT43,1)*24</f>
        <v/>
      </c>
      <c r="CW43" s="57" t="n">
        <v>1</v>
      </c>
      <c r="CX43" s="58" t="n">
        <v>0.3479166666666667</v>
      </c>
      <c r="CY43" s="58" t="n">
        <v>0.7722222222222223</v>
      </c>
      <c r="CZ43" s="83">
        <f>MOD(CY43-CX43,1)*24</f>
        <v/>
      </c>
      <c r="DA43" s="57" t="n">
        <v>1</v>
      </c>
      <c r="DB43" s="58" t="n"/>
      <c r="DC43" s="58" t="n"/>
      <c r="DD43" s="83" t="n"/>
      <c r="DE43" s="57" t="n"/>
      <c r="DF43" s="58" t="n">
        <v>0.3493055555555555</v>
      </c>
      <c r="DG43" s="60" t="n">
        <v>0.7694444444444445</v>
      </c>
      <c r="DH43" s="83">
        <f>MOD(DG43-DF43,1)*24</f>
        <v/>
      </c>
      <c r="DI43" s="41" t="n">
        <v>1</v>
      </c>
      <c r="DJ43" s="116" t="n">
        <v>0.3479166666666667</v>
      </c>
      <c r="DK43" s="116" t="n">
        <v>0.7402777777777778</v>
      </c>
      <c r="DL43" s="83">
        <f>MOD(DK43-DJ43,1)*24</f>
        <v/>
      </c>
      <c r="DM43" s="41" t="n">
        <v>1</v>
      </c>
      <c r="DN43" s="58" t="n">
        <v>0.3493055555555555</v>
      </c>
      <c r="DO43" s="58" t="n">
        <v>0.7375</v>
      </c>
      <c r="DP43" s="83">
        <f>MOD(DO43-DN43,1)*24</f>
        <v/>
      </c>
      <c r="DQ43" s="57" t="n">
        <v>1</v>
      </c>
      <c r="DR43" s="61" t="n">
        <v>0.3465277777777778</v>
      </c>
      <c r="DS43" s="62" t="n">
        <v>0.7444444444444445</v>
      </c>
      <c r="DT43" s="83">
        <f>MOD(DS43-DR43,1)*24</f>
        <v/>
      </c>
      <c r="DU43" s="41" t="n">
        <v>1</v>
      </c>
      <c r="DV43" s="61">
        <f>SUM(H43,L43,P43,T43,X43,AB43,AF43,AJ43,AN43,AR43,AV43,AZ43,BD43,BH43,BL43,BP43,BT43,BX43,CB43,CF43,CJ43,CN43,CR43,CV43,CZ43,DD43,DH43,DL43,DP43,DT43)</f>
        <v/>
      </c>
      <c r="DW43" s="62">
        <f>SUM(I43,M43,Q43,U43,Y43,AC43,AG43,AK43,AO43,AS43,AW43,BA43,BE43,BI43,BM43,BQ43,BU43,BY43,CC43,CG43,CK43,CO43,CS43,CW43,DA43,DE43,DI43,DM43,DQ43,DU43)</f>
        <v/>
      </c>
      <c r="DX43" s="83" t="n"/>
      <c r="DY43" s="41" t="n"/>
      <c r="DZ43" s="84" t="n"/>
      <c r="EA43" s="84" t="n"/>
      <c r="EB43" s="84" t="n"/>
      <c r="EC43" s="84" t="n"/>
      <c r="ED43" s="84" t="n"/>
      <c r="EE43" s="84" t="n"/>
      <c r="EF43" s="84" t="n"/>
      <c r="EG43" s="84" t="n"/>
      <c r="EH43" s="84" t="n"/>
      <c r="EI43" s="84" t="n"/>
      <c r="EJ43" s="84" t="n"/>
      <c r="EK43" s="84" t="n"/>
      <c r="EL43" s="84" t="n"/>
      <c r="EM43" s="84" t="n"/>
      <c r="EN43" s="84" t="n"/>
      <c r="EO43" s="84" t="n"/>
      <c r="EP43" s="84" t="n"/>
      <c r="EQ43" s="84" t="n"/>
      <c r="ER43" s="84" t="n"/>
      <c r="ES43" s="84" t="n"/>
      <c r="ET43" s="84" t="n"/>
      <c r="EU43" s="84" t="n"/>
      <c r="EV43" s="84" t="n"/>
      <c r="EW43" s="84" t="n"/>
      <c r="EX43" s="84" t="n"/>
      <c r="EY43" s="84" t="n"/>
      <c r="EZ43" s="84" t="n"/>
      <c r="FA43" s="84" t="n"/>
      <c r="FB43" s="84" t="n"/>
      <c r="FC43" s="84" t="n"/>
      <c r="FD43" s="84" t="n"/>
      <c r="FE43" s="84" t="n"/>
    </row>
    <row r="44" ht="59" customFormat="1" customHeight="1" s="54">
      <c r="A44" s="55" t="inlineStr">
        <is>
          <t>五楼</t>
        </is>
      </c>
      <c r="B44" s="56" t="inlineStr">
        <is>
          <t>黄华</t>
        </is>
      </c>
      <c r="C44" s="41" t="inlineStr">
        <is>
          <t>39</t>
        </is>
      </c>
      <c r="D44" s="41" t="n"/>
      <c r="E44" s="57" t="n"/>
      <c r="F44" s="115" t="n">
        <v>0.3486111111111111</v>
      </c>
      <c r="G44" s="58" t="n">
        <v>0.81875</v>
      </c>
      <c r="H44" s="83">
        <f>MOD(G44-F44,1)*24</f>
        <v/>
      </c>
      <c r="I44" s="57" t="n">
        <v>1</v>
      </c>
      <c r="J44" s="58" t="n">
        <v>0.3465277777777778</v>
      </c>
      <c r="K44" s="58" t="n">
        <v>0.7680555555555556</v>
      </c>
      <c r="L44" s="83">
        <f>MOD(K44-J44,1)*24</f>
        <v/>
      </c>
      <c r="M44" s="57" t="n">
        <v>1</v>
      </c>
      <c r="N44" s="58" t="n">
        <v>0.3465277777777778</v>
      </c>
      <c r="O44" s="58" t="n">
        <v>0.7472222222222222</v>
      </c>
      <c r="P44" s="83">
        <f>MOD(O44-N44,1)*24</f>
        <v/>
      </c>
      <c r="Q44" s="57" t="n">
        <v>1</v>
      </c>
      <c r="R44" s="58" t="n">
        <v>0.7368055555555556</v>
      </c>
      <c r="S44" s="58" t="n"/>
      <c r="T44" s="83" t="n"/>
      <c r="U44" s="57" t="n">
        <v>0.5</v>
      </c>
      <c r="V44" s="58" t="n"/>
      <c r="W44" s="58" t="n"/>
      <c r="X44" s="83" t="n"/>
      <c r="Y44" s="57" t="n"/>
      <c r="Z44" s="58" t="n">
        <v>0.3472222222222222</v>
      </c>
      <c r="AA44" s="60" t="n">
        <v>0.7381944444444445</v>
      </c>
      <c r="AB44" s="83">
        <f>MOD(AA44-Z44,1)*24</f>
        <v/>
      </c>
      <c r="AC44" s="41" t="n">
        <v>1</v>
      </c>
      <c r="AD44" s="116" t="n">
        <v>0.3506944444444444</v>
      </c>
      <c r="AE44" s="117" t="n">
        <v>0.7534722222222222</v>
      </c>
      <c r="AF44" s="83">
        <f>MOD(AE44-AD44,1)*24</f>
        <v/>
      </c>
      <c r="AG44" s="57" t="n">
        <v>1</v>
      </c>
      <c r="AH44" s="58" t="n">
        <v>0.3472222222222222</v>
      </c>
      <c r="AI44" s="58" t="n">
        <v>0.8395833333333333</v>
      </c>
      <c r="AJ44" s="83">
        <f>MOD(AI44-AH44,1)*24</f>
        <v/>
      </c>
      <c r="AK44" s="57" t="n">
        <v>1</v>
      </c>
      <c r="AL44" s="58" t="n">
        <v>0.3486111111111111</v>
      </c>
      <c r="AM44" s="58" t="n">
        <v>0.7423611111111111</v>
      </c>
      <c r="AN44" s="83">
        <f>MOD(AM44-AL44,1)*24</f>
        <v/>
      </c>
      <c r="AO44" s="57" t="n">
        <v>0.5</v>
      </c>
      <c r="AP44" s="58" t="n">
        <v>0.3493055555555555</v>
      </c>
      <c r="AQ44" s="58" t="n">
        <v>0.7479166666666667</v>
      </c>
      <c r="AR44" s="83">
        <f>MOD(AQ44-AP44,1)*24</f>
        <v/>
      </c>
      <c r="AS44" s="57" t="n">
        <v>1</v>
      </c>
      <c r="AT44" s="58" t="n">
        <v>0.3486111111111111</v>
      </c>
      <c r="AU44" s="58" t="n">
        <v>0.7520833333333333</v>
      </c>
      <c r="AV44" s="83">
        <f>MOD(AU44-AT44,1)*24</f>
        <v/>
      </c>
      <c r="AW44" s="57" t="n">
        <v>0.5</v>
      </c>
      <c r="AX44" s="58" t="n"/>
      <c r="AY44" s="58" t="n"/>
      <c r="AZ44" s="83" t="n"/>
      <c r="BA44" s="57" t="n"/>
      <c r="BB44" s="58" t="n">
        <v>0.3486111111111111</v>
      </c>
      <c r="BC44" s="60" t="n">
        <v>0.7513888888888889</v>
      </c>
      <c r="BD44" s="83">
        <f>MOD(BC44-BB44,1)*24</f>
        <v/>
      </c>
      <c r="BE44" s="41" t="n">
        <v>1</v>
      </c>
      <c r="BF44" s="116" t="n">
        <v>0.3458333333333333</v>
      </c>
      <c r="BG44" s="115" t="n">
        <v>0.7395833333333334</v>
      </c>
      <c r="BH44" s="83">
        <f>MOD(BG44-BF44,1)*24</f>
        <v/>
      </c>
      <c r="BI44" s="57" t="n">
        <v>1</v>
      </c>
      <c r="BJ44" s="58" t="n">
        <v>0.7402777777777778</v>
      </c>
      <c r="BK44" s="58" t="n"/>
      <c r="BL44" s="83" t="n"/>
      <c r="BM44" s="57" t="n">
        <v>0.5</v>
      </c>
      <c r="BN44" s="58" t="n">
        <v>0.3444444444444444</v>
      </c>
      <c r="BO44" s="58" t="n">
        <v>0.7409722222222223</v>
      </c>
      <c r="BP44" s="83">
        <f>MOD(BO44-BN44,1)*24</f>
        <v/>
      </c>
      <c r="BQ44" s="57" t="n">
        <v>1</v>
      </c>
      <c r="BR44" s="58" t="n">
        <v>0.3479166666666667</v>
      </c>
      <c r="BS44" s="58" t="n">
        <v>0.7395833333333334</v>
      </c>
      <c r="BT44" s="83">
        <f>MOD(BS44-BR44,1)*24</f>
        <v/>
      </c>
      <c r="BU44" s="57" t="n">
        <v>1</v>
      </c>
      <c r="BV44" s="58" t="n">
        <v>0.3472222222222222</v>
      </c>
      <c r="BW44" s="60" t="n">
        <v>0.78125</v>
      </c>
      <c r="BX44" s="83">
        <f>MOD(BW44-BV44,1)*24</f>
        <v/>
      </c>
      <c r="BY44" s="41" t="n">
        <v>1</v>
      </c>
      <c r="BZ44" s="41" t="n"/>
      <c r="CA44" s="41" t="n"/>
      <c r="CB44" s="83" t="n"/>
      <c r="CC44" s="41" t="n"/>
      <c r="CD44" s="116" t="n">
        <v>0.3493055555555555</v>
      </c>
      <c r="CE44" s="115" t="n">
        <v>0.7388888888888889</v>
      </c>
      <c r="CF44" s="83">
        <f>MOD(CE44-CD44,1)*24</f>
        <v/>
      </c>
      <c r="CG44" s="57" t="n">
        <v>1</v>
      </c>
      <c r="CH44" s="58" t="n">
        <v>0.3493055555555555</v>
      </c>
      <c r="CI44" s="58" t="n">
        <v>0.7381944444444445</v>
      </c>
      <c r="CJ44" s="83">
        <f>MOD(CI44-CH44,1)*24</f>
        <v/>
      </c>
      <c r="CK44" s="57" t="n">
        <v>1</v>
      </c>
      <c r="CL44" s="58" t="n">
        <v>0.3479166666666667</v>
      </c>
      <c r="CM44" s="58" t="n">
        <v>0.7375</v>
      </c>
      <c r="CN44" s="83">
        <f>MOD(CM44-CL44,1)*24</f>
        <v/>
      </c>
      <c r="CO44" s="57" t="n">
        <v>0.5</v>
      </c>
      <c r="CP44" s="58" t="n">
        <v>0.3486111111111111</v>
      </c>
      <c r="CQ44" s="58" t="n">
        <v>0.7409722222222223</v>
      </c>
      <c r="CR44" s="83">
        <f>MOD(CQ44-CP44,1)*24</f>
        <v/>
      </c>
      <c r="CS44" s="57" t="n">
        <v>1</v>
      </c>
      <c r="CT44" s="58" t="n">
        <v>0.3486111111111111</v>
      </c>
      <c r="CU44" s="58" t="n">
        <v>0.7472222222222222</v>
      </c>
      <c r="CV44" s="83">
        <f>MOD(CU44-CT44,1)*24</f>
        <v/>
      </c>
      <c r="CW44" s="57" t="n">
        <v>1</v>
      </c>
      <c r="CX44" s="58" t="n">
        <v>0.3465277777777778</v>
      </c>
      <c r="CY44" s="58" t="n">
        <v>0.7395833333333334</v>
      </c>
      <c r="CZ44" s="83">
        <f>MOD(CY44-CX44,1)*24</f>
        <v/>
      </c>
      <c r="DA44" s="57" t="n">
        <v>1</v>
      </c>
      <c r="DB44" s="58" t="n"/>
      <c r="DC44" s="58" t="n"/>
      <c r="DD44" s="83" t="n"/>
      <c r="DE44" s="57" t="n"/>
      <c r="DF44" s="58" t="n">
        <v>0.3472222222222222</v>
      </c>
      <c r="DG44" s="60" t="n">
        <v>0.8131944444444444</v>
      </c>
      <c r="DH44" s="83">
        <f>MOD(DG44-DF44,1)*24</f>
        <v/>
      </c>
      <c r="DI44" s="41" t="n">
        <v>1</v>
      </c>
      <c r="DJ44" s="116" t="n">
        <v>0.3506944444444444</v>
      </c>
      <c r="DK44" s="116" t="n">
        <v>0.7798611111111111</v>
      </c>
      <c r="DL44" s="83">
        <f>MOD(DK44-DJ44,1)*24</f>
        <v/>
      </c>
      <c r="DM44" s="41" t="n">
        <v>1</v>
      </c>
      <c r="DN44" s="58" t="n">
        <v>0.3472222222222222</v>
      </c>
      <c r="DO44" s="58" t="n">
        <v>0.7368055555555556</v>
      </c>
      <c r="DP44" s="83">
        <f>MOD(DO44-DN44,1)*24</f>
        <v/>
      </c>
      <c r="DQ44" s="57" t="n">
        <v>1</v>
      </c>
      <c r="DR44" s="61" t="n">
        <v>0.3479166666666667</v>
      </c>
      <c r="DS44" s="62" t="n">
        <v>0.8083333333333333</v>
      </c>
      <c r="DT44" s="83">
        <f>MOD(DS44-DR44,1)*24</f>
        <v/>
      </c>
      <c r="DU44" s="41" t="n">
        <v>0.5</v>
      </c>
      <c r="DV44" s="61">
        <f>SUM(H44,L44,P44,T44,X44,AB44,AF44,AJ44,AN44,AR44,AV44,AZ44,BD44,BH44,BL44,BP44,BT44,BX44,CB44,CF44,CJ44,CN44,CR44,CV44,CZ44,DD44,DH44,DL44,DP44,DT44)</f>
        <v/>
      </c>
      <c r="DW44" s="62">
        <f>SUM(I44,M44,Q44,U44,Y44,AC44,AG44,AK44,AO44,AS44,AW44,BA44,BE44,BI44,BM44,BQ44,BU44,BY44,CC44,CG44,CK44,CO44,CS44,CW44,DA44,DE44,DI44,DM44,DQ44,DU44)</f>
        <v/>
      </c>
      <c r="DX44" s="83" t="n"/>
      <c r="DY44" s="41" t="n"/>
      <c r="DZ44" s="84" t="n"/>
      <c r="EA44" s="84" t="n"/>
      <c r="EB44" s="84" t="n"/>
      <c r="EC44" s="84" t="n"/>
      <c r="ED44" s="84" t="n"/>
      <c r="EE44" s="84" t="inlineStr">
        <is>
          <t>只打一次卡</t>
        </is>
      </c>
      <c r="EF44" s="84" t="n"/>
      <c r="EG44" s="84" t="n"/>
      <c r="EH44" s="84" t="n"/>
      <c r="EI44" s="84" t="n"/>
      <c r="EJ44" s="84" t="n"/>
      <c r="EK44" s="84" t="n"/>
      <c r="EL44" s="84" t="n"/>
      <c r="EM44" s="84" t="n"/>
      <c r="EN44" s="84" t="n"/>
      <c r="EO44" s="84" t="n"/>
      <c r="EP44" s="84" t="inlineStr">
        <is>
          <t>只打一次卡</t>
        </is>
      </c>
      <c r="EQ44" s="84" t="n"/>
      <c r="ER44" s="84" t="n"/>
      <c r="ES44" s="84" t="n"/>
      <c r="ET44" s="84" t="n"/>
      <c r="EU44" s="84" t="n"/>
      <c r="EV44" s="84" t="n"/>
      <c r="EW44" s="84" t="n"/>
      <c r="EX44" s="84" t="n"/>
      <c r="EY44" s="84" t="n"/>
      <c r="EZ44" s="84" t="n"/>
      <c r="FA44" s="84" t="n"/>
      <c r="FB44" s="84" t="n"/>
      <c r="FC44" s="84" t="n"/>
      <c r="FD44" s="84" t="n"/>
      <c r="FE44" s="84" t="n"/>
    </row>
    <row r="45" ht="59" customFormat="1" customHeight="1" s="54">
      <c r="A45" s="55" t="inlineStr">
        <is>
          <t>五楼</t>
        </is>
      </c>
      <c r="B45" s="56" t="inlineStr">
        <is>
          <t>黄华</t>
        </is>
      </c>
      <c r="C45" s="41" t="inlineStr">
        <is>
          <t>39</t>
        </is>
      </c>
      <c r="D45" s="41" t="n"/>
      <c r="E45" s="57" t="n"/>
      <c r="F45" s="115" t="n"/>
      <c r="G45" s="58" t="n"/>
      <c r="H45" s="83" t="n"/>
      <c r="I45" s="57" t="n"/>
      <c r="J45" s="58" t="n"/>
      <c r="K45" s="58" t="n"/>
      <c r="L45" s="83" t="n"/>
      <c r="M45" s="57" t="n"/>
      <c r="N45" s="58" t="n"/>
      <c r="O45" s="58" t="n"/>
      <c r="P45" s="83" t="n"/>
      <c r="Q45" s="57" t="n"/>
      <c r="R45" s="58" t="n"/>
      <c r="S45" s="58" t="n"/>
      <c r="T45" s="83" t="n"/>
      <c r="U45" s="57" t="n"/>
      <c r="V45" s="58" t="n"/>
      <c r="W45" s="58" t="n"/>
      <c r="X45" s="83" t="n"/>
      <c r="Y45" s="57" t="n"/>
      <c r="Z45" s="58" t="n"/>
      <c r="AA45" s="60" t="n"/>
      <c r="AB45" s="83" t="n"/>
      <c r="AC45" s="41" t="n"/>
      <c r="AD45" s="116" t="n"/>
      <c r="AE45" s="117" t="n"/>
      <c r="AF45" s="83" t="n"/>
      <c r="AG45" s="57" t="n"/>
      <c r="AH45" s="58" t="n"/>
      <c r="AI45" s="58" t="n"/>
      <c r="AJ45" s="83" t="n"/>
      <c r="AK45" s="57" t="n"/>
      <c r="AL45" s="58" t="n">
        <v>0.8298611111111112</v>
      </c>
      <c r="AM45" s="58" t="n"/>
      <c r="AN45" s="83" t="n"/>
      <c r="AO45" s="57" t="n">
        <v>0.5</v>
      </c>
      <c r="AP45" s="58" t="n"/>
      <c r="AQ45" s="58" t="n"/>
      <c r="AR45" s="83" t="n"/>
      <c r="AS45" s="57" t="n"/>
      <c r="AT45" s="58" t="n">
        <v>0.7541666666666667</v>
      </c>
      <c r="AU45" s="58" t="n"/>
      <c r="AV45" s="83" t="n"/>
      <c r="AW45" s="57" t="n">
        <v>0.5</v>
      </c>
      <c r="AX45" s="58" t="n"/>
      <c r="AY45" s="58" t="n"/>
      <c r="AZ45" s="83" t="n"/>
      <c r="BA45" s="57" t="n"/>
      <c r="BB45" s="58" t="n"/>
      <c r="BC45" s="60" t="n"/>
      <c r="BD45" s="83" t="n"/>
      <c r="BE45" s="41" t="n"/>
      <c r="BF45" s="116" t="n"/>
      <c r="BG45" s="115" t="n"/>
      <c r="BH45" s="83" t="n"/>
      <c r="BI45" s="57" t="n"/>
      <c r="BJ45" s="58" t="n"/>
      <c r="BK45" s="58" t="n"/>
      <c r="BL45" s="83" t="n"/>
      <c r="BM45" s="57" t="n"/>
      <c r="BN45" s="58" t="n"/>
      <c r="BO45" s="58" t="n"/>
      <c r="BP45" s="83" t="n"/>
      <c r="BQ45" s="57" t="n"/>
      <c r="BR45" s="58" t="n"/>
      <c r="BS45" s="58" t="n"/>
      <c r="BT45" s="83" t="n"/>
      <c r="BU45" s="57" t="n"/>
      <c r="BV45" s="58" t="n"/>
      <c r="BW45" s="60" t="n"/>
      <c r="BX45" s="83" t="n"/>
      <c r="BY45" s="41" t="n"/>
      <c r="BZ45" s="41" t="n"/>
      <c r="CA45" s="41" t="n"/>
      <c r="CB45" s="83" t="n"/>
      <c r="CC45" s="41" t="n"/>
      <c r="CD45" s="116" t="n"/>
      <c r="CE45" s="115" t="n"/>
      <c r="CF45" s="83" t="n"/>
      <c r="CG45" s="57" t="n"/>
      <c r="CH45" s="58" t="n"/>
      <c r="CI45" s="58" t="n"/>
      <c r="CJ45" s="83" t="n"/>
      <c r="CK45" s="57" t="n"/>
      <c r="CL45" s="58" t="n">
        <v>0.7395833333333334</v>
      </c>
      <c r="CM45" s="58" t="n"/>
      <c r="CN45" s="83" t="n"/>
      <c r="CO45" s="57" t="n">
        <v>0.5</v>
      </c>
      <c r="CP45" s="58" t="n"/>
      <c r="CQ45" s="58" t="n"/>
      <c r="CR45" s="83" t="n"/>
      <c r="CS45" s="57" t="n"/>
      <c r="CT45" s="58" t="n"/>
      <c r="CU45" s="58" t="n"/>
      <c r="CV45" s="83" t="n"/>
      <c r="CW45" s="57" t="n"/>
      <c r="CX45" s="58" t="n"/>
      <c r="CY45" s="58" t="n"/>
      <c r="CZ45" s="83" t="n"/>
      <c r="DA45" s="57" t="n"/>
      <c r="DB45" s="58" t="n"/>
      <c r="DC45" s="58" t="n"/>
      <c r="DD45" s="83" t="n"/>
      <c r="DE45" s="57" t="n"/>
      <c r="DF45" s="58" t="n"/>
      <c r="DG45" s="60" t="n"/>
      <c r="DH45" s="83" t="n"/>
      <c r="DI45" s="41" t="n"/>
      <c r="DJ45" s="116" t="n"/>
      <c r="DK45" s="116" t="n"/>
      <c r="DL45" s="83" t="n"/>
      <c r="DM45" s="41" t="n"/>
      <c r="DN45" s="58" t="n"/>
      <c r="DO45" s="58" t="n"/>
      <c r="DP45" s="83" t="n"/>
      <c r="DQ45" s="57" t="n"/>
      <c r="DR45" s="61" t="n">
        <v>0.8263888888888888</v>
      </c>
      <c r="DS45" s="62" t="n"/>
      <c r="DT45" s="83" t="n"/>
      <c r="DU45" s="41" t="n">
        <v>0.5</v>
      </c>
      <c r="DV45" s="61">
        <f>SUM(H45,L45,P45,T45,X45,AB45,AF45,AJ45,AN45,AR45,AV45,AZ45,BD45,BH45,BL45,BP45,BT45,BX45,CB45,CF45,CJ45,CN45,CR45,CV45,CZ45,DD45,DH45,DL45,DP45,DT45)</f>
        <v/>
      </c>
      <c r="DW45" s="62">
        <f>SUM(I45,M45,Q45,U45,Y45,AC45,AG45,AK45,AO45,AS45,AW45,BA45,BE45,BI45,BM45,BQ45,BU45,BY45,CC45,CG45,CK45,CO45,CS45,CW45,DA45,DE45,DI45,DM45,DQ45,DU45)</f>
        <v/>
      </c>
      <c r="DX45" s="83" t="n"/>
      <c r="DY45" s="41" t="n"/>
      <c r="DZ45" s="84" t="n"/>
      <c r="EA45" s="84" t="n"/>
      <c r="EB45" s="84" t="n"/>
      <c r="EC45" s="84" t="n"/>
      <c r="ED45" s="84" t="n"/>
      <c r="EE45" s="84" t="n"/>
      <c r="EF45" s="84" t="n"/>
      <c r="EG45" s="84" t="n"/>
      <c r="EH45" s="84" t="n"/>
      <c r="EI45" s="84" t="n"/>
      <c r="EJ45" s="84" t="n"/>
      <c r="EK45" s="84" t="n"/>
      <c r="EL45" s="84" t="n"/>
      <c r="EM45" s="84" t="n"/>
      <c r="EN45" s="84" t="n"/>
      <c r="EO45" s="84" t="n"/>
      <c r="EP45" s="84" t="n"/>
      <c r="EQ45" s="84" t="n"/>
      <c r="ER45" s="84" t="n"/>
      <c r="ES45" s="84" t="n"/>
      <c r="ET45" s="84" t="n"/>
      <c r="EU45" s="84" t="n"/>
      <c r="EV45" s="84" t="n"/>
      <c r="EW45" s="84" t="n"/>
      <c r="EX45" s="84" t="n"/>
      <c r="EY45" s="84" t="n"/>
      <c r="EZ45" s="84" t="n"/>
      <c r="FA45" s="84" t="n"/>
      <c r="FB45" s="84" t="n"/>
      <c r="FC45" s="84" t="n"/>
      <c r="FD45" s="84" t="n"/>
      <c r="FE45" s="84" t="n"/>
    </row>
    <row r="46" ht="59" customFormat="1" customHeight="1" s="54">
      <c r="A46" s="55" t="inlineStr">
        <is>
          <t>五楼</t>
        </is>
      </c>
      <c r="B46" s="56" t="inlineStr">
        <is>
          <t>康波</t>
        </is>
      </c>
      <c r="C46" s="41" t="inlineStr">
        <is>
          <t>41</t>
        </is>
      </c>
      <c r="D46" s="41" t="n"/>
      <c r="E46" s="57" t="n"/>
      <c r="F46" s="115" t="n">
        <v>0.3506944444444444</v>
      </c>
      <c r="G46" s="58" t="n">
        <v>0.8388888888888889</v>
      </c>
      <c r="H46" s="83">
        <f>MOD(G46-F46,1)*24</f>
        <v/>
      </c>
      <c r="I46" s="57" t="n">
        <v>1</v>
      </c>
      <c r="J46" s="58" t="n">
        <v>0.3395833333333333</v>
      </c>
      <c r="K46" s="58" t="n">
        <v>0.8298611111111112</v>
      </c>
      <c r="L46" s="83">
        <f>MOD(K46-J46,1)*24</f>
        <v/>
      </c>
      <c r="M46" s="57" t="n">
        <v>1</v>
      </c>
      <c r="N46" s="58" t="n">
        <v>0.3347222222222222</v>
      </c>
      <c r="O46" s="58" t="n">
        <v>0.7993055555555556</v>
      </c>
      <c r="P46" s="83">
        <f>MOD(O46-N46,1)*24</f>
        <v/>
      </c>
      <c r="Q46" s="57" t="n">
        <v>1</v>
      </c>
      <c r="R46" s="58" t="n">
        <v>0.3416666666666667</v>
      </c>
      <c r="S46" s="58" t="n">
        <v>0.7402777777777778</v>
      </c>
      <c r="T46" s="83">
        <f>MOD(S46-R46,1)*24</f>
        <v/>
      </c>
      <c r="U46" s="57" t="n">
        <v>1</v>
      </c>
      <c r="V46" s="58" t="n"/>
      <c r="W46" s="58" t="n"/>
      <c r="X46" s="83" t="n"/>
      <c r="Y46" s="57" t="n"/>
      <c r="Z46" s="58" t="n"/>
      <c r="AA46" s="60" t="n"/>
      <c r="AB46" s="83" t="n"/>
      <c r="AC46" s="41" t="n"/>
      <c r="AD46" s="116" t="n">
        <v>0.3409722222222222</v>
      </c>
      <c r="AE46" s="117" t="n">
        <v>0.7409722222222223</v>
      </c>
      <c r="AF46" s="83">
        <f>MOD(AE46-AD46,1)*24</f>
        <v/>
      </c>
      <c r="AG46" s="57" t="n">
        <v>1</v>
      </c>
      <c r="AH46" s="58" t="n">
        <v>0.3388888888888889</v>
      </c>
      <c r="AI46" s="58" t="n">
        <v>0.7479166666666667</v>
      </c>
      <c r="AJ46" s="83">
        <f>MOD(AI46-AH46,1)*24</f>
        <v/>
      </c>
      <c r="AK46" s="57" t="n">
        <v>1</v>
      </c>
      <c r="AL46" s="58" t="n">
        <v>0.3479166666666667</v>
      </c>
      <c r="AM46" s="58" t="n">
        <v>0.7444444444444445</v>
      </c>
      <c r="AN46" s="83">
        <f>MOD(AM46-AL46,1)*24</f>
        <v/>
      </c>
      <c r="AO46" s="57" t="n">
        <v>1</v>
      </c>
      <c r="AP46" s="58" t="n">
        <v>0.3416666666666667</v>
      </c>
      <c r="AQ46" s="58" t="n">
        <v>0.7416666666666667</v>
      </c>
      <c r="AR46" s="83">
        <f>MOD(AQ46-AP46,1)*24</f>
        <v/>
      </c>
      <c r="AS46" s="57" t="n">
        <v>1</v>
      </c>
      <c r="AT46" s="58" t="n">
        <v>0.35</v>
      </c>
      <c r="AU46" s="58" t="n">
        <v>0.7409722222222223</v>
      </c>
      <c r="AV46" s="83">
        <f>MOD(AU46-AT46,1)*24</f>
        <v/>
      </c>
      <c r="AW46" s="57" t="n">
        <v>1</v>
      </c>
      <c r="AX46" s="58" t="n"/>
      <c r="AY46" s="58" t="n"/>
      <c r="AZ46" s="83" t="n"/>
      <c r="BA46" s="57" t="n"/>
      <c r="BB46" s="58" t="n">
        <v>0.3270833333333333</v>
      </c>
      <c r="BC46" s="60" t="n">
        <v>0.7402777777777778</v>
      </c>
      <c r="BD46" s="83">
        <f>MOD(BC46-BB46,1)*24</f>
        <v/>
      </c>
      <c r="BE46" s="41" t="n">
        <v>1</v>
      </c>
      <c r="BF46" s="116" t="n">
        <v>0.3236111111111111</v>
      </c>
      <c r="BG46" s="115" t="n">
        <v>0.7430555555555556</v>
      </c>
      <c r="BH46" s="83">
        <f>MOD(BG46-BF46,1)*24</f>
        <v/>
      </c>
      <c r="BI46" s="57" t="n">
        <v>1</v>
      </c>
      <c r="BJ46" s="58" t="n">
        <v>0.3423611111111111</v>
      </c>
      <c r="BK46" s="58" t="n">
        <v>0.7375</v>
      </c>
      <c r="BL46" s="83">
        <f>MOD(BK46-BJ46,1)*24</f>
        <v/>
      </c>
      <c r="BM46" s="57" t="n">
        <v>1</v>
      </c>
      <c r="BN46" s="58" t="n">
        <v>0.3229166666666667</v>
      </c>
      <c r="BO46" s="58" t="n">
        <v>0.7409722222222223</v>
      </c>
      <c r="BP46" s="83">
        <f>MOD(BO46-BN46,1)*24</f>
        <v/>
      </c>
      <c r="BQ46" s="57" t="n">
        <v>1</v>
      </c>
      <c r="BR46" s="58" t="n">
        <v>0.3388888888888889</v>
      </c>
      <c r="BS46" s="58" t="n">
        <v>0.7395833333333334</v>
      </c>
      <c r="BT46" s="83">
        <f>MOD(BS46-BR46,1)*24</f>
        <v/>
      </c>
      <c r="BU46" s="57" t="n">
        <v>1</v>
      </c>
      <c r="BV46" s="58" t="n">
        <v>0.3215277777777778</v>
      </c>
      <c r="BW46" s="60" t="n">
        <v>0.7375</v>
      </c>
      <c r="BX46" s="83">
        <f>MOD(BW46-BV46,1)*24</f>
        <v/>
      </c>
      <c r="BY46" s="41" t="n">
        <v>1</v>
      </c>
      <c r="BZ46" s="41" t="n"/>
      <c r="CA46" s="41" t="n"/>
      <c r="CB46" s="83" t="n"/>
      <c r="CC46" s="41" t="n"/>
      <c r="CD46" s="116" t="n">
        <v>0.3236111111111111</v>
      </c>
      <c r="CE46" s="115" t="n">
        <v>0.7777777777777778</v>
      </c>
      <c r="CF46" s="83">
        <f>MOD(CE46-CD46,1)*24</f>
        <v/>
      </c>
      <c r="CG46" s="57" t="n">
        <v>1</v>
      </c>
      <c r="CH46" s="58" t="n">
        <v>0.3229166666666667</v>
      </c>
      <c r="CI46" s="58" t="n">
        <v>0.7402777777777778</v>
      </c>
      <c r="CJ46" s="83">
        <f>MOD(CI46-CH46,1)*24</f>
        <v/>
      </c>
      <c r="CK46" s="57" t="n">
        <v>1</v>
      </c>
      <c r="CL46" s="58" t="n">
        <v>0.3222222222222222</v>
      </c>
      <c r="CM46" s="58" t="n">
        <v>0.8340277777777778</v>
      </c>
      <c r="CN46" s="83">
        <f>MOD(CM46-CL46,1)*24</f>
        <v/>
      </c>
      <c r="CO46" s="57" t="n">
        <v>1</v>
      </c>
      <c r="CP46" s="58" t="n">
        <v>0.3229166666666667</v>
      </c>
      <c r="CQ46" s="58" t="n">
        <v>0.8194444444444444</v>
      </c>
      <c r="CR46" s="83">
        <f>MOD(CQ46-CP46,1)*24</f>
        <v/>
      </c>
      <c r="CS46" s="57" t="n">
        <v>1</v>
      </c>
      <c r="CT46" s="58" t="n">
        <v>0.3402777777777778</v>
      </c>
      <c r="CU46" s="58" t="n">
        <v>0.83125</v>
      </c>
      <c r="CV46" s="83">
        <f>MOD(CU46-CT46,1)*24</f>
        <v/>
      </c>
      <c r="CW46" s="57" t="n">
        <v>1</v>
      </c>
      <c r="CX46" s="58" t="n">
        <v>0.3263888888888889</v>
      </c>
      <c r="CY46" s="58" t="n">
        <v>0.83125</v>
      </c>
      <c r="CZ46" s="83">
        <f>MOD(CY46-CX46,1)*24</f>
        <v/>
      </c>
      <c r="DA46" s="57" t="n">
        <v>1</v>
      </c>
      <c r="DB46" s="58" t="n">
        <v>0.3256944444444445</v>
      </c>
      <c r="DC46" s="58" t="n">
        <v>0.7381944444444445</v>
      </c>
      <c r="DD46" s="83">
        <f>MOD(DC46-DB46,1)*24</f>
        <v/>
      </c>
      <c r="DE46" s="57" t="n">
        <v>1</v>
      </c>
      <c r="DF46" s="58" t="n">
        <v>0.3229166666666667</v>
      </c>
      <c r="DG46" s="60" t="n">
        <v>0.9180555555555555</v>
      </c>
      <c r="DH46" s="83">
        <f>MOD(DG46-DF46,1)*24</f>
        <v/>
      </c>
      <c r="DI46" s="41" t="n">
        <v>1</v>
      </c>
      <c r="DJ46" s="116" t="n">
        <v>0.3256944444444445</v>
      </c>
      <c r="DK46" s="116" t="n">
        <v>0.8736111111111111</v>
      </c>
      <c r="DL46" s="83">
        <f>MOD(DK46-DJ46,1)*24</f>
        <v/>
      </c>
      <c r="DM46" s="41" t="n">
        <v>1</v>
      </c>
      <c r="DN46" s="58" t="n">
        <v>0.3222222222222222</v>
      </c>
      <c r="DO46" s="58" t="n">
        <v>0.8597222222222223</v>
      </c>
      <c r="DP46" s="83">
        <f>MOD(DO46-DN46,1)*24</f>
        <v/>
      </c>
      <c r="DQ46" s="57" t="n">
        <v>1</v>
      </c>
      <c r="DR46" s="61" t="n">
        <v>0.3215277777777778</v>
      </c>
      <c r="DS46" s="62" t="n">
        <v>0.8111111111111111</v>
      </c>
      <c r="DT46" s="83">
        <f>MOD(DS46-DR46,1)*24</f>
        <v/>
      </c>
      <c r="DU46" s="41" t="n">
        <v>1</v>
      </c>
      <c r="DV46" s="61">
        <f>SUM(H46,L46,P46,T46,X46,AB46,AF46,AJ46,AN46,AR46,AV46,AZ46,BD46,BH46,BL46,BP46,BT46,BX46,CB46,CF46,CJ46,CN46,CR46,CV46,CZ46,DD46,DH46,DL46,DP46,DT46)</f>
        <v/>
      </c>
      <c r="DW46" s="62">
        <f>SUM(I46,M46,Q46,U46,Y46,AC46,AG46,AK46,AO46,AS46,AW46,BA46,BE46,BI46,BM46,BQ46,BU46,BY46,CC46,CG46,CK46,CO46,CS46,CW46,DA46,DE46,DI46,DM46,DQ46,DU46)</f>
        <v/>
      </c>
      <c r="DX46" s="83" t="n"/>
      <c r="DY46" s="41" t="n"/>
      <c r="DZ46" s="84" t="n"/>
      <c r="EA46" s="84" t="n"/>
      <c r="EB46" s="84" t="n"/>
      <c r="EC46" s="84" t="n"/>
      <c r="ED46" s="84" t="n"/>
      <c r="EE46" s="84" t="n"/>
      <c r="EF46" s="84" t="n"/>
      <c r="EG46" s="84" t="n"/>
      <c r="EH46" s="84" t="n"/>
      <c r="EI46" s="84" t="n"/>
      <c r="EJ46" s="84" t="n"/>
      <c r="EK46" s="84" t="n"/>
      <c r="EL46" s="84" t="n"/>
      <c r="EM46" s="84" t="n"/>
      <c r="EN46" s="84" t="n"/>
      <c r="EO46" s="84" t="n"/>
      <c r="EP46" s="84" t="n"/>
      <c r="EQ46" s="84" t="n"/>
      <c r="ER46" s="84" t="n"/>
      <c r="ES46" s="84" t="n"/>
      <c r="ET46" s="84" t="n"/>
      <c r="EU46" s="84" t="n"/>
      <c r="EV46" s="84" t="n"/>
      <c r="EW46" s="84" t="n"/>
      <c r="EX46" s="84" t="n"/>
      <c r="EY46" s="84" t="n"/>
      <c r="EZ46" s="84" t="n"/>
      <c r="FA46" s="84" t="n"/>
      <c r="FB46" s="84" t="n"/>
      <c r="FC46" s="84" t="n"/>
      <c r="FD46" s="84" t="n"/>
      <c r="FE46" s="84" t="n"/>
    </row>
    <row r="47" ht="59" customFormat="1" customHeight="1" s="54">
      <c r="A47" s="55" t="inlineStr">
        <is>
          <t>五楼</t>
        </is>
      </c>
      <c r="B47" s="56" t="inlineStr">
        <is>
          <t>罗雨</t>
        </is>
      </c>
      <c r="C47" s="41" t="inlineStr">
        <is>
          <t>43</t>
        </is>
      </c>
      <c r="D47" s="41" t="n"/>
      <c r="E47" s="57" t="n"/>
      <c r="F47" s="115" t="n">
        <v>0.3534722222222222</v>
      </c>
      <c r="G47" s="58" t="n">
        <v>0.7423611111111111</v>
      </c>
      <c r="H47" s="83">
        <f>MOD(G47-F47,1)*24</f>
        <v/>
      </c>
      <c r="I47" s="57" t="n">
        <v>1</v>
      </c>
      <c r="J47" s="58" t="n">
        <v>0.3493055555555555</v>
      </c>
      <c r="K47" s="58" t="n">
        <v>0.7479166666666667</v>
      </c>
      <c r="L47" s="83">
        <f>MOD(K47-J47,1)*24</f>
        <v/>
      </c>
      <c r="M47" s="57" t="n">
        <v>1</v>
      </c>
      <c r="N47" s="58" t="n">
        <v>0.3493055555555555</v>
      </c>
      <c r="O47" s="58" t="n">
        <v>0.9125</v>
      </c>
      <c r="P47" s="83">
        <f>MOD(O47-N47,1)*24</f>
        <v/>
      </c>
      <c r="Q47" s="57" t="n">
        <v>1</v>
      </c>
      <c r="R47" s="58" t="n"/>
      <c r="S47" s="58" t="n"/>
      <c r="T47" s="83" t="n"/>
      <c r="U47" s="57" t="n"/>
      <c r="V47" s="58" t="n"/>
      <c r="W47" s="58" t="n"/>
      <c r="X47" s="83" t="n"/>
      <c r="Y47" s="57" t="n"/>
      <c r="Z47" s="58" t="n">
        <v>0.3506944444444444</v>
      </c>
      <c r="AA47" s="60" t="n">
        <v>0.7430555555555556</v>
      </c>
      <c r="AB47" s="83">
        <f>MOD(AA47-Z47,1)*24</f>
        <v/>
      </c>
      <c r="AC47" s="41" t="n">
        <v>1</v>
      </c>
      <c r="AD47" s="116" t="n">
        <v>0.3506944444444444</v>
      </c>
      <c r="AE47" s="117" t="n">
        <v>0.7520833333333333</v>
      </c>
      <c r="AF47" s="83">
        <f>MOD(AE47-AD47,1)*24</f>
        <v/>
      </c>
      <c r="AG47" s="57" t="n">
        <v>1</v>
      </c>
      <c r="AH47" s="58" t="n">
        <v>0.3486111111111111</v>
      </c>
      <c r="AI47" s="58" t="n"/>
      <c r="AJ47" s="83" t="n"/>
      <c r="AK47" s="57" t="n">
        <v>0.5</v>
      </c>
      <c r="AL47" s="58" t="n">
        <v>0.3479166666666667</v>
      </c>
      <c r="AM47" s="58" t="n">
        <v>0.7416666666666667</v>
      </c>
      <c r="AN47" s="83">
        <f>MOD(AM47-AL47,1)*24</f>
        <v/>
      </c>
      <c r="AO47" s="57" t="n">
        <v>1</v>
      </c>
      <c r="AP47" s="58" t="n">
        <v>0.3472222222222222</v>
      </c>
      <c r="AQ47" s="58" t="n">
        <v>0.7965277777777777</v>
      </c>
      <c r="AR47" s="83">
        <f>MOD(AQ47-AP47,1)*24</f>
        <v/>
      </c>
      <c r="AS47" s="57" t="n">
        <v>1</v>
      </c>
      <c r="AT47" s="58" t="n">
        <v>0.3527777777777778</v>
      </c>
      <c r="AU47" s="58" t="n">
        <v>0.7493055555555556</v>
      </c>
      <c r="AV47" s="83">
        <f>MOD(AU47-AT47,1)*24</f>
        <v/>
      </c>
      <c r="AW47" s="57" t="n">
        <v>1</v>
      </c>
      <c r="AX47" s="58" t="n"/>
      <c r="AY47" s="58" t="n"/>
      <c r="AZ47" s="83" t="n"/>
      <c r="BA47" s="57" t="n"/>
      <c r="BB47" s="58" t="n">
        <v>0.3472222222222222</v>
      </c>
      <c r="BC47" s="60" t="n">
        <v>0.7381944444444445</v>
      </c>
      <c r="BD47" s="83">
        <f>MOD(BC47-BB47,1)*24</f>
        <v/>
      </c>
      <c r="BE47" s="41" t="n">
        <v>1</v>
      </c>
      <c r="BF47" s="116" t="n">
        <v>0.3472222222222222</v>
      </c>
      <c r="BG47" s="115" t="n">
        <v>0.7458333333333333</v>
      </c>
      <c r="BH47" s="83">
        <f>MOD(BG47-BF47,1)*24</f>
        <v/>
      </c>
      <c r="BI47" s="57" t="n">
        <v>1</v>
      </c>
      <c r="BJ47" s="58" t="n">
        <v>0.3465277777777778</v>
      </c>
      <c r="BK47" s="58" t="n">
        <v>0.7423611111111111</v>
      </c>
      <c r="BL47" s="83">
        <f>MOD(BK47-BJ47,1)*24</f>
        <v/>
      </c>
      <c r="BM47" s="57" t="n">
        <v>1</v>
      </c>
      <c r="BN47" s="58" t="n">
        <v>0.3486111111111111</v>
      </c>
      <c r="BO47" s="58" t="n">
        <v>0.7416666666666667</v>
      </c>
      <c r="BP47" s="83">
        <f>MOD(BO47-BN47,1)*24</f>
        <v/>
      </c>
      <c r="BQ47" s="57" t="n">
        <v>1</v>
      </c>
      <c r="BR47" s="58" t="n">
        <v>0.3506944444444444</v>
      </c>
      <c r="BS47" s="58" t="n">
        <v>0.7743055555555556</v>
      </c>
      <c r="BT47" s="83">
        <f>MOD(BS47-BR47,1)*24</f>
        <v/>
      </c>
      <c r="BU47" s="57" t="n">
        <v>1</v>
      </c>
      <c r="BV47" s="58" t="n">
        <v>0.3555555555555556</v>
      </c>
      <c r="BW47" s="60" t="n">
        <v>0.7451388888888889</v>
      </c>
      <c r="BX47" s="83">
        <f>MOD(BW47-BV47,1)*24</f>
        <v/>
      </c>
      <c r="BY47" s="41" t="n">
        <v>1</v>
      </c>
      <c r="BZ47" s="41" t="n"/>
      <c r="CA47" s="41" t="n"/>
      <c r="CB47" s="83" t="n"/>
      <c r="CC47" s="41" t="n"/>
      <c r="CD47" s="116" t="n">
        <v>0.3486111111111111</v>
      </c>
      <c r="CE47" s="115" t="n">
        <v>0.7395833333333334</v>
      </c>
      <c r="CF47" s="83">
        <f>MOD(CE47-CD47,1)*24</f>
        <v/>
      </c>
      <c r="CG47" s="57" t="n">
        <v>1</v>
      </c>
      <c r="CH47" s="58" t="n">
        <v>0.3486111111111111</v>
      </c>
      <c r="CI47" s="58" t="n">
        <v>0.7416666666666667</v>
      </c>
      <c r="CJ47" s="83">
        <f>MOD(CI47-CH47,1)*24</f>
        <v/>
      </c>
      <c r="CK47" s="57" t="n">
        <v>1</v>
      </c>
      <c r="CL47" s="58" t="n">
        <v>0.3402777777777778</v>
      </c>
      <c r="CM47" s="58" t="n">
        <v>0.7402777777777778</v>
      </c>
      <c r="CN47" s="83">
        <f>MOD(CM47-CL47,1)*24</f>
        <v/>
      </c>
      <c r="CO47" s="57" t="n">
        <v>1</v>
      </c>
      <c r="CP47" s="58" t="n">
        <v>0.3465277777777778</v>
      </c>
      <c r="CQ47" s="58" t="n">
        <v>0.7416666666666667</v>
      </c>
      <c r="CR47" s="83">
        <f>MOD(CQ47-CP47,1)*24</f>
        <v/>
      </c>
      <c r="CS47" s="57" t="n">
        <v>0.5</v>
      </c>
      <c r="CT47" s="58" t="n">
        <v>0.3493055555555555</v>
      </c>
      <c r="CU47" s="58" t="n">
        <v>0.7409722222222223</v>
      </c>
      <c r="CV47" s="83">
        <f>MOD(CU47-CT47,1)*24</f>
        <v/>
      </c>
      <c r="CW47" s="57" t="n">
        <v>1</v>
      </c>
      <c r="CX47" s="58" t="n">
        <v>0.3520833333333334</v>
      </c>
      <c r="CY47" s="58" t="n">
        <v>0.7659722222222223</v>
      </c>
      <c r="CZ47" s="83">
        <f>MOD(CY47-CX47,1)*24</f>
        <v/>
      </c>
      <c r="DA47" s="57" t="n">
        <v>1</v>
      </c>
      <c r="DB47" s="58" t="n"/>
      <c r="DC47" s="58" t="n"/>
      <c r="DD47" s="83" t="n"/>
      <c r="DE47" s="57" t="n"/>
      <c r="DF47" s="58" t="n">
        <v>0.3520833333333334</v>
      </c>
      <c r="DG47" s="60" t="n">
        <v>0.8847222222222222</v>
      </c>
      <c r="DH47" s="83">
        <f>MOD(DG47-DF47,1)*24</f>
        <v/>
      </c>
      <c r="DI47" s="41" t="n">
        <v>1</v>
      </c>
      <c r="DJ47" s="116" t="n">
        <v>0.3513888888888889</v>
      </c>
      <c r="DK47" s="116" t="n">
        <v>0.8861111111111111</v>
      </c>
      <c r="DL47" s="83">
        <f>MOD(DK47-DJ47,1)*24</f>
        <v/>
      </c>
      <c r="DM47" s="41" t="n">
        <v>1</v>
      </c>
      <c r="DN47" s="58" t="n">
        <v>0.3506944444444444</v>
      </c>
      <c r="DO47" s="58" t="n">
        <v>0.8840277777777777</v>
      </c>
      <c r="DP47" s="83">
        <f>MOD(DO47-DN47,1)*24</f>
        <v/>
      </c>
      <c r="DQ47" s="57" t="n">
        <v>1</v>
      </c>
      <c r="DR47" s="61" t="n">
        <v>0.3520833333333334</v>
      </c>
      <c r="DS47" s="62" t="n">
        <v>0.7680555555555556</v>
      </c>
      <c r="DT47" s="83">
        <f>MOD(DS47-DR47,1)*24</f>
        <v/>
      </c>
      <c r="DU47" s="41" t="n">
        <v>1</v>
      </c>
      <c r="DV47" s="61">
        <f>SUM(H47,L47,P47,T47,X47,AB47,AF47,AJ47,AN47,AR47,AV47,AZ47,BD47,BH47,BL47,BP47,BT47,BX47,CB47,CF47,CJ47,CN47,CR47,CV47,CZ47,DD47,DH47,DL47,DP47,DT47)</f>
        <v/>
      </c>
      <c r="DW47" s="62">
        <f>SUM(I47,M47,Q47,U47,Y47,AC47,AG47,AK47,AO47,AS47,AW47,BA47,BE47,BI47,BM47,BQ47,BU47,BY47,CC47,CG47,CK47,CO47,CS47,CW47,DA47,DE47,DI47,DM47,DQ47,DU47)</f>
        <v/>
      </c>
      <c r="DX47" s="83" t="n"/>
      <c r="DY47" s="41" t="n"/>
      <c r="DZ47" s="84" t="n"/>
      <c r="EA47" s="84" t="n"/>
      <c r="EB47" s="84" t="n"/>
      <c r="EC47" s="84" t="n"/>
      <c r="ED47" s="84" t="n"/>
      <c r="EE47" s="84" t="n"/>
      <c r="EF47" s="84" t="n"/>
      <c r="EG47" s="84" t="n"/>
      <c r="EH47" s="84" t="n"/>
      <c r="EI47" s="84" t="inlineStr">
        <is>
          <t>只打一次卡</t>
        </is>
      </c>
      <c r="EJ47" s="84" t="n"/>
      <c r="EK47" s="84" t="n"/>
      <c r="EL47" s="84" t="n"/>
      <c r="EM47" s="84" t="n"/>
      <c r="EN47" s="84" t="n"/>
      <c r="EO47" s="84" t="n"/>
      <c r="EP47" s="84" t="n"/>
      <c r="EQ47" s="84" t="n"/>
      <c r="ER47" s="84" t="n"/>
      <c r="ES47" s="84" t="inlineStr">
        <is>
          <t>迟到</t>
        </is>
      </c>
      <c r="ET47" s="84" t="n"/>
      <c r="EU47" s="84" t="n"/>
      <c r="EV47" s="84" t="n"/>
      <c r="EW47" s="84" t="n"/>
      <c r="EX47" s="84" t="n"/>
      <c r="EY47" s="84" t="n"/>
      <c r="EZ47" s="84" t="n"/>
      <c r="FA47" s="84" t="n"/>
      <c r="FB47" s="84" t="n"/>
      <c r="FC47" s="84" t="n"/>
      <c r="FD47" s="84" t="n"/>
      <c r="FE47" s="84" t="n"/>
    </row>
    <row r="48" ht="59" customFormat="1" customHeight="1" s="54">
      <c r="A48" s="55" t="inlineStr">
        <is>
          <t>五楼</t>
        </is>
      </c>
      <c r="B48" s="56" t="inlineStr">
        <is>
          <t>罗雨</t>
        </is>
      </c>
      <c r="C48" s="41" t="inlineStr">
        <is>
          <t>43</t>
        </is>
      </c>
      <c r="D48" s="41" t="n"/>
      <c r="E48" s="57" t="n"/>
      <c r="F48" s="115" t="n"/>
      <c r="G48" s="58" t="n"/>
      <c r="H48" s="83" t="n"/>
      <c r="I48" s="57" t="n"/>
      <c r="J48" s="58" t="n"/>
      <c r="K48" s="58" t="n"/>
      <c r="L48" s="83" t="n"/>
      <c r="M48" s="57" t="n"/>
      <c r="N48" s="58" t="n"/>
      <c r="O48" s="58" t="n"/>
      <c r="P48" s="83" t="n"/>
      <c r="Q48" s="57" t="n"/>
      <c r="R48" s="58" t="n"/>
      <c r="S48" s="58" t="n"/>
      <c r="T48" s="83" t="n"/>
      <c r="U48" s="57" t="n"/>
      <c r="V48" s="58" t="n"/>
      <c r="W48" s="58" t="n"/>
      <c r="X48" s="83" t="n"/>
      <c r="Y48" s="57" t="n"/>
      <c r="Z48" s="58" t="n"/>
      <c r="AA48" s="60" t="n"/>
      <c r="AB48" s="83" t="n"/>
      <c r="AC48" s="41" t="n"/>
      <c r="AD48" s="116" t="n"/>
      <c r="AE48" s="117" t="n"/>
      <c r="AF48" s="83" t="n"/>
      <c r="AG48" s="57" t="n"/>
      <c r="AH48" s="58" t="n"/>
      <c r="AI48" s="58" t="n"/>
      <c r="AJ48" s="83" t="n"/>
      <c r="AK48" s="57" t="n"/>
      <c r="AL48" s="58" t="n"/>
      <c r="AM48" s="58" t="n"/>
      <c r="AN48" s="83" t="n"/>
      <c r="AO48" s="57" t="n"/>
      <c r="AP48" s="58" t="n"/>
      <c r="AQ48" s="58" t="n"/>
      <c r="AR48" s="83" t="n"/>
      <c r="AS48" s="57" t="n"/>
      <c r="AT48" s="58" t="n"/>
      <c r="AU48" s="58" t="n"/>
      <c r="AV48" s="83" t="n"/>
      <c r="AW48" s="57" t="n"/>
      <c r="AX48" s="58" t="n"/>
      <c r="AY48" s="58" t="n"/>
      <c r="AZ48" s="83" t="n"/>
      <c r="BA48" s="57" t="n"/>
      <c r="BB48" s="58" t="n"/>
      <c r="BC48" s="60" t="n"/>
      <c r="BD48" s="83" t="n"/>
      <c r="BE48" s="41" t="n"/>
      <c r="BF48" s="116" t="n"/>
      <c r="BG48" s="115" t="n"/>
      <c r="BH48" s="83" t="n"/>
      <c r="BI48" s="57" t="n"/>
      <c r="BJ48" s="58" t="n"/>
      <c r="BK48" s="58" t="n"/>
      <c r="BL48" s="83" t="n"/>
      <c r="BM48" s="57" t="n"/>
      <c r="BN48" s="58" t="n"/>
      <c r="BO48" s="58" t="n"/>
      <c r="BP48" s="83" t="n"/>
      <c r="BQ48" s="57" t="n"/>
      <c r="BR48" s="58" t="n"/>
      <c r="BS48" s="58" t="n"/>
      <c r="BT48" s="83" t="n"/>
      <c r="BU48" s="57" t="n"/>
      <c r="BV48" s="58" t="n"/>
      <c r="BW48" s="60" t="n"/>
      <c r="BX48" s="83" t="n"/>
      <c r="BY48" s="41" t="n"/>
      <c r="BZ48" s="41" t="n"/>
      <c r="CA48" s="41" t="n"/>
      <c r="CB48" s="83" t="n"/>
      <c r="CC48" s="41" t="n"/>
      <c r="CD48" s="116" t="n"/>
      <c r="CE48" s="115" t="n"/>
      <c r="CF48" s="83" t="n"/>
      <c r="CG48" s="57" t="n"/>
      <c r="CH48" s="58" t="n"/>
      <c r="CI48" s="58" t="n"/>
      <c r="CJ48" s="83" t="n"/>
      <c r="CK48" s="57" t="n"/>
      <c r="CL48" s="58" t="n"/>
      <c r="CM48" s="58" t="n"/>
      <c r="CN48" s="83" t="n"/>
      <c r="CO48" s="57" t="n"/>
      <c r="CP48" s="58" t="n">
        <v>0.7541666666666667</v>
      </c>
      <c r="CQ48" s="58" t="n"/>
      <c r="CR48" s="83" t="n"/>
      <c r="CS48" s="57" t="n">
        <v>0.5</v>
      </c>
      <c r="CT48" s="58" t="n"/>
      <c r="CU48" s="58" t="n"/>
      <c r="CV48" s="83" t="n"/>
      <c r="CW48" s="57" t="n"/>
      <c r="CX48" s="58" t="n"/>
      <c r="CY48" s="58" t="n"/>
      <c r="CZ48" s="83" t="n"/>
      <c r="DA48" s="57" t="n"/>
      <c r="DB48" s="58" t="n"/>
      <c r="DC48" s="58" t="n"/>
      <c r="DD48" s="83" t="n"/>
      <c r="DE48" s="57" t="n"/>
      <c r="DF48" s="58" t="n"/>
      <c r="DG48" s="60" t="n"/>
      <c r="DH48" s="83" t="n"/>
      <c r="DI48" s="41" t="n"/>
      <c r="DJ48" s="116" t="n"/>
      <c r="DK48" s="116" t="n"/>
      <c r="DL48" s="83" t="n"/>
      <c r="DM48" s="41" t="n"/>
      <c r="DN48" s="58" t="n"/>
      <c r="DO48" s="58" t="n"/>
      <c r="DP48" s="83" t="n"/>
      <c r="DQ48" s="57" t="n"/>
      <c r="DR48" s="61" t="n"/>
      <c r="DS48" s="62" t="n"/>
      <c r="DT48" s="83" t="n"/>
      <c r="DU48" s="41" t="n"/>
      <c r="DV48" s="61">
        <f>SUM(H48,L48,P48,T48,X48,AB48,AF48,AJ48,AN48,AR48,AV48,AZ48,BD48,BH48,BL48,BP48,BT48,BX48,CB48,CF48,CJ48,CN48,CR48,CV48,CZ48,DD48,DH48,DL48,DP48,DT48)</f>
        <v/>
      </c>
      <c r="DW48" s="62">
        <f>SUM(I48,M48,Q48,U48,Y48,AC48,AG48,AK48,AO48,AS48,AW48,BA48,BE48,BI48,BM48,BQ48,BU48,BY48,CC48,CG48,CK48,CO48,CS48,CW48,DA48,DE48,DI48,DM48,DQ48,DU48)</f>
        <v/>
      </c>
      <c r="DX48" s="83" t="n"/>
      <c r="DY48" s="41" t="n"/>
      <c r="DZ48" s="84" t="n"/>
      <c r="EA48" s="84" t="n"/>
      <c r="EB48" s="84" t="n"/>
      <c r="EC48" s="84" t="n"/>
      <c r="ED48" s="84" t="n"/>
      <c r="EE48" s="84" t="n"/>
      <c r="EF48" s="84" t="n"/>
      <c r="EG48" s="84" t="n"/>
      <c r="EH48" s="84" t="n"/>
      <c r="EI48" s="84" t="n"/>
      <c r="EJ48" s="84" t="n"/>
      <c r="EK48" s="84" t="n"/>
      <c r="EL48" s="84" t="n"/>
      <c r="EM48" s="84" t="n"/>
      <c r="EN48" s="84" t="n"/>
      <c r="EO48" s="84" t="n"/>
      <c r="EP48" s="84" t="n"/>
      <c r="EQ48" s="84" t="n"/>
      <c r="ER48" s="84" t="n"/>
      <c r="ES48" s="84" t="n"/>
      <c r="ET48" s="84" t="n"/>
      <c r="EU48" s="84" t="n"/>
      <c r="EV48" s="84" t="n"/>
      <c r="EW48" s="84" t="n"/>
      <c r="EX48" s="84" t="n"/>
      <c r="EY48" s="84" t="n"/>
      <c r="EZ48" s="84" t="n"/>
      <c r="FA48" s="84" t="n"/>
      <c r="FB48" s="84" t="n"/>
      <c r="FC48" s="84" t="n"/>
      <c r="FD48" s="84" t="n"/>
      <c r="FE48" s="84" t="n"/>
    </row>
    <row r="49" ht="59" customFormat="1" customHeight="1" s="54">
      <c r="A49" s="55" t="inlineStr">
        <is>
          <t>五楼</t>
        </is>
      </c>
      <c r="B49" s="56" t="inlineStr">
        <is>
          <t>谭勇</t>
        </is>
      </c>
      <c r="C49" s="41" t="inlineStr">
        <is>
          <t>44</t>
        </is>
      </c>
      <c r="D49" s="41" t="n"/>
      <c r="E49" s="57" t="n"/>
      <c r="F49" s="115" t="n">
        <v>0.35</v>
      </c>
      <c r="G49" s="58" t="n">
        <v>0.3513888888888889</v>
      </c>
      <c r="H49" s="83">
        <f>MOD(G49-F49,1)*24</f>
        <v/>
      </c>
      <c r="I49" s="57" t="n">
        <v>0.5</v>
      </c>
      <c r="J49" s="58" t="n">
        <v>0.35</v>
      </c>
      <c r="K49" s="58" t="n">
        <v>0.7368055555555556</v>
      </c>
      <c r="L49" s="83">
        <f>MOD(K49-J49,1)*24</f>
        <v/>
      </c>
      <c r="M49" s="57" t="n">
        <v>1</v>
      </c>
      <c r="N49" s="58" t="n">
        <v>0.3479166666666667</v>
      </c>
      <c r="O49" s="58" t="n">
        <v>0.74375</v>
      </c>
      <c r="P49" s="83">
        <f>MOD(O49-N49,1)*24</f>
        <v/>
      </c>
      <c r="Q49" s="57" t="n">
        <v>1</v>
      </c>
      <c r="R49" s="58" t="n"/>
      <c r="S49" s="58" t="n"/>
      <c r="T49" s="83" t="n"/>
      <c r="U49" s="57" t="n"/>
      <c r="V49" s="58" t="n"/>
      <c r="W49" s="58" t="n"/>
      <c r="X49" s="83" t="n"/>
      <c r="Y49" s="57" t="n"/>
      <c r="Z49" s="58" t="n">
        <v>0.3527777777777778</v>
      </c>
      <c r="AA49" s="60" t="n">
        <v>0.7416666666666667</v>
      </c>
      <c r="AB49" s="83">
        <f>MOD(AA49-Z49,1)*24</f>
        <v/>
      </c>
      <c r="AC49" s="41" t="n">
        <v>1</v>
      </c>
      <c r="AD49" s="116" t="n">
        <v>0.3506944444444444</v>
      </c>
      <c r="AE49" s="117" t="n">
        <v>0.7388888888888889</v>
      </c>
      <c r="AF49" s="83">
        <f>MOD(AE49-AD49,1)*24</f>
        <v/>
      </c>
      <c r="AG49" s="57" t="n">
        <v>1</v>
      </c>
      <c r="AH49" s="58" t="n">
        <v>0.3513888888888889</v>
      </c>
      <c r="AI49" s="58" t="n">
        <v>0.7527777777777778</v>
      </c>
      <c r="AJ49" s="83">
        <f>MOD(AI49-AH49,1)*24</f>
        <v/>
      </c>
      <c r="AK49" s="57" t="n">
        <v>1</v>
      </c>
      <c r="AL49" s="58" t="n">
        <v>0.3479166666666667</v>
      </c>
      <c r="AM49" s="58" t="n">
        <v>0.75</v>
      </c>
      <c r="AN49" s="83">
        <f>MOD(AM49-AL49,1)*24</f>
        <v/>
      </c>
      <c r="AO49" s="57" t="n">
        <v>1</v>
      </c>
      <c r="AP49" s="58" t="n">
        <v>0.3493055555555555</v>
      </c>
      <c r="AQ49" s="58" t="n">
        <v>0.7444444444444445</v>
      </c>
      <c r="AR49" s="83">
        <f>MOD(AQ49-AP49,1)*24</f>
        <v/>
      </c>
      <c r="AS49" s="57" t="n">
        <v>1</v>
      </c>
      <c r="AT49" s="58" t="n">
        <v>0.3513888888888889</v>
      </c>
      <c r="AU49" s="58" t="n">
        <v>0.7402777777777778</v>
      </c>
      <c r="AV49" s="83">
        <f>MOD(AU49-AT49,1)*24</f>
        <v/>
      </c>
      <c r="AW49" s="57" t="n">
        <v>1</v>
      </c>
      <c r="AX49" s="58" t="n"/>
      <c r="AY49" s="58" t="n"/>
      <c r="AZ49" s="83" t="n"/>
      <c r="BA49" s="57" t="n"/>
      <c r="BB49" s="58" t="n">
        <v>0.3520833333333334</v>
      </c>
      <c r="BC49" s="60" t="n">
        <v>0.7381944444444445</v>
      </c>
      <c r="BD49" s="83">
        <f>MOD(BC49-BB49,1)*24</f>
        <v/>
      </c>
      <c r="BE49" s="41" t="n">
        <v>1</v>
      </c>
      <c r="BF49" s="116" t="n">
        <v>0.3493055555555555</v>
      </c>
      <c r="BG49" s="115" t="n">
        <v>0.7416666666666667</v>
      </c>
      <c r="BH49" s="83">
        <f>MOD(BG49-BF49,1)*24</f>
        <v/>
      </c>
      <c r="BI49" s="57" t="n">
        <v>1</v>
      </c>
      <c r="BJ49" s="58" t="n">
        <v>0.3472222222222222</v>
      </c>
      <c r="BK49" s="58" t="n">
        <v>0.7430555555555556</v>
      </c>
      <c r="BL49" s="83">
        <f>MOD(BK49-BJ49,1)*24</f>
        <v/>
      </c>
      <c r="BM49" s="57" t="n">
        <v>1</v>
      </c>
      <c r="BN49" s="58" t="n">
        <v>0.3479166666666667</v>
      </c>
      <c r="BO49" s="58" t="n">
        <v>0.7375</v>
      </c>
      <c r="BP49" s="83">
        <f>MOD(BO49-BN49,1)*24</f>
        <v/>
      </c>
      <c r="BQ49" s="57" t="n">
        <v>1</v>
      </c>
      <c r="BR49" s="58" t="n">
        <v>0.3506944444444444</v>
      </c>
      <c r="BS49" s="58" t="n">
        <v>0.7576388888888889</v>
      </c>
      <c r="BT49" s="83">
        <f>MOD(BS49-BR49,1)*24</f>
        <v/>
      </c>
      <c r="BU49" s="57" t="n">
        <v>1</v>
      </c>
      <c r="BV49" s="58" t="n"/>
      <c r="BW49" s="60" t="n"/>
      <c r="BX49" s="83" t="n"/>
      <c r="BY49" s="41" t="n"/>
      <c r="BZ49" s="41" t="n"/>
      <c r="CA49" s="41" t="n"/>
      <c r="CB49" s="83" t="n"/>
      <c r="CC49" s="41" t="n"/>
      <c r="CD49" s="116" t="n"/>
      <c r="CE49" s="115" t="n"/>
      <c r="CF49" s="83" t="n"/>
      <c r="CG49" s="57" t="n"/>
      <c r="CH49" s="58" t="n">
        <v>0.3486111111111111</v>
      </c>
      <c r="CI49" s="58" t="n">
        <v>0.7541666666666667</v>
      </c>
      <c r="CJ49" s="83">
        <f>MOD(CI49-CH49,1)*24</f>
        <v/>
      </c>
      <c r="CK49" s="57" t="n">
        <v>1</v>
      </c>
      <c r="CL49" s="58" t="n">
        <v>0.35</v>
      </c>
      <c r="CM49" s="58" t="n">
        <v>0.7388888888888889</v>
      </c>
      <c r="CN49" s="83">
        <f>MOD(CM49-CL49,1)*24</f>
        <v/>
      </c>
      <c r="CO49" s="57" t="n">
        <v>1</v>
      </c>
      <c r="CP49" s="58" t="n">
        <v>0.3479166666666667</v>
      </c>
      <c r="CQ49" s="58" t="n">
        <v>0.7638888888888888</v>
      </c>
      <c r="CR49" s="83">
        <f>MOD(CQ49-CP49,1)*24</f>
        <v/>
      </c>
      <c r="CS49" s="57" t="n">
        <v>1</v>
      </c>
      <c r="CT49" s="58" t="n">
        <v>0.3451388888888889</v>
      </c>
      <c r="CU49" s="58" t="n">
        <v>0.8548611111111111</v>
      </c>
      <c r="CV49" s="83">
        <f>MOD(CU49-CT49,1)*24</f>
        <v/>
      </c>
      <c r="CW49" s="57" t="n">
        <v>1</v>
      </c>
      <c r="CX49" s="58" t="n">
        <v>0.3479166666666667</v>
      </c>
      <c r="CY49" s="58" t="n">
        <v>0.8548611111111111</v>
      </c>
      <c r="CZ49" s="83">
        <f>MOD(CY49-CX49,1)*24</f>
        <v/>
      </c>
      <c r="DA49" s="57" t="n">
        <v>1</v>
      </c>
      <c r="DB49" s="58" t="n">
        <v>0.3472222222222222</v>
      </c>
      <c r="DC49" s="58" t="n">
        <v>0.7361111111111112</v>
      </c>
      <c r="DD49" s="83">
        <f>MOD(DC49-DB49,1)*24</f>
        <v/>
      </c>
      <c r="DE49" s="57" t="n">
        <v>1</v>
      </c>
      <c r="DF49" s="58" t="n">
        <v>0.3506944444444444</v>
      </c>
      <c r="DG49" s="60" t="n">
        <v>0.8472222222222222</v>
      </c>
      <c r="DH49" s="83">
        <f>MOD(DG49-DF49,1)*24</f>
        <v/>
      </c>
      <c r="DI49" s="41" t="n">
        <v>1</v>
      </c>
      <c r="DJ49" s="116" t="n">
        <v>0.35</v>
      </c>
      <c r="DK49" s="116" t="n">
        <v>0.7402777777777778</v>
      </c>
      <c r="DL49" s="83">
        <f>MOD(DK49-DJ49,1)*24</f>
        <v/>
      </c>
      <c r="DM49" s="41" t="n">
        <v>1</v>
      </c>
      <c r="DN49" s="58" t="n">
        <v>0.3486111111111111</v>
      </c>
      <c r="DO49" s="58" t="n">
        <v>0.7395833333333334</v>
      </c>
      <c r="DP49" s="83">
        <f>MOD(DO49-DN49,1)*24</f>
        <v/>
      </c>
      <c r="DQ49" s="57" t="n">
        <v>1</v>
      </c>
      <c r="DR49" s="61" t="n">
        <v>0.3451388888888889</v>
      </c>
      <c r="DS49" s="62" t="n">
        <v>0.7451388888888889</v>
      </c>
      <c r="DT49" s="83">
        <f>MOD(DS49-DR49,1)*24</f>
        <v/>
      </c>
      <c r="DU49" s="41" t="n">
        <v>1</v>
      </c>
      <c r="DV49" s="61">
        <f>SUM(H49,L49,P49,T49,X49,AB49,AF49,AJ49,AN49,AR49,AV49,AZ49,BD49,BH49,BL49,BP49,BT49,BX49,CB49,CF49,CJ49,CN49,CR49,CV49,CZ49,DD49,DH49,DL49,DP49,DT49)</f>
        <v/>
      </c>
      <c r="DW49" s="62">
        <f>SUM(I49,M49,Q49,U49,Y49,AC49,AG49,AK49,AO49,AS49,AW49,BA49,BE49,BI49,BM49,BQ49,BU49,BY49,CC49,CG49,CK49,CO49,CS49,CW49,DA49,DE49,DI49,DM49,DQ49,DU49)</f>
        <v/>
      </c>
      <c r="DX49" s="83" t="n"/>
      <c r="DY49" s="41" t="n"/>
      <c r="DZ49" s="84" t="n"/>
      <c r="EA49" s="84" t="n"/>
      <c r="EB49" s="84" t="n"/>
      <c r="EC49" s="84" t="n"/>
      <c r="ED49" s="84" t="n"/>
      <c r="EE49" s="84" t="n"/>
      <c r="EF49" s="84" t="n"/>
      <c r="EG49" s="84" t="n"/>
      <c r="EH49" s="84" t="n"/>
      <c r="EI49" s="84" t="n"/>
      <c r="EJ49" s="84" t="n"/>
      <c r="EK49" s="84" t="n"/>
      <c r="EL49" s="84" t="n"/>
      <c r="EM49" s="84" t="n"/>
      <c r="EN49" s="84" t="n"/>
      <c r="EO49" s="84" t="n"/>
      <c r="EP49" s="84" t="n"/>
      <c r="EQ49" s="84" t="n"/>
      <c r="ER49" s="84" t="n"/>
      <c r="ES49" s="84" t="n"/>
      <c r="ET49" s="84" t="n"/>
      <c r="EU49" s="84" t="n"/>
      <c r="EV49" s="84" t="n"/>
      <c r="EW49" s="84" t="n"/>
      <c r="EX49" s="84" t="n"/>
      <c r="EY49" s="84" t="n"/>
      <c r="EZ49" s="84" t="n"/>
      <c r="FA49" s="84" t="n"/>
      <c r="FB49" s="84" t="n"/>
      <c r="FC49" s="84" t="n"/>
      <c r="FD49" s="84" t="n"/>
      <c r="FE49" s="84" t="n"/>
    </row>
    <row r="50" ht="59" customFormat="1" customHeight="1" s="54">
      <c r="A50" s="55" t="inlineStr">
        <is>
          <t>五楼</t>
        </is>
      </c>
      <c r="B50" s="56" t="inlineStr">
        <is>
          <t>谭勇</t>
        </is>
      </c>
      <c r="C50" s="41" t="inlineStr">
        <is>
          <t>44</t>
        </is>
      </c>
      <c r="D50" s="41" t="n"/>
      <c r="E50" s="57" t="n"/>
      <c r="F50" s="115" t="n">
        <v>0.7402777777777778</v>
      </c>
      <c r="G50" s="58" t="n"/>
      <c r="H50" s="83" t="n"/>
      <c r="I50" s="57" t="n">
        <v>0.5</v>
      </c>
      <c r="J50" s="58" t="n"/>
      <c r="K50" s="58" t="n"/>
      <c r="L50" s="83" t="n"/>
      <c r="M50" s="57" t="n"/>
      <c r="N50" s="58" t="n"/>
      <c r="O50" s="58" t="n"/>
      <c r="P50" s="83" t="n"/>
      <c r="Q50" s="57" t="n"/>
      <c r="R50" s="58" t="n"/>
      <c r="S50" s="58" t="n"/>
      <c r="T50" s="83" t="n"/>
      <c r="U50" s="57" t="n"/>
      <c r="V50" s="58" t="n"/>
      <c r="W50" s="58" t="n"/>
      <c r="X50" s="83" t="n"/>
      <c r="Y50" s="57" t="n"/>
      <c r="Z50" s="58" t="n"/>
      <c r="AA50" s="60" t="n"/>
      <c r="AB50" s="83" t="n"/>
      <c r="AC50" s="41" t="n"/>
      <c r="AD50" s="116" t="n"/>
      <c r="AE50" s="117" t="n"/>
      <c r="AF50" s="83" t="n"/>
      <c r="AG50" s="57" t="n"/>
      <c r="AH50" s="58" t="n"/>
      <c r="AI50" s="58" t="n"/>
      <c r="AJ50" s="83" t="n"/>
      <c r="AK50" s="57" t="n"/>
      <c r="AL50" s="58" t="n"/>
      <c r="AM50" s="58" t="n"/>
      <c r="AN50" s="83" t="n"/>
      <c r="AO50" s="57" t="n"/>
      <c r="AP50" s="58" t="n"/>
      <c r="AQ50" s="58" t="n"/>
      <c r="AR50" s="83" t="n"/>
      <c r="AS50" s="57" t="n"/>
      <c r="AT50" s="58" t="n"/>
      <c r="AU50" s="58" t="n"/>
      <c r="AV50" s="83" t="n"/>
      <c r="AW50" s="57" t="n"/>
      <c r="AX50" s="58" t="n"/>
      <c r="AY50" s="58" t="n"/>
      <c r="AZ50" s="83" t="n"/>
      <c r="BA50" s="57" t="n"/>
      <c r="BB50" s="58" t="n"/>
      <c r="BC50" s="60" t="n"/>
      <c r="BD50" s="83" t="n"/>
      <c r="BE50" s="41" t="n"/>
      <c r="BF50" s="116" t="n"/>
      <c r="BG50" s="115" t="n"/>
      <c r="BH50" s="83" t="n"/>
      <c r="BI50" s="57" t="n"/>
      <c r="BJ50" s="58" t="n"/>
      <c r="BK50" s="58" t="n"/>
      <c r="BL50" s="83" t="n"/>
      <c r="BM50" s="57" t="n"/>
      <c r="BN50" s="58" t="n"/>
      <c r="BO50" s="58" t="n"/>
      <c r="BP50" s="83" t="n"/>
      <c r="BQ50" s="57" t="n"/>
      <c r="BR50" s="58" t="n"/>
      <c r="BS50" s="58" t="n"/>
      <c r="BT50" s="83" t="n"/>
      <c r="BU50" s="57" t="n"/>
      <c r="BV50" s="58" t="n"/>
      <c r="BW50" s="60" t="n"/>
      <c r="BX50" s="83" t="n"/>
      <c r="BY50" s="41" t="n"/>
      <c r="BZ50" s="41" t="n"/>
      <c r="CA50" s="41" t="n"/>
      <c r="CB50" s="83" t="n"/>
      <c r="CC50" s="41" t="n"/>
      <c r="CD50" s="116" t="n"/>
      <c r="CE50" s="115" t="n"/>
      <c r="CF50" s="83" t="n"/>
      <c r="CG50" s="57" t="n"/>
      <c r="CH50" s="58" t="n"/>
      <c r="CI50" s="58" t="n"/>
      <c r="CJ50" s="83" t="n"/>
      <c r="CK50" s="57" t="n"/>
      <c r="CL50" s="58" t="n"/>
      <c r="CM50" s="58" t="n"/>
      <c r="CN50" s="83" t="n"/>
      <c r="CO50" s="57" t="n"/>
      <c r="CP50" s="58" t="n"/>
      <c r="CQ50" s="58" t="n"/>
      <c r="CR50" s="83" t="n"/>
      <c r="CS50" s="57" t="n"/>
      <c r="CT50" s="58" t="n"/>
      <c r="CU50" s="58" t="n"/>
      <c r="CV50" s="83" t="n"/>
      <c r="CW50" s="57" t="n"/>
      <c r="CX50" s="58" t="n"/>
      <c r="CY50" s="58" t="n"/>
      <c r="CZ50" s="83" t="n"/>
      <c r="DA50" s="57" t="n"/>
      <c r="DB50" s="58" t="n"/>
      <c r="DC50" s="58" t="n"/>
      <c r="DD50" s="83" t="n"/>
      <c r="DE50" s="57" t="n"/>
      <c r="DF50" s="58" t="n"/>
      <c r="DG50" s="60" t="n"/>
      <c r="DH50" s="83" t="n"/>
      <c r="DI50" s="41" t="n"/>
      <c r="DJ50" s="116" t="n"/>
      <c r="DK50" s="116" t="n"/>
      <c r="DL50" s="83" t="n"/>
      <c r="DM50" s="41" t="n"/>
      <c r="DN50" s="58" t="n"/>
      <c r="DO50" s="58" t="n"/>
      <c r="DP50" s="83" t="n"/>
      <c r="DQ50" s="57" t="n"/>
      <c r="DR50" s="61" t="n"/>
      <c r="DS50" s="62" t="n"/>
      <c r="DT50" s="83" t="n"/>
      <c r="DU50" s="41" t="n"/>
      <c r="DV50" s="61">
        <f>SUM(H50,L50,P50,T50,X50,AB50,AF50,AJ50,AN50,AR50,AV50,AZ50,BD50,BH50,BL50,BP50,BT50,BX50,CB50,CF50,CJ50,CN50,CR50,CV50,CZ50,DD50,DH50,DL50,DP50,DT50)</f>
        <v/>
      </c>
      <c r="DW50" s="62">
        <f>SUM(I50,M50,Q50,U50,Y50,AC50,AG50,AK50,AO50,AS50,AW50,BA50,BE50,BI50,BM50,BQ50,BU50,BY50,CC50,CG50,CK50,CO50,CS50,CW50,DA50,DE50,DI50,DM50,DQ50,DU50)</f>
        <v/>
      </c>
      <c r="DX50" s="83" t="n"/>
      <c r="DY50" s="41" t="n"/>
      <c r="DZ50" s="84" t="n"/>
      <c r="EA50" s="84" t="n"/>
      <c r="EB50" s="84" t="n"/>
      <c r="EC50" s="84" t="n"/>
      <c r="ED50" s="84" t="n"/>
      <c r="EE50" s="84" t="n"/>
      <c r="EF50" s="84" t="n"/>
      <c r="EG50" s="84" t="n"/>
      <c r="EH50" s="84" t="n"/>
      <c r="EI50" s="84" t="n"/>
      <c r="EJ50" s="84" t="n"/>
      <c r="EK50" s="84" t="n"/>
      <c r="EL50" s="84" t="n"/>
      <c r="EM50" s="84" t="n"/>
      <c r="EN50" s="84" t="n"/>
      <c r="EO50" s="84" t="n"/>
      <c r="EP50" s="84" t="n"/>
      <c r="EQ50" s="84" t="n"/>
      <c r="ER50" s="84" t="n"/>
      <c r="ES50" s="84" t="n"/>
      <c r="ET50" s="84" t="n"/>
      <c r="EU50" s="84" t="n"/>
      <c r="EV50" s="84" t="n"/>
      <c r="EW50" s="84" t="n"/>
      <c r="EX50" s="84" t="n"/>
      <c r="EY50" s="84" t="n"/>
      <c r="EZ50" s="84" t="n"/>
      <c r="FA50" s="84" t="n"/>
      <c r="FB50" s="84" t="n"/>
      <c r="FC50" s="84" t="n"/>
      <c r="FD50" s="84" t="n"/>
      <c r="FE50" s="84" t="n"/>
    </row>
    <row r="51" ht="59" customFormat="1" customHeight="1" s="54">
      <c r="A51" s="55" t="inlineStr">
        <is>
          <t>五楼</t>
        </is>
      </c>
      <c r="B51" s="56" t="inlineStr">
        <is>
          <t>赵豪杰</t>
        </is>
      </c>
      <c r="C51" s="41" t="inlineStr">
        <is>
          <t>45</t>
        </is>
      </c>
      <c r="D51" s="41" t="n"/>
      <c r="E51" s="57" t="n"/>
      <c r="F51" s="115" t="n">
        <v>0.3506944444444444</v>
      </c>
      <c r="G51" s="58" t="n">
        <v>0.7361111111111112</v>
      </c>
      <c r="H51" s="83">
        <f>MOD(G51-F51,1)*24</f>
        <v/>
      </c>
      <c r="I51" s="57" t="n">
        <v>1</v>
      </c>
      <c r="J51" s="58" t="n">
        <v>0.3493055555555555</v>
      </c>
      <c r="K51" s="58" t="n">
        <v>0.7368055555555556</v>
      </c>
      <c r="L51" s="83">
        <f>MOD(K51-J51,1)*24</f>
        <v/>
      </c>
      <c r="M51" s="57" t="n">
        <v>1</v>
      </c>
      <c r="N51" s="58" t="n">
        <v>0.3493055555555555</v>
      </c>
      <c r="O51" s="58" t="n">
        <v>0.7368055555555556</v>
      </c>
      <c r="P51" s="83">
        <f>MOD(O51-N51,1)*24</f>
        <v/>
      </c>
      <c r="Q51" s="57" t="n">
        <v>1</v>
      </c>
      <c r="R51" s="58" t="n"/>
      <c r="S51" s="58" t="n"/>
      <c r="T51" s="83" t="n"/>
      <c r="U51" s="57" t="n"/>
      <c r="V51" s="58" t="n"/>
      <c r="W51" s="58" t="n"/>
      <c r="X51" s="83" t="n"/>
      <c r="Y51" s="57" t="n"/>
      <c r="Z51" s="58" t="n">
        <v>0.3493055555555555</v>
      </c>
      <c r="AA51" s="60" t="n">
        <v>0.7409722222222223</v>
      </c>
      <c r="AB51" s="83">
        <f>MOD(AA51-Z51,1)*24</f>
        <v/>
      </c>
      <c r="AC51" s="41" t="n">
        <v>1</v>
      </c>
      <c r="AD51" s="116" t="n">
        <v>0.35</v>
      </c>
      <c r="AE51" s="117" t="n">
        <v>0.7368055555555556</v>
      </c>
      <c r="AF51" s="83">
        <f>MOD(AE51-AD51,1)*24</f>
        <v/>
      </c>
      <c r="AG51" s="57" t="n">
        <v>1</v>
      </c>
      <c r="AH51" s="58" t="n">
        <v>0.3486111111111111</v>
      </c>
      <c r="AI51" s="58" t="n">
        <v>0.7402777777777778</v>
      </c>
      <c r="AJ51" s="83">
        <f>MOD(AI51-AH51,1)*24</f>
        <v/>
      </c>
      <c r="AK51" s="57" t="n">
        <v>1</v>
      </c>
      <c r="AL51" s="58" t="n">
        <v>0.3493055555555555</v>
      </c>
      <c r="AM51" s="58" t="n">
        <v>0.7423611111111111</v>
      </c>
      <c r="AN51" s="83">
        <f>MOD(AM51-AL51,1)*24</f>
        <v/>
      </c>
      <c r="AO51" s="57" t="n">
        <v>1</v>
      </c>
      <c r="AP51" s="58" t="n">
        <v>0.3493055555555555</v>
      </c>
      <c r="AQ51" s="58" t="n">
        <v>0.7381944444444445</v>
      </c>
      <c r="AR51" s="83">
        <f>MOD(AQ51-AP51,1)*24</f>
        <v/>
      </c>
      <c r="AS51" s="57" t="n">
        <v>1</v>
      </c>
      <c r="AT51" s="58" t="n">
        <v>0.3486111111111111</v>
      </c>
      <c r="AU51" s="58" t="n">
        <v>0.7472222222222222</v>
      </c>
      <c r="AV51" s="83">
        <f>MOD(AU51-AT51,1)*24</f>
        <v/>
      </c>
      <c r="AW51" s="57" t="n">
        <v>1</v>
      </c>
      <c r="AX51" s="58" t="n"/>
      <c r="AY51" s="58" t="n"/>
      <c r="AZ51" s="83" t="n"/>
      <c r="BA51" s="57" t="n"/>
      <c r="BB51" s="58" t="n">
        <v>0.3486111111111111</v>
      </c>
      <c r="BC51" s="60" t="n">
        <v>0.7402777777777778</v>
      </c>
      <c r="BD51" s="83">
        <f>MOD(BC51-BB51,1)*24</f>
        <v/>
      </c>
      <c r="BE51" s="41" t="n">
        <v>1</v>
      </c>
      <c r="BF51" s="116" t="n">
        <v>0.3486111111111111</v>
      </c>
      <c r="BG51" s="115" t="n">
        <v>0.7402777777777778</v>
      </c>
      <c r="BH51" s="83">
        <f>MOD(BG51-BF51,1)*24</f>
        <v/>
      </c>
      <c r="BI51" s="57" t="n">
        <v>1</v>
      </c>
      <c r="BJ51" s="58" t="n">
        <v>0.3486111111111111</v>
      </c>
      <c r="BK51" s="58" t="n">
        <v>0.7395833333333334</v>
      </c>
      <c r="BL51" s="83">
        <f>MOD(BK51-BJ51,1)*24</f>
        <v/>
      </c>
      <c r="BM51" s="57" t="n">
        <v>1</v>
      </c>
      <c r="BN51" s="58" t="n">
        <v>0.3493055555555555</v>
      </c>
      <c r="BO51" s="58" t="n"/>
      <c r="BP51" s="83" t="n"/>
      <c r="BQ51" s="57" t="n">
        <v>0.5</v>
      </c>
      <c r="BR51" s="58" t="n"/>
      <c r="BS51" s="58" t="n"/>
      <c r="BT51" s="83" t="n"/>
      <c r="BU51" s="57" t="n"/>
      <c r="BV51" s="58" t="n"/>
      <c r="BW51" s="60" t="n"/>
      <c r="BX51" s="83" t="n"/>
      <c r="BY51" s="41" t="n"/>
      <c r="BZ51" s="41" t="n"/>
      <c r="CA51" s="41" t="n"/>
      <c r="CB51" s="83" t="n"/>
      <c r="CC51" s="41" t="n"/>
      <c r="CD51" s="116" t="n"/>
      <c r="CE51" s="115" t="n"/>
      <c r="CF51" s="83" t="n"/>
      <c r="CG51" s="57" t="n"/>
      <c r="CH51" s="58" t="n"/>
      <c r="CI51" s="58" t="n"/>
      <c r="CJ51" s="83" t="n"/>
      <c r="CK51" s="57" t="n"/>
      <c r="CL51" s="58" t="n"/>
      <c r="CM51" s="58" t="n"/>
      <c r="CN51" s="83" t="n"/>
      <c r="CO51" s="57" t="n"/>
      <c r="CP51" s="58" t="n"/>
      <c r="CQ51" s="58" t="n"/>
      <c r="CR51" s="83" t="n"/>
      <c r="CS51" s="57" t="n"/>
      <c r="CT51" s="58" t="n"/>
      <c r="CU51" s="58" t="n"/>
      <c r="CV51" s="83" t="n"/>
      <c r="CW51" s="57" t="n"/>
      <c r="CX51" s="58" t="n"/>
      <c r="CY51" s="58" t="n"/>
      <c r="CZ51" s="83" t="n"/>
      <c r="DA51" s="57" t="n"/>
      <c r="DB51" s="58" t="n"/>
      <c r="DC51" s="58" t="n"/>
      <c r="DD51" s="83" t="n"/>
      <c r="DE51" s="57" t="n"/>
      <c r="DF51" s="58" t="n"/>
      <c r="DG51" s="60" t="n"/>
      <c r="DH51" s="83" t="n"/>
      <c r="DI51" s="41" t="n"/>
      <c r="DJ51" s="116" t="n"/>
      <c r="DK51" s="116" t="n"/>
      <c r="DL51" s="83" t="n"/>
      <c r="DM51" s="41" t="n"/>
      <c r="DN51" s="58" t="n"/>
      <c r="DO51" s="58" t="n"/>
      <c r="DP51" s="83" t="n"/>
      <c r="DQ51" s="57" t="n"/>
      <c r="DR51" s="61" t="n"/>
      <c r="DS51" s="62" t="n"/>
      <c r="DT51" s="83" t="n"/>
      <c r="DU51" s="41" t="n"/>
      <c r="DV51" s="61">
        <f>SUM(H51,L51,P51,T51,X51,AB51,AF51,AJ51,AN51,AR51,AV51,AZ51,BD51,BH51,BL51,BP51,BT51,BX51,CB51,CF51,CJ51,CN51,CR51,CV51,CZ51,DD51,DH51,DL51,DP51,DT51)</f>
        <v/>
      </c>
      <c r="DW51" s="62">
        <f>SUM(I51,M51,Q51,U51,Y51,AC51,AG51,AK51,AO51,AS51,AW51,BA51,BE51,BI51,BM51,BQ51,BU51,BY51,CC51,CG51,CK51,CO51,CS51,CW51,DA51,DE51,DI51,DM51,DQ51,DU51)</f>
        <v/>
      </c>
      <c r="DX51" s="83" t="n"/>
      <c r="DY51" s="41" t="n"/>
      <c r="DZ51" s="84" t="n"/>
      <c r="EA51" s="84" t="n"/>
      <c r="EB51" s="84" t="n"/>
      <c r="EC51" s="84" t="n"/>
      <c r="ED51" s="84" t="n"/>
      <c r="EE51" s="84" t="n"/>
      <c r="EF51" s="84" t="n"/>
      <c r="EG51" s="84" t="n"/>
      <c r="EH51" s="84" t="n"/>
      <c r="EI51" s="84" t="n"/>
      <c r="EJ51" s="84" t="n"/>
      <c r="EK51" s="84" t="n"/>
      <c r="EL51" s="84" t="n"/>
      <c r="EM51" s="84" t="n"/>
      <c r="EN51" s="84" t="n"/>
      <c r="EO51" s="84" t="n"/>
      <c r="EP51" s="84" t="n"/>
      <c r="EQ51" s="84" t="inlineStr">
        <is>
          <t>只打一次卡</t>
        </is>
      </c>
      <c r="ER51" s="84" t="n"/>
      <c r="ES51" s="84" t="n"/>
      <c r="ET51" s="84" t="n"/>
      <c r="EU51" s="84" t="n"/>
      <c r="EV51" s="84" t="n"/>
      <c r="EW51" s="84" t="n"/>
      <c r="EX51" s="84" t="n"/>
      <c r="EY51" s="84" t="n"/>
      <c r="EZ51" s="84" t="n"/>
      <c r="FA51" s="84" t="n"/>
      <c r="FB51" s="84" t="n"/>
      <c r="FC51" s="84" t="n"/>
      <c r="FD51" s="84" t="n"/>
      <c r="FE51" s="84" t="n"/>
    </row>
    <row r="52" ht="59" customFormat="1" customHeight="1" s="54">
      <c r="A52" s="55" t="inlineStr">
        <is>
          <t>五楼</t>
        </is>
      </c>
      <c r="B52" s="56" t="inlineStr">
        <is>
          <t>田鹏飞</t>
        </is>
      </c>
      <c r="C52" s="41" t="inlineStr">
        <is>
          <t>46</t>
        </is>
      </c>
      <c r="D52" s="41" t="n"/>
      <c r="E52" s="57" t="n"/>
      <c r="F52" s="115" t="n">
        <v>0.3520833333333334</v>
      </c>
      <c r="G52" s="58" t="n">
        <v>0.7368055555555556</v>
      </c>
      <c r="H52" s="83">
        <f>MOD(G52-F52,1)*24</f>
        <v/>
      </c>
      <c r="I52" s="57" t="n">
        <v>1</v>
      </c>
      <c r="J52" s="58" t="n"/>
      <c r="K52" s="58" t="n"/>
      <c r="L52" s="83" t="n"/>
      <c r="M52" s="57" t="n"/>
      <c r="N52" s="58" t="n">
        <v>0.34375</v>
      </c>
      <c r="O52" s="58" t="n">
        <v>0.7451388888888889</v>
      </c>
      <c r="P52" s="83">
        <f>MOD(O52-N52,1)*24</f>
        <v/>
      </c>
      <c r="Q52" s="57" t="n">
        <v>1</v>
      </c>
      <c r="R52" s="58" t="n"/>
      <c r="S52" s="58" t="n"/>
      <c r="T52" s="83" t="n"/>
      <c r="U52" s="57" t="n"/>
      <c r="V52" s="58" t="n"/>
      <c r="W52" s="58" t="n"/>
      <c r="X52" s="83" t="n"/>
      <c r="Y52" s="57" t="n"/>
      <c r="Z52" s="58" t="n">
        <v>0.34375</v>
      </c>
      <c r="AA52" s="60" t="n">
        <v>0.8777777777777778</v>
      </c>
      <c r="AB52" s="83">
        <f>MOD(AA52-Z52,1)*24</f>
        <v/>
      </c>
      <c r="AC52" s="41" t="n">
        <v>1</v>
      </c>
      <c r="AD52" s="116" t="n">
        <v>0.3444444444444444</v>
      </c>
      <c r="AE52" s="117" t="n">
        <v>0.8902777777777777</v>
      </c>
      <c r="AF52" s="83">
        <f>MOD(AE52-AD52,1)*24</f>
        <v/>
      </c>
      <c r="AG52" s="57" t="n">
        <v>1</v>
      </c>
      <c r="AH52" s="58" t="n">
        <v>0.3479166666666667</v>
      </c>
      <c r="AI52" s="58" t="n">
        <v>0.8555555555555555</v>
      </c>
      <c r="AJ52" s="83">
        <f>MOD(AI52-AH52,1)*24</f>
        <v/>
      </c>
      <c r="AK52" s="57" t="n">
        <v>1</v>
      </c>
      <c r="AL52" s="58" t="n">
        <v>0.3284722222222222</v>
      </c>
      <c r="AM52" s="58" t="n">
        <v>0.8145833333333333</v>
      </c>
      <c r="AN52" s="83">
        <f>MOD(AM52-AL52,1)*24</f>
        <v/>
      </c>
      <c r="AO52" s="57" t="n">
        <v>1</v>
      </c>
      <c r="AP52" s="58" t="n">
        <v>0.3486111111111111</v>
      </c>
      <c r="AQ52" s="58" t="n">
        <v>0.8944444444444445</v>
      </c>
      <c r="AR52" s="83">
        <f>MOD(AQ52-AP52,1)*24</f>
        <v/>
      </c>
      <c r="AS52" s="57" t="n">
        <v>1</v>
      </c>
      <c r="AT52" s="58" t="n">
        <v>0.34375</v>
      </c>
      <c r="AU52" s="58" t="n">
        <v>0.7388888888888889</v>
      </c>
      <c r="AV52" s="83">
        <f>MOD(AU52-AT52,1)*24</f>
        <v/>
      </c>
      <c r="AW52" s="57" t="n">
        <v>1</v>
      </c>
      <c r="AX52" s="58" t="n"/>
      <c r="AY52" s="58" t="n"/>
      <c r="AZ52" s="83" t="n"/>
      <c r="BA52" s="57" t="n"/>
      <c r="BB52" s="58" t="n">
        <v>0.3430555555555556</v>
      </c>
      <c r="BC52" s="60" t="n"/>
      <c r="BD52" s="83" t="n"/>
      <c r="BE52" s="41" t="n">
        <v>0.5</v>
      </c>
      <c r="BF52" s="116" t="n">
        <v>0.3486111111111111</v>
      </c>
      <c r="BG52" s="115" t="n">
        <v>0.8638888888888889</v>
      </c>
      <c r="BH52" s="83">
        <f>MOD(BG52-BF52,1)*24</f>
        <v/>
      </c>
      <c r="BI52" s="57" t="n">
        <v>1</v>
      </c>
      <c r="BJ52" s="58" t="n">
        <v>0.3409722222222222</v>
      </c>
      <c r="BK52" s="58" t="n">
        <v>0.8625</v>
      </c>
      <c r="BL52" s="83">
        <f>MOD(BK52-BJ52,1)*24</f>
        <v/>
      </c>
      <c r="BM52" s="57" t="n">
        <v>1</v>
      </c>
      <c r="BN52" s="58" t="n">
        <v>0.3388888888888889</v>
      </c>
      <c r="BO52" s="58" t="n"/>
      <c r="BP52" s="83" t="n"/>
      <c r="BQ52" s="57" t="n">
        <v>0.5</v>
      </c>
      <c r="BR52" s="58" t="n">
        <v>0.34375</v>
      </c>
      <c r="BS52" s="58" t="n">
        <v>0.8291666666666667</v>
      </c>
      <c r="BT52" s="83">
        <f>MOD(BS52-BR52,1)*24</f>
        <v/>
      </c>
      <c r="BU52" s="57" t="n">
        <v>1</v>
      </c>
      <c r="BV52" s="58" t="n">
        <v>0.3493055555555555</v>
      </c>
      <c r="BW52" s="60" t="n">
        <v>0.7486111111111111</v>
      </c>
      <c r="BX52" s="83">
        <f>MOD(BW52-BV52,1)*24</f>
        <v/>
      </c>
      <c r="BY52" s="41" t="n">
        <v>1</v>
      </c>
      <c r="BZ52" s="41" t="n"/>
      <c r="CA52" s="41" t="n"/>
      <c r="CB52" s="83" t="n"/>
      <c r="CC52" s="41" t="n"/>
      <c r="CD52" s="116" t="n">
        <v>0.3472222222222222</v>
      </c>
      <c r="CE52" s="115" t="n">
        <v>0.8361111111111111</v>
      </c>
      <c r="CF52" s="83">
        <f>MOD(CE52-CD52,1)*24</f>
        <v/>
      </c>
      <c r="CG52" s="57" t="n">
        <v>1</v>
      </c>
      <c r="CH52" s="58" t="n">
        <v>0.3402777777777778</v>
      </c>
      <c r="CI52" s="58" t="n">
        <v>0.85625</v>
      </c>
      <c r="CJ52" s="83">
        <f>MOD(CI52-CH52,1)*24</f>
        <v/>
      </c>
      <c r="CK52" s="57" t="n">
        <v>1</v>
      </c>
      <c r="CL52" s="58" t="n">
        <v>0.3402777777777778</v>
      </c>
      <c r="CM52" s="58" t="n">
        <v>0.7388888888888889</v>
      </c>
      <c r="CN52" s="83">
        <f>MOD(CM52-CL52,1)*24</f>
        <v/>
      </c>
      <c r="CO52" s="57" t="n">
        <v>1</v>
      </c>
      <c r="CP52" s="58" t="n">
        <v>0.3451388888888889</v>
      </c>
      <c r="CQ52" s="58" t="n">
        <v>0.8826388888888889</v>
      </c>
      <c r="CR52" s="83">
        <f>MOD(CQ52-CP52,1)*24</f>
        <v/>
      </c>
      <c r="CS52" s="57" t="n">
        <v>1</v>
      </c>
      <c r="CT52" s="58" t="n">
        <v>0.3423611111111111</v>
      </c>
      <c r="CU52" s="58" t="n">
        <v>0.3465277777777778</v>
      </c>
      <c r="CV52" s="83">
        <f>MOD(CU52-CT52,1)*24</f>
        <v/>
      </c>
      <c r="CW52" s="57" t="n">
        <v>0.5</v>
      </c>
      <c r="CX52" s="58" t="n">
        <v>0.3506944444444444</v>
      </c>
      <c r="CY52" s="58" t="n">
        <v>0.7388888888888889</v>
      </c>
      <c r="CZ52" s="83">
        <f>MOD(CY52-CX52,1)*24</f>
        <v/>
      </c>
      <c r="DA52" s="57" t="n">
        <v>1</v>
      </c>
      <c r="DB52" s="58" t="n"/>
      <c r="DC52" s="58" t="n"/>
      <c r="DD52" s="83" t="n"/>
      <c r="DE52" s="57" t="n"/>
      <c r="DF52" s="58" t="n">
        <v>0.3472222222222222</v>
      </c>
      <c r="DG52" s="60" t="n">
        <v>0.8701388888888889</v>
      </c>
      <c r="DH52" s="83">
        <f>MOD(DG52-DF52,1)*24</f>
        <v/>
      </c>
      <c r="DI52" s="41" t="n">
        <v>1</v>
      </c>
      <c r="DJ52" s="116" t="n">
        <v>0.3402777777777778</v>
      </c>
      <c r="DK52" s="116" t="n">
        <v>0.8229166666666666</v>
      </c>
      <c r="DL52" s="83">
        <f>MOD(DK52-DJ52,1)*24</f>
        <v/>
      </c>
      <c r="DM52" s="41" t="n">
        <v>1</v>
      </c>
      <c r="DN52" s="58" t="n">
        <v>0.3458333333333333</v>
      </c>
      <c r="DO52" s="58" t="n">
        <v>0.9020833333333333</v>
      </c>
      <c r="DP52" s="83">
        <f>MOD(DO52-DN52,1)*24</f>
        <v/>
      </c>
      <c r="DQ52" s="57" t="n">
        <v>1</v>
      </c>
      <c r="DR52" s="61" t="n">
        <v>0.3458333333333333</v>
      </c>
      <c r="DS52" s="62" t="n">
        <v>0.9736111111111111</v>
      </c>
      <c r="DT52" s="83">
        <f>MOD(DS52-DR52,1)*24</f>
        <v/>
      </c>
      <c r="DU52" s="41" t="n">
        <v>1</v>
      </c>
      <c r="DV52" s="61">
        <f>SUM(H52,L52,P52,T52,X52,AB52,AF52,AJ52,AN52,AR52,AV52,AZ52,BD52,BH52,BL52,BP52,BT52,BX52,CB52,CF52,CJ52,CN52,CR52,CV52,CZ52,DD52,DH52,DL52,DP52,DT52)</f>
        <v/>
      </c>
      <c r="DW52" s="62">
        <f>SUM(I52,M52,Q52,U52,Y52,AC52,AG52,AK52,AO52,AS52,AW52,BA52,BE52,BI52,BM52,BQ52,BU52,BY52,CC52,CG52,CK52,CO52,CS52,CW52,DA52,DE52,DI52,DM52,DQ52,DU52)</f>
        <v/>
      </c>
      <c r="DX52" s="83" t="n"/>
      <c r="DY52" s="41" t="n"/>
      <c r="DZ52" s="84" t="n"/>
      <c r="EA52" s="84" t="n"/>
      <c r="EB52" s="84" t="n"/>
      <c r="EC52" s="84" t="n"/>
      <c r="ED52" s="84" t="n"/>
      <c r="EE52" s="84" t="n"/>
      <c r="EF52" s="84" t="n"/>
      <c r="EG52" s="84" t="n"/>
      <c r="EH52" s="84" t="n"/>
      <c r="EI52" s="84" t="n"/>
      <c r="EJ52" s="84" t="n"/>
      <c r="EK52" s="84" t="n"/>
      <c r="EL52" s="84" t="n"/>
      <c r="EM52" s="84" t="n"/>
      <c r="EN52" s="84" t="inlineStr">
        <is>
          <t>只打一次卡</t>
        </is>
      </c>
      <c r="EO52" s="84" t="n"/>
      <c r="EP52" s="84" t="n"/>
      <c r="EQ52" s="84" t="inlineStr">
        <is>
          <t>只打一次卡</t>
        </is>
      </c>
      <c r="ER52" s="84" t="n"/>
      <c r="ES52" s="84" t="n"/>
      <c r="ET52" s="84" t="n"/>
      <c r="EU52" s="84" t="n"/>
      <c r="EV52" s="84" t="n"/>
      <c r="EW52" s="84" t="n"/>
      <c r="EX52" s="84" t="n"/>
      <c r="EY52" s="84" t="n"/>
      <c r="EZ52" s="84" t="n"/>
      <c r="FA52" s="84" t="n"/>
      <c r="FB52" s="84" t="n"/>
      <c r="FC52" s="84" t="n"/>
      <c r="FD52" s="84" t="n"/>
      <c r="FE52" s="84" t="n"/>
    </row>
    <row r="53" ht="59" customFormat="1" customHeight="1" s="54">
      <c r="A53" s="55" t="inlineStr">
        <is>
          <t>五楼</t>
        </is>
      </c>
      <c r="B53" s="56" t="inlineStr">
        <is>
          <t>田鹏飞</t>
        </is>
      </c>
      <c r="C53" s="41" t="inlineStr">
        <is>
          <t>46</t>
        </is>
      </c>
      <c r="D53" s="41" t="n"/>
      <c r="E53" s="57" t="n"/>
      <c r="F53" s="115" t="n"/>
      <c r="G53" s="58" t="n"/>
      <c r="H53" s="83" t="n"/>
      <c r="I53" s="57" t="n"/>
      <c r="J53" s="58" t="n"/>
      <c r="K53" s="58" t="n"/>
      <c r="L53" s="83" t="n"/>
      <c r="M53" s="57" t="n"/>
      <c r="N53" s="58" t="n"/>
      <c r="O53" s="58" t="n"/>
      <c r="P53" s="83" t="n"/>
      <c r="Q53" s="57" t="n"/>
      <c r="R53" s="58" t="n"/>
      <c r="S53" s="58" t="n"/>
      <c r="T53" s="83" t="n"/>
      <c r="U53" s="57" t="n"/>
      <c r="V53" s="58" t="n"/>
      <c r="W53" s="58" t="n"/>
      <c r="X53" s="83" t="n"/>
      <c r="Y53" s="57" t="n"/>
      <c r="Z53" s="58" t="n"/>
      <c r="AA53" s="60" t="n"/>
      <c r="AB53" s="83" t="n"/>
      <c r="AC53" s="41" t="n"/>
      <c r="AD53" s="116" t="n"/>
      <c r="AE53" s="117" t="n"/>
      <c r="AF53" s="83" t="n"/>
      <c r="AG53" s="57" t="n"/>
      <c r="AH53" s="58" t="n"/>
      <c r="AI53" s="58" t="n"/>
      <c r="AJ53" s="83" t="n"/>
      <c r="AK53" s="57" t="n"/>
      <c r="AL53" s="58" t="n"/>
      <c r="AM53" s="58" t="n"/>
      <c r="AN53" s="83" t="n"/>
      <c r="AO53" s="57" t="n"/>
      <c r="AP53" s="58" t="n"/>
      <c r="AQ53" s="58" t="n"/>
      <c r="AR53" s="83" t="n"/>
      <c r="AS53" s="57" t="n"/>
      <c r="AT53" s="58" t="n"/>
      <c r="AU53" s="58" t="n"/>
      <c r="AV53" s="83" t="n"/>
      <c r="AW53" s="57" t="n"/>
      <c r="AX53" s="58" t="n"/>
      <c r="AY53" s="58" t="n"/>
      <c r="AZ53" s="83" t="n"/>
      <c r="BA53" s="57" t="n"/>
      <c r="BB53" s="58" t="n"/>
      <c r="BC53" s="60" t="n"/>
      <c r="BD53" s="83" t="n"/>
      <c r="BE53" s="41" t="n"/>
      <c r="BF53" s="116" t="n"/>
      <c r="BG53" s="115" t="n"/>
      <c r="BH53" s="83" t="n"/>
      <c r="BI53" s="57" t="n"/>
      <c r="BJ53" s="58" t="n"/>
      <c r="BK53" s="58" t="n"/>
      <c r="BL53" s="83" t="n"/>
      <c r="BM53" s="57" t="n"/>
      <c r="BN53" s="58" t="n"/>
      <c r="BO53" s="58" t="n"/>
      <c r="BP53" s="83" t="n"/>
      <c r="BQ53" s="57" t="n"/>
      <c r="BR53" s="58" t="n"/>
      <c r="BS53" s="58" t="n"/>
      <c r="BT53" s="83" t="n"/>
      <c r="BU53" s="57" t="n"/>
      <c r="BV53" s="58" t="n"/>
      <c r="BW53" s="60" t="n"/>
      <c r="BX53" s="83" t="n"/>
      <c r="BY53" s="41" t="n"/>
      <c r="BZ53" s="41" t="n"/>
      <c r="CA53" s="41" t="n"/>
      <c r="CB53" s="83" t="n"/>
      <c r="CC53" s="41" t="n"/>
      <c r="CD53" s="116" t="n"/>
      <c r="CE53" s="115" t="n"/>
      <c r="CF53" s="83" t="n"/>
      <c r="CG53" s="57" t="n"/>
      <c r="CH53" s="58" t="n"/>
      <c r="CI53" s="58" t="n"/>
      <c r="CJ53" s="83" t="n"/>
      <c r="CK53" s="57" t="n"/>
      <c r="CL53" s="58" t="n"/>
      <c r="CM53" s="58" t="n"/>
      <c r="CN53" s="83" t="n"/>
      <c r="CO53" s="57" t="n"/>
      <c r="CP53" s="58" t="n"/>
      <c r="CQ53" s="58" t="n"/>
      <c r="CR53" s="83" t="n"/>
      <c r="CS53" s="57" t="n"/>
      <c r="CT53" s="58" t="n">
        <v>0.9</v>
      </c>
      <c r="CU53" s="58" t="n"/>
      <c r="CV53" s="83" t="n"/>
      <c r="CW53" s="57" t="n">
        <v>0.5</v>
      </c>
      <c r="CX53" s="58" t="n"/>
      <c r="CY53" s="58" t="n"/>
      <c r="CZ53" s="83" t="n"/>
      <c r="DA53" s="57" t="n"/>
      <c r="DB53" s="58" t="n"/>
      <c r="DC53" s="58" t="n"/>
      <c r="DD53" s="83" t="n"/>
      <c r="DE53" s="57" t="n"/>
      <c r="DF53" s="58" t="n"/>
      <c r="DG53" s="60" t="n"/>
      <c r="DH53" s="83" t="n"/>
      <c r="DI53" s="41" t="n"/>
      <c r="DJ53" s="116" t="n"/>
      <c r="DK53" s="116" t="n"/>
      <c r="DL53" s="83" t="n"/>
      <c r="DM53" s="41" t="n"/>
      <c r="DN53" s="58" t="n"/>
      <c r="DO53" s="58" t="n"/>
      <c r="DP53" s="83" t="n"/>
      <c r="DQ53" s="57" t="n"/>
      <c r="DR53" s="61" t="n"/>
      <c r="DS53" s="62" t="n"/>
      <c r="DT53" s="83" t="n"/>
      <c r="DU53" s="41" t="n"/>
      <c r="DV53" s="61">
        <f>SUM(H53,L53,P53,T53,X53,AB53,AF53,AJ53,AN53,AR53,AV53,AZ53,BD53,BH53,BL53,BP53,BT53,BX53,CB53,CF53,CJ53,CN53,CR53,CV53,CZ53,DD53,DH53,DL53,DP53,DT53)</f>
        <v/>
      </c>
      <c r="DW53" s="62">
        <f>SUM(I53,M53,Q53,U53,Y53,AC53,AG53,AK53,AO53,AS53,AW53,BA53,BE53,BI53,BM53,BQ53,BU53,BY53,CC53,CG53,CK53,CO53,CS53,CW53,DA53,DE53,DI53,DM53,DQ53,DU53)</f>
        <v/>
      </c>
      <c r="DX53" s="83" t="n"/>
      <c r="DY53" s="41" t="n"/>
      <c r="DZ53" s="84" t="n"/>
      <c r="EA53" s="84" t="n"/>
      <c r="EB53" s="84" t="n"/>
      <c r="EC53" s="84" t="n"/>
      <c r="ED53" s="84" t="n"/>
      <c r="EE53" s="84" t="n"/>
      <c r="EF53" s="84" t="n"/>
      <c r="EG53" s="84" t="n"/>
      <c r="EH53" s="84" t="n"/>
      <c r="EI53" s="84" t="n"/>
      <c r="EJ53" s="84" t="n"/>
      <c r="EK53" s="84" t="n"/>
      <c r="EL53" s="84" t="n"/>
      <c r="EM53" s="84" t="n"/>
      <c r="EN53" s="84" t="n"/>
      <c r="EO53" s="84" t="n"/>
      <c r="EP53" s="84" t="n"/>
      <c r="EQ53" s="84" t="n"/>
      <c r="ER53" s="84" t="n"/>
      <c r="ES53" s="84" t="n"/>
      <c r="ET53" s="84" t="n"/>
      <c r="EU53" s="84" t="n"/>
      <c r="EV53" s="84" t="n"/>
      <c r="EW53" s="84" t="n"/>
      <c r="EX53" s="84" t="n"/>
      <c r="EY53" s="84" t="n"/>
      <c r="EZ53" s="84" t="n"/>
      <c r="FA53" s="84" t="n"/>
      <c r="FB53" s="84" t="n"/>
      <c r="FC53" s="84" t="n"/>
      <c r="FD53" s="84" t="n"/>
      <c r="FE53" s="84" t="n"/>
    </row>
    <row r="54" ht="59" customFormat="1" customHeight="1" s="54">
      <c r="A54" s="55" t="inlineStr">
        <is>
          <t>五楼</t>
        </is>
      </c>
      <c r="B54" s="56" t="inlineStr">
        <is>
          <t>谢灵</t>
        </is>
      </c>
      <c r="C54" s="41" t="inlineStr">
        <is>
          <t>49</t>
        </is>
      </c>
      <c r="D54" s="41" t="n"/>
      <c r="E54" s="57" t="n"/>
      <c r="F54" s="115" t="n">
        <v>0.3472222222222222</v>
      </c>
      <c r="G54" s="58" t="n">
        <v>0.7895833333333333</v>
      </c>
      <c r="H54" s="83">
        <f>MOD(G54-F54,1)*24</f>
        <v/>
      </c>
      <c r="I54" s="57" t="n">
        <v>1</v>
      </c>
      <c r="J54" s="58" t="n">
        <v>0.3409722222222222</v>
      </c>
      <c r="K54" s="58" t="n">
        <v>0.7416666666666667</v>
      </c>
      <c r="L54" s="83">
        <f>MOD(K54-J54,1)*24</f>
        <v/>
      </c>
      <c r="M54" s="57" t="n">
        <v>1</v>
      </c>
      <c r="N54" s="58" t="n">
        <v>0.3423611111111111</v>
      </c>
      <c r="O54" s="58" t="n">
        <v>0.7958333333333333</v>
      </c>
      <c r="P54" s="83">
        <f>MOD(O54-N54,1)*24</f>
        <v/>
      </c>
      <c r="Q54" s="57" t="n">
        <v>1</v>
      </c>
      <c r="R54" s="58" t="n">
        <v>0.3479166666666667</v>
      </c>
      <c r="S54" s="58" t="n">
        <v>0.7361111111111112</v>
      </c>
      <c r="T54" s="83">
        <f>MOD(S54-R54,1)*24</f>
        <v/>
      </c>
      <c r="U54" s="57" t="n">
        <v>1</v>
      </c>
      <c r="V54" s="58" t="n"/>
      <c r="W54" s="58" t="n"/>
      <c r="X54" s="83" t="n"/>
      <c r="Y54" s="57" t="n"/>
      <c r="Z54" s="58" t="n"/>
      <c r="AA54" s="60" t="n"/>
      <c r="AB54" s="83" t="n"/>
      <c r="AC54" s="41" t="n"/>
      <c r="AD54" s="116" t="n">
        <v>0.3458333333333333</v>
      </c>
      <c r="AE54" s="117" t="n">
        <v>0.7472222222222222</v>
      </c>
      <c r="AF54" s="83">
        <f>MOD(AE54-AD54,1)*24</f>
        <v/>
      </c>
      <c r="AG54" s="57" t="n">
        <v>1</v>
      </c>
      <c r="AH54" s="58" t="n">
        <v>0.3465277777777778</v>
      </c>
      <c r="AI54" s="58" t="n">
        <v>0.75</v>
      </c>
      <c r="AJ54" s="83">
        <f>MOD(AI54-AH54,1)*24</f>
        <v/>
      </c>
      <c r="AK54" s="57" t="n">
        <v>1</v>
      </c>
      <c r="AL54" s="58" t="n">
        <v>0.3486111111111111</v>
      </c>
      <c r="AM54" s="58" t="n">
        <v>0.7368055555555556</v>
      </c>
      <c r="AN54" s="83">
        <f>MOD(AM54-AL54,1)*24</f>
        <v/>
      </c>
      <c r="AO54" s="57" t="n">
        <v>1</v>
      </c>
      <c r="AP54" s="58" t="n">
        <v>0.3472222222222222</v>
      </c>
      <c r="AQ54" s="58" t="n">
        <v>0.7375</v>
      </c>
      <c r="AR54" s="83">
        <f>MOD(AQ54-AP54,1)*24</f>
        <v/>
      </c>
      <c r="AS54" s="57" t="n">
        <v>1</v>
      </c>
      <c r="AT54" s="58" t="n">
        <v>0.3506944444444444</v>
      </c>
      <c r="AU54" s="58" t="n">
        <v>0.7527777777777778</v>
      </c>
      <c r="AV54" s="83">
        <f>MOD(AU54-AT54,1)*24</f>
        <v/>
      </c>
      <c r="AW54" s="57" t="n">
        <v>1</v>
      </c>
      <c r="AX54" s="58" t="n"/>
      <c r="AY54" s="58" t="n"/>
      <c r="AZ54" s="83" t="n"/>
      <c r="BA54" s="57" t="n"/>
      <c r="BB54" s="58" t="n">
        <v>0.3381944444444445</v>
      </c>
      <c r="BC54" s="60" t="n">
        <v>0.7368055555555556</v>
      </c>
      <c r="BD54" s="83">
        <f>MOD(BC54-BB54,1)*24</f>
        <v/>
      </c>
      <c r="BE54" s="41" t="n">
        <v>1</v>
      </c>
      <c r="BF54" s="116" t="n">
        <v>0.3458333333333333</v>
      </c>
      <c r="BG54" s="115" t="n">
        <v>0.7416666666666667</v>
      </c>
      <c r="BH54" s="83">
        <f>MOD(BG54-BF54,1)*24</f>
        <v/>
      </c>
      <c r="BI54" s="57" t="n">
        <v>1</v>
      </c>
      <c r="BJ54" s="58" t="n">
        <v>0.3479166666666667</v>
      </c>
      <c r="BK54" s="58" t="n">
        <v>0.7388888888888889</v>
      </c>
      <c r="BL54" s="83">
        <f>MOD(BK54-BJ54,1)*24</f>
        <v/>
      </c>
      <c r="BM54" s="57" t="n">
        <v>1</v>
      </c>
      <c r="BN54" s="58" t="n">
        <v>0.3465277777777778</v>
      </c>
      <c r="BO54" s="58" t="n">
        <v>0.7375</v>
      </c>
      <c r="BP54" s="83">
        <f>MOD(BO54-BN54,1)*24</f>
        <v/>
      </c>
      <c r="BQ54" s="57" t="n">
        <v>1</v>
      </c>
      <c r="BR54" s="58" t="n">
        <v>0.3423611111111111</v>
      </c>
      <c r="BS54" s="58" t="n">
        <v>0.7430555555555556</v>
      </c>
      <c r="BT54" s="83">
        <f>MOD(BS54-BR54,1)*24</f>
        <v/>
      </c>
      <c r="BU54" s="57" t="n">
        <v>1</v>
      </c>
      <c r="BV54" s="58" t="n">
        <v>0.34375</v>
      </c>
      <c r="BW54" s="60" t="n">
        <v>0.7444444444444445</v>
      </c>
      <c r="BX54" s="83">
        <f>MOD(BW54-BV54,1)*24</f>
        <v/>
      </c>
      <c r="BY54" s="41" t="n">
        <v>1</v>
      </c>
      <c r="BZ54" s="41" t="n"/>
      <c r="CA54" s="41" t="n"/>
      <c r="CB54" s="83" t="n"/>
      <c r="CC54" s="41" t="n"/>
      <c r="CD54" s="116" t="n">
        <v>0.3409722222222222</v>
      </c>
      <c r="CE54" s="115" t="n">
        <v>0.7416666666666667</v>
      </c>
      <c r="CF54" s="83">
        <f>MOD(CE54-CD54,1)*24</f>
        <v/>
      </c>
      <c r="CG54" s="57" t="n">
        <v>1</v>
      </c>
      <c r="CH54" s="58" t="n">
        <v>0.3458333333333333</v>
      </c>
      <c r="CI54" s="58" t="n">
        <v>0.7368055555555556</v>
      </c>
      <c r="CJ54" s="83">
        <f>MOD(CI54-CH54,1)*24</f>
        <v/>
      </c>
      <c r="CK54" s="57" t="n">
        <v>1</v>
      </c>
      <c r="CL54" s="58" t="n">
        <v>0.3479166666666667</v>
      </c>
      <c r="CM54" s="58" t="n">
        <v>0.7388888888888889</v>
      </c>
      <c r="CN54" s="83">
        <f>MOD(CM54-CL54,1)*24</f>
        <v/>
      </c>
      <c r="CO54" s="57" t="n">
        <v>1</v>
      </c>
      <c r="CP54" s="58" t="n">
        <v>0.3451388888888889</v>
      </c>
      <c r="CQ54" s="58" t="n">
        <v>0.7381944444444445</v>
      </c>
      <c r="CR54" s="83">
        <f>MOD(CQ54-CP54,1)*24</f>
        <v/>
      </c>
      <c r="CS54" s="57" t="n">
        <v>1</v>
      </c>
      <c r="CT54" s="58" t="n">
        <v>0.3493055555555555</v>
      </c>
      <c r="CU54" s="58" t="n">
        <v>0.7368055555555556</v>
      </c>
      <c r="CV54" s="83">
        <f>MOD(CU54-CT54,1)*24</f>
        <v/>
      </c>
      <c r="CW54" s="57" t="n">
        <v>1</v>
      </c>
      <c r="CX54" s="58" t="n">
        <v>0.34375</v>
      </c>
      <c r="CY54" s="58" t="n">
        <v>0.7430555555555556</v>
      </c>
      <c r="CZ54" s="83">
        <f>MOD(CY54-CX54,1)*24</f>
        <v/>
      </c>
      <c r="DA54" s="57" t="n">
        <v>1</v>
      </c>
      <c r="DB54" s="58" t="n"/>
      <c r="DC54" s="58" t="n"/>
      <c r="DD54" s="83" t="n"/>
      <c r="DE54" s="57" t="n"/>
      <c r="DF54" s="58" t="n">
        <v>0.3472222222222222</v>
      </c>
      <c r="DG54" s="60" t="n">
        <v>0.7361111111111112</v>
      </c>
      <c r="DH54" s="83">
        <f>MOD(DG54-DF54,1)*24</f>
        <v/>
      </c>
      <c r="DI54" s="41" t="n">
        <v>1</v>
      </c>
      <c r="DJ54" s="116" t="n">
        <v>0.3458333333333333</v>
      </c>
      <c r="DK54" s="116" t="n">
        <v>0.7361111111111112</v>
      </c>
      <c r="DL54" s="83">
        <f>MOD(DK54-DJ54,1)*24</f>
        <v/>
      </c>
      <c r="DM54" s="41" t="n">
        <v>1</v>
      </c>
      <c r="DN54" s="58" t="n">
        <v>0.3465277777777778</v>
      </c>
      <c r="DO54" s="58" t="n">
        <v>0.7694444444444445</v>
      </c>
      <c r="DP54" s="83">
        <f>MOD(DO54-DN54,1)*24</f>
        <v/>
      </c>
      <c r="DQ54" s="57" t="n">
        <v>1</v>
      </c>
      <c r="DR54" s="61" t="n">
        <v>0.3388888888888889</v>
      </c>
      <c r="DS54" s="62" t="n">
        <v>0.7916666666666666</v>
      </c>
      <c r="DT54" s="83">
        <f>MOD(DS54-DR54,1)*24</f>
        <v/>
      </c>
      <c r="DU54" s="41" t="n">
        <v>1</v>
      </c>
      <c r="DV54" s="61">
        <f>SUM(H54,L54,P54,T54,X54,AB54,AF54,AJ54,AN54,AR54,AV54,AZ54,BD54,BH54,BL54,BP54,BT54,BX54,CB54,CF54,CJ54,CN54,CR54,CV54,CZ54,DD54,DH54,DL54,DP54,DT54)</f>
        <v/>
      </c>
      <c r="DW54" s="62">
        <f>SUM(I54,M54,Q54,U54,Y54,AC54,AG54,AK54,AO54,AS54,AW54,BA54,BE54,BI54,BM54,BQ54,BU54,BY54,CC54,CG54,CK54,CO54,CS54,CW54,DA54,DE54,DI54,DM54,DQ54,DU54)</f>
        <v/>
      </c>
      <c r="DX54" s="83" t="n"/>
      <c r="DY54" s="41" t="n"/>
      <c r="DZ54" s="84" t="n"/>
      <c r="EA54" s="84" t="n"/>
      <c r="EB54" s="84" t="n"/>
      <c r="EC54" s="84" t="n"/>
      <c r="ED54" s="84" t="n"/>
      <c r="EE54" s="84" t="n"/>
      <c r="EF54" s="84" t="n"/>
      <c r="EG54" s="84" t="n"/>
      <c r="EH54" s="84" t="n"/>
      <c r="EI54" s="84" t="n"/>
      <c r="EJ54" s="84" t="n"/>
      <c r="EK54" s="84" t="n"/>
      <c r="EL54" s="84" t="n"/>
      <c r="EM54" s="84" t="n"/>
      <c r="EN54" s="84" t="n"/>
      <c r="EO54" s="84" t="n"/>
      <c r="EP54" s="84" t="n"/>
      <c r="EQ54" s="84" t="n"/>
      <c r="ER54" s="84" t="n"/>
      <c r="ES54" s="84" t="n"/>
      <c r="ET54" s="84" t="n"/>
      <c r="EU54" s="84" t="n"/>
      <c r="EV54" s="84" t="n"/>
      <c r="EW54" s="84" t="n"/>
      <c r="EX54" s="84" t="n"/>
      <c r="EY54" s="84" t="n"/>
      <c r="EZ54" s="84" t="n"/>
      <c r="FA54" s="84" t="n"/>
      <c r="FB54" s="84" t="n"/>
      <c r="FC54" s="84" t="n"/>
      <c r="FD54" s="84" t="n"/>
      <c r="FE54" s="84" t="n"/>
    </row>
    <row r="55" ht="59" customFormat="1" customHeight="1" s="54">
      <c r="A55" s="55" t="inlineStr">
        <is>
          <t>五楼</t>
        </is>
      </c>
      <c r="B55" s="56" t="inlineStr">
        <is>
          <t>周朝会</t>
        </is>
      </c>
      <c r="C55" s="41" t="inlineStr">
        <is>
          <t>50</t>
        </is>
      </c>
      <c r="D55" s="41" t="n"/>
      <c r="E55" s="57" t="n"/>
      <c r="F55" s="115" t="n">
        <v>0.3180555555555555</v>
      </c>
      <c r="G55" s="58" t="n">
        <v>0.7416666666666667</v>
      </c>
      <c r="H55" s="83">
        <f>MOD(G55-F55,1)*24</f>
        <v/>
      </c>
      <c r="I55" s="57" t="n">
        <v>1</v>
      </c>
      <c r="J55" s="58" t="n">
        <v>0.3263888888888889</v>
      </c>
      <c r="K55" s="58" t="n">
        <v>0.7368055555555556</v>
      </c>
      <c r="L55" s="83">
        <f>MOD(K55-J55,1)*24</f>
        <v/>
      </c>
      <c r="M55" s="57" t="n">
        <v>1</v>
      </c>
      <c r="N55" s="58" t="n">
        <v>0.3173611111111111</v>
      </c>
      <c r="O55" s="58" t="n">
        <v>0.7361111111111112</v>
      </c>
      <c r="P55" s="83">
        <f>MOD(O55-N55,1)*24</f>
        <v/>
      </c>
      <c r="Q55" s="57" t="n">
        <v>1</v>
      </c>
      <c r="R55" s="58" t="n">
        <v>0.3152777777777778</v>
      </c>
      <c r="S55" s="58" t="n">
        <v>0.7368055555555556</v>
      </c>
      <c r="T55" s="83">
        <f>MOD(S55-R55,1)*24</f>
        <v/>
      </c>
      <c r="U55" s="57" t="n">
        <v>1</v>
      </c>
      <c r="V55" s="58" t="n">
        <v>0.3201388888888889</v>
      </c>
      <c r="W55" s="58" t="n">
        <v>0.4590277777777778</v>
      </c>
      <c r="X55" s="83">
        <f>MOD(W55-V55,1)*24</f>
        <v/>
      </c>
      <c r="Y55" s="57" t="n">
        <v>0.5</v>
      </c>
      <c r="Z55" s="58" t="n">
        <v>0.3194444444444444</v>
      </c>
      <c r="AA55" s="60" t="n">
        <v>0.7368055555555556</v>
      </c>
      <c r="AB55" s="83">
        <f>MOD(AA55-Z55,1)*24</f>
        <v/>
      </c>
      <c r="AC55" s="41" t="n">
        <v>1</v>
      </c>
      <c r="AD55" s="116" t="n">
        <v>0.31875</v>
      </c>
      <c r="AE55" s="117" t="n">
        <v>0.7361111111111112</v>
      </c>
      <c r="AF55" s="83">
        <f>MOD(AE55-AD55,1)*24</f>
        <v/>
      </c>
      <c r="AG55" s="57" t="n">
        <v>1</v>
      </c>
      <c r="AH55" s="58" t="n">
        <v>0.3166666666666667</v>
      </c>
      <c r="AI55" s="58" t="n">
        <v>0.7361111111111112</v>
      </c>
      <c r="AJ55" s="83">
        <f>MOD(AI55-AH55,1)*24</f>
        <v/>
      </c>
      <c r="AK55" s="57" t="n">
        <v>1</v>
      </c>
      <c r="AL55" s="58" t="n">
        <v>0.3159722222222222</v>
      </c>
      <c r="AM55" s="58" t="n">
        <v>0.7361111111111112</v>
      </c>
      <c r="AN55" s="83">
        <f>MOD(AM55-AL55,1)*24</f>
        <v/>
      </c>
      <c r="AO55" s="57" t="n">
        <v>1</v>
      </c>
      <c r="AP55" s="58" t="n">
        <v>0.3145833333333333</v>
      </c>
      <c r="AQ55" s="58" t="n">
        <v>0.7381944444444445</v>
      </c>
      <c r="AR55" s="83">
        <f>MOD(AQ55-AP55,1)*24</f>
        <v/>
      </c>
      <c r="AS55" s="57" t="n">
        <v>1</v>
      </c>
      <c r="AT55" s="58" t="n">
        <v>0.3201388888888889</v>
      </c>
      <c r="AU55" s="58" t="n">
        <v>0.7361111111111112</v>
      </c>
      <c r="AV55" s="83">
        <f>MOD(AU55-AT55,1)*24</f>
        <v/>
      </c>
      <c r="AW55" s="57" t="n">
        <v>1</v>
      </c>
      <c r="AX55" s="58" t="n">
        <v>0.325</v>
      </c>
      <c r="AY55" s="58" t="n">
        <v>0.4777777777777778</v>
      </c>
      <c r="AZ55" s="83">
        <f>MOD(AY55-AX55,1)*24</f>
        <v/>
      </c>
      <c r="BA55" s="57" t="n">
        <v>0.5</v>
      </c>
      <c r="BB55" s="58" t="n">
        <v>0.3222222222222222</v>
      </c>
      <c r="BC55" s="60" t="n">
        <v>0.3270833333333333</v>
      </c>
      <c r="BD55" s="83">
        <f>MOD(BC55-BB55,1)*24</f>
        <v/>
      </c>
      <c r="BE55" s="41" t="n">
        <v>0.5</v>
      </c>
      <c r="BF55" s="116" t="n">
        <v>0.33125</v>
      </c>
      <c r="BG55" s="115" t="n">
        <v>0.7361111111111112</v>
      </c>
      <c r="BH55" s="83">
        <f>MOD(BG55-BF55,1)*24</f>
        <v/>
      </c>
      <c r="BI55" s="57" t="n">
        <v>1</v>
      </c>
      <c r="BJ55" s="58" t="n">
        <v>0.3222222222222222</v>
      </c>
      <c r="BK55" s="58" t="n">
        <v>0.7347222222222223</v>
      </c>
      <c r="BL55" s="83">
        <f>MOD(BK55-BJ55,1)*24</f>
        <v/>
      </c>
      <c r="BM55" s="57" t="n">
        <v>0.5</v>
      </c>
      <c r="BN55" s="58" t="n">
        <v>0.3194444444444444</v>
      </c>
      <c r="BO55" s="58" t="n">
        <v>0.7368055555555556</v>
      </c>
      <c r="BP55" s="83">
        <f>MOD(BO55-BN55,1)*24</f>
        <v/>
      </c>
      <c r="BQ55" s="57" t="n">
        <v>1</v>
      </c>
      <c r="BR55" s="58" t="n">
        <v>0.3180555555555555</v>
      </c>
      <c r="BS55" s="58" t="n">
        <v>0.7381944444444445</v>
      </c>
      <c r="BT55" s="83">
        <f>MOD(BS55-BR55,1)*24</f>
        <v/>
      </c>
      <c r="BU55" s="57" t="n">
        <v>1</v>
      </c>
      <c r="BV55" s="58" t="n">
        <v>0.3194444444444444</v>
      </c>
      <c r="BW55" s="60" t="n">
        <v>0.7361111111111112</v>
      </c>
      <c r="BX55" s="83">
        <f>MOD(BW55-BV55,1)*24</f>
        <v/>
      </c>
      <c r="BY55" s="41" t="n">
        <v>1</v>
      </c>
      <c r="BZ55" s="116" t="n">
        <v>0.3173611111111111</v>
      </c>
      <c r="CA55" s="116" t="n">
        <v>0.4673611111111111</v>
      </c>
      <c r="CB55" s="83">
        <f>MOD(CA55-BZ55,1)*24</f>
        <v/>
      </c>
      <c r="CC55" s="41" t="n">
        <v>0.5</v>
      </c>
      <c r="CD55" s="116" t="n">
        <v>0.3208333333333334</v>
      </c>
      <c r="CE55" s="115" t="n">
        <v>0.7361111111111112</v>
      </c>
      <c r="CF55" s="83">
        <f>MOD(CE55-CD55,1)*24</f>
        <v/>
      </c>
      <c r="CG55" s="57" t="n">
        <v>1</v>
      </c>
      <c r="CH55" s="58" t="n">
        <v>0.3145833333333333</v>
      </c>
      <c r="CI55" s="58" t="n">
        <v>0.7361111111111112</v>
      </c>
      <c r="CJ55" s="83">
        <f>MOD(CI55-CH55,1)*24</f>
        <v/>
      </c>
      <c r="CK55" s="57" t="n">
        <v>1</v>
      </c>
      <c r="CL55" s="58" t="n">
        <v>0.3180555555555555</v>
      </c>
      <c r="CM55" s="58" t="n">
        <v>0.7361111111111112</v>
      </c>
      <c r="CN55" s="83">
        <f>MOD(CM55-CL55,1)*24</f>
        <v/>
      </c>
      <c r="CO55" s="57" t="n">
        <v>1</v>
      </c>
      <c r="CP55" s="58" t="n">
        <v>0.2784722222222222</v>
      </c>
      <c r="CQ55" s="58" t="n">
        <v>0.3166666666666667</v>
      </c>
      <c r="CR55" s="83">
        <f>MOD(CQ55-CP55,1)*24</f>
        <v/>
      </c>
      <c r="CS55" s="57" t="n">
        <v>0.5</v>
      </c>
      <c r="CT55" s="58" t="n">
        <v>0.3159722222222222</v>
      </c>
      <c r="CU55" s="58" t="n">
        <v>0.7409722222222223</v>
      </c>
      <c r="CV55" s="83">
        <f>MOD(CU55-CT55,1)*24</f>
        <v/>
      </c>
      <c r="CW55" s="57" t="n">
        <v>1</v>
      </c>
      <c r="CX55" s="58" t="n">
        <v>0.3173611111111111</v>
      </c>
      <c r="CY55" s="58" t="n">
        <v>0.7465277777777778</v>
      </c>
      <c r="CZ55" s="83">
        <f>MOD(CY55-CX55,1)*24</f>
        <v/>
      </c>
      <c r="DA55" s="57" t="n">
        <v>1</v>
      </c>
      <c r="DB55" s="58" t="n">
        <v>0.3201388888888889</v>
      </c>
      <c r="DC55" s="58" t="n">
        <v>0.4611111111111111</v>
      </c>
      <c r="DD55" s="83">
        <f>MOD(DC55-DB55,1)*24</f>
        <v/>
      </c>
      <c r="DE55" s="57" t="n">
        <v>0.5</v>
      </c>
      <c r="DF55" s="58" t="n">
        <v>0.3159722222222222</v>
      </c>
      <c r="DG55" s="60" t="n">
        <v>0.7361111111111112</v>
      </c>
      <c r="DH55" s="83">
        <f>MOD(DG55-DF55,1)*24</f>
        <v/>
      </c>
      <c r="DI55" s="41" t="n">
        <v>1</v>
      </c>
      <c r="DJ55" s="116" t="n">
        <v>0.3180555555555555</v>
      </c>
      <c r="DK55" s="116" t="n">
        <v>0.7368055555555556</v>
      </c>
      <c r="DL55" s="83">
        <f>MOD(DK55-DJ55,1)*24</f>
        <v/>
      </c>
      <c r="DM55" s="41" t="n">
        <v>1</v>
      </c>
      <c r="DN55" s="58" t="n">
        <v>0.3159722222222222</v>
      </c>
      <c r="DO55" s="58" t="n">
        <v>0.7368055555555556</v>
      </c>
      <c r="DP55" s="83">
        <f>MOD(DO55-DN55,1)*24</f>
        <v/>
      </c>
      <c r="DQ55" s="57" t="n">
        <v>1</v>
      </c>
      <c r="DR55" s="61" t="n">
        <v>0.3159722222222222</v>
      </c>
      <c r="DS55" s="62" t="n">
        <v>0.7388888888888889</v>
      </c>
      <c r="DT55" s="83">
        <f>MOD(DS55-DR55,1)*24</f>
        <v/>
      </c>
      <c r="DU55" s="41" t="n">
        <v>1</v>
      </c>
      <c r="DV55" s="61">
        <f>SUM(H55,L55,P55,T55,X55,AB55,AF55,AJ55,AN55,AR55,AV55,AZ55,BD55,BH55,BL55,BP55,BT55,BX55,CB55,CF55,CJ55,CN55,CR55,CV55,CZ55,DD55,DH55,DL55,DP55,DT55)</f>
        <v/>
      </c>
      <c r="DW55" s="62">
        <f>SUM(I55,M55,Q55,U55,Y55,AC55,AG55,AK55,AO55,AS55,AW55,BA55,BE55,BI55,BM55,BQ55,BU55,BY55,CC55,CG55,CK55,CO55,CS55,CW55,DA55,DE55,DI55,DM55,DQ55,DU55)</f>
        <v/>
      </c>
      <c r="DX55" s="83" t="n"/>
      <c r="DY55" s="41" t="n"/>
      <c r="DZ55" s="84" t="n"/>
      <c r="EA55" s="84" t="n"/>
      <c r="EB55" s="84" t="n"/>
      <c r="EC55" s="84" t="n"/>
      <c r="ED55" s="84" t="n"/>
      <c r="EE55" s="84" t="n"/>
      <c r="EF55" s="84" t="inlineStr">
        <is>
          <t>早退</t>
        </is>
      </c>
      <c r="EG55" s="84" t="n"/>
      <c r="EH55" s="84" t="n"/>
      <c r="EI55" s="84" t="n"/>
      <c r="EJ55" s="84" t="n"/>
      <c r="EK55" s="84" t="n"/>
      <c r="EL55" s="84" t="n"/>
      <c r="EM55" s="84" t="inlineStr">
        <is>
          <t>早退</t>
        </is>
      </c>
      <c r="EN55" s="84" t="n"/>
      <c r="EO55" s="84" t="n"/>
      <c r="EP55" s="84" t="n"/>
      <c r="EQ55" s="84" t="n"/>
      <c r="ER55" s="84" t="n"/>
      <c r="ES55" s="84" t="n"/>
      <c r="ET55" s="84" t="inlineStr">
        <is>
          <t>早退</t>
        </is>
      </c>
      <c r="EU55" s="84" t="n"/>
      <c r="EV55" s="84" t="n"/>
      <c r="EW55" s="84" t="n"/>
      <c r="EX55" s="84" t="inlineStr">
        <is>
          <t>早退</t>
        </is>
      </c>
      <c r="EY55" s="84" t="n"/>
      <c r="EZ55" s="84" t="n"/>
      <c r="FA55" s="84" t="inlineStr">
        <is>
          <t>早退</t>
        </is>
      </c>
      <c r="FB55" s="84" t="n"/>
      <c r="FC55" s="84" t="n"/>
      <c r="FD55" s="84" t="n"/>
      <c r="FE55" s="84" t="n"/>
    </row>
    <row r="56" ht="59" customFormat="1" customHeight="1" s="54">
      <c r="A56" s="55" t="inlineStr">
        <is>
          <t>五楼</t>
        </is>
      </c>
      <c r="B56" s="56" t="inlineStr">
        <is>
          <t>周朝会</t>
        </is>
      </c>
      <c r="C56" s="41" t="inlineStr">
        <is>
          <t>50</t>
        </is>
      </c>
      <c r="D56" s="41" t="n"/>
      <c r="E56" s="57" t="n"/>
      <c r="F56" s="115" t="n"/>
      <c r="G56" s="58" t="n"/>
      <c r="H56" s="83" t="n"/>
      <c r="I56" s="57" t="n"/>
      <c r="J56" s="58" t="n"/>
      <c r="K56" s="58" t="n"/>
      <c r="L56" s="83" t="n"/>
      <c r="M56" s="57" t="n"/>
      <c r="N56" s="58" t="n"/>
      <c r="O56" s="58" t="n"/>
      <c r="P56" s="83" t="n"/>
      <c r="Q56" s="57" t="n"/>
      <c r="R56" s="58" t="n"/>
      <c r="S56" s="58" t="n"/>
      <c r="T56" s="83" t="n"/>
      <c r="U56" s="57" t="n"/>
      <c r="V56" s="58" t="n"/>
      <c r="W56" s="58" t="n"/>
      <c r="X56" s="83" t="n"/>
      <c r="Y56" s="57" t="n"/>
      <c r="Z56" s="58" t="n"/>
      <c r="AA56" s="60" t="n"/>
      <c r="AB56" s="83" t="n"/>
      <c r="AC56" s="41" t="n"/>
      <c r="AD56" s="116" t="n"/>
      <c r="AE56" s="117" t="n"/>
      <c r="AF56" s="83" t="n"/>
      <c r="AG56" s="57" t="n"/>
      <c r="AH56" s="58" t="n"/>
      <c r="AI56" s="58" t="n"/>
      <c r="AJ56" s="83" t="n"/>
      <c r="AK56" s="57" t="n"/>
      <c r="AL56" s="58" t="n"/>
      <c r="AM56" s="58" t="n"/>
      <c r="AN56" s="83" t="n"/>
      <c r="AO56" s="57" t="n"/>
      <c r="AP56" s="58" t="n"/>
      <c r="AQ56" s="58" t="n"/>
      <c r="AR56" s="83" t="n"/>
      <c r="AS56" s="57" t="n"/>
      <c r="AT56" s="58" t="n"/>
      <c r="AU56" s="58" t="n"/>
      <c r="AV56" s="83" t="n"/>
      <c r="AW56" s="57" t="n"/>
      <c r="AX56" s="58" t="n"/>
      <c r="AY56" s="58" t="n"/>
      <c r="AZ56" s="83" t="n"/>
      <c r="BA56" s="57" t="n"/>
      <c r="BB56" s="58" t="n">
        <v>0.7395833333333334</v>
      </c>
      <c r="BC56" s="60" t="n"/>
      <c r="BD56" s="83" t="n"/>
      <c r="BE56" s="41" t="n">
        <v>0.5</v>
      </c>
      <c r="BF56" s="116" t="n"/>
      <c r="BG56" s="115" t="n"/>
      <c r="BH56" s="83" t="n"/>
      <c r="BI56" s="57" t="n"/>
      <c r="BJ56" s="58" t="n">
        <v>0.7361111111111112</v>
      </c>
      <c r="BK56" s="58" t="n"/>
      <c r="BL56" s="83" t="n"/>
      <c r="BM56" s="57" t="n">
        <v>0.5</v>
      </c>
      <c r="BN56" s="58" t="n"/>
      <c r="BO56" s="58" t="n"/>
      <c r="BP56" s="83" t="n"/>
      <c r="BQ56" s="57" t="n"/>
      <c r="BR56" s="58" t="n"/>
      <c r="BS56" s="58" t="n"/>
      <c r="BT56" s="83" t="n"/>
      <c r="BU56" s="57" t="n"/>
      <c r="BV56" s="58" t="n"/>
      <c r="BW56" s="60" t="n"/>
      <c r="BX56" s="83" t="n"/>
      <c r="BY56" s="41" t="n"/>
      <c r="BZ56" s="41" t="n"/>
      <c r="CA56" s="41" t="n"/>
      <c r="CB56" s="83" t="n"/>
      <c r="CC56" s="41" t="n"/>
      <c r="CD56" s="116" t="n"/>
      <c r="CE56" s="115" t="n"/>
      <c r="CF56" s="83" t="n"/>
      <c r="CG56" s="57" t="n"/>
      <c r="CH56" s="58" t="n"/>
      <c r="CI56" s="58" t="n"/>
      <c r="CJ56" s="83" t="n"/>
      <c r="CK56" s="57" t="n"/>
      <c r="CL56" s="58" t="n"/>
      <c r="CM56" s="58" t="n"/>
      <c r="CN56" s="83" t="n"/>
      <c r="CO56" s="57" t="n"/>
      <c r="CP56" s="58" t="n"/>
      <c r="CQ56" s="58" t="n"/>
      <c r="CR56" s="83" t="n"/>
      <c r="CS56" s="57" t="n"/>
      <c r="CT56" s="58" t="n"/>
      <c r="CU56" s="58" t="n"/>
      <c r="CV56" s="83" t="n"/>
      <c r="CW56" s="57" t="n"/>
      <c r="CX56" s="58" t="n"/>
      <c r="CY56" s="58" t="n"/>
      <c r="CZ56" s="83" t="n"/>
      <c r="DA56" s="57" t="n"/>
      <c r="DB56" s="58" t="n"/>
      <c r="DC56" s="58" t="n"/>
      <c r="DD56" s="83" t="n"/>
      <c r="DE56" s="57" t="n"/>
      <c r="DF56" s="58" t="n"/>
      <c r="DG56" s="60" t="n"/>
      <c r="DH56" s="83" t="n"/>
      <c r="DI56" s="41" t="n"/>
      <c r="DJ56" s="116" t="n"/>
      <c r="DK56" s="116" t="n"/>
      <c r="DL56" s="83" t="n"/>
      <c r="DM56" s="41" t="n"/>
      <c r="DN56" s="58" t="n"/>
      <c r="DO56" s="58" t="n"/>
      <c r="DP56" s="83" t="n"/>
      <c r="DQ56" s="57" t="n"/>
      <c r="DR56" s="61" t="n"/>
      <c r="DS56" s="62" t="n"/>
      <c r="DT56" s="83" t="n"/>
      <c r="DU56" s="41" t="n"/>
      <c r="DV56" s="61">
        <f>SUM(H56,L56,P56,T56,X56,AB56,AF56,AJ56,AN56,AR56,AV56,AZ56,BD56,BH56,BL56,BP56,BT56,BX56,CB56,CF56,CJ56,CN56,CR56,CV56,CZ56,DD56,DH56,DL56,DP56,DT56)</f>
        <v/>
      </c>
      <c r="DW56" s="62">
        <f>SUM(I56,M56,Q56,U56,Y56,AC56,AG56,AK56,AO56,AS56,AW56,BA56,BE56,BI56,BM56,BQ56,BU56,BY56,CC56,CG56,CK56,CO56,CS56,CW56,DA56,DE56,DI56,DM56,DQ56,DU56)</f>
        <v/>
      </c>
      <c r="DX56" s="83" t="n"/>
      <c r="DY56" s="41" t="n"/>
      <c r="DZ56" s="84" t="n"/>
      <c r="EA56" s="84" t="n"/>
      <c r="EB56" s="84" t="n"/>
      <c r="EC56" s="84" t="n"/>
      <c r="ED56" s="84" t="n"/>
      <c r="EE56" s="84" t="n"/>
      <c r="EF56" s="84" t="n"/>
      <c r="EG56" s="84" t="n"/>
      <c r="EH56" s="84" t="n"/>
      <c r="EI56" s="84" t="n"/>
      <c r="EJ56" s="84" t="n"/>
      <c r="EK56" s="84" t="n"/>
      <c r="EL56" s="84" t="n"/>
      <c r="EM56" s="84" t="n"/>
      <c r="EN56" s="84" t="n"/>
      <c r="EO56" s="84" t="n"/>
      <c r="EP56" s="84" t="n"/>
      <c r="EQ56" s="84" t="n"/>
      <c r="ER56" s="84" t="n"/>
      <c r="ES56" s="84" t="n"/>
      <c r="ET56" s="84" t="n"/>
      <c r="EU56" s="84" t="n"/>
      <c r="EV56" s="84" t="n"/>
      <c r="EW56" s="84" t="n"/>
      <c r="EX56" s="84" t="n"/>
      <c r="EY56" s="84" t="n"/>
      <c r="EZ56" s="84" t="n"/>
      <c r="FA56" s="84" t="n"/>
      <c r="FB56" s="84" t="n"/>
      <c r="FC56" s="84" t="n"/>
      <c r="FD56" s="84" t="n"/>
      <c r="FE56" s="84" t="n"/>
    </row>
    <row r="57" ht="59" customFormat="1" customHeight="1" s="54">
      <c r="A57" s="55" t="inlineStr">
        <is>
          <t>五楼</t>
        </is>
      </c>
      <c r="B57" s="56" t="inlineStr">
        <is>
          <t>伍梦柯</t>
        </is>
      </c>
      <c r="C57" s="41" t="inlineStr">
        <is>
          <t>51</t>
        </is>
      </c>
      <c r="D57" s="41" t="n"/>
      <c r="E57" s="57" t="n"/>
      <c r="F57" s="115" t="n"/>
      <c r="G57" s="58" t="n"/>
      <c r="H57" s="83" t="n"/>
      <c r="I57" s="57" t="n"/>
      <c r="J57" s="58" t="n">
        <v>0.3527777777777778</v>
      </c>
      <c r="K57" s="58" t="n">
        <v>0.7375</v>
      </c>
      <c r="L57" s="83">
        <f>MOD(K57-J57,1)*24</f>
        <v/>
      </c>
      <c r="M57" s="57" t="n">
        <v>1</v>
      </c>
      <c r="N57" s="58" t="n">
        <v>0.3513888888888889</v>
      </c>
      <c r="O57" s="58" t="n">
        <v>0.7486111111111111</v>
      </c>
      <c r="P57" s="83">
        <f>MOD(O57-N57,1)*24</f>
        <v/>
      </c>
      <c r="Q57" s="57" t="n">
        <v>1</v>
      </c>
      <c r="R57" s="58" t="n"/>
      <c r="S57" s="58" t="n"/>
      <c r="T57" s="83" t="n"/>
      <c r="U57" s="57" t="n"/>
      <c r="V57" s="58" t="n"/>
      <c r="W57" s="58" t="n"/>
      <c r="X57" s="83" t="n"/>
      <c r="Y57" s="57" t="n"/>
      <c r="Z57" s="58" t="n">
        <v>0.3541666666666667</v>
      </c>
      <c r="AA57" s="60" t="n">
        <v>0.7416666666666667</v>
      </c>
      <c r="AB57" s="83">
        <f>MOD(AA57-Z57,1)*24</f>
        <v/>
      </c>
      <c r="AC57" s="41" t="n">
        <v>1</v>
      </c>
      <c r="AD57" s="116" t="n">
        <v>0.3541666666666667</v>
      </c>
      <c r="AE57" s="117" t="n">
        <v>0.7493055555555556</v>
      </c>
      <c r="AF57" s="83">
        <f>MOD(AE57-AD57,1)*24</f>
        <v/>
      </c>
      <c r="AG57" s="57" t="n">
        <v>1</v>
      </c>
      <c r="AH57" s="58" t="n">
        <v>0.3513888888888889</v>
      </c>
      <c r="AI57" s="58" t="n">
        <v>0.7375</v>
      </c>
      <c r="AJ57" s="83">
        <f>MOD(AI57-AH57,1)*24</f>
        <v/>
      </c>
      <c r="AK57" s="57" t="n">
        <v>1</v>
      </c>
      <c r="AL57" s="58" t="n">
        <v>0.3520833333333334</v>
      </c>
      <c r="AM57" s="58" t="n">
        <v>0.7451388888888889</v>
      </c>
      <c r="AN57" s="83">
        <f>MOD(AM57-AL57,1)*24</f>
        <v/>
      </c>
      <c r="AO57" s="57" t="n">
        <v>1</v>
      </c>
      <c r="AP57" s="58" t="n">
        <v>0.3534722222222222</v>
      </c>
      <c r="AQ57" s="58" t="n">
        <v>0.7826388888888889</v>
      </c>
      <c r="AR57" s="83">
        <f>MOD(AQ57-AP57,1)*24</f>
        <v/>
      </c>
      <c r="AS57" s="57" t="n">
        <v>1</v>
      </c>
      <c r="AT57" s="58" t="n">
        <v>0.3527777777777778</v>
      </c>
      <c r="AU57" s="58" t="n">
        <v>0.7375</v>
      </c>
      <c r="AV57" s="83">
        <f>MOD(AU57-AT57,1)*24</f>
        <v/>
      </c>
      <c r="AW57" s="57" t="n">
        <v>1</v>
      </c>
      <c r="AX57" s="58" t="n"/>
      <c r="AY57" s="58" t="n"/>
      <c r="AZ57" s="83" t="n"/>
      <c r="BA57" s="57" t="n"/>
      <c r="BB57" s="58" t="n">
        <v>0.3534722222222222</v>
      </c>
      <c r="BC57" s="60" t="n">
        <v>0.7486111111111111</v>
      </c>
      <c r="BD57" s="83">
        <f>MOD(BC57-BB57,1)*24</f>
        <v/>
      </c>
      <c r="BE57" s="41" t="n">
        <v>1</v>
      </c>
      <c r="BF57" s="116" t="n">
        <v>0.3534722222222222</v>
      </c>
      <c r="BG57" s="115" t="n">
        <v>0.7472222222222222</v>
      </c>
      <c r="BH57" s="83">
        <f>MOD(BG57-BF57,1)*24</f>
        <v/>
      </c>
      <c r="BI57" s="57" t="n">
        <v>1</v>
      </c>
      <c r="BJ57" s="58" t="n">
        <v>0.3527777777777778</v>
      </c>
      <c r="BK57" s="58" t="n"/>
      <c r="BL57" s="83" t="n"/>
      <c r="BM57" s="57" t="n">
        <v>0.5</v>
      </c>
      <c r="BN57" s="58" t="n">
        <v>0.3513888888888889</v>
      </c>
      <c r="BO57" s="58" t="n">
        <v>0.7388888888888889</v>
      </c>
      <c r="BP57" s="83">
        <f>MOD(BO57-BN57,1)*24</f>
        <v/>
      </c>
      <c r="BQ57" s="57" t="n">
        <v>1</v>
      </c>
      <c r="BR57" s="58" t="n">
        <v>0.3520833333333334</v>
      </c>
      <c r="BS57" s="58" t="n">
        <v>0.7743055555555556</v>
      </c>
      <c r="BT57" s="83">
        <f>MOD(BS57-BR57,1)*24</f>
        <v/>
      </c>
      <c r="BU57" s="57" t="n">
        <v>1</v>
      </c>
      <c r="BV57" s="58" t="n">
        <v>0.3520833333333334</v>
      </c>
      <c r="BW57" s="60" t="n">
        <v>0.7416666666666667</v>
      </c>
      <c r="BX57" s="83">
        <f>MOD(BW57-BV57,1)*24</f>
        <v/>
      </c>
      <c r="BY57" s="41" t="n">
        <v>1</v>
      </c>
      <c r="BZ57" s="41" t="n"/>
      <c r="CA57" s="41" t="n"/>
      <c r="CB57" s="83" t="n"/>
      <c r="CC57" s="41" t="n"/>
      <c r="CD57" s="116" t="n">
        <v>0.3527777777777778</v>
      </c>
      <c r="CE57" s="115" t="n">
        <v>0.7375</v>
      </c>
      <c r="CF57" s="83">
        <f>MOD(CE57-CD57,1)*24</f>
        <v/>
      </c>
      <c r="CG57" s="57" t="n">
        <v>1</v>
      </c>
      <c r="CH57" s="58" t="n">
        <v>0.3534722222222222</v>
      </c>
      <c r="CI57" s="58" t="n">
        <v>0.7583333333333333</v>
      </c>
      <c r="CJ57" s="83">
        <f>MOD(CI57-CH57,1)*24</f>
        <v/>
      </c>
      <c r="CK57" s="57" t="n">
        <v>1</v>
      </c>
      <c r="CL57" s="58" t="n">
        <v>0.3541666666666667</v>
      </c>
      <c r="CM57" s="58" t="n">
        <v>0.7402777777777778</v>
      </c>
      <c r="CN57" s="83">
        <f>MOD(CM57-CL57,1)*24</f>
        <v/>
      </c>
      <c r="CO57" s="57" t="n">
        <v>1</v>
      </c>
      <c r="CP57" s="58" t="n">
        <v>0.3527777777777778</v>
      </c>
      <c r="CQ57" s="58" t="n">
        <v>0.7506944444444444</v>
      </c>
      <c r="CR57" s="83">
        <f>MOD(CQ57-CP57,1)*24</f>
        <v/>
      </c>
      <c r="CS57" s="57" t="n">
        <v>1</v>
      </c>
      <c r="CT57" s="58" t="n">
        <v>0.7416666666666667</v>
      </c>
      <c r="CU57" s="58" t="n"/>
      <c r="CV57" s="83" t="n"/>
      <c r="CW57" s="57" t="n">
        <v>0.5</v>
      </c>
      <c r="CX57" s="58" t="n">
        <v>0.3465277777777778</v>
      </c>
      <c r="CY57" s="58" t="n">
        <v>0.7833333333333333</v>
      </c>
      <c r="CZ57" s="83">
        <f>MOD(CY57-CX57,1)*24</f>
        <v/>
      </c>
      <c r="DA57" s="57" t="n">
        <v>1</v>
      </c>
      <c r="DB57" s="58" t="n"/>
      <c r="DC57" s="58" t="n"/>
      <c r="DD57" s="83" t="n"/>
      <c r="DE57" s="57" t="n"/>
      <c r="DF57" s="58" t="n">
        <v>0.3541666666666667</v>
      </c>
      <c r="DG57" s="60" t="n">
        <v>0.7458333333333333</v>
      </c>
      <c r="DH57" s="83">
        <f>MOD(DG57-DF57,1)*24</f>
        <v/>
      </c>
      <c r="DI57" s="41" t="n">
        <v>1</v>
      </c>
      <c r="DJ57" s="116" t="n">
        <v>0.3527777777777778</v>
      </c>
      <c r="DK57" s="116" t="n">
        <v>0.8125</v>
      </c>
      <c r="DL57" s="83">
        <f>MOD(DK57-DJ57,1)*24</f>
        <v/>
      </c>
      <c r="DM57" s="41" t="n">
        <v>0.5</v>
      </c>
      <c r="DN57" s="58" t="n">
        <v>0.3541666666666667</v>
      </c>
      <c r="DO57" s="58" t="n">
        <v>0.9090277777777778</v>
      </c>
      <c r="DP57" s="83">
        <f>MOD(DO57-DN57,1)*24</f>
        <v/>
      </c>
      <c r="DQ57" s="57" t="n">
        <v>1</v>
      </c>
      <c r="DR57" s="61" t="n">
        <v>0.3527777777777778</v>
      </c>
      <c r="DS57" s="62" t="n">
        <v>0.7416666666666667</v>
      </c>
      <c r="DT57" s="83">
        <f>MOD(DS57-DR57,1)*24</f>
        <v/>
      </c>
      <c r="DU57" s="41" t="n">
        <v>1</v>
      </c>
      <c r="DV57" s="61">
        <f>SUM(H57,L57,P57,T57,X57,AB57,AF57,AJ57,AN57,AR57,AV57,AZ57,BD57,BH57,BL57,BP57,BT57,BX57,CB57,CF57,CJ57,CN57,CR57,CV57,CZ57,DD57,DH57,DL57,DP57,DT57)</f>
        <v/>
      </c>
      <c r="DW57" s="62">
        <f>SUM(I57,M57,Q57,U57,Y57,AC57,AG57,AK57,AO57,AS57,AW57,BA57,BE57,BI57,BM57,BQ57,BU57,BY57,CC57,CG57,CK57,CO57,CS57,CW57,DA57,DE57,DI57,DM57,DQ57,DU57)</f>
        <v/>
      </c>
      <c r="DX57" s="83" t="n"/>
      <c r="DY57" s="41" t="n"/>
      <c r="DZ57" s="84" t="n"/>
      <c r="EA57" s="84" t="n"/>
      <c r="EB57" s="84" t="n"/>
      <c r="EC57" s="84" t="n"/>
      <c r="ED57" s="84" t="n"/>
      <c r="EE57" s="84" t="n"/>
      <c r="EF57" s="84" t="n"/>
      <c r="EG57" s="84" t="n"/>
      <c r="EH57" s="84" t="n"/>
      <c r="EI57" s="84" t="n"/>
      <c r="EJ57" s="84" t="n"/>
      <c r="EK57" s="84" t="n"/>
      <c r="EL57" s="84" t="n"/>
      <c r="EM57" s="84" t="n"/>
      <c r="EN57" s="84" t="n"/>
      <c r="EO57" s="84" t="n"/>
      <c r="EP57" s="84" t="inlineStr">
        <is>
          <t>只打一次卡</t>
        </is>
      </c>
      <c r="EQ57" s="84" t="n"/>
      <c r="ER57" s="84" t="n"/>
      <c r="ES57" s="84" t="n"/>
      <c r="ET57" s="84" t="n"/>
      <c r="EU57" s="84" t="n"/>
      <c r="EV57" s="84" t="n"/>
      <c r="EW57" s="84" t="n"/>
      <c r="EX57" s="84" t="n"/>
      <c r="EY57" s="84" t="inlineStr">
        <is>
          <t>只打一次卡</t>
        </is>
      </c>
      <c r="EZ57" s="84" t="n"/>
      <c r="FA57" s="84" t="n"/>
      <c r="FB57" s="84" t="n"/>
      <c r="FC57" s="84" t="n"/>
      <c r="FD57" s="84" t="n"/>
      <c r="FE57" s="84" t="n"/>
    </row>
    <row r="58" ht="59" customFormat="1" customHeight="1" s="54">
      <c r="A58" s="55" t="inlineStr">
        <is>
          <t>五楼</t>
        </is>
      </c>
      <c r="B58" s="56" t="inlineStr">
        <is>
          <t>伍梦柯</t>
        </is>
      </c>
      <c r="C58" s="41" t="inlineStr">
        <is>
          <t>51</t>
        </is>
      </c>
      <c r="D58" s="41" t="n"/>
      <c r="E58" s="57" t="n"/>
      <c r="F58" s="115" t="n"/>
      <c r="G58" s="58" t="n"/>
      <c r="H58" s="83" t="n"/>
      <c r="I58" s="57" t="n"/>
      <c r="J58" s="58" t="n"/>
      <c r="K58" s="58" t="n"/>
      <c r="L58" s="83" t="n"/>
      <c r="M58" s="57" t="n"/>
      <c r="N58" s="58" t="n"/>
      <c r="O58" s="58" t="n"/>
      <c r="P58" s="83" t="n"/>
      <c r="Q58" s="57" t="n"/>
      <c r="R58" s="58" t="n"/>
      <c r="S58" s="58" t="n"/>
      <c r="T58" s="83" t="n"/>
      <c r="U58" s="57" t="n"/>
      <c r="V58" s="58" t="n"/>
      <c r="W58" s="58" t="n"/>
      <c r="X58" s="83" t="n"/>
      <c r="Y58" s="57" t="n"/>
      <c r="Z58" s="58" t="n"/>
      <c r="AA58" s="60" t="n"/>
      <c r="AB58" s="83" t="n"/>
      <c r="AC58" s="41" t="n"/>
      <c r="AD58" s="116" t="n"/>
      <c r="AE58" s="117" t="n"/>
      <c r="AF58" s="83" t="n"/>
      <c r="AG58" s="57" t="n"/>
      <c r="AH58" s="58" t="n"/>
      <c r="AI58" s="58" t="n"/>
      <c r="AJ58" s="83" t="n"/>
      <c r="AK58" s="57" t="n"/>
      <c r="AL58" s="58" t="n"/>
      <c r="AM58" s="58" t="n"/>
      <c r="AN58" s="83" t="n"/>
      <c r="AO58" s="57" t="n"/>
      <c r="AP58" s="58" t="n"/>
      <c r="AQ58" s="58" t="n"/>
      <c r="AR58" s="83" t="n"/>
      <c r="AS58" s="57" t="n"/>
      <c r="AT58" s="58" t="n"/>
      <c r="AU58" s="58" t="n"/>
      <c r="AV58" s="83" t="n"/>
      <c r="AW58" s="57" t="n"/>
      <c r="AX58" s="58" t="n"/>
      <c r="AY58" s="58" t="n"/>
      <c r="AZ58" s="83" t="n"/>
      <c r="BA58" s="57" t="n"/>
      <c r="BB58" s="58" t="n"/>
      <c r="BC58" s="60" t="n"/>
      <c r="BD58" s="83" t="n"/>
      <c r="BE58" s="41" t="n"/>
      <c r="BF58" s="116" t="n"/>
      <c r="BG58" s="115" t="n"/>
      <c r="BH58" s="83" t="n"/>
      <c r="BI58" s="57" t="n"/>
      <c r="BJ58" s="58" t="n"/>
      <c r="BK58" s="58" t="n"/>
      <c r="BL58" s="83" t="n"/>
      <c r="BM58" s="57" t="n"/>
      <c r="BN58" s="58" t="n"/>
      <c r="BO58" s="58" t="n"/>
      <c r="BP58" s="83" t="n"/>
      <c r="BQ58" s="57" t="n"/>
      <c r="BR58" s="58" t="n"/>
      <c r="BS58" s="58" t="n"/>
      <c r="BT58" s="83" t="n"/>
      <c r="BU58" s="57" t="n"/>
      <c r="BV58" s="58" t="n"/>
      <c r="BW58" s="60" t="n"/>
      <c r="BX58" s="83" t="n"/>
      <c r="BY58" s="41" t="n"/>
      <c r="BZ58" s="41" t="n"/>
      <c r="CA58" s="41" t="n"/>
      <c r="CB58" s="83" t="n"/>
      <c r="CC58" s="41" t="n"/>
      <c r="CD58" s="116" t="n"/>
      <c r="CE58" s="115" t="n"/>
      <c r="CF58" s="83" t="n"/>
      <c r="CG58" s="57" t="n"/>
      <c r="CH58" s="58" t="n"/>
      <c r="CI58" s="58" t="n"/>
      <c r="CJ58" s="83" t="n"/>
      <c r="CK58" s="57" t="n"/>
      <c r="CL58" s="58" t="n"/>
      <c r="CM58" s="58" t="n"/>
      <c r="CN58" s="83" t="n"/>
      <c r="CO58" s="57" t="n"/>
      <c r="CP58" s="58" t="n"/>
      <c r="CQ58" s="58" t="n"/>
      <c r="CR58" s="83" t="n"/>
      <c r="CS58" s="57" t="n"/>
      <c r="CT58" s="58" t="n"/>
      <c r="CU58" s="58" t="n"/>
      <c r="CV58" s="83" t="n"/>
      <c r="CW58" s="57" t="n"/>
      <c r="CX58" s="58" t="n"/>
      <c r="CY58" s="58" t="n"/>
      <c r="CZ58" s="83" t="n"/>
      <c r="DA58" s="57" t="n"/>
      <c r="DB58" s="58" t="n"/>
      <c r="DC58" s="58" t="n"/>
      <c r="DD58" s="83" t="n"/>
      <c r="DE58" s="57" t="n"/>
      <c r="DF58" s="58" t="n"/>
      <c r="DG58" s="60" t="n"/>
      <c r="DH58" s="83" t="n"/>
      <c r="DI58" s="41" t="n"/>
      <c r="DJ58" s="116" t="n">
        <v>0.9208333333333333</v>
      </c>
      <c r="DK58" s="116" t="n"/>
      <c r="DL58" s="83" t="n"/>
      <c r="DM58" s="41" t="n">
        <v>0.5</v>
      </c>
      <c r="DN58" s="58" t="n"/>
      <c r="DO58" s="58" t="n"/>
      <c r="DP58" s="83" t="n"/>
      <c r="DQ58" s="57" t="n"/>
      <c r="DR58" s="61" t="n"/>
      <c r="DS58" s="62" t="n"/>
      <c r="DT58" s="83" t="n"/>
      <c r="DU58" s="41" t="n"/>
      <c r="DV58" s="61">
        <f>SUM(H58,L58,P58,T58,X58,AB58,AF58,AJ58,AN58,AR58,AV58,AZ58,BD58,BH58,BL58,BP58,BT58,BX58,CB58,CF58,CJ58,CN58,CR58,CV58,CZ58,DD58,DH58,DL58,DP58,DT58)</f>
        <v/>
      </c>
      <c r="DW58" s="62">
        <f>SUM(I58,M58,Q58,U58,Y58,AC58,AG58,AK58,AO58,AS58,AW58,BA58,BE58,BI58,BM58,BQ58,BU58,BY58,CC58,CG58,CK58,CO58,CS58,CW58,DA58,DE58,DI58,DM58,DQ58,DU58)</f>
        <v/>
      </c>
      <c r="DX58" s="83" t="n"/>
      <c r="DY58" s="41" t="n"/>
      <c r="DZ58" s="84" t="n"/>
      <c r="EA58" s="84" t="n"/>
      <c r="EB58" s="84" t="n"/>
      <c r="EC58" s="84" t="n"/>
      <c r="ED58" s="84" t="n"/>
      <c r="EE58" s="84" t="n"/>
      <c r="EF58" s="84" t="n"/>
      <c r="EG58" s="84" t="n"/>
      <c r="EH58" s="84" t="n"/>
      <c r="EI58" s="84" t="n"/>
      <c r="EJ58" s="84" t="n"/>
      <c r="EK58" s="84" t="n"/>
      <c r="EL58" s="84" t="n"/>
      <c r="EM58" s="84" t="n"/>
      <c r="EN58" s="84" t="n"/>
      <c r="EO58" s="84" t="n"/>
      <c r="EP58" s="84" t="n"/>
      <c r="EQ58" s="84" t="n"/>
      <c r="ER58" s="84" t="n"/>
      <c r="ES58" s="84" t="n"/>
      <c r="ET58" s="84" t="n"/>
      <c r="EU58" s="84" t="n"/>
      <c r="EV58" s="84" t="n"/>
      <c r="EW58" s="84" t="n"/>
      <c r="EX58" s="84" t="n"/>
      <c r="EY58" s="84" t="n"/>
      <c r="EZ58" s="84" t="n"/>
      <c r="FA58" s="84" t="n"/>
      <c r="FB58" s="84" t="n"/>
      <c r="FC58" s="84" t="n"/>
      <c r="FD58" s="84" t="n"/>
      <c r="FE58" s="84" t="n"/>
    </row>
    <row r="59" ht="59" customFormat="1" customHeight="1" s="54">
      <c r="A59" s="55" t="inlineStr">
        <is>
          <t>五楼</t>
        </is>
      </c>
      <c r="B59" s="56" t="inlineStr">
        <is>
          <t>陶杨</t>
        </is>
      </c>
      <c r="C59" s="41" t="inlineStr">
        <is>
          <t>52</t>
        </is>
      </c>
      <c r="D59" s="41" t="n"/>
      <c r="E59" s="57" t="n"/>
      <c r="F59" s="115" t="n">
        <v>0.34375</v>
      </c>
      <c r="G59" s="58" t="n">
        <v>0.7368055555555556</v>
      </c>
      <c r="H59" s="83">
        <f>MOD(G59-F59,1)*24</f>
        <v/>
      </c>
      <c r="I59" s="57" t="n">
        <v>1</v>
      </c>
      <c r="J59" s="58" t="n">
        <v>0.3486111111111111</v>
      </c>
      <c r="K59" s="58" t="n">
        <v>0.7416666666666667</v>
      </c>
      <c r="L59" s="83">
        <f>MOD(K59-J59,1)*24</f>
        <v/>
      </c>
      <c r="M59" s="57" t="n">
        <v>1</v>
      </c>
      <c r="N59" s="58" t="n">
        <v>0.3381944444444445</v>
      </c>
      <c r="O59" s="58" t="n">
        <v>0.7368055555555556</v>
      </c>
      <c r="P59" s="83">
        <f>MOD(O59-N59,1)*24</f>
        <v/>
      </c>
      <c r="Q59" s="57" t="n">
        <v>1</v>
      </c>
      <c r="R59" s="58" t="n"/>
      <c r="S59" s="58" t="n"/>
      <c r="T59" s="83" t="n"/>
      <c r="U59" s="57" t="n"/>
      <c r="V59" s="58" t="n"/>
      <c r="W59" s="58" t="n"/>
      <c r="X59" s="83" t="n"/>
      <c r="Y59" s="57" t="n"/>
      <c r="Z59" s="58" t="n">
        <v>0.3486111111111111</v>
      </c>
      <c r="AA59" s="60" t="n">
        <v>0.7395833333333334</v>
      </c>
      <c r="AB59" s="83">
        <f>MOD(AA59-Z59,1)*24</f>
        <v/>
      </c>
      <c r="AC59" s="41" t="n">
        <v>1</v>
      </c>
      <c r="AD59" s="116" t="n">
        <v>0.35</v>
      </c>
      <c r="AE59" s="117" t="n">
        <v>0.7361111111111112</v>
      </c>
      <c r="AF59" s="83">
        <f>MOD(AE59-AD59,1)*24</f>
        <v/>
      </c>
      <c r="AG59" s="57" t="n">
        <v>1</v>
      </c>
      <c r="AH59" s="58" t="n">
        <v>0.3430555555555556</v>
      </c>
      <c r="AI59" s="58" t="n">
        <v>0.7409722222222223</v>
      </c>
      <c r="AJ59" s="83">
        <f>MOD(AI59-AH59,1)*24</f>
        <v/>
      </c>
      <c r="AK59" s="57" t="n">
        <v>1</v>
      </c>
      <c r="AL59" s="58" t="n">
        <v>0.3375</v>
      </c>
      <c r="AM59" s="58" t="n">
        <v>0.7402777777777778</v>
      </c>
      <c r="AN59" s="83">
        <f>MOD(AM59-AL59,1)*24</f>
        <v/>
      </c>
      <c r="AO59" s="57" t="n">
        <v>1</v>
      </c>
      <c r="AP59" s="58" t="n">
        <v>0.34375</v>
      </c>
      <c r="AQ59" s="58" t="n">
        <v>0.7381944444444445</v>
      </c>
      <c r="AR59" s="83">
        <f>MOD(AQ59-AP59,1)*24</f>
        <v/>
      </c>
      <c r="AS59" s="57" t="n">
        <v>1</v>
      </c>
      <c r="AT59" s="58" t="n">
        <v>0.3458333333333333</v>
      </c>
      <c r="AU59" s="58" t="n">
        <v>0.7479166666666667</v>
      </c>
      <c r="AV59" s="83">
        <f>MOD(AU59-AT59,1)*24</f>
        <v/>
      </c>
      <c r="AW59" s="57" t="n">
        <v>1</v>
      </c>
      <c r="AX59" s="58" t="n">
        <v>0.3416666666666667</v>
      </c>
      <c r="AY59" s="58" t="n">
        <v>0.7361111111111112</v>
      </c>
      <c r="AZ59" s="83">
        <f>MOD(AY59-AX59,1)*24</f>
        <v/>
      </c>
      <c r="BA59" s="57" t="n">
        <v>1</v>
      </c>
      <c r="BB59" s="58" t="n">
        <v>0.3451388888888889</v>
      </c>
      <c r="BC59" s="60" t="n">
        <v>0.7409722222222223</v>
      </c>
      <c r="BD59" s="83">
        <f>MOD(BC59-BB59,1)*24</f>
        <v/>
      </c>
      <c r="BE59" s="41" t="n">
        <v>1</v>
      </c>
      <c r="BF59" s="116" t="n"/>
      <c r="BG59" s="115" t="n"/>
      <c r="BH59" s="83" t="n"/>
      <c r="BI59" s="57" t="n"/>
      <c r="BJ59" s="58" t="n">
        <v>0.3430555555555556</v>
      </c>
      <c r="BK59" s="58" t="n">
        <v>0.7395833333333334</v>
      </c>
      <c r="BL59" s="83">
        <f>MOD(BK59-BJ59,1)*24</f>
        <v/>
      </c>
      <c r="BM59" s="57" t="n">
        <v>1</v>
      </c>
      <c r="BN59" s="58" t="n">
        <v>0.3402777777777778</v>
      </c>
      <c r="BO59" s="58" t="n">
        <v>0.7381944444444445</v>
      </c>
      <c r="BP59" s="83">
        <f>MOD(BO59-BN59,1)*24</f>
        <v/>
      </c>
      <c r="BQ59" s="57" t="n">
        <v>1</v>
      </c>
      <c r="BR59" s="58" t="n">
        <v>0.3451388888888889</v>
      </c>
      <c r="BS59" s="58" t="n">
        <v>0.7736111111111111</v>
      </c>
      <c r="BT59" s="83">
        <f>MOD(BS59-BR59,1)*24</f>
        <v/>
      </c>
      <c r="BU59" s="57" t="n">
        <v>1</v>
      </c>
      <c r="BV59" s="58" t="n">
        <v>0.3451388888888889</v>
      </c>
      <c r="BW59" s="60" t="n">
        <v>0.7381944444444445</v>
      </c>
      <c r="BX59" s="83">
        <f>MOD(BW59-BV59,1)*24</f>
        <v/>
      </c>
      <c r="BY59" s="41" t="n">
        <v>1</v>
      </c>
      <c r="BZ59" s="41" t="n"/>
      <c r="CA59" s="41" t="n"/>
      <c r="CB59" s="83" t="n"/>
      <c r="CC59" s="41" t="n"/>
      <c r="CD59" s="116" t="n">
        <v>0.3423611111111111</v>
      </c>
      <c r="CE59" s="115" t="n">
        <v>0.7375</v>
      </c>
      <c r="CF59" s="83">
        <f>MOD(CE59-CD59,1)*24</f>
        <v/>
      </c>
      <c r="CG59" s="57" t="n">
        <v>1</v>
      </c>
      <c r="CH59" s="58" t="n">
        <v>0.3493055555555555</v>
      </c>
      <c r="CI59" s="58" t="n">
        <v>0.74375</v>
      </c>
      <c r="CJ59" s="83">
        <f>MOD(CI59-CH59,1)*24</f>
        <v/>
      </c>
      <c r="CK59" s="57" t="n">
        <v>1</v>
      </c>
      <c r="CL59" s="58" t="n">
        <v>0.3465277777777778</v>
      </c>
      <c r="CM59" s="58" t="n">
        <v>0.7368055555555556</v>
      </c>
      <c r="CN59" s="83">
        <f>MOD(CM59-CL59,1)*24</f>
        <v/>
      </c>
      <c r="CO59" s="57" t="n">
        <v>1</v>
      </c>
      <c r="CP59" s="58" t="n">
        <v>0.3451388888888889</v>
      </c>
      <c r="CQ59" s="58" t="n">
        <v>0.7388888888888889</v>
      </c>
      <c r="CR59" s="83">
        <f>MOD(CQ59-CP59,1)*24</f>
        <v/>
      </c>
      <c r="CS59" s="57" t="n">
        <v>1</v>
      </c>
      <c r="CT59" s="58" t="n">
        <v>0.3465277777777778</v>
      </c>
      <c r="CU59" s="58" t="n">
        <v>0.7444444444444445</v>
      </c>
      <c r="CV59" s="83">
        <f>MOD(CU59-CT59,1)*24</f>
        <v/>
      </c>
      <c r="CW59" s="57" t="n">
        <v>1</v>
      </c>
      <c r="CX59" s="58" t="n">
        <v>0.3444444444444444</v>
      </c>
      <c r="CY59" s="58" t="n">
        <v>0.7666666666666667</v>
      </c>
      <c r="CZ59" s="83">
        <f>MOD(CY59-CX59,1)*24</f>
        <v/>
      </c>
      <c r="DA59" s="57" t="n">
        <v>1</v>
      </c>
      <c r="DB59" s="58" t="n"/>
      <c r="DC59" s="58" t="n"/>
      <c r="DD59" s="83" t="n"/>
      <c r="DE59" s="57" t="n"/>
      <c r="DF59" s="58" t="n">
        <v>0.3486111111111111</v>
      </c>
      <c r="DG59" s="60" t="n">
        <v>0.7694444444444445</v>
      </c>
      <c r="DH59" s="83">
        <f>MOD(DG59-DF59,1)*24</f>
        <v/>
      </c>
      <c r="DI59" s="41" t="n">
        <v>1</v>
      </c>
      <c r="DJ59" s="116" t="n">
        <v>0.3465277777777778</v>
      </c>
      <c r="DK59" s="116" t="n">
        <v>0.7402777777777778</v>
      </c>
      <c r="DL59" s="83">
        <f>MOD(DK59-DJ59,1)*24</f>
        <v/>
      </c>
      <c r="DM59" s="41" t="n">
        <v>1</v>
      </c>
      <c r="DN59" s="58" t="n">
        <v>0.3479166666666667</v>
      </c>
      <c r="DO59" s="58" t="n">
        <v>0.7375</v>
      </c>
      <c r="DP59" s="83">
        <f>MOD(DO59-DN59,1)*24</f>
        <v/>
      </c>
      <c r="DQ59" s="57" t="n">
        <v>1</v>
      </c>
      <c r="DR59" s="61" t="n">
        <v>0.3479166666666667</v>
      </c>
      <c r="DS59" s="62" t="n">
        <v>0.7444444444444445</v>
      </c>
      <c r="DT59" s="83">
        <f>MOD(DS59-DR59,1)*24</f>
        <v/>
      </c>
      <c r="DU59" s="41" t="n">
        <v>1</v>
      </c>
      <c r="DV59" s="61">
        <f>SUM(H59,L59,P59,T59,X59,AB59,AF59,AJ59,AN59,AR59,AV59,AZ59,BD59,BH59,BL59,BP59,BT59,BX59,CB59,CF59,CJ59,CN59,CR59,CV59,CZ59,DD59,DH59,DL59,DP59,DT59)</f>
        <v/>
      </c>
      <c r="DW59" s="62">
        <f>SUM(I59,M59,Q59,U59,Y59,AC59,AG59,AK59,AO59,AS59,AW59,BA59,BE59,BI59,BM59,BQ59,BU59,BY59,CC59,CG59,CK59,CO59,CS59,CW59,DA59,DE59,DI59,DM59,DQ59,DU59)</f>
        <v/>
      </c>
      <c r="DX59" s="83" t="n"/>
      <c r="DY59" s="41" t="n"/>
      <c r="DZ59" s="84" t="n"/>
      <c r="EA59" s="84" t="n"/>
      <c r="EB59" s="84" t="n"/>
      <c r="EC59" s="84" t="n"/>
      <c r="ED59" s="84" t="n"/>
      <c r="EE59" s="84" t="n"/>
      <c r="EF59" s="84" t="n"/>
      <c r="EG59" s="84" t="n"/>
      <c r="EH59" s="84" t="n"/>
      <c r="EI59" s="84" t="n"/>
      <c r="EJ59" s="84" t="n"/>
      <c r="EK59" s="84" t="n"/>
      <c r="EL59" s="84" t="n"/>
      <c r="EM59" s="84" t="n"/>
      <c r="EN59" s="84" t="n"/>
      <c r="EO59" s="84" t="n"/>
      <c r="EP59" s="84" t="n"/>
      <c r="EQ59" s="84" t="n"/>
      <c r="ER59" s="84" t="n"/>
      <c r="ES59" s="84" t="n"/>
      <c r="ET59" s="84" t="n"/>
      <c r="EU59" s="84" t="n"/>
      <c r="EV59" s="84" t="n"/>
      <c r="EW59" s="84" t="n"/>
      <c r="EX59" s="84" t="n"/>
      <c r="EY59" s="84" t="n"/>
      <c r="EZ59" s="84" t="n"/>
      <c r="FA59" s="84" t="n"/>
      <c r="FB59" s="84" t="n"/>
      <c r="FC59" s="84" t="n"/>
      <c r="FD59" s="84" t="n"/>
      <c r="FE59" s="84" t="n"/>
    </row>
    <row r="60" ht="59" customFormat="1" customHeight="1" s="54">
      <c r="A60" s="55" t="inlineStr">
        <is>
          <t>五楼</t>
        </is>
      </c>
      <c r="B60" s="56" t="inlineStr">
        <is>
          <t>李志明</t>
        </is>
      </c>
      <c r="C60" s="41" t="inlineStr">
        <is>
          <t>53</t>
        </is>
      </c>
      <c r="D60" s="41" t="n"/>
      <c r="E60" s="57" t="n"/>
      <c r="F60" s="115" t="n">
        <v>0.2354166666666667</v>
      </c>
      <c r="G60" s="58" t="n">
        <v>0.4868055555555555</v>
      </c>
      <c r="H60" s="83">
        <f>MOD(G60-F60,1)*24</f>
        <v/>
      </c>
      <c r="I60" s="57" t="n">
        <v>0.5</v>
      </c>
      <c r="J60" s="58" t="n">
        <v>0.2472222222222222</v>
      </c>
      <c r="K60" s="58" t="n">
        <v>0.7347222222222223</v>
      </c>
      <c r="L60" s="83">
        <f>MOD(K60-J60,1)*24</f>
        <v/>
      </c>
      <c r="M60" s="57" t="n">
        <v>1</v>
      </c>
      <c r="N60" s="58" t="n">
        <v>0.2472222222222222</v>
      </c>
      <c r="O60" s="58" t="n">
        <v>0.2513888888888889</v>
      </c>
      <c r="P60" s="83">
        <f>MOD(O60-N60,1)*24</f>
        <v/>
      </c>
      <c r="Q60" s="57" t="n">
        <v>0.5</v>
      </c>
      <c r="R60" s="58" t="n">
        <v>0.2513888888888889</v>
      </c>
      <c r="S60" s="58" t="n">
        <v>0.7354166666666667</v>
      </c>
      <c r="T60" s="83">
        <f>MOD(S60-R60,1)*24</f>
        <v/>
      </c>
      <c r="U60" s="57" t="n">
        <v>1</v>
      </c>
      <c r="V60" s="58" t="n">
        <v>0.2541666666666667</v>
      </c>
      <c r="W60" s="58" t="n">
        <v>0.7333333333333333</v>
      </c>
      <c r="X60" s="83">
        <f>MOD(W60-V60,1)*24</f>
        <v/>
      </c>
      <c r="Y60" s="57" t="n">
        <v>1</v>
      </c>
      <c r="Z60" s="58" t="n">
        <v>0.2493055555555556</v>
      </c>
      <c r="AA60" s="60" t="n">
        <v>0.7354166666666667</v>
      </c>
      <c r="AB60" s="83">
        <f>MOD(AA60-Z60,1)*24</f>
        <v/>
      </c>
      <c r="AC60" s="41" t="n">
        <v>1</v>
      </c>
      <c r="AD60" s="116" t="n"/>
      <c r="AE60" s="117" t="n"/>
      <c r="AF60" s="83" t="n"/>
      <c r="AG60" s="57" t="n"/>
      <c r="AH60" s="58" t="n">
        <v>0.2520833333333333</v>
      </c>
      <c r="AI60" s="58" t="n">
        <v>0.7354166666666667</v>
      </c>
      <c r="AJ60" s="83">
        <f>MOD(AI60-AH60,1)*24</f>
        <v/>
      </c>
      <c r="AK60" s="57" t="n">
        <v>1</v>
      </c>
      <c r="AL60" s="58" t="n">
        <v>0.2486111111111111</v>
      </c>
      <c r="AM60" s="58" t="n">
        <v>0.7354166666666667</v>
      </c>
      <c r="AN60" s="83">
        <f>MOD(AM60-AL60,1)*24</f>
        <v/>
      </c>
      <c r="AO60" s="57" t="n">
        <v>1</v>
      </c>
      <c r="AP60" s="58" t="n">
        <v>0.2493055555555556</v>
      </c>
      <c r="AQ60" s="58" t="n">
        <v>0.7354166666666667</v>
      </c>
      <c r="AR60" s="83">
        <f>MOD(AQ60-AP60,1)*24</f>
        <v/>
      </c>
      <c r="AS60" s="57" t="n">
        <v>1</v>
      </c>
      <c r="AT60" s="58" t="n">
        <v>0.2486111111111111</v>
      </c>
      <c r="AU60" s="58" t="n">
        <v>0.7354166666666667</v>
      </c>
      <c r="AV60" s="83">
        <f>MOD(AU60-AT60,1)*24</f>
        <v/>
      </c>
      <c r="AW60" s="57" t="n">
        <v>1</v>
      </c>
      <c r="AX60" s="58" t="n">
        <v>0.2493055555555556</v>
      </c>
      <c r="AY60" s="58" t="n">
        <v>0.7354166666666667</v>
      </c>
      <c r="AZ60" s="83">
        <f>MOD(AY60-AX60,1)*24</f>
        <v/>
      </c>
      <c r="BA60" s="57" t="n">
        <v>1</v>
      </c>
      <c r="BB60" s="58" t="n">
        <v>0.2520833333333333</v>
      </c>
      <c r="BC60" s="60" t="n">
        <v>0.7347222222222223</v>
      </c>
      <c r="BD60" s="83">
        <f>MOD(BC60-BB60,1)*24</f>
        <v/>
      </c>
      <c r="BE60" s="41" t="n">
        <v>1</v>
      </c>
      <c r="BF60" s="116" t="n"/>
      <c r="BG60" s="115" t="n"/>
      <c r="BH60" s="83" t="n"/>
      <c r="BI60" s="57" t="n"/>
      <c r="BJ60" s="58" t="n">
        <v>0.2486111111111111</v>
      </c>
      <c r="BK60" s="58" t="n">
        <v>0.7347222222222223</v>
      </c>
      <c r="BL60" s="83">
        <f>MOD(BK60-BJ60,1)*24</f>
        <v/>
      </c>
      <c r="BM60" s="57" t="n">
        <v>1</v>
      </c>
      <c r="BN60" s="58" t="n">
        <v>0.25</v>
      </c>
      <c r="BO60" s="58" t="n">
        <v>0.7347222222222223</v>
      </c>
      <c r="BP60" s="83">
        <f>MOD(BO60-BN60,1)*24</f>
        <v/>
      </c>
      <c r="BQ60" s="57" t="n">
        <v>1</v>
      </c>
      <c r="BR60" s="58" t="n">
        <v>0.2493055555555556</v>
      </c>
      <c r="BS60" s="58" t="n">
        <v>0.7347222222222223</v>
      </c>
      <c r="BT60" s="83">
        <f>MOD(BS60-BR60,1)*24</f>
        <v/>
      </c>
      <c r="BU60" s="57" t="n">
        <v>1</v>
      </c>
      <c r="BV60" s="58" t="n">
        <v>0.2513888888888889</v>
      </c>
      <c r="BW60" s="60" t="n"/>
      <c r="BX60" s="83" t="n"/>
      <c r="BY60" s="41" t="n">
        <v>0.5</v>
      </c>
      <c r="BZ60" s="41" t="n"/>
      <c r="CA60" s="41" t="n"/>
      <c r="CB60" s="83" t="n"/>
      <c r="CC60" s="41" t="n"/>
      <c r="CD60" s="116" t="n">
        <v>0.2493055555555556</v>
      </c>
      <c r="CE60" s="115" t="n">
        <v>0.7361111111111112</v>
      </c>
      <c r="CF60" s="83">
        <f>MOD(CE60-CD60,1)*24</f>
        <v/>
      </c>
      <c r="CG60" s="57" t="n">
        <v>1</v>
      </c>
      <c r="CH60" s="58" t="n">
        <v>0.2486111111111111</v>
      </c>
      <c r="CI60" s="58" t="n">
        <v>0.7354166666666667</v>
      </c>
      <c r="CJ60" s="83">
        <f>MOD(CI60-CH60,1)*24</f>
        <v/>
      </c>
      <c r="CK60" s="57" t="n">
        <v>1</v>
      </c>
      <c r="CL60" s="58" t="n">
        <v>0.2513888888888889</v>
      </c>
      <c r="CM60" s="58" t="n">
        <v>0.7361111111111112</v>
      </c>
      <c r="CN60" s="83">
        <f>MOD(CM60-CL60,1)*24</f>
        <v/>
      </c>
      <c r="CO60" s="57" t="n">
        <v>1</v>
      </c>
      <c r="CP60" s="58" t="n">
        <v>0.2493055555555556</v>
      </c>
      <c r="CQ60" s="58" t="n">
        <v>0.2784722222222222</v>
      </c>
      <c r="CR60" s="83">
        <f>MOD(CQ60-CP60,1)*24</f>
        <v/>
      </c>
      <c r="CS60" s="57" t="n">
        <v>0.5</v>
      </c>
      <c r="CT60" s="58" t="n">
        <v>0.2444444444444444</v>
      </c>
      <c r="CU60" s="58" t="n">
        <v>0.7361111111111112</v>
      </c>
      <c r="CV60" s="83">
        <f>MOD(CU60-CT60,1)*24</f>
        <v/>
      </c>
      <c r="CW60" s="57" t="n">
        <v>1</v>
      </c>
      <c r="CX60" s="58" t="n">
        <v>0.2486111111111111</v>
      </c>
      <c r="CY60" s="58" t="n">
        <v>0.7347222222222223</v>
      </c>
      <c r="CZ60" s="83">
        <f>MOD(CY60-CX60,1)*24</f>
        <v/>
      </c>
      <c r="DA60" s="57" t="n">
        <v>1</v>
      </c>
      <c r="DB60" s="58" t="n">
        <v>0.2486111111111111</v>
      </c>
      <c r="DC60" s="58" t="n">
        <v>0.7354166666666667</v>
      </c>
      <c r="DD60" s="83">
        <f>MOD(DC60-DB60,1)*24</f>
        <v/>
      </c>
      <c r="DE60" s="57" t="n">
        <v>1</v>
      </c>
      <c r="DF60" s="58" t="n">
        <v>0.2493055555555556</v>
      </c>
      <c r="DG60" s="60" t="n">
        <v>0.7361111111111112</v>
      </c>
      <c r="DH60" s="83">
        <f>MOD(DG60-DF60,1)*24</f>
        <v/>
      </c>
      <c r="DI60" s="41" t="n">
        <v>1</v>
      </c>
      <c r="DJ60" s="116" t="n"/>
      <c r="DK60" s="116" t="n"/>
      <c r="DL60" s="83" t="n"/>
      <c r="DM60" s="41" t="n"/>
      <c r="DN60" s="58" t="n">
        <v>0.2486111111111111</v>
      </c>
      <c r="DO60" s="58" t="n">
        <v>0.7354166666666667</v>
      </c>
      <c r="DP60" s="83">
        <f>MOD(DO60-DN60,1)*24</f>
        <v/>
      </c>
      <c r="DQ60" s="57" t="n">
        <v>1</v>
      </c>
      <c r="DR60" s="61" t="n">
        <v>0.2506944444444444</v>
      </c>
      <c r="DS60" s="62" t="n">
        <v>0.7368055555555556</v>
      </c>
      <c r="DT60" s="83">
        <f>MOD(DS60-DR60,1)*24</f>
        <v/>
      </c>
      <c r="DU60" s="41" t="n">
        <v>1</v>
      </c>
      <c r="DV60" s="61">
        <f>SUM(H60,L60,P60,T60,X60,AB60,AF60,AJ60,AN60,AR60,AV60,AZ60,BD60,BH60,BL60,BP60,BT60,BX60,CB60,CF60,CJ60,CN60,CR60,CV60,CZ60,DD60,DH60,DL60,DP60,DT60)</f>
        <v/>
      </c>
      <c r="DW60" s="62">
        <f>SUM(I60,M60,Q60,U60,Y60,AC60,AG60,AK60,AO60,AS60,AW60,BA60,BE60,BI60,BM60,BQ60,BU60,BY60,CC60,CG60,CK60,CO60,CS60,CW60,DA60,DE60,DI60,DM60,DQ60,DU60)</f>
        <v/>
      </c>
      <c r="DX60" s="83" t="n"/>
      <c r="DY60" s="41" t="n"/>
      <c r="DZ60" s="84" t="n"/>
      <c r="EA60" s="84" t="n"/>
      <c r="EB60" s="84" t="inlineStr">
        <is>
          <t>早退</t>
        </is>
      </c>
      <c r="EC60" s="84" t="inlineStr">
        <is>
          <t>早退</t>
        </is>
      </c>
      <c r="ED60" s="84" t="inlineStr">
        <is>
          <t>早退</t>
        </is>
      </c>
      <c r="EE60" s="84" t="inlineStr">
        <is>
          <t>早退</t>
        </is>
      </c>
      <c r="EF60" s="84" t="inlineStr">
        <is>
          <t>早退</t>
        </is>
      </c>
      <c r="EG60" s="84" t="inlineStr">
        <is>
          <t>早退</t>
        </is>
      </c>
      <c r="EH60" s="84" t="n"/>
      <c r="EI60" s="84" t="inlineStr">
        <is>
          <t>早退</t>
        </is>
      </c>
      <c r="EJ60" s="84" t="inlineStr">
        <is>
          <t>早退</t>
        </is>
      </c>
      <c r="EK60" s="84" t="inlineStr">
        <is>
          <t>早退</t>
        </is>
      </c>
      <c r="EL60" s="84" t="inlineStr">
        <is>
          <t>早退</t>
        </is>
      </c>
      <c r="EM60" s="84" t="inlineStr">
        <is>
          <t>早退</t>
        </is>
      </c>
      <c r="EN60" s="84" t="inlineStr">
        <is>
          <t>早退</t>
        </is>
      </c>
      <c r="EO60" s="84" t="n"/>
      <c r="EP60" s="84" t="inlineStr">
        <is>
          <t>早退</t>
        </is>
      </c>
      <c r="EQ60" s="84" t="inlineStr">
        <is>
          <t>早退</t>
        </is>
      </c>
      <c r="ER60" s="84" t="inlineStr">
        <is>
          <t>早退</t>
        </is>
      </c>
      <c r="ES60" s="84" t="inlineStr">
        <is>
          <t>只打一次卡</t>
        </is>
      </c>
      <c r="ET60" s="84" t="n"/>
      <c r="EU60" s="84" t="n"/>
      <c r="EV60" s="84" t="inlineStr">
        <is>
          <t>早退</t>
        </is>
      </c>
      <c r="EW60" s="84" t="n"/>
      <c r="EX60" s="84" t="inlineStr">
        <is>
          <t>早退</t>
        </is>
      </c>
      <c r="EY60" s="84" t="n"/>
      <c r="EZ60" s="84" t="inlineStr">
        <is>
          <t>早退</t>
        </is>
      </c>
      <c r="FA60" s="84" t="inlineStr">
        <is>
          <t>早退</t>
        </is>
      </c>
      <c r="FB60" s="84" t="n"/>
      <c r="FC60" s="84" t="n"/>
      <c r="FD60" s="84" t="inlineStr">
        <is>
          <t>早退</t>
        </is>
      </c>
      <c r="FE60" s="84" t="n"/>
    </row>
    <row r="61" ht="59" customFormat="1" customHeight="1" s="54">
      <c r="A61" s="55" t="inlineStr">
        <is>
          <t>五楼</t>
        </is>
      </c>
      <c r="B61" s="56" t="inlineStr">
        <is>
          <t>李志明</t>
        </is>
      </c>
      <c r="C61" s="41" t="inlineStr">
        <is>
          <t>53</t>
        </is>
      </c>
      <c r="D61" s="41" t="n"/>
      <c r="E61" s="57" t="n"/>
      <c r="F61" s="115" t="n"/>
      <c r="G61" s="58" t="n"/>
      <c r="H61" s="83" t="n"/>
      <c r="I61" s="57" t="n"/>
      <c r="J61" s="58" t="n"/>
      <c r="K61" s="58" t="n"/>
      <c r="L61" s="83" t="n"/>
      <c r="M61" s="57" t="n"/>
      <c r="N61" s="58" t="n">
        <v>0.7354166666666667</v>
      </c>
      <c r="O61" s="58" t="n"/>
      <c r="P61" s="83" t="n"/>
      <c r="Q61" s="57" t="n">
        <v>0.5</v>
      </c>
      <c r="R61" s="58" t="n"/>
      <c r="S61" s="58" t="n"/>
      <c r="T61" s="83" t="n"/>
      <c r="U61" s="57" t="n"/>
      <c r="V61" s="58" t="n"/>
      <c r="W61" s="58" t="n"/>
      <c r="X61" s="83" t="n"/>
      <c r="Y61" s="57" t="n"/>
      <c r="Z61" s="58" t="n"/>
      <c r="AA61" s="60" t="n"/>
      <c r="AB61" s="83" t="n"/>
      <c r="AC61" s="41" t="n"/>
      <c r="AD61" s="116" t="n"/>
      <c r="AE61" s="117" t="n"/>
      <c r="AF61" s="83" t="n"/>
      <c r="AG61" s="57" t="n"/>
      <c r="AH61" s="58" t="n"/>
      <c r="AI61" s="58" t="n"/>
      <c r="AJ61" s="83" t="n"/>
      <c r="AK61" s="57" t="n"/>
      <c r="AL61" s="58" t="n"/>
      <c r="AM61" s="58" t="n"/>
      <c r="AN61" s="83" t="n"/>
      <c r="AO61" s="57" t="n"/>
      <c r="AP61" s="58" t="n"/>
      <c r="AQ61" s="58" t="n"/>
      <c r="AR61" s="83" t="n"/>
      <c r="AS61" s="57" t="n"/>
      <c r="AT61" s="58" t="n"/>
      <c r="AU61" s="58" t="n"/>
      <c r="AV61" s="83" t="n"/>
      <c r="AW61" s="57" t="n"/>
      <c r="AX61" s="58" t="n"/>
      <c r="AY61" s="58" t="n"/>
      <c r="AZ61" s="83" t="n"/>
      <c r="BA61" s="57" t="n"/>
      <c r="BB61" s="58" t="n"/>
      <c r="BC61" s="60" t="n"/>
      <c r="BD61" s="83" t="n"/>
      <c r="BE61" s="41" t="n"/>
      <c r="BF61" s="116" t="n"/>
      <c r="BG61" s="115" t="n"/>
      <c r="BH61" s="83" t="n"/>
      <c r="BI61" s="57" t="n"/>
      <c r="BJ61" s="58" t="n"/>
      <c r="BK61" s="58" t="n"/>
      <c r="BL61" s="83" t="n"/>
      <c r="BM61" s="57" t="n"/>
      <c r="BN61" s="58" t="n"/>
      <c r="BO61" s="58" t="n"/>
      <c r="BP61" s="83" t="n"/>
      <c r="BQ61" s="57" t="n"/>
      <c r="BR61" s="58" t="n"/>
      <c r="BS61" s="58" t="n"/>
      <c r="BT61" s="83" t="n"/>
      <c r="BU61" s="57" t="n"/>
      <c r="BV61" s="58" t="n"/>
      <c r="BW61" s="60" t="n"/>
      <c r="BX61" s="83" t="n"/>
      <c r="BY61" s="41" t="n"/>
      <c r="BZ61" s="41" t="n"/>
      <c r="CA61" s="41" t="n"/>
      <c r="CB61" s="83" t="n"/>
      <c r="CC61" s="41" t="n"/>
      <c r="CD61" s="116" t="n"/>
      <c r="CE61" s="115" t="n"/>
      <c r="CF61" s="83" t="n"/>
      <c r="CG61" s="57" t="n"/>
      <c r="CH61" s="58" t="n"/>
      <c r="CI61" s="58" t="n"/>
      <c r="CJ61" s="83" t="n"/>
      <c r="CK61" s="57" t="n"/>
      <c r="CL61" s="58" t="n"/>
      <c r="CM61" s="58" t="n"/>
      <c r="CN61" s="83" t="n"/>
      <c r="CO61" s="57" t="n"/>
      <c r="CP61" s="58" t="n"/>
      <c r="CQ61" s="58" t="n"/>
      <c r="CR61" s="83" t="n"/>
      <c r="CS61" s="57" t="n"/>
      <c r="CT61" s="58" t="n"/>
      <c r="CU61" s="58" t="n"/>
      <c r="CV61" s="83" t="n"/>
      <c r="CW61" s="57" t="n"/>
      <c r="CX61" s="58" t="n"/>
      <c r="CY61" s="58" t="n"/>
      <c r="CZ61" s="83" t="n"/>
      <c r="DA61" s="57" t="n"/>
      <c r="DB61" s="58" t="n"/>
      <c r="DC61" s="58" t="n"/>
      <c r="DD61" s="83" t="n"/>
      <c r="DE61" s="57" t="n"/>
      <c r="DF61" s="58" t="n"/>
      <c r="DG61" s="60" t="n"/>
      <c r="DH61" s="83" t="n"/>
      <c r="DI61" s="41" t="n"/>
      <c r="DJ61" s="116" t="n"/>
      <c r="DK61" s="116" t="n"/>
      <c r="DL61" s="83" t="n"/>
      <c r="DM61" s="41" t="n"/>
      <c r="DN61" s="58" t="n"/>
      <c r="DO61" s="58" t="n"/>
      <c r="DP61" s="83" t="n"/>
      <c r="DQ61" s="57" t="n"/>
      <c r="DR61" s="61" t="n"/>
      <c r="DS61" s="62" t="n"/>
      <c r="DT61" s="83" t="n"/>
      <c r="DU61" s="41" t="n"/>
      <c r="DV61" s="61">
        <f>SUM(H61,L61,P61,T61,X61,AB61,AF61,AJ61,AN61,AR61,AV61,AZ61,BD61,BH61,BL61,BP61,BT61,BX61,CB61,CF61,CJ61,CN61,CR61,CV61,CZ61,DD61,DH61,DL61,DP61,DT61)</f>
        <v/>
      </c>
      <c r="DW61" s="62">
        <f>SUM(I61,M61,Q61,U61,Y61,AC61,AG61,AK61,AO61,AS61,AW61,BA61,BE61,BI61,BM61,BQ61,BU61,BY61,CC61,CG61,CK61,CO61,CS61,CW61,DA61,DE61,DI61,DM61,DQ61,DU61)</f>
        <v/>
      </c>
      <c r="DX61" s="83" t="n"/>
      <c r="DY61" s="41" t="n"/>
      <c r="DZ61" s="84" t="n"/>
      <c r="EA61" s="84" t="n"/>
      <c r="EB61" s="84" t="n"/>
      <c r="EC61" s="84" t="n"/>
      <c r="ED61" s="84" t="n"/>
      <c r="EE61" s="84" t="n"/>
      <c r="EF61" s="84" t="n"/>
      <c r="EG61" s="84" t="n"/>
      <c r="EH61" s="84" t="n"/>
      <c r="EI61" s="84" t="n"/>
      <c r="EJ61" s="84" t="n"/>
      <c r="EK61" s="84" t="n"/>
      <c r="EL61" s="84" t="n"/>
      <c r="EM61" s="84" t="n"/>
      <c r="EN61" s="84" t="n"/>
      <c r="EO61" s="84" t="n"/>
      <c r="EP61" s="84" t="n"/>
      <c r="EQ61" s="84" t="n"/>
      <c r="ER61" s="84" t="n"/>
      <c r="ES61" s="84" t="n"/>
      <c r="ET61" s="84" t="n"/>
      <c r="EU61" s="84" t="n"/>
      <c r="EV61" s="84" t="n"/>
      <c r="EW61" s="84" t="n"/>
      <c r="EX61" s="84" t="n"/>
      <c r="EY61" s="84" t="n"/>
      <c r="EZ61" s="84" t="n"/>
      <c r="FA61" s="84" t="n"/>
      <c r="FB61" s="84" t="n"/>
      <c r="FC61" s="84" t="n"/>
      <c r="FD61" s="84" t="n"/>
      <c r="FE61" s="84" t="n"/>
    </row>
    <row r="62" ht="59" customFormat="1" customHeight="1" s="54">
      <c r="A62" s="55" t="inlineStr">
        <is>
          <t>五楼</t>
        </is>
      </c>
      <c r="B62" s="56" t="inlineStr">
        <is>
          <t>漆娇</t>
        </is>
      </c>
      <c r="C62" s="41" t="inlineStr">
        <is>
          <t>54</t>
        </is>
      </c>
      <c r="D62" s="41" t="n"/>
      <c r="E62" s="57" t="n"/>
      <c r="F62" s="115" t="n">
        <v>0.35</v>
      </c>
      <c r="G62" s="58" t="n">
        <v>0.7368055555555556</v>
      </c>
      <c r="H62" s="83">
        <f>MOD(G62-F62,1)*24</f>
        <v/>
      </c>
      <c r="I62" s="57" t="n">
        <v>1</v>
      </c>
      <c r="J62" s="58" t="n">
        <v>0.3451388888888889</v>
      </c>
      <c r="K62" s="58" t="n">
        <v>0.7375</v>
      </c>
      <c r="L62" s="83">
        <f>MOD(K62-J62,1)*24</f>
        <v/>
      </c>
      <c r="M62" s="57" t="n">
        <v>1</v>
      </c>
      <c r="N62" s="58" t="n">
        <v>0.3451388888888889</v>
      </c>
      <c r="O62" s="58" t="n">
        <v>0.7375</v>
      </c>
      <c r="P62" s="83">
        <f>MOD(O62-N62,1)*24</f>
        <v/>
      </c>
      <c r="Q62" s="57" t="n">
        <v>1</v>
      </c>
      <c r="R62" s="58" t="n"/>
      <c r="S62" s="58" t="n"/>
      <c r="T62" s="83" t="n"/>
      <c r="U62" s="57" t="n"/>
      <c r="V62" s="58" t="n"/>
      <c r="W62" s="58" t="n"/>
      <c r="X62" s="83" t="n"/>
      <c r="Y62" s="57" t="n"/>
      <c r="Z62" s="58" t="n">
        <v>0.3506944444444444</v>
      </c>
      <c r="AA62" s="60" t="n">
        <v>0.7368055555555556</v>
      </c>
      <c r="AB62" s="83">
        <f>MOD(AA62-Z62,1)*24</f>
        <v/>
      </c>
      <c r="AC62" s="41" t="n">
        <v>1</v>
      </c>
      <c r="AD62" s="116" t="n">
        <v>0.3430555555555556</v>
      </c>
      <c r="AE62" s="117" t="n">
        <v>0.7375</v>
      </c>
      <c r="AF62" s="83">
        <f>MOD(AE62-AD62,1)*24</f>
        <v/>
      </c>
      <c r="AG62" s="57" t="n">
        <v>1</v>
      </c>
      <c r="AH62" s="58" t="n">
        <v>0.35</v>
      </c>
      <c r="AI62" s="58" t="n">
        <v>0.7402777777777778</v>
      </c>
      <c r="AJ62" s="83">
        <f>MOD(AI62-AH62,1)*24</f>
        <v/>
      </c>
      <c r="AK62" s="57" t="n">
        <v>1</v>
      </c>
      <c r="AL62" s="58" t="n">
        <v>0.3458333333333333</v>
      </c>
      <c r="AM62" s="58" t="n">
        <v>0.7388888888888889</v>
      </c>
      <c r="AN62" s="83">
        <f>MOD(AM62-AL62,1)*24</f>
        <v/>
      </c>
      <c r="AO62" s="57" t="n">
        <v>1</v>
      </c>
      <c r="AP62" s="58" t="n">
        <v>0.3472222222222222</v>
      </c>
      <c r="AQ62" s="58" t="n">
        <v>0.7979166666666667</v>
      </c>
      <c r="AR62" s="83">
        <f>MOD(AQ62-AP62,1)*24</f>
        <v/>
      </c>
      <c r="AS62" s="57" t="n">
        <v>1</v>
      </c>
      <c r="AT62" s="58" t="n">
        <v>0.3451388888888889</v>
      </c>
      <c r="AU62" s="58" t="n">
        <v>0.7375</v>
      </c>
      <c r="AV62" s="83">
        <f>MOD(AU62-AT62,1)*24</f>
        <v/>
      </c>
      <c r="AW62" s="57" t="n">
        <v>1</v>
      </c>
      <c r="AX62" s="58" t="n"/>
      <c r="AY62" s="58" t="n"/>
      <c r="AZ62" s="83" t="n"/>
      <c r="BA62" s="57" t="n"/>
      <c r="BB62" s="58" t="n">
        <v>0.3402777777777778</v>
      </c>
      <c r="BC62" s="60" t="n">
        <v>0.7541666666666667</v>
      </c>
      <c r="BD62" s="83">
        <f>MOD(BC62-BB62,1)*24</f>
        <v/>
      </c>
      <c r="BE62" s="41" t="n">
        <v>1</v>
      </c>
      <c r="BF62" s="116" t="n">
        <v>0.3479166666666667</v>
      </c>
      <c r="BG62" s="115" t="n">
        <v>0.7583333333333333</v>
      </c>
      <c r="BH62" s="83">
        <f>MOD(BG62-BF62,1)*24</f>
        <v/>
      </c>
      <c r="BI62" s="57" t="n">
        <v>1</v>
      </c>
      <c r="BJ62" s="58" t="n">
        <v>0.3479166666666667</v>
      </c>
      <c r="BK62" s="58" t="n">
        <v>0.7409722222222223</v>
      </c>
      <c r="BL62" s="83">
        <f>MOD(BK62-BJ62,1)*24</f>
        <v/>
      </c>
      <c r="BM62" s="57" t="n">
        <v>1</v>
      </c>
      <c r="BN62" s="58" t="n">
        <v>0.3451388888888889</v>
      </c>
      <c r="BO62" s="58" t="n">
        <v>0.7423611111111111</v>
      </c>
      <c r="BP62" s="83">
        <f>MOD(BO62-BN62,1)*24</f>
        <v/>
      </c>
      <c r="BQ62" s="57" t="n">
        <v>1</v>
      </c>
      <c r="BR62" s="58" t="n">
        <v>0.3486111111111111</v>
      </c>
      <c r="BS62" s="58" t="n">
        <v>0.7409722222222223</v>
      </c>
      <c r="BT62" s="83">
        <f>MOD(BS62-BR62,1)*24</f>
        <v/>
      </c>
      <c r="BU62" s="57" t="n">
        <v>1</v>
      </c>
      <c r="BV62" s="58" t="n">
        <v>0.3291666666666667</v>
      </c>
      <c r="BW62" s="60" t="n">
        <v>0.7770833333333333</v>
      </c>
      <c r="BX62" s="83">
        <f>MOD(BW62-BV62,1)*24</f>
        <v/>
      </c>
      <c r="BY62" s="41" t="n">
        <v>1</v>
      </c>
      <c r="BZ62" s="41" t="n"/>
      <c r="CA62" s="41" t="n"/>
      <c r="CB62" s="83" t="n"/>
      <c r="CC62" s="41" t="n"/>
      <c r="CD62" s="116" t="n">
        <v>0.3375</v>
      </c>
      <c r="CE62" s="115" t="n">
        <v>0.7493055555555556</v>
      </c>
      <c r="CF62" s="83">
        <f>MOD(CE62-CD62,1)*24</f>
        <v/>
      </c>
      <c r="CG62" s="57" t="n">
        <v>1</v>
      </c>
      <c r="CH62" s="58" t="n">
        <v>0.3506944444444444</v>
      </c>
      <c r="CI62" s="58" t="n">
        <v>0.7409722222222223</v>
      </c>
      <c r="CJ62" s="83">
        <f>MOD(CI62-CH62,1)*24</f>
        <v/>
      </c>
      <c r="CK62" s="57" t="n">
        <v>1</v>
      </c>
      <c r="CL62" s="58" t="n">
        <v>0.3451388888888889</v>
      </c>
      <c r="CM62" s="58" t="n">
        <v>0.7409722222222223</v>
      </c>
      <c r="CN62" s="83">
        <f>MOD(CM62-CL62,1)*24</f>
        <v/>
      </c>
      <c r="CO62" s="57" t="n">
        <v>1</v>
      </c>
      <c r="CP62" s="58" t="n">
        <v>0.3361111111111111</v>
      </c>
      <c r="CQ62" s="58" t="n">
        <v>0.7472222222222222</v>
      </c>
      <c r="CR62" s="83">
        <f>MOD(CQ62-CP62,1)*24</f>
        <v/>
      </c>
      <c r="CS62" s="57" t="n">
        <v>1</v>
      </c>
      <c r="CT62" s="58" t="n">
        <v>0.3479166666666667</v>
      </c>
      <c r="CU62" s="58" t="n">
        <v>0.7576388888888889</v>
      </c>
      <c r="CV62" s="83">
        <f>MOD(CU62-CT62,1)*24</f>
        <v/>
      </c>
      <c r="CW62" s="57" t="n">
        <v>1</v>
      </c>
      <c r="CX62" s="58" t="n"/>
      <c r="CY62" s="58" t="n"/>
      <c r="CZ62" s="83" t="n"/>
      <c r="DA62" s="57" t="n"/>
      <c r="DB62" s="58" t="n">
        <v>0.3472222222222222</v>
      </c>
      <c r="DC62" s="58" t="n">
        <v>0.7361111111111112</v>
      </c>
      <c r="DD62" s="83">
        <f>MOD(DC62-DB62,1)*24</f>
        <v/>
      </c>
      <c r="DE62" s="57" t="n">
        <v>1</v>
      </c>
      <c r="DF62" s="58" t="n">
        <v>0.3423611111111111</v>
      </c>
      <c r="DG62" s="60" t="n">
        <v>0.7388888888888889</v>
      </c>
      <c r="DH62" s="83">
        <f>MOD(DG62-DF62,1)*24</f>
        <v/>
      </c>
      <c r="DI62" s="41" t="n">
        <v>1</v>
      </c>
      <c r="DJ62" s="116" t="n">
        <v>0.3479166666666667</v>
      </c>
      <c r="DK62" s="116" t="n">
        <v>0.7375</v>
      </c>
      <c r="DL62" s="83">
        <f>MOD(DK62-DJ62,1)*24</f>
        <v/>
      </c>
      <c r="DM62" s="41" t="n">
        <v>1</v>
      </c>
      <c r="DN62" s="58" t="n">
        <v>0.3465277777777778</v>
      </c>
      <c r="DO62" s="58" t="n">
        <v>0.7395833333333334</v>
      </c>
      <c r="DP62" s="83">
        <f>MOD(DO62-DN62,1)*24</f>
        <v/>
      </c>
      <c r="DQ62" s="57" t="n">
        <v>1</v>
      </c>
      <c r="DR62" s="61" t="n">
        <v>0.3430555555555556</v>
      </c>
      <c r="DS62" s="62" t="n">
        <v>0.7381944444444445</v>
      </c>
      <c r="DT62" s="83">
        <f>MOD(DS62-DR62,1)*24</f>
        <v/>
      </c>
      <c r="DU62" s="41" t="n">
        <v>1</v>
      </c>
      <c r="DV62" s="61">
        <f>SUM(H62,L62,P62,T62,X62,AB62,AF62,AJ62,AN62,AR62,AV62,AZ62,BD62,BH62,BL62,BP62,BT62,BX62,CB62,CF62,CJ62,CN62,CR62,CV62,CZ62,DD62,DH62,DL62,DP62,DT62)</f>
        <v/>
      </c>
      <c r="DW62" s="62">
        <f>SUM(I62,M62,Q62,U62,Y62,AC62,AG62,AK62,AO62,AS62,AW62,BA62,BE62,BI62,BM62,BQ62,BU62,BY62,CC62,CG62,CK62,CO62,CS62,CW62,DA62,DE62,DI62,DM62,DQ62,DU62)</f>
        <v/>
      </c>
      <c r="DX62" s="83" t="n"/>
      <c r="DY62" s="41" t="n"/>
      <c r="DZ62" s="84" t="n"/>
      <c r="EA62" s="84" t="n"/>
      <c r="EB62" s="84" t="n"/>
      <c r="EC62" s="84" t="n"/>
      <c r="ED62" s="84" t="n"/>
      <c r="EE62" s="84" t="n"/>
      <c r="EF62" s="84" t="n"/>
      <c r="EG62" s="84" t="n"/>
      <c r="EH62" s="84" t="n"/>
      <c r="EI62" s="84" t="n"/>
      <c r="EJ62" s="84" t="n"/>
      <c r="EK62" s="84" t="n"/>
      <c r="EL62" s="84" t="n"/>
      <c r="EM62" s="84" t="n"/>
      <c r="EN62" s="84" t="n"/>
      <c r="EO62" s="84" t="n"/>
      <c r="EP62" s="84" t="n"/>
      <c r="EQ62" s="84" t="n"/>
      <c r="ER62" s="84" t="n"/>
      <c r="ES62" s="84" t="n"/>
      <c r="ET62" s="84" t="n"/>
      <c r="EU62" s="84" t="n"/>
      <c r="EV62" s="84" t="n"/>
      <c r="EW62" s="84" t="n"/>
      <c r="EX62" s="84" t="n"/>
      <c r="EY62" s="84" t="n"/>
      <c r="EZ62" s="84" t="n"/>
      <c r="FA62" s="84" t="n"/>
      <c r="FB62" s="84" t="n"/>
      <c r="FC62" s="84" t="n"/>
      <c r="FD62" s="84" t="n"/>
      <c r="FE62" s="84" t="n"/>
    </row>
    <row r="63" ht="59" customFormat="1" customHeight="1" s="54">
      <c r="A63" s="55" t="inlineStr">
        <is>
          <t>五楼</t>
        </is>
      </c>
      <c r="B63" s="56" t="inlineStr">
        <is>
          <t>唐良基</t>
        </is>
      </c>
      <c r="C63" s="41" t="inlineStr">
        <is>
          <t>55</t>
        </is>
      </c>
      <c r="D63" s="41" t="n"/>
      <c r="E63" s="57" t="n"/>
      <c r="F63" s="115" t="n">
        <v>0.4944444444444445</v>
      </c>
      <c r="G63" s="58" t="n"/>
      <c r="H63" s="83" t="n"/>
      <c r="I63" s="57" t="n">
        <v>0.5</v>
      </c>
      <c r="J63" s="58" t="n">
        <v>0.2625</v>
      </c>
      <c r="K63" s="58" t="n">
        <v>0.7493055555555556</v>
      </c>
      <c r="L63" s="83">
        <f>MOD(K63-J63,1)*24</f>
        <v/>
      </c>
      <c r="M63" s="57" t="n">
        <v>1</v>
      </c>
      <c r="N63" s="58" t="n">
        <v>0.2597222222222222</v>
      </c>
      <c r="O63" s="58" t="n">
        <v>0.7513888888888889</v>
      </c>
      <c r="P63" s="83">
        <f>MOD(O63-N63,1)*24</f>
        <v/>
      </c>
      <c r="Q63" s="57" t="n">
        <v>1</v>
      </c>
      <c r="R63" s="58" t="n">
        <v>0.2583333333333334</v>
      </c>
      <c r="S63" s="58" t="n">
        <v>0.7506944444444444</v>
      </c>
      <c r="T63" s="83">
        <f>MOD(S63-R63,1)*24</f>
        <v/>
      </c>
      <c r="U63" s="57" t="n">
        <v>1</v>
      </c>
      <c r="V63" s="58" t="n">
        <v>0.2708333333333333</v>
      </c>
      <c r="W63" s="58" t="n">
        <v>0.7555555555555555</v>
      </c>
      <c r="X63" s="83">
        <f>MOD(W63-V63,1)*24</f>
        <v/>
      </c>
      <c r="Y63" s="57" t="n">
        <v>1</v>
      </c>
      <c r="Z63" s="58" t="n"/>
      <c r="AA63" s="60" t="n"/>
      <c r="AB63" s="83" t="n"/>
      <c r="AC63" s="41" t="n"/>
      <c r="AD63" s="116" t="n">
        <v>0.2618055555555556</v>
      </c>
      <c r="AE63" s="117" t="n">
        <v>0.7555555555555555</v>
      </c>
      <c r="AF63" s="83">
        <f>MOD(AE63-AD63,1)*24</f>
        <v/>
      </c>
      <c r="AG63" s="57" t="n">
        <v>1</v>
      </c>
      <c r="AH63" s="58" t="n">
        <v>0.2631944444444445</v>
      </c>
      <c r="AI63" s="58" t="n">
        <v>0.7534722222222222</v>
      </c>
      <c r="AJ63" s="83">
        <f>MOD(AI63-AH63,1)*24</f>
        <v/>
      </c>
      <c r="AK63" s="57" t="n">
        <v>1</v>
      </c>
      <c r="AL63" s="58" t="n">
        <v>0.25625</v>
      </c>
      <c r="AM63" s="58" t="n">
        <v>0.7513888888888889</v>
      </c>
      <c r="AN63" s="83">
        <f>MOD(AM63-AL63,1)*24</f>
        <v/>
      </c>
      <c r="AO63" s="57" t="n">
        <v>1</v>
      </c>
      <c r="AP63" s="58" t="n">
        <v>0.2604166666666667</v>
      </c>
      <c r="AQ63" s="58" t="n">
        <v>0.7520833333333333</v>
      </c>
      <c r="AR63" s="83">
        <f>MOD(AQ63-AP63,1)*24</f>
        <v/>
      </c>
      <c r="AS63" s="57" t="n">
        <v>1</v>
      </c>
      <c r="AT63" s="58" t="n">
        <v>0.2708333333333333</v>
      </c>
      <c r="AU63" s="58" t="n">
        <v>0.7506944444444444</v>
      </c>
      <c r="AV63" s="83">
        <f>MOD(AU63-AT63,1)*24</f>
        <v/>
      </c>
      <c r="AW63" s="57" t="n">
        <v>1</v>
      </c>
      <c r="AX63" s="58" t="n">
        <v>0.2604166666666667</v>
      </c>
      <c r="AY63" s="58" t="n">
        <v>0.7513888888888889</v>
      </c>
      <c r="AZ63" s="83">
        <f>MOD(AY63-AX63,1)*24</f>
        <v/>
      </c>
      <c r="BA63" s="57" t="n">
        <v>1</v>
      </c>
      <c r="BB63" s="58" t="n"/>
      <c r="BC63" s="60" t="n"/>
      <c r="BD63" s="83" t="n"/>
      <c r="BE63" s="41" t="n"/>
      <c r="BF63" s="116" t="n">
        <v>0.2604166666666667</v>
      </c>
      <c r="BG63" s="115" t="n">
        <v>0.7513888888888889</v>
      </c>
      <c r="BH63" s="83">
        <f>MOD(BG63-BF63,1)*24</f>
        <v/>
      </c>
      <c r="BI63" s="57" t="n">
        <v>1</v>
      </c>
      <c r="BJ63" s="58" t="n">
        <v>0.2652777777777778</v>
      </c>
      <c r="BK63" s="58" t="n">
        <v>0.7520833333333333</v>
      </c>
      <c r="BL63" s="83">
        <f>MOD(BK63-BJ63,1)*24</f>
        <v/>
      </c>
      <c r="BM63" s="57" t="n">
        <v>1</v>
      </c>
      <c r="BN63" s="58" t="n">
        <v>0.2534722222222222</v>
      </c>
      <c r="BO63" s="58" t="n">
        <v>0.7520833333333333</v>
      </c>
      <c r="BP63" s="83">
        <f>MOD(BO63-BN63,1)*24</f>
        <v/>
      </c>
      <c r="BQ63" s="57" t="n">
        <v>1</v>
      </c>
      <c r="BR63" s="58" t="n">
        <v>0.2597222222222222</v>
      </c>
      <c r="BS63" s="58" t="n">
        <v>0.7513888888888889</v>
      </c>
      <c r="BT63" s="83">
        <f>MOD(BS63-BR63,1)*24</f>
        <v/>
      </c>
      <c r="BU63" s="57" t="n">
        <v>1</v>
      </c>
      <c r="BV63" s="58" t="n">
        <v>0.2631944444444445</v>
      </c>
      <c r="BW63" s="60" t="n">
        <v>0.7513888888888889</v>
      </c>
      <c r="BX63" s="83">
        <f>MOD(BW63-BV63,1)*24</f>
        <v/>
      </c>
      <c r="BY63" s="41" t="n">
        <v>1</v>
      </c>
      <c r="BZ63" s="116" t="n">
        <v>0.2548611111111111</v>
      </c>
      <c r="CA63" s="116" t="n">
        <v>0.7520833333333333</v>
      </c>
      <c r="CB63" s="83">
        <f>MOD(CA63-BZ63,1)*24</f>
        <v/>
      </c>
      <c r="CC63" s="41" t="n">
        <v>1</v>
      </c>
      <c r="CD63" s="116" t="n"/>
      <c r="CE63" s="115" t="n"/>
      <c r="CF63" s="83" t="n"/>
      <c r="CG63" s="57" t="n"/>
      <c r="CH63" s="58" t="n">
        <v>0.25625</v>
      </c>
      <c r="CI63" s="58" t="n">
        <v>0.7486111111111111</v>
      </c>
      <c r="CJ63" s="83">
        <f>MOD(CI63-CH63,1)*24</f>
        <v/>
      </c>
      <c r="CK63" s="57" t="n">
        <v>1</v>
      </c>
      <c r="CL63" s="58" t="n">
        <v>0.2597222222222222</v>
      </c>
      <c r="CM63" s="58" t="n">
        <v>0.7520833333333333</v>
      </c>
      <c r="CN63" s="83">
        <f>MOD(CM63-CL63,1)*24</f>
        <v/>
      </c>
      <c r="CO63" s="57" t="n">
        <v>1</v>
      </c>
      <c r="CP63" s="58" t="n">
        <v>0.2604166666666667</v>
      </c>
      <c r="CQ63" s="58" t="n">
        <v>0.7527777777777778</v>
      </c>
      <c r="CR63" s="83">
        <f>MOD(CQ63-CP63,1)*24</f>
        <v/>
      </c>
      <c r="CS63" s="57" t="n">
        <v>1</v>
      </c>
      <c r="CT63" s="58" t="n">
        <v>0.2645833333333333</v>
      </c>
      <c r="CU63" s="58" t="n">
        <v>0.7527777777777778</v>
      </c>
      <c r="CV63" s="83">
        <f>MOD(CU63-CT63,1)*24</f>
        <v/>
      </c>
      <c r="CW63" s="57" t="n">
        <v>1</v>
      </c>
      <c r="CX63" s="58" t="n">
        <v>0.2597222222222222</v>
      </c>
      <c r="CY63" s="58" t="n">
        <v>0.7520833333333333</v>
      </c>
      <c r="CZ63" s="83">
        <f>MOD(CY63-CX63,1)*24</f>
        <v/>
      </c>
      <c r="DA63" s="57" t="n">
        <v>1</v>
      </c>
      <c r="DB63" s="58" t="n">
        <v>0.2625</v>
      </c>
      <c r="DC63" s="58" t="n">
        <v>0.7506944444444444</v>
      </c>
      <c r="DD63" s="83">
        <f>MOD(DC63-DB63,1)*24</f>
        <v/>
      </c>
      <c r="DE63" s="57" t="n">
        <v>1</v>
      </c>
      <c r="DF63" s="58" t="n"/>
      <c r="DG63" s="60" t="n"/>
      <c r="DH63" s="83" t="n"/>
      <c r="DI63" s="41" t="n"/>
      <c r="DJ63" s="116" t="n">
        <v>0.2569444444444444</v>
      </c>
      <c r="DK63" s="116" t="n">
        <v>0.7527777777777778</v>
      </c>
      <c r="DL63" s="83">
        <f>MOD(DK63-DJ63,1)*24</f>
        <v/>
      </c>
      <c r="DM63" s="41" t="n">
        <v>1</v>
      </c>
      <c r="DN63" s="58" t="n">
        <v>0.2597222222222222</v>
      </c>
      <c r="DO63" s="58" t="n">
        <v>0.7520833333333333</v>
      </c>
      <c r="DP63" s="83">
        <f>MOD(DO63-DN63,1)*24</f>
        <v/>
      </c>
      <c r="DQ63" s="57" t="n">
        <v>1</v>
      </c>
      <c r="DR63" s="61" t="n">
        <v>0.2618055555555556</v>
      </c>
      <c r="DS63" s="62" t="n">
        <v>0.7555555555555555</v>
      </c>
      <c r="DT63" s="83">
        <f>MOD(DS63-DR63,1)*24</f>
        <v/>
      </c>
      <c r="DU63" s="41" t="n">
        <v>1</v>
      </c>
      <c r="DV63" s="61">
        <f>SUM(H63,L63,P63,T63,X63,AB63,AF63,AJ63,AN63,AR63,AV63,AZ63,BD63,BH63,BL63,BP63,BT63,BX63,CB63,CF63,CJ63,CN63,CR63,CV63,CZ63,DD63,DH63,DL63,DP63,DT63)</f>
        <v/>
      </c>
      <c r="DW63" s="62">
        <f>SUM(I63,M63,Q63,U63,Y63,AC63,AG63,AK63,AO63,AS63,AW63,BA63,BE63,BI63,BM63,BQ63,BU63,BY63,CC63,CG63,CK63,CO63,CS63,CW63,DA63,DE63,DI63,DM63,DQ63,DU63)</f>
        <v/>
      </c>
      <c r="DX63" s="83" t="n"/>
      <c r="DY63" s="41" t="n"/>
      <c r="DZ63" s="84" t="n"/>
      <c r="EA63" s="84" t="n"/>
      <c r="EB63" s="84" t="inlineStr">
        <is>
          <t>只打一次卡</t>
        </is>
      </c>
      <c r="EC63" s="84" t="n"/>
      <c r="ED63" s="84" t="n"/>
      <c r="EE63" s="84" t="n"/>
      <c r="EF63" s="84" t="n"/>
      <c r="EG63" s="84" t="n"/>
      <c r="EH63" s="84" t="n"/>
      <c r="EI63" s="84" t="n"/>
      <c r="EJ63" s="84" t="n"/>
      <c r="EK63" s="84" t="n"/>
      <c r="EL63" s="84" t="n"/>
      <c r="EM63" s="84" t="n"/>
      <c r="EN63" s="84" t="n"/>
      <c r="EO63" s="84" t="n"/>
      <c r="EP63" s="84" t="n"/>
      <c r="EQ63" s="84" t="n"/>
      <c r="ER63" s="84" t="n"/>
      <c r="ES63" s="84" t="n"/>
      <c r="ET63" s="84" t="n"/>
      <c r="EU63" s="84" t="n"/>
      <c r="EV63" s="84" t="n"/>
      <c r="EW63" s="84" t="n"/>
      <c r="EX63" s="84" t="n"/>
      <c r="EY63" s="84" t="n"/>
      <c r="EZ63" s="84" t="n"/>
      <c r="FA63" s="84" t="n"/>
      <c r="FB63" s="84" t="n"/>
      <c r="FC63" s="84" t="n"/>
      <c r="FD63" s="84" t="n"/>
      <c r="FE63" s="84" t="n"/>
    </row>
    <row r="64" ht="59" customFormat="1" customHeight="1" s="54">
      <c r="A64" s="55" t="inlineStr">
        <is>
          <t>五楼</t>
        </is>
      </c>
      <c r="B64" s="56" t="inlineStr">
        <is>
          <t>刘明</t>
        </is>
      </c>
      <c r="C64" s="41" t="inlineStr">
        <is>
          <t>56</t>
        </is>
      </c>
      <c r="D64" s="41" t="n"/>
      <c r="E64" s="57" t="n"/>
      <c r="F64" s="115" t="n">
        <v>0.4875</v>
      </c>
      <c r="G64" s="58" t="n">
        <v>0.7513888888888889</v>
      </c>
      <c r="H64" s="83">
        <f>MOD(G64-F64,1)*24</f>
        <v/>
      </c>
      <c r="I64" s="57" t="n">
        <v>0.5</v>
      </c>
      <c r="J64" s="58" t="n">
        <v>0.2513888888888889</v>
      </c>
      <c r="K64" s="58" t="n">
        <v>0.7625</v>
      </c>
      <c r="L64" s="83">
        <f>MOD(K64-J64,1)*24</f>
        <v/>
      </c>
      <c r="M64" s="57" t="n">
        <v>1</v>
      </c>
      <c r="N64" s="58" t="n">
        <v>0.2465277777777778</v>
      </c>
      <c r="O64" s="58" t="n">
        <v>0.7465277777777778</v>
      </c>
      <c r="P64" s="83">
        <f>MOD(O64-N64,1)*24</f>
        <v/>
      </c>
      <c r="Q64" s="57" t="n">
        <v>1</v>
      </c>
      <c r="R64" s="58" t="n">
        <v>0.2569444444444444</v>
      </c>
      <c r="S64" s="58" t="n">
        <v>0.7486111111111111</v>
      </c>
      <c r="T64" s="83">
        <f>MOD(S64-R64,1)*24</f>
        <v/>
      </c>
      <c r="U64" s="57" t="n">
        <v>1</v>
      </c>
      <c r="V64" s="58" t="n">
        <v>0.2527777777777778</v>
      </c>
      <c r="W64" s="58" t="n">
        <v>0.7458333333333333</v>
      </c>
      <c r="X64" s="83">
        <f>MOD(W64-V64,1)*24</f>
        <v/>
      </c>
      <c r="Y64" s="57" t="n">
        <v>1</v>
      </c>
      <c r="Z64" s="58" t="n">
        <v>0.2388888888888889</v>
      </c>
      <c r="AA64" s="60" t="n">
        <v>0.7361111111111112</v>
      </c>
      <c r="AB64" s="83">
        <f>MOD(AA64-Z64,1)*24</f>
        <v/>
      </c>
      <c r="AC64" s="41" t="n">
        <v>1</v>
      </c>
      <c r="AD64" s="116" t="n">
        <v>0.2576388888888889</v>
      </c>
      <c r="AE64" s="117" t="n">
        <v>0.7479166666666667</v>
      </c>
      <c r="AF64" s="83">
        <f>MOD(AE64-AD64,1)*24</f>
        <v/>
      </c>
      <c r="AG64" s="57" t="n">
        <v>1</v>
      </c>
      <c r="AH64" s="58" t="n">
        <v>0.2548611111111111</v>
      </c>
      <c r="AI64" s="58" t="n">
        <v>0.7479166666666667</v>
      </c>
      <c r="AJ64" s="83">
        <f>MOD(AI64-AH64,1)*24</f>
        <v/>
      </c>
      <c r="AK64" s="57" t="n">
        <v>1</v>
      </c>
      <c r="AL64" s="58" t="n">
        <v>0.2479166666666667</v>
      </c>
      <c r="AM64" s="58" t="n">
        <v>0.7479166666666667</v>
      </c>
      <c r="AN64" s="83">
        <f>MOD(AM64-AL64,1)*24</f>
        <v/>
      </c>
      <c r="AO64" s="57" t="n">
        <v>1</v>
      </c>
      <c r="AP64" s="58" t="n">
        <v>0.2555555555555555</v>
      </c>
      <c r="AQ64" s="58" t="n">
        <v>0.7486111111111111</v>
      </c>
      <c r="AR64" s="83">
        <f>MOD(AQ64-AP64,1)*24</f>
        <v/>
      </c>
      <c r="AS64" s="57" t="n">
        <v>1</v>
      </c>
      <c r="AT64" s="58" t="n">
        <v>0.2597222222222222</v>
      </c>
      <c r="AU64" s="58" t="n">
        <v>0.7465277777777778</v>
      </c>
      <c r="AV64" s="83">
        <f>MOD(AU64-AT64,1)*24</f>
        <v/>
      </c>
      <c r="AW64" s="57" t="n">
        <v>1</v>
      </c>
      <c r="AX64" s="58" t="n">
        <v>0.2590277777777778</v>
      </c>
      <c r="AY64" s="58" t="n">
        <v>0.7638888888888888</v>
      </c>
      <c r="AZ64" s="83">
        <f>MOD(AY64-AX64,1)*24</f>
        <v/>
      </c>
      <c r="BA64" s="57" t="n">
        <v>1</v>
      </c>
      <c r="BB64" s="58" t="n">
        <v>0.2347222222222222</v>
      </c>
      <c r="BC64" s="60" t="n">
        <v>0.7388888888888889</v>
      </c>
      <c r="BD64" s="83">
        <f>MOD(BC64-BB64,1)*24</f>
        <v/>
      </c>
      <c r="BE64" s="41" t="n">
        <v>1</v>
      </c>
      <c r="BF64" s="116" t="n">
        <v>0.2527777777777778</v>
      </c>
      <c r="BG64" s="115" t="n">
        <v>0.7486111111111111</v>
      </c>
      <c r="BH64" s="83">
        <f>MOD(BG64-BF64,1)*24</f>
        <v/>
      </c>
      <c r="BI64" s="57" t="n">
        <v>1</v>
      </c>
      <c r="BJ64" s="58" t="n">
        <v>0.2340277777777778</v>
      </c>
      <c r="BK64" s="58" t="n">
        <v>0.7458333333333333</v>
      </c>
      <c r="BL64" s="83">
        <f>MOD(BK64-BJ64,1)*24</f>
        <v/>
      </c>
      <c r="BM64" s="57" t="n">
        <v>1</v>
      </c>
      <c r="BN64" s="58" t="n">
        <v>0.2590277777777778</v>
      </c>
      <c r="BO64" s="58" t="n">
        <v>0.7472222222222222</v>
      </c>
      <c r="BP64" s="83">
        <f>MOD(BO64-BN64,1)*24</f>
        <v/>
      </c>
      <c r="BQ64" s="57" t="n">
        <v>1</v>
      </c>
      <c r="BR64" s="58" t="n">
        <v>0.2597222222222222</v>
      </c>
      <c r="BS64" s="58" t="n">
        <v>0.7472222222222222</v>
      </c>
      <c r="BT64" s="83">
        <f>MOD(BS64-BR64,1)*24</f>
        <v/>
      </c>
      <c r="BU64" s="57" t="n">
        <v>1</v>
      </c>
      <c r="BV64" s="58" t="n">
        <v>0.2569444444444444</v>
      </c>
      <c r="BW64" s="60" t="n">
        <v>0.7493055555555556</v>
      </c>
      <c r="BX64" s="83">
        <f>MOD(BW64-BV64,1)*24</f>
        <v/>
      </c>
      <c r="BY64" s="41" t="n">
        <v>1</v>
      </c>
      <c r="BZ64" s="116" t="n">
        <v>0.2576388888888889</v>
      </c>
      <c r="CA64" s="116" t="n">
        <v>0.7472222222222222</v>
      </c>
      <c r="CB64" s="83">
        <f>MOD(CA64-BZ64,1)*24</f>
        <v/>
      </c>
      <c r="CC64" s="41" t="n">
        <v>1</v>
      </c>
      <c r="CD64" s="116" t="n">
        <v>0.2388888888888889</v>
      </c>
      <c r="CE64" s="115" t="n">
        <v>0.7381944444444445</v>
      </c>
      <c r="CF64" s="83">
        <f>MOD(CE64-CD64,1)*24</f>
        <v/>
      </c>
      <c r="CG64" s="57" t="n">
        <v>1</v>
      </c>
      <c r="CH64" s="58" t="n">
        <v>0.2604166666666667</v>
      </c>
      <c r="CI64" s="58" t="n">
        <v>0.7472222222222222</v>
      </c>
      <c r="CJ64" s="83">
        <f>MOD(CI64-CH64,1)*24</f>
        <v/>
      </c>
      <c r="CK64" s="57" t="n">
        <v>1</v>
      </c>
      <c r="CL64" s="58" t="n">
        <v>0.2569444444444444</v>
      </c>
      <c r="CM64" s="58" t="n">
        <v>0.7458333333333333</v>
      </c>
      <c r="CN64" s="83">
        <f>MOD(CM64-CL64,1)*24</f>
        <v/>
      </c>
      <c r="CO64" s="57" t="n">
        <v>1</v>
      </c>
      <c r="CP64" s="58" t="n">
        <v>0.2534722222222222</v>
      </c>
      <c r="CQ64" s="58" t="n">
        <v>0.7513888888888889</v>
      </c>
      <c r="CR64" s="83">
        <f>MOD(CQ64-CP64,1)*24</f>
        <v/>
      </c>
      <c r="CS64" s="57" t="n">
        <v>1</v>
      </c>
      <c r="CT64" s="58" t="n">
        <v>0.2583333333333334</v>
      </c>
      <c r="CU64" s="58" t="n">
        <v>0.7458333333333333</v>
      </c>
      <c r="CV64" s="83">
        <f>MOD(CU64-CT64,1)*24</f>
        <v/>
      </c>
      <c r="CW64" s="57" t="n">
        <v>1</v>
      </c>
      <c r="CX64" s="58" t="n">
        <v>0.25625</v>
      </c>
      <c r="CY64" s="58" t="n">
        <v>0.75</v>
      </c>
      <c r="CZ64" s="83">
        <f>MOD(CY64-CX64,1)*24</f>
        <v/>
      </c>
      <c r="DA64" s="57" t="n">
        <v>1</v>
      </c>
      <c r="DB64" s="58" t="n">
        <v>0.25625</v>
      </c>
      <c r="DC64" s="58" t="n">
        <v>0.7458333333333333</v>
      </c>
      <c r="DD64" s="83">
        <f>MOD(DC64-DB64,1)*24</f>
        <v/>
      </c>
      <c r="DE64" s="57" t="n">
        <v>1</v>
      </c>
      <c r="DF64" s="58" t="n">
        <v>0.2395833333333333</v>
      </c>
      <c r="DG64" s="60" t="n">
        <v>0.74375</v>
      </c>
      <c r="DH64" s="83">
        <f>MOD(DG64-DF64,1)*24</f>
        <v/>
      </c>
      <c r="DI64" s="41" t="n">
        <v>1</v>
      </c>
      <c r="DJ64" s="116" t="n">
        <v>0.2659722222222222</v>
      </c>
      <c r="DK64" s="116" t="n">
        <v>0.7444444444444445</v>
      </c>
      <c r="DL64" s="83">
        <f>MOD(DK64-DJ64,1)*24</f>
        <v/>
      </c>
      <c r="DM64" s="41" t="n">
        <v>1</v>
      </c>
      <c r="DN64" s="58" t="n">
        <v>0.2548611111111111</v>
      </c>
      <c r="DO64" s="58" t="n">
        <v>0.7465277777777778</v>
      </c>
      <c r="DP64" s="83">
        <f>MOD(DO64-DN64,1)*24</f>
        <v/>
      </c>
      <c r="DQ64" s="57" t="n">
        <v>1</v>
      </c>
      <c r="DR64" s="61" t="n">
        <v>0.2555555555555555</v>
      </c>
      <c r="DS64" s="62" t="n">
        <v>0.7472222222222222</v>
      </c>
      <c r="DT64" s="83">
        <f>MOD(DS64-DR64,1)*24</f>
        <v/>
      </c>
      <c r="DU64" s="41" t="n">
        <v>1</v>
      </c>
      <c r="DV64" s="61">
        <f>SUM(H64,L64,P64,T64,X64,AB64,AF64,AJ64,AN64,AR64,AV64,AZ64,BD64,BH64,BL64,BP64,BT64,BX64,CB64,CF64,CJ64,CN64,CR64,CV64,CZ64,DD64,DH64,DL64,DP64,DT64)</f>
        <v/>
      </c>
      <c r="DW64" s="62">
        <f>SUM(I64,M64,Q64,U64,Y64,AC64,AG64,AK64,AO64,AS64,AW64,BA64,BE64,BI64,BM64,BQ64,BU64,BY64,CC64,CG64,CK64,CO64,CS64,CW64,DA64,DE64,DI64,DM64,DQ64,DU64)</f>
        <v/>
      </c>
      <c r="DX64" s="83" t="n"/>
      <c r="DY64" s="41" t="n"/>
      <c r="DZ64" s="84" t="n"/>
      <c r="EA64" s="84" t="n"/>
      <c r="EB64" s="84" t="inlineStr">
        <is>
          <t>迟到</t>
        </is>
      </c>
      <c r="EC64" s="84" t="n"/>
      <c r="ED64" s="84" t="n"/>
      <c r="EE64" s="84" t="n"/>
      <c r="EF64" s="84" t="n"/>
      <c r="EG64" s="84" t="n"/>
      <c r="EH64" s="84" t="n"/>
      <c r="EI64" s="84" t="n"/>
      <c r="EJ64" s="84" t="n"/>
      <c r="EK64" s="84" t="n"/>
      <c r="EL64" s="84" t="n"/>
      <c r="EM64" s="84" t="n"/>
      <c r="EN64" s="84" t="n"/>
      <c r="EO64" s="84" t="n"/>
      <c r="EP64" s="84" t="n"/>
      <c r="EQ64" s="84" t="n"/>
      <c r="ER64" s="84" t="n"/>
      <c r="ES64" s="84" t="n"/>
      <c r="ET64" s="84" t="n"/>
      <c r="EU64" s="84" t="n"/>
      <c r="EV64" s="84" t="n"/>
      <c r="EW64" s="84" t="n"/>
      <c r="EX64" s="84" t="n"/>
      <c r="EY64" s="84" t="n"/>
      <c r="EZ64" s="84" t="n"/>
      <c r="FA64" s="84" t="n"/>
      <c r="FB64" s="84" t="n"/>
      <c r="FC64" s="84" t="n"/>
      <c r="FD64" s="84" t="n"/>
      <c r="FE64" s="84" t="n"/>
    </row>
    <row r="65" ht="59" customFormat="1" customHeight="1" s="54">
      <c r="A65" s="55" t="inlineStr">
        <is>
          <t>五楼</t>
        </is>
      </c>
      <c r="B65" s="56" t="inlineStr">
        <is>
          <t>高源</t>
        </is>
      </c>
      <c r="C65" s="41" t="inlineStr">
        <is>
          <t>57</t>
        </is>
      </c>
      <c r="D65" s="41" t="n"/>
      <c r="E65" s="57" t="n"/>
      <c r="F65" s="115" t="n">
        <v>0.3486111111111111</v>
      </c>
      <c r="G65" s="58" t="n">
        <v>0.7708333333333334</v>
      </c>
      <c r="H65" s="83">
        <f>MOD(G65-F65,1)*24</f>
        <v/>
      </c>
      <c r="I65" s="57" t="n">
        <v>1</v>
      </c>
      <c r="J65" s="58" t="n">
        <v>0.3465277777777778</v>
      </c>
      <c r="K65" s="58" t="n">
        <v>0.7770833333333333</v>
      </c>
      <c r="L65" s="83">
        <f>MOD(K65-J65,1)*24</f>
        <v/>
      </c>
      <c r="M65" s="57" t="n">
        <v>0.5</v>
      </c>
      <c r="N65" s="58" t="n">
        <v>0.3465277777777778</v>
      </c>
      <c r="O65" s="58" t="n">
        <v>0.7708333333333334</v>
      </c>
      <c r="P65" s="83">
        <f>MOD(O65-N65,1)*24</f>
        <v/>
      </c>
      <c r="Q65" s="57" t="n">
        <v>1</v>
      </c>
      <c r="R65" s="58" t="n">
        <v>0.3479166666666667</v>
      </c>
      <c r="S65" s="58" t="n">
        <v>0.7645833333333333</v>
      </c>
      <c r="T65" s="83">
        <f>MOD(S65-R65,1)*24</f>
        <v/>
      </c>
      <c r="U65" s="57" t="n">
        <v>1</v>
      </c>
      <c r="V65" s="58" t="n"/>
      <c r="W65" s="58" t="n"/>
      <c r="X65" s="83" t="n"/>
      <c r="Y65" s="57" t="n"/>
      <c r="Z65" s="58" t="n"/>
      <c r="AA65" s="60" t="n"/>
      <c r="AB65" s="83" t="n"/>
      <c r="AC65" s="41" t="n"/>
      <c r="AD65" s="116" t="n">
        <v>0.3451388888888889</v>
      </c>
      <c r="AE65" s="117" t="n">
        <v>0.7868055555555555</v>
      </c>
      <c r="AF65" s="83">
        <f>MOD(AE65-AD65,1)*24</f>
        <v/>
      </c>
      <c r="AG65" s="57" t="n">
        <v>0.5</v>
      </c>
      <c r="AH65" s="58" t="n">
        <v>0.3465277777777778</v>
      </c>
      <c r="AI65" s="58" t="n">
        <v>0.7701388888888889</v>
      </c>
      <c r="AJ65" s="83">
        <f>MOD(AI65-AH65,1)*24</f>
        <v/>
      </c>
      <c r="AK65" s="57" t="n">
        <v>1</v>
      </c>
      <c r="AL65" s="58" t="n">
        <v>0.3486111111111111</v>
      </c>
      <c r="AM65" s="58" t="n">
        <v>0.7909722222222222</v>
      </c>
      <c r="AN65" s="83">
        <f>MOD(AM65-AL65,1)*24</f>
        <v/>
      </c>
      <c r="AO65" s="57" t="n">
        <v>1</v>
      </c>
      <c r="AP65" s="58" t="n">
        <v>0.3472222222222222</v>
      </c>
      <c r="AQ65" s="58" t="n">
        <v>0.8416666666666667</v>
      </c>
      <c r="AR65" s="83">
        <f>MOD(AQ65-AP65,1)*24</f>
        <v/>
      </c>
      <c r="AS65" s="57" t="n">
        <v>1</v>
      </c>
      <c r="AT65" s="58" t="n">
        <v>0.3451388888888889</v>
      </c>
      <c r="AU65" s="58" t="n">
        <v>0.7722222222222223</v>
      </c>
      <c r="AV65" s="83">
        <f>MOD(AU65-AT65,1)*24</f>
        <v/>
      </c>
      <c r="AW65" s="57" t="n">
        <v>1</v>
      </c>
      <c r="AX65" s="58" t="n"/>
      <c r="AY65" s="58" t="n"/>
      <c r="AZ65" s="83" t="n"/>
      <c r="BA65" s="57" t="n"/>
      <c r="BB65" s="58" t="n">
        <v>0.3430555555555556</v>
      </c>
      <c r="BC65" s="60" t="n">
        <v>0.8513888888888889</v>
      </c>
      <c r="BD65" s="83">
        <f>MOD(BC65-BB65,1)*24</f>
        <v/>
      </c>
      <c r="BE65" s="41" t="n">
        <v>1</v>
      </c>
      <c r="BF65" s="116" t="n">
        <v>0.3416666666666667</v>
      </c>
      <c r="BG65" s="115" t="n">
        <v>0.8423611111111111</v>
      </c>
      <c r="BH65" s="83">
        <f>MOD(BG65-BF65,1)*24</f>
        <v/>
      </c>
      <c r="BI65" s="57" t="n">
        <v>1</v>
      </c>
      <c r="BJ65" s="58" t="n">
        <v>0.3409722222222222</v>
      </c>
      <c r="BK65" s="58" t="n">
        <v>0.8375</v>
      </c>
      <c r="BL65" s="83">
        <f>MOD(BK65-BJ65,1)*24</f>
        <v/>
      </c>
      <c r="BM65" s="57" t="n">
        <v>1</v>
      </c>
      <c r="BN65" s="58" t="n">
        <v>0.3458333333333333</v>
      </c>
      <c r="BO65" s="58" t="n">
        <v>0.8166666666666667</v>
      </c>
      <c r="BP65" s="83">
        <f>MOD(BO65-BN65,1)*24</f>
        <v/>
      </c>
      <c r="BQ65" s="57" t="n">
        <v>1</v>
      </c>
      <c r="BR65" s="58" t="n">
        <v>0.3458333333333333</v>
      </c>
      <c r="BS65" s="58" t="n">
        <v>0.8708333333333333</v>
      </c>
      <c r="BT65" s="83">
        <f>MOD(BS65-BR65,1)*24</f>
        <v/>
      </c>
      <c r="BU65" s="57" t="n">
        <v>1</v>
      </c>
      <c r="BV65" s="58" t="n">
        <v>0.3451388888888889</v>
      </c>
      <c r="BW65" s="60" t="n">
        <v>0.7604166666666666</v>
      </c>
      <c r="BX65" s="83">
        <f>MOD(BW65-BV65,1)*24</f>
        <v/>
      </c>
      <c r="BY65" s="41" t="n">
        <v>1</v>
      </c>
      <c r="BZ65" s="41" t="n"/>
      <c r="CA65" s="41" t="n"/>
      <c r="CB65" s="83" t="n"/>
      <c r="CC65" s="41" t="n"/>
      <c r="CD65" s="116" t="n">
        <v>0.3458333333333333</v>
      </c>
      <c r="CE65" s="115" t="n">
        <v>0.8111111111111111</v>
      </c>
      <c r="CF65" s="83">
        <f>MOD(CE65-CD65,1)*24</f>
        <v/>
      </c>
      <c r="CG65" s="57" t="n">
        <v>1</v>
      </c>
      <c r="CH65" s="58" t="n">
        <v>0.3458333333333333</v>
      </c>
      <c r="CI65" s="58" t="n">
        <v>0.7555555555555555</v>
      </c>
      <c r="CJ65" s="83">
        <f>MOD(CI65-CH65,1)*24</f>
        <v/>
      </c>
      <c r="CK65" s="57" t="n">
        <v>1</v>
      </c>
      <c r="CL65" s="58" t="n">
        <v>0.3472222222222222</v>
      </c>
      <c r="CM65" s="58" t="n">
        <v>0.7659722222222223</v>
      </c>
      <c r="CN65" s="83">
        <f>MOD(CM65-CL65,1)*24</f>
        <v/>
      </c>
      <c r="CO65" s="57" t="n">
        <v>1</v>
      </c>
      <c r="CP65" s="58" t="n">
        <v>0.3458333333333333</v>
      </c>
      <c r="CQ65" s="58" t="n">
        <v>0.74375</v>
      </c>
      <c r="CR65" s="83">
        <f>MOD(CQ65-CP65,1)*24</f>
        <v/>
      </c>
      <c r="CS65" s="57" t="n">
        <v>1</v>
      </c>
      <c r="CT65" s="58" t="n">
        <v>0.3458333333333333</v>
      </c>
      <c r="CU65" s="58" t="n">
        <v>0.7798611111111111</v>
      </c>
      <c r="CV65" s="83">
        <f>MOD(CU65-CT65,1)*24</f>
        <v/>
      </c>
      <c r="CW65" s="57" t="n">
        <v>1</v>
      </c>
      <c r="CX65" s="58" t="n">
        <v>0.3458333333333333</v>
      </c>
      <c r="CY65" s="58" t="n">
        <v>0.7395833333333334</v>
      </c>
      <c r="CZ65" s="83">
        <f>MOD(CY65-CX65,1)*24</f>
        <v/>
      </c>
      <c r="DA65" s="57" t="n">
        <v>1</v>
      </c>
      <c r="DB65" s="58" t="n"/>
      <c r="DC65" s="58" t="n"/>
      <c r="DD65" s="83" t="n"/>
      <c r="DE65" s="57" t="n"/>
      <c r="DF65" s="58" t="n">
        <v>0.3465277777777778</v>
      </c>
      <c r="DG65" s="60" t="n">
        <v>0.8423611111111111</v>
      </c>
      <c r="DH65" s="83">
        <f>MOD(DG65-DF65,1)*24</f>
        <v/>
      </c>
      <c r="DI65" s="41" t="n">
        <v>1</v>
      </c>
      <c r="DJ65" s="116" t="n">
        <v>0.34375</v>
      </c>
      <c r="DK65" s="116" t="n">
        <v>0.8027777777777778</v>
      </c>
      <c r="DL65" s="83">
        <f>MOD(DK65-DJ65,1)*24</f>
        <v/>
      </c>
      <c r="DM65" s="41" t="n">
        <v>1</v>
      </c>
      <c r="DN65" s="58" t="n">
        <v>0.3486111111111111</v>
      </c>
      <c r="DO65" s="58" t="n">
        <v>0.8263888888888888</v>
      </c>
      <c r="DP65" s="83">
        <f>MOD(DO65-DN65,1)*24</f>
        <v/>
      </c>
      <c r="DQ65" s="57" t="n">
        <v>1</v>
      </c>
      <c r="DR65" s="61" t="n">
        <v>0.34375</v>
      </c>
      <c r="DS65" s="62" t="n">
        <v>0.7416666666666667</v>
      </c>
      <c r="DT65" s="83">
        <f>MOD(DS65-DR65,1)*24</f>
        <v/>
      </c>
      <c r="DU65" s="41" t="n">
        <v>1</v>
      </c>
      <c r="DV65" s="61">
        <f>SUM(H65,L65,P65,T65,X65,AB65,AF65,AJ65,AN65,AR65,AV65,AZ65,BD65,BH65,BL65,BP65,BT65,BX65,CB65,CF65,CJ65,CN65,CR65,CV65,CZ65,DD65,DH65,DL65,DP65,DT65)</f>
        <v/>
      </c>
      <c r="DW65" s="62">
        <f>SUM(I65,M65,Q65,U65,Y65,AC65,AG65,AK65,AO65,AS65,AW65,BA65,BE65,BI65,BM65,BQ65,BU65,BY65,CC65,CG65,CK65,CO65,CS65,CW65,DA65,DE65,DI65,DM65,DQ65,DU65)</f>
        <v/>
      </c>
      <c r="DX65" s="83" t="n"/>
      <c r="DY65" s="41" t="n"/>
      <c r="DZ65" s="84" t="n"/>
      <c r="EA65" s="84" t="n"/>
      <c r="EB65" s="84" t="n"/>
      <c r="EC65" s="84" t="n"/>
      <c r="ED65" s="84" t="n"/>
      <c r="EE65" s="84" t="n"/>
      <c r="EF65" s="84" t="n"/>
      <c r="EG65" s="84" t="n"/>
      <c r="EH65" s="84" t="n"/>
      <c r="EI65" s="84" t="n"/>
      <c r="EJ65" s="84" t="n"/>
      <c r="EK65" s="84" t="n"/>
      <c r="EL65" s="84" t="n"/>
      <c r="EM65" s="84" t="n"/>
      <c r="EN65" s="84" t="n"/>
      <c r="EO65" s="84" t="n"/>
      <c r="EP65" s="84" t="n"/>
      <c r="EQ65" s="84" t="n"/>
      <c r="ER65" s="84" t="n"/>
      <c r="ES65" s="84" t="n"/>
      <c r="ET65" s="84" t="n"/>
      <c r="EU65" s="84" t="n"/>
      <c r="EV65" s="84" t="n"/>
      <c r="EW65" s="84" t="n"/>
      <c r="EX65" s="84" t="n"/>
      <c r="EY65" s="84" t="n"/>
      <c r="EZ65" s="84" t="n"/>
      <c r="FA65" s="84" t="n"/>
      <c r="FB65" s="84" t="n"/>
      <c r="FC65" s="84" t="n"/>
      <c r="FD65" s="84" t="n"/>
      <c r="FE65" s="84" t="n"/>
    </row>
    <row r="66" ht="59" customFormat="1" customHeight="1" s="54">
      <c r="A66" s="55" t="inlineStr">
        <is>
          <t>五楼</t>
        </is>
      </c>
      <c r="B66" s="56" t="inlineStr">
        <is>
          <t>高源</t>
        </is>
      </c>
      <c r="C66" s="41" t="inlineStr">
        <is>
          <t>57</t>
        </is>
      </c>
      <c r="D66" s="41" t="n"/>
      <c r="E66" s="57" t="n"/>
      <c r="F66" s="115" t="n"/>
      <c r="G66" s="58" t="n"/>
      <c r="H66" s="83" t="n"/>
      <c r="I66" s="57" t="n"/>
      <c r="J66" s="58" t="n">
        <v>0.80625</v>
      </c>
      <c r="K66" s="58" t="n"/>
      <c r="L66" s="83" t="n"/>
      <c r="M66" s="57" t="n">
        <v>0.5</v>
      </c>
      <c r="N66" s="58" t="n"/>
      <c r="O66" s="58" t="n"/>
      <c r="P66" s="83" t="n"/>
      <c r="Q66" s="57" t="n"/>
      <c r="R66" s="58" t="n"/>
      <c r="S66" s="58" t="n"/>
      <c r="T66" s="83" t="n"/>
      <c r="U66" s="57" t="n"/>
      <c r="V66" s="58" t="n"/>
      <c r="W66" s="58" t="n"/>
      <c r="X66" s="83" t="n"/>
      <c r="Y66" s="57" t="n"/>
      <c r="Z66" s="58" t="n"/>
      <c r="AA66" s="60" t="n"/>
      <c r="AB66" s="83" t="n"/>
      <c r="AC66" s="41" t="n"/>
      <c r="AD66" s="116" t="n">
        <v>0.8118055555555556</v>
      </c>
      <c r="AE66" s="117" t="n"/>
      <c r="AF66" s="83" t="n"/>
      <c r="AG66" s="57" t="n">
        <v>0.5</v>
      </c>
      <c r="AH66" s="58" t="n"/>
      <c r="AI66" s="58" t="n"/>
      <c r="AJ66" s="83" t="n"/>
      <c r="AK66" s="57" t="n"/>
      <c r="AL66" s="58" t="n"/>
      <c r="AM66" s="58" t="n"/>
      <c r="AN66" s="83" t="n"/>
      <c r="AO66" s="57" t="n"/>
      <c r="AP66" s="58" t="n"/>
      <c r="AQ66" s="58" t="n"/>
      <c r="AR66" s="83" t="n"/>
      <c r="AS66" s="57" t="n"/>
      <c r="AT66" s="58" t="n"/>
      <c r="AU66" s="58" t="n"/>
      <c r="AV66" s="83" t="n"/>
      <c r="AW66" s="57" t="n"/>
      <c r="AX66" s="58" t="n"/>
      <c r="AY66" s="58" t="n"/>
      <c r="AZ66" s="83" t="n"/>
      <c r="BA66" s="57" t="n"/>
      <c r="BB66" s="58" t="n"/>
      <c r="BC66" s="60" t="n"/>
      <c r="BD66" s="83" t="n"/>
      <c r="BE66" s="41" t="n"/>
      <c r="BF66" s="116" t="n"/>
      <c r="BG66" s="115" t="n"/>
      <c r="BH66" s="83" t="n"/>
      <c r="BI66" s="57" t="n"/>
      <c r="BJ66" s="58" t="n"/>
      <c r="BK66" s="58" t="n"/>
      <c r="BL66" s="83" t="n"/>
      <c r="BM66" s="57" t="n"/>
      <c r="BN66" s="58" t="n"/>
      <c r="BO66" s="58" t="n"/>
      <c r="BP66" s="83" t="n"/>
      <c r="BQ66" s="57" t="n"/>
      <c r="BR66" s="58" t="n"/>
      <c r="BS66" s="58" t="n"/>
      <c r="BT66" s="83" t="n"/>
      <c r="BU66" s="57" t="n"/>
      <c r="BV66" s="58" t="n"/>
      <c r="BW66" s="60" t="n"/>
      <c r="BX66" s="83" t="n"/>
      <c r="BY66" s="41" t="n"/>
      <c r="BZ66" s="41" t="n"/>
      <c r="CA66" s="41" t="n"/>
      <c r="CB66" s="83" t="n"/>
      <c r="CC66" s="41" t="n"/>
      <c r="CD66" s="116" t="n"/>
      <c r="CE66" s="115" t="n"/>
      <c r="CF66" s="83" t="n"/>
      <c r="CG66" s="57" t="n"/>
      <c r="CH66" s="58" t="n"/>
      <c r="CI66" s="58" t="n"/>
      <c r="CJ66" s="83" t="n"/>
      <c r="CK66" s="57" t="n"/>
      <c r="CL66" s="58" t="n"/>
      <c r="CM66" s="58" t="n"/>
      <c r="CN66" s="83" t="n"/>
      <c r="CO66" s="57" t="n"/>
      <c r="CP66" s="58" t="n"/>
      <c r="CQ66" s="58" t="n"/>
      <c r="CR66" s="83" t="n"/>
      <c r="CS66" s="57" t="n"/>
      <c r="CT66" s="58" t="n"/>
      <c r="CU66" s="58" t="n"/>
      <c r="CV66" s="83" t="n"/>
      <c r="CW66" s="57" t="n"/>
      <c r="CX66" s="58" t="n"/>
      <c r="CY66" s="58" t="n"/>
      <c r="CZ66" s="83" t="n"/>
      <c r="DA66" s="57" t="n"/>
      <c r="DB66" s="58" t="n"/>
      <c r="DC66" s="58" t="n"/>
      <c r="DD66" s="83" t="n"/>
      <c r="DE66" s="57" t="n"/>
      <c r="DF66" s="58" t="n"/>
      <c r="DG66" s="60" t="n"/>
      <c r="DH66" s="83" t="n"/>
      <c r="DI66" s="41" t="n"/>
      <c r="DJ66" s="116" t="n"/>
      <c r="DK66" s="116" t="n"/>
      <c r="DL66" s="83" t="n"/>
      <c r="DM66" s="41" t="n"/>
      <c r="DN66" s="58" t="n"/>
      <c r="DO66" s="58" t="n"/>
      <c r="DP66" s="83" t="n"/>
      <c r="DQ66" s="57" t="n"/>
      <c r="DR66" s="61" t="n"/>
      <c r="DS66" s="62" t="n"/>
      <c r="DT66" s="83" t="n"/>
      <c r="DU66" s="41" t="n"/>
      <c r="DV66" s="61">
        <f>SUM(H66,L66,P66,T66,X66,AB66,AF66,AJ66,AN66,AR66,AV66,AZ66,BD66,BH66,BL66,BP66,BT66,BX66,CB66,CF66,CJ66,CN66,CR66,CV66,CZ66,DD66,DH66,DL66,DP66,DT66)</f>
        <v/>
      </c>
      <c r="DW66" s="62">
        <f>SUM(I66,M66,Q66,U66,Y66,AC66,AG66,AK66,AO66,AS66,AW66,BA66,BE66,BI66,BM66,BQ66,BU66,BY66,CC66,CG66,CK66,CO66,CS66,CW66,DA66,DE66,DI66,DM66,DQ66,DU66)</f>
        <v/>
      </c>
      <c r="DX66" s="83" t="n"/>
      <c r="DY66" s="41" t="n"/>
      <c r="DZ66" s="84" t="n"/>
      <c r="EA66" s="84" t="n"/>
      <c r="EB66" s="84" t="n"/>
      <c r="EC66" s="84" t="n"/>
      <c r="ED66" s="84" t="n"/>
      <c r="EE66" s="84" t="n"/>
      <c r="EF66" s="84" t="n"/>
      <c r="EG66" s="84" t="n"/>
      <c r="EH66" s="84" t="n"/>
      <c r="EI66" s="84" t="n"/>
      <c r="EJ66" s="84" t="n"/>
      <c r="EK66" s="84" t="n"/>
      <c r="EL66" s="84" t="n"/>
      <c r="EM66" s="84" t="n"/>
      <c r="EN66" s="84" t="n"/>
      <c r="EO66" s="84" t="n"/>
      <c r="EP66" s="84" t="n"/>
      <c r="EQ66" s="84" t="n"/>
      <c r="ER66" s="84" t="n"/>
      <c r="ES66" s="84" t="n"/>
      <c r="ET66" s="84" t="n"/>
      <c r="EU66" s="84" t="n"/>
      <c r="EV66" s="84" t="n"/>
      <c r="EW66" s="84" t="n"/>
      <c r="EX66" s="84" t="n"/>
      <c r="EY66" s="84" t="n"/>
      <c r="EZ66" s="84" t="n"/>
      <c r="FA66" s="84" t="n"/>
      <c r="FB66" s="84" t="n"/>
      <c r="FC66" s="84" t="n"/>
      <c r="FD66" s="84" t="n"/>
      <c r="FE66" s="84" t="n"/>
    </row>
    <row r="67" ht="59" customFormat="1" customHeight="1" s="54">
      <c r="A67" s="55" t="inlineStr">
        <is>
          <t>五楼</t>
        </is>
      </c>
      <c r="B67" s="56" t="inlineStr">
        <is>
          <t>张兴六</t>
        </is>
      </c>
      <c r="C67" s="41" t="inlineStr">
        <is>
          <t>59</t>
        </is>
      </c>
      <c r="D67" s="41" t="n"/>
      <c r="E67" s="57" t="n"/>
      <c r="F67" s="115" t="n">
        <v>0.4958333333333333</v>
      </c>
      <c r="G67" s="58" t="n">
        <v>0.75</v>
      </c>
      <c r="H67" s="83">
        <f>MOD(G67-F67,1)*24</f>
        <v/>
      </c>
      <c r="I67" s="57" t="n">
        <v>0.5</v>
      </c>
      <c r="J67" s="58" t="n">
        <v>0.2486111111111111</v>
      </c>
      <c r="K67" s="58" t="n">
        <v>0.7479166666666667</v>
      </c>
      <c r="L67" s="83">
        <f>MOD(K67-J67,1)*24</f>
        <v/>
      </c>
      <c r="M67" s="57" t="n">
        <v>1</v>
      </c>
      <c r="N67" s="58" t="n">
        <v>0.2416666666666667</v>
      </c>
      <c r="O67" s="58" t="n">
        <v>0.7527777777777778</v>
      </c>
      <c r="P67" s="83">
        <f>MOD(O67-N67,1)*24</f>
        <v/>
      </c>
      <c r="Q67" s="57" t="n">
        <v>1</v>
      </c>
      <c r="R67" s="58" t="n">
        <v>0.2486111111111111</v>
      </c>
      <c r="S67" s="58" t="n">
        <v>0.7479166666666667</v>
      </c>
      <c r="T67" s="83">
        <f>MOD(S67-R67,1)*24</f>
        <v/>
      </c>
      <c r="U67" s="57" t="n">
        <v>1</v>
      </c>
      <c r="V67" s="58" t="n">
        <v>0.2451388888888889</v>
      </c>
      <c r="W67" s="58" t="n">
        <v>0.7486111111111111</v>
      </c>
      <c r="X67" s="83">
        <f>MOD(W67-V67,1)*24</f>
        <v/>
      </c>
      <c r="Y67" s="57" t="n">
        <v>1</v>
      </c>
      <c r="Z67" s="58" t="n">
        <v>0.2472222222222222</v>
      </c>
      <c r="AA67" s="60" t="n">
        <v>0.7451388888888889</v>
      </c>
      <c r="AB67" s="83">
        <f>MOD(AA67-Z67,1)*24</f>
        <v/>
      </c>
      <c r="AC67" s="41" t="n">
        <v>1</v>
      </c>
      <c r="AD67" s="116" t="n">
        <v>0.2458333333333333</v>
      </c>
      <c r="AE67" s="117" t="n">
        <v>0.7444444444444445</v>
      </c>
      <c r="AF67" s="83">
        <f>MOD(AE67-AD67,1)*24</f>
        <v/>
      </c>
      <c r="AG67" s="57" t="n">
        <v>1</v>
      </c>
      <c r="AH67" s="58" t="n">
        <v>0.25</v>
      </c>
      <c r="AI67" s="58" t="n">
        <v>0.7486111111111111</v>
      </c>
      <c r="AJ67" s="83">
        <f>MOD(AI67-AH67,1)*24</f>
        <v/>
      </c>
      <c r="AK67" s="57" t="n">
        <v>1</v>
      </c>
      <c r="AL67" s="58" t="n">
        <v>0.2458333333333333</v>
      </c>
      <c r="AM67" s="58" t="n">
        <v>0.7486111111111111</v>
      </c>
      <c r="AN67" s="83">
        <f>MOD(AM67-AL67,1)*24</f>
        <v/>
      </c>
      <c r="AO67" s="57" t="n">
        <v>1</v>
      </c>
      <c r="AP67" s="58" t="n">
        <v>0.2465277777777778</v>
      </c>
      <c r="AQ67" s="58" t="n">
        <v>0.7479166666666667</v>
      </c>
      <c r="AR67" s="83">
        <f>MOD(AQ67-AP67,1)*24</f>
        <v/>
      </c>
      <c r="AS67" s="57" t="n">
        <v>1</v>
      </c>
      <c r="AT67" s="58" t="n">
        <v>0.2472222222222222</v>
      </c>
      <c r="AU67" s="58" t="n">
        <v>0.7458333333333333</v>
      </c>
      <c r="AV67" s="83">
        <f>MOD(AU67-AT67,1)*24</f>
        <v/>
      </c>
      <c r="AW67" s="57" t="n">
        <v>1</v>
      </c>
      <c r="AX67" s="58" t="n">
        <v>0.25</v>
      </c>
      <c r="AY67" s="58" t="n">
        <v>0.74375</v>
      </c>
      <c r="AZ67" s="83">
        <f>MOD(AY67-AX67,1)*24</f>
        <v/>
      </c>
      <c r="BA67" s="57" t="n">
        <v>1</v>
      </c>
      <c r="BB67" s="58" t="n">
        <v>0.2527777777777778</v>
      </c>
      <c r="BC67" s="60" t="n">
        <v>0.7458333333333333</v>
      </c>
      <c r="BD67" s="83">
        <f>MOD(BC67-BB67,1)*24</f>
        <v/>
      </c>
      <c r="BE67" s="41" t="n">
        <v>1</v>
      </c>
      <c r="BF67" s="116" t="n">
        <v>0.2409722222222222</v>
      </c>
      <c r="BG67" s="115" t="n">
        <v>0.7381944444444445</v>
      </c>
      <c r="BH67" s="83">
        <f>MOD(BG67-BF67,1)*24</f>
        <v/>
      </c>
      <c r="BI67" s="57" t="n">
        <v>1</v>
      </c>
      <c r="BJ67" s="58" t="n">
        <v>0.2423611111111111</v>
      </c>
      <c r="BK67" s="58" t="n">
        <v>0.7444444444444445</v>
      </c>
      <c r="BL67" s="83">
        <f>MOD(BK67-BJ67,1)*24</f>
        <v/>
      </c>
      <c r="BM67" s="57" t="n">
        <v>1</v>
      </c>
      <c r="BN67" s="58" t="n">
        <v>0.2458333333333333</v>
      </c>
      <c r="BO67" s="58" t="n">
        <v>0.7479166666666667</v>
      </c>
      <c r="BP67" s="83">
        <f>MOD(BO67-BN67,1)*24</f>
        <v/>
      </c>
      <c r="BQ67" s="57" t="n">
        <v>1</v>
      </c>
      <c r="BR67" s="58" t="n">
        <v>0.2472222222222222</v>
      </c>
      <c r="BS67" s="58" t="n">
        <v>0.7451388888888889</v>
      </c>
      <c r="BT67" s="83">
        <f>MOD(BS67-BR67,1)*24</f>
        <v/>
      </c>
      <c r="BU67" s="57" t="n">
        <v>1</v>
      </c>
      <c r="BV67" s="58" t="n">
        <v>0.2451388888888889</v>
      </c>
      <c r="BW67" s="60" t="n">
        <v>0.7465277777777778</v>
      </c>
      <c r="BX67" s="83">
        <f>MOD(BW67-BV67,1)*24</f>
        <v/>
      </c>
      <c r="BY67" s="41" t="n">
        <v>1</v>
      </c>
      <c r="BZ67" s="116" t="n">
        <v>0.2465277777777778</v>
      </c>
      <c r="CA67" s="116" t="n">
        <v>0.7659722222222223</v>
      </c>
      <c r="CB67" s="83">
        <f>MOD(CA67-BZ67,1)*24</f>
        <v/>
      </c>
      <c r="CC67" s="41" t="n">
        <v>1</v>
      </c>
      <c r="CD67" s="116" t="n">
        <v>0.2465277777777778</v>
      </c>
      <c r="CE67" s="115" t="n">
        <v>0.7479166666666667</v>
      </c>
      <c r="CF67" s="83">
        <f>MOD(CE67-CD67,1)*24</f>
        <v/>
      </c>
      <c r="CG67" s="57" t="n">
        <v>1</v>
      </c>
      <c r="CH67" s="58" t="n">
        <v>0.2465277777777778</v>
      </c>
      <c r="CI67" s="58" t="n">
        <v>0.74375</v>
      </c>
      <c r="CJ67" s="83">
        <f>MOD(CI67-CH67,1)*24</f>
        <v/>
      </c>
      <c r="CK67" s="57" t="n">
        <v>1</v>
      </c>
      <c r="CL67" s="58" t="n">
        <v>0.2465277777777778</v>
      </c>
      <c r="CM67" s="58" t="n">
        <v>0.7465277777777778</v>
      </c>
      <c r="CN67" s="83">
        <f>MOD(CM67-CL67,1)*24</f>
        <v/>
      </c>
      <c r="CO67" s="57" t="n">
        <v>1</v>
      </c>
      <c r="CP67" s="58" t="n">
        <v>0.2465277777777778</v>
      </c>
      <c r="CQ67" s="58" t="n">
        <v>0.7458333333333333</v>
      </c>
      <c r="CR67" s="83">
        <f>MOD(CQ67-CP67,1)*24</f>
        <v/>
      </c>
      <c r="CS67" s="57" t="n">
        <v>1</v>
      </c>
      <c r="CT67" s="58" t="n">
        <v>0.2472222222222222</v>
      </c>
      <c r="CU67" s="58" t="n">
        <v>0.7444444444444445</v>
      </c>
      <c r="CV67" s="83">
        <f>MOD(CU67-CT67,1)*24</f>
        <v/>
      </c>
      <c r="CW67" s="57" t="n">
        <v>1</v>
      </c>
      <c r="CX67" s="58" t="n">
        <v>0.2465277777777778</v>
      </c>
      <c r="CY67" s="58" t="n">
        <v>0.7444444444444445</v>
      </c>
      <c r="CZ67" s="83">
        <f>MOD(CY67-CX67,1)*24</f>
        <v/>
      </c>
      <c r="DA67" s="57" t="n">
        <v>1</v>
      </c>
      <c r="DB67" s="58" t="n">
        <v>0.2402777777777778</v>
      </c>
      <c r="DC67" s="58" t="n">
        <v>0.7444444444444445</v>
      </c>
      <c r="DD67" s="83">
        <f>MOD(DC67-DB67,1)*24</f>
        <v/>
      </c>
      <c r="DE67" s="57" t="n">
        <v>1</v>
      </c>
      <c r="DF67" s="58" t="n">
        <v>0.2465277777777778</v>
      </c>
      <c r="DG67" s="60" t="n">
        <v>0.7451388888888889</v>
      </c>
      <c r="DH67" s="83">
        <f>MOD(DG67-DF67,1)*24</f>
        <v/>
      </c>
      <c r="DI67" s="41" t="n">
        <v>1</v>
      </c>
      <c r="DJ67" s="116" t="n">
        <v>0.2444444444444444</v>
      </c>
      <c r="DK67" s="116" t="n">
        <v>0.7388888888888889</v>
      </c>
      <c r="DL67" s="83">
        <f>MOD(DK67-DJ67,1)*24</f>
        <v/>
      </c>
      <c r="DM67" s="41" t="n">
        <v>1</v>
      </c>
      <c r="DN67" s="58" t="n">
        <v>0.2465277777777778</v>
      </c>
      <c r="DO67" s="58" t="n">
        <v>0.7458333333333333</v>
      </c>
      <c r="DP67" s="83">
        <f>MOD(DO67-DN67,1)*24</f>
        <v/>
      </c>
      <c r="DQ67" s="57" t="n">
        <v>1</v>
      </c>
      <c r="DR67" s="61" t="n">
        <v>0.2465277777777778</v>
      </c>
      <c r="DS67" s="62" t="n">
        <v>0.7451388888888889</v>
      </c>
      <c r="DT67" s="83">
        <f>MOD(DS67-DR67,1)*24</f>
        <v/>
      </c>
      <c r="DU67" s="41" t="n">
        <v>1</v>
      </c>
      <c r="DV67" s="61">
        <f>SUM(H67,L67,P67,T67,X67,AB67,AF67,AJ67,AN67,AR67,AV67,AZ67,BD67,BH67,BL67,BP67,BT67,BX67,CB67,CF67,CJ67,CN67,CR67,CV67,CZ67,DD67,DH67,DL67,DP67,DT67)</f>
        <v/>
      </c>
      <c r="DW67" s="62">
        <f>SUM(I67,M67,Q67,U67,Y67,AC67,AG67,AK67,AO67,AS67,AW67,BA67,BE67,BI67,BM67,BQ67,BU67,BY67,CC67,CG67,CK67,CO67,CS67,CW67,DA67,DE67,DI67,DM67,DQ67,DU67)</f>
        <v/>
      </c>
      <c r="DX67" s="83" t="n"/>
      <c r="DY67" s="41" t="n"/>
      <c r="DZ67" s="84" t="n"/>
      <c r="EA67" s="84" t="n"/>
      <c r="EB67" s="84" t="inlineStr">
        <is>
          <t>迟到</t>
        </is>
      </c>
      <c r="EC67" s="84" t="n"/>
      <c r="ED67" s="84" t="n"/>
      <c r="EE67" s="84" t="n"/>
      <c r="EF67" s="84" t="n"/>
      <c r="EG67" s="84" t="n"/>
      <c r="EH67" s="84" t="n"/>
      <c r="EI67" s="84" t="n"/>
      <c r="EJ67" s="84" t="n"/>
      <c r="EK67" s="84" t="n"/>
      <c r="EL67" s="84" t="n"/>
      <c r="EM67" s="84" t="n"/>
      <c r="EN67" s="84" t="n"/>
      <c r="EO67" s="84" t="n"/>
      <c r="EP67" s="84" t="n"/>
      <c r="EQ67" s="84" t="n"/>
      <c r="ER67" s="84" t="n"/>
      <c r="ES67" s="84" t="n"/>
      <c r="ET67" s="84" t="n"/>
      <c r="EU67" s="84" t="n"/>
      <c r="EV67" s="84" t="n"/>
      <c r="EW67" s="84" t="n"/>
      <c r="EX67" s="84" t="n"/>
      <c r="EY67" s="84" t="n"/>
      <c r="EZ67" s="84" t="n"/>
      <c r="FA67" s="84" t="n"/>
      <c r="FB67" s="84" t="n"/>
      <c r="FC67" s="84" t="n"/>
      <c r="FD67" s="84" t="n"/>
      <c r="FE67" s="84" t="n"/>
    </row>
    <row r="68" ht="59" customFormat="1" customHeight="1" s="54">
      <c r="A68" s="55" t="inlineStr">
        <is>
          <t>五楼</t>
        </is>
      </c>
      <c r="B68" s="56" t="inlineStr">
        <is>
          <t>何汉秀</t>
        </is>
      </c>
      <c r="C68" s="41" t="inlineStr">
        <is>
          <t>60</t>
        </is>
      </c>
      <c r="D68" s="41" t="n"/>
      <c r="E68" s="57" t="n"/>
      <c r="F68" s="115" t="n">
        <v>0.3173611111111111</v>
      </c>
      <c r="G68" s="58" t="n">
        <v>0.7402777777777778</v>
      </c>
      <c r="H68" s="83">
        <f>MOD(G68-F68,1)*24</f>
        <v/>
      </c>
      <c r="I68" s="57" t="n">
        <v>1</v>
      </c>
      <c r="J68" s="58" t="n">
        <v>0.3111111111111111</v>
      </c>
      <c r="K68" s="58" t="n">
        <v>0.3159722222222222</v>
      </c>
      <c r="L68" s="83">
        <f>MOD(K68-J68,1)*24</f>
        <v/>
      </c>
      <c r="M68" s="57" t="n">
        <v>0.5</v>
      </c>
      <c r="N68" s="58" t="n">
        <v>0.3118055555555556</v>
      </c>
      <c r="O68" s="58" t="n">
        <v>0.7402777777777778</v>
      </c>
      <c r="P68" s="83">
        <f>MOD(O68-N68,1)*24</f>
        <v/>
      </c>
      <c r="Q68" s="57" t="n">
        <v>1</v>
      </c>
      <c r="R68" s="58" t="n">
        <v>0.3173611111111111</v>
      </c>
      <c r="S68" s="58" t="n">
        <v>0.7375</v>
      </c>
      <c r="T68" s="83">
        <f>MOD(S68-R68,1)*24</f>
        <v/>
      </c>
      <c r="U68" s="57" t="n">
        <v>1</v>
      </c>
      <c r="V68" s="58" t="n"/>
      <c r="W68" s="58" t="n"/>
      <c r="X68" s="83" t="n"/>
      <c r="Y68" s="57" t="n"/>
      <c r="Z68" s="58" t="n">
        <v>0.3069444444444445</v>
      </c>
      <c r="AA68" s="60" t="n">
        <v>0.7375</v>
      </c>
      <c r="AB68" s="83">
        <f>MOD(AA68-Z68,1)*24</f>
        <v/>
      </c>
      <c r="AC68" s="41" t="n">
        <v>1</v>
      </c>
      <c r="AD68" s="116" t="n">
        <v>0.3013888888888889</v>
      </c>
      <c r="AE68" s="117" t="n">
        <v>0.7368055555555556</v>
      </c>
      <c r="AF68" s="83">
        <f>MOD(AE68-AD68,1)*24</f>
        <v/>
      </c>
      <c r="AG68" s="57" t="n">
        <v>1</v>
      </c>
      <c r="AH68" s="58" t="n">
        <v>0.3013888888888889</v>
      </c>
      <c r="AI68" s="58" t="n">
        <v>0.7548611111111111</v>
      </c>
      <c r="AJ68" s="83">
        <f>MOD(AI68-AH68,1)*24</f>
        <v/>
      </c>
      <c r="AK68" s="57" t="n">
        <v>1</v>
      </c>
      <c r="AL68" s="58" t="n">
        <v>0.2951388888888889</v>
      </c>
      <c r="AM68" s="58" t="n">
        <v>0.74375</v>
      </c>
      <c r="AN68" s="83">
        <f>MOD(AM68-AL68,1)*24</f>
        <v/>
      </c>
      <c r="AO68" s="57" t="n">
        <v>1</v>
      </c>
      <c r="AP68" s="58" t="n">
        <v>0.2965277777777778</v>
      </c>
      <c r="AQ68" s="58" t="n">
        <v>0.7534722222222222</v>
      </c>
      <c r="AR68" s="83">
        <f>MOD(AQ68-AP68,1)*24</f>
        <v/>
      </c>
      <c r="AS68" s="57" t="n">
        <v>0.5</v>
      </c>
      <c r="AT68" s="58" t="n">
        <v>0.2979166666666667</v>
      </c>
      <c r="AU68" s="58" t="n">
        <v>0.7416666666666667</v>
      </c>
      <c r="AV68" s="83">
        <f>MOD(AU68-AT68,1)*24</f>
        <v/>
      </c>
      <c r="AW68" s="57" t="n">
        <v>1</v>
      </c>
      <c r="AX68" s="58" t="n"/>
      <c r="AY68" s="58" t="n"/>
      <c r="AZ68" s="83" t="n"/>
      <c r="BA68" s="57" t="n"/>
      <c r="BB68" s="58" t="n">
        <v>0.3090277777777778</v>
      </c>
      <c r="BC68" s="60" t="n">
        <v>0.7395833333333334</v>
      </c>
      <c r="BD68" s="83">
        <f>MOD(BC68-BB68,1)*24</f>
        <v/>
      </c>
      <c r="BE68" s="41" t="n">
        <v>1</v>
      </c>
      <c r="BF68" s="116" t="n">
        <v>0.3055555555555556</v>
      </c>
      <c r="BG68" s="115" t="n">
        <v>0.75625</v>
      </c>
      <c r="BH68" s="83">
        <f>MOD(BG68-BF68,1)*24</f>
        <v/>
      </c>
      <c r="BI68" s="57" t="n">
        <v>1</v>
      </c>
      <c r="BJ68" s="58" t="n">
        <v>0.30625</v>
      </c>
      <c r="BK68" s="58" t="n">
        <v>0.7381944444444445</v>
      </c>
      <c r="BL68" s="83">
        <f>MOD(BK68-BJ68,1)*24</f>
        <v/>
      </c>
      <c r="BM68" s="57" t="n">
        <v>1</v>
      </c>
      <c r="BN68" s="58" t="n">
        <v>0.3076388888888889</v>
      </c>
      <c r="BO68" s="58" t="n">
        <v>0.7361111111111112</v>
      </c>
      <c r="BP68" s="83">
        <f>MOD(BO68-BN68,1)*24</f>
        <v/>
      </c>
      <c r="BQ68" s="57" t="n">
        <v>1</v>
      </c>
      <c r="BR68" s="58" t="n">
        <v>0.3104166666666667</v>
      </c>
      <c r="BS68" s="58" t="n">
        <v>0.7368055555555556</v>
      </c>
      <c r="BT68" s="83">
        <f>MOD(BS68-BR68,1)*24</f>
        <v/>
      </c>
      <c r="BU68" s="57" t="n">
        <v>1</v>
      </c>
      <c r="BV68" s="58" t="n">
        <v>0.3020833333333333</v>
      </c>
      <c r="BW68" s="60" t="n">
        <v>0.3034722222222222</v>
      </c>
      <c r="BX68" s="83">
        <f>MOD(BW68-BV68,1)*24</f>
        <v/>
      </c>
      <c r="BY68" s="41" t="n">
        <v>0.5</v>
      </c>
      <c r="BZ68" s="41" t="n"/>
      <c r="CA68" s="41" t="n"/>
      <c r="CB68" s="83" t="n"/>
      <c r="CC68" s="41" t="n"/>
      <c r="CD68" s="116" t="n">
        <v>0.3076388888888889</v>
      </c>
      <c r="CE68" s="115" t="n">
        <v>0.7368055555555556</v>
      </c>
      <c r="CF68" s="83">
        <f>MOD(CE68-CD68,1)*24</f>
        <v/>
      </c>
      <c r="CG68" s="57" t="n">
        <v>1</v>
      </c>
      <c r="CH68" s="58" t="n">
        <v>0.3027777777777778</v>
      </c>
      <c r="CI68" s="58" t="n">
        <v>0.7381944444444445</v>
      </c>
      <c r="CJ68" s="83">
        <f>MOD(CI68-CH68,1)*24</f>
        <v/>
      </c>
      <c r="CK68" s="57" t="n">
        <v>1</v>
      </c>
      <c r="CL68" s="58" t="n">
        <v>0.3020833333333333</v>
      </c>
      <c r="CM68" s="58" t="n">
        <v>0.74375</v>
      </c>
      <c r="CN68" s="83">
        <f>MOD(CM68-CL68,1)*24</f>
        <v/>
      </c>
      <c r="CO68" s="57" t="n">
        <v>1</v>
      </c>
      <c r="CP68" s="58" t="n">
        <v>0.2902777777777778</v>
      </c>
      <c r="CQ68" s="58" t="n">
        <v>0.7416666666666667</v>
      </c>
      <c r="CR68" s="83">
        <f>MOD(CQ68-CP68,1)*24</f>
        <v/>
      </c>
      <c r="CS68" s="57" t="n">
        <v>0.5</v>
      </c>
      <c r="CT68" s="58" t="n">
        <v>0.2972222222222222</v>
      </c>
      <c r="CU68" s="58" t="n">
        <v>0.7388888888888889</v>
      </c>
      <c r="CV68" s="83">
        <f>MOD(CU68-CT68,1)*24</f>
        <v/>
      </c>
      <c r="CW68" s="57" t="n">
        <v>1</v>
      </c>
      <c r="CX68" s="58" t="n">
        <v>0.3013888888888889</v>
      </c>
      <c r="CY68" s="58" t="n">
        <v>0.7361111111111112</v>
      </c>
      <c r="CZ68" s="83">
        <f>MOD(CY68-CX68,1)*24</f>
        <v/>
      </c>
      <c r="DA68" s="57" t="n">
        <v>1</v>
      </c>
      <c r="DB68" s="58" t="n"/>
      <c r="DC68" s="58" t="n"/>
      <c r="DD68" s="83" t="n"/>
      <c r="DE68" s="57" t="n"/>
      <c r="DF68" s="58" t="n">
        <v>0.2993055555555555</v>
      </c>
      <c r="DG68" s="60" t="n">
        <v>0.7381944444444445</v>
      </c>
      <c r="DH68" s="83">
        <f>MOD(DG68-DF68,1)*24</f>
        <v/>
      </c>
      <c r="DI68" s="41" t="n">
        <v>1</v>
      </c>
      <c r="DJ68" s="116" t="n">
        <v>0.3048611111111111</v>
      </c>
      <c r="DK68" s="116" t="n">
        <v>0.7479166666666667</v>
      </c>
      <c r="DL68" s="83">
        <f>MOD(DK68-DJ68,1)*24</f>
        <v/>
      </c>
      <c r="DM68" s="41" t="n">
        <v>1</v>
      </c>
      <c r="DN68" s="58" t="n">
        <v>0.2951388888888889</v>
      </c>
      <c r="DO68" s="58" t="n">
        <v>0.7479166666666667</v>
      </c>
      <c r="DP68" s="83">
        <f>MOD(DO68-DN68,1)*24</f>
        <v/>
      </c>
      <c r="DQ68" s="57" t="n">
        <v>1</v>
      </c>
      <c r="DR68" s="61" t="n">
        <v>0.3034722222222222</v>
      </c>
      <c r="DS68" s="62" t="n">
        <v>0.7361111111111112</v>
      </c>
      <c r="DT68" s="83">
        <f>MOD(DS68-DR68,1)*24</f>
        <v/>
      </c>
      <c r="DU68" s="41" t="n">
        <v>1</v>
      </c>
      <c r="DV68" s="61">
        <f>SUM(H68,L68,P68,T68,X68,AB68,AF68,AJ68,AN68,AR68,AV68,AZ68,BD68,BH68,BL68,BP68,BT68,BX68,CB68,CF68,CJ68,CN68,CR68,CV68,CZ68,DD68,DH68,DL68,DP68,DT68)</f>
        <v/>
      </c>
      <c r="DW68" s="62">
        <f>SUM(I68,M68,Q68,U68,Y68,AC68,AG68,AK68,AO68,AS68,AW68,BA68,BE68,BI68,BM68,BQ68,BU68,BY68,CC68,CG68,CK68,CO68,CS68,CW68,DA68,DE68,DI68,DM68,DQ68,DU68)</f>
        <v/>
      </c>
      <c r="DX68" s="83" t="n"/>
      <c r="DY68" s="41" t="n"/>
      <c r="DZ68" s="84" t="n"/>
      <c r="EA68" s="84" t="n"/>
      <c r="EB68" s="84" t="n"/>
      <c r="EC68" s="84" t="n"/>
      <c r="ED68" s="84" t="n"/>
      <c r="EE68" s="84" t="n"/>
      <c r="EF68" s="84" t="n"/>
      <c r="EG68" s="84" t="n"/>
      <c r="EH68" s="84" t="n"/>
      <c r="EI68" s="84" t="n"/>
      <c r="EJ68" s="84" t="n"/>
      <c r="EK68" s="84" t="n"/>
      <c r="EL68" s="84" t="n"/>
      <c r="EM68" s="84" t="n"/>
      <c r="EN68" s="84" t="n"/>
      <c r="EO68" s="84" t="n"/>
      <c r="EP68" s="84" t="n"/>
      <c r="EQ68" s="84" t="n"/>
      <c r="ER68" s="84" t="n"/>
      <c r="ES68" s="84" t="n"/>
      <c r="ET68" s="84" t="n"/>
      <c r="EU68" s="84" t="n"/>
      <c r="EV68" s="84" t="n"/>
      <c r="EW68" s="84" t="n"/>
      <c r="EX68" s="84" t="n"/>
      <c r="EY68" s="84" t="n"/>
      <c r="EZ68" s="84" t="n"/>
      <c r="FA68" s="84" t="n"/>
      <c r="FB68" s="84" t="n"/>
      <c r="FC68" s="84" t="n"/>
      <c r="FD68" s="84" t="n"/>
      <c r="FE68" s="84" t="n"/>
    </row>
    <row r="69" ht="59" customFormat="1" customHeight="1" s="54">
      <c r="A69" s="55" t="inlineStr">
        <is>
          <t>五楼</t>
        </is>
      </c>
      <c r="B69" s="56" t="inlineStr">
        <is>
          <t>何汉秀</t>
        </is>
      </c>
      <c r="C69" s="41" t="inlineStr">
        <is>
          <t>60</t>
        </is>
      </c>
      <c r="D69" s="41" t="n"/>
      <c r="E69" s="57" t="n"/>
      <c r="F69" s="115" t="n"/>
      <c r="G69" s="58" t="n"/>
      <c r="H69" s="83" t="n"/>
      <c r="I69" s="57" t="n"/>
      <c r="J69" s="58" t="n">
        <v>0.7555555555555555</v>
      </c>
      <c r="K69" s="58" t="n"/>
      <c r="L69" s="83" t="n"/>
      <c r="M69" s="57" t="n">
        <v>0.5</v>
      </c>
      <c r="N69" s="58" t="n"/>
      <c r="O69" s="58" t="n"/>
      <c r="P69" s="83" t="n"/>
      <c r="Q69" s="57" t="n"/>
      <c r="R69" s="58" t="n"/>
      <c r="S69" s="58" t="n"/>
      <c r="T69" s="83" t="n"/>
      <c r="U69" s="57" t="n"/>
      <c r="V69" s="58" t="n"/>
      <c r="W69" s="58" t="n"/>
      <c r="X69" s="83" t="n"/>
      <c r="Y69" s="57" t="n"/>
      <c r="Z69" s="58" t="n"/>
      <c r="AA69" s="60" t="n"/>
      <c r="AB69" s="83" t="n"/>
      <c r="AC69" s="41" t="n"/>
      <c r="AD69" s="116" t="n"/>
      <c r="AE69" s="117" t="n"/>
      <c r="AF69" s="83" t="n"/>
      <c r="AG69" s="57" t="n"/>
      <c r="AH69" s="58" t="n"/>
      <c r="AI69" s="58" t="n"/>
      <c r="AJ69" s="83" t="n"/>
      <c r="AK69" s="57" t="n"/>
      <c r="AL69" s="58" t="n"/>
      <c r="AM69" s="58" t="n"/>
      <c r="AN69" s="83" t="n"/>
      <c r="AO69" s="57" t="n"/>
      <c r="AP69" s="58" t="n">
        <v>0.7541666666666667</v>
      </c>
      <c r="AQ69" s="58" t="n"/>
      <c r="AR69" s="83" t="n"/>
      <c r="AS69" s="57" t="n">
        <v>0.5</v>
      </c>
      <c r="AT69" s="58" t="n"/>
      <c r="AU69" s="58" t="n"/>
      <c r="AV69" s="83" t="n"/>
      <c r="AW69" s="57" t="n"/>
      <c r="AX69" s="58" t="n"/>
      <c r="AY69" s="58" t="n"/>
      <c r="AZ69" s="83" t="n"/>
      <c r="BA69" s="57" t="n"/>
      <c r="BB69" s="58" t="n"/>
      <c r="BC69" s="60" t="n"/>
      <c r="BD69" s="83" t="n"/>
      <c r="BE69" s="41" t="n"/>
      <c r="BF69" s="116" t="n"/>
      <c r="BG69" s="115" t="n"/>
      <c r="BH69" s="83" t="n"/>
      <c r="BI69" s="57" t="n"/>
      <c r="BJ69" s="58" t="n"/>
      <c r="BK69" s="58" t="n"/>
      <c r="BL69" s="83" t="n"/>
      <c r="BM69" s="57" t="n"/>
      <c r="BN69" s="58" t="n"/>
      <c r="BO69" s="58" t="n"/>
      <c r="BP69" s="83" t="n"/>
      <c r="BQ69" s="57" t="n"/>
      <c r="BR69" s="58" t="n"/>
      <c r="BS69" s="58" t="n"/>
      <c r="BT69" s="83" t="n"/>
      <c r="BU69" s="57" t="n"/>
      <c r="BV69" s="58" t="n">
        <v>0.7368055555555556</v>
      </c>
      <c r="BW69" s="60" t="n"/>
      <c r="BX69" s="83" t="n"/>
      <c r="BY69" s="41" t="n">
        <v>0.5</v>
      </c>
      <c r="BZ69" s="41" t="n"/>
      <c r="CA69" s="41" t="n"/>
      <c r="CB69" s="83" t="n"/>
      <c r="CC69" s="41" t="n"/>
      <c r="CD69" s="116" t="n"/>
      <c r="CE69" s="115" t="n"/>
      <c r="CF69" s="83" t="n"/>
      <c r="CG69" s="57" t="n"/>
      <c r="CH69" s="58" t="n"/>
      <c r="CI69" s="58" t="n"/>
      <c r="CJ69" s="83" t="n"/>
      <c r="CK69" s="57" t="n"/>
      <c r="CL69" s="58" t="n"/>
      <c r="CM69" s="58" t="n"/>
      <c r="CN69" s="83" t="n"/>
      <c r="CO69" s="57" t="n"/>
      <c r="CP69" s="58" t="n">
        <v>0.7451388888888889</v>
      </c>
      <c r="CQ69" s="58" t="n"/>
      <c r="CR69" s="83" t="n"/>
      <c r="CS69" s="57" t="n">
        <v>0.5</v>
      </c>
      <c r="CT69" s="58" t="n"/>
      <c r="CU69" s="58" t="n"/>
      <c r="CV69" s="83" t="n"/>
      <c r="CW69" s="57" t="n"/>
      <c r="CX69" s="58" t="n"/>
      <c r="CY69" s="58" t="n"/>
      <c r="CZ69" s="83" t="n"/>
      <c r="DA69" s="57" t="n"/>
      <c r="DB69" s="58" t="n"/>
      <c r="DC69" s="58" t="n"/>
      <c r="DD69" s="83" t="n"/>
      <c r="DE69" s="57" t="n"/>
      <c r="DF69" s="58" t="n"/>
      <c r="DG69" s="60" t="n"/>
      <c r="DH69" s="83" t="n"/>
      <c r="DI69" s="41" t="n"/>
      <c r="DJ69" s="116" t="n"/>
      <c r="DK69" s="116" t="n"/>
      <c r="DL69" s="83" t="n"/>
      <c r="DM69" s="41" t="n"/>
      <c r="DN69" s="58" t="n"/>
      <c r="DO69" s="58" t="n"/>
      <c r="DP69" s="83" t="n"/>
      <c r="DQ69" s="57" t="n"/>
      <c r="DR69" s="61" t="n"/>
      <c r="DS69" s="62" t="n"/>
      <c r="DT69" s="83" t="n"/>
      <c r="DU69" s="41" t="n"/>
      <c r="DV69" s="61">
        <f>SUM(H69,L69,P69,T69,X69,AB69,AF69,AJ69,AN69,AR69,AV69,AZ69,BD69,BH69,BL69,BP69,BT69,BX69,CB69,CF69,CJ69,CN69,CR69,CV69,CZ69,DD69,DH69,DL69,DP69,DT69)</f>
        <v/>
      </c>
      <c r="DW69" s="62">
        <f>SUM(I69,M69,Q69,U69,Y69,AC69,AG69,AK69,AO69,AS69,AW69,BA69,BE69,BI69,BM69,BQ69,BU69,BY69,CC69,CG69,CK69,CO69,CS69,CW69,DA69,DE69,DI69,DM69,DQ69,DU69)</f>
        <v/>
      </c>
      <c r="DX69" s="83" t="n"/>
      <c r="DY69" s="41" t="n"/>
      <c r="DZ69" s="84" t="n"/>
      <c r="EA69" s="84" t="n"/>
      <c r="EB69" s="84" t="n"/>
      <c r="EC69" s="84" t="n"/>
      <c r="ED69" s="84" t="n"/>
      <c r="EE69" s="84" t="n"/>
      <c r="EF69" s="84" t="n"/>
      <c r="EG69" s="84" t="n"/>
      <c r="EH69" s="84" t="n"/>
      <c r="EI69" s="84" t="n"/>
      <c r="EJ69" s="84" t="n"/>
      <c r="EK69" s="84" t="n"/>
      <c r="EL69" s="84" t="n"/>
      <c r="EM69" s="84" t="n"/>
      <c r="EN69" s="84" t="n"/>
      <c r="EO69" s="84" t="n"/>
      <c r="EP69" s="84" t="n"/>
      <c r="EQ69" s="84" t="n"/>
      <c r="ER69" s="84" t="n"/>
      <c r="ES69" s="84" t="n"/>
      <c r="ET69" s="84" t="n"/>
      <c r="EU69" s="84" t="n"/>
      <c r="EV69" s="84" t="n"/>
      <c r="EW69" s="84" t="n"/>
      <c r="EX69" s="84" t="n"/>
      <c r="EY69" s="84" t="n"/>
      <c r="EZ69" s="84" t="n"/>
      <c r="FA69" s="84" t="n"/>
      <c r="FB69" s="84" t="n"/>
      <c r="FC69" s="84" t="n"/>
      <c r="FD69" s="84" t="n"/>
      <c r="FE69" s="84" t="n"/>
    </row>
    <row r="70" ht="59" customFormat="1" customHeight="1" s="54">
      <c r="A70" s="55" t="inlineStr">
        <is>
          <t>五楼</t>
        </is>
      </c>
      <c r="B70" s="56" t="inlineStr">
        <is>
          <t>李春严</t>
        </is>
      </c>
      <c r="C70" s="41" t="inlineStr">
        <is>
          <t>61</t>
        </is>
      </c>
      <c r="D70" s="41" t="n"/>
      <c r="E70" s="57" t="n"/>
      <c r="F70" s="115" t="n">
        <v>0.3520833333333334</v>
      </c>
      <c r="G70" s="58" t="n">
        <v>0.7368055555555556</v>
      </c>
      <c r="H70" s="83">
        <f>MOD(G70-F70,1)*24</f>
        <v/>
      </c>
      <c r="I70" s="57" t="n">
        <v>1</v>
      </c>
      <c r="J70" s="58" t="n">
        <v>0.3493055555555555</v>
      </c>
      <c r="K70" s="58" t="n">
        <v>0.7368055555555556</v>
      </c>
      <c r="L70" s="83">
        <f>MOD(K70-J70,1)*24</f>
        <v/>
      </c>
      <c r="M70" s="57" t="n">
        <v>1</v>
      </c>
      <c r="N70" s="58" t="n">
        <v>0.35</v>
      </c>
      <c r="O70" s="58" t="n">
        <v>0.7368055555555556</v>
      </c>
      <c r="P70" s="83">
        <f>MOD(O70-N70,1)*24</f>
        <v/>
      </c>
      <c r="Q70" s="57" t="n">
        <v>1</v>
      </c>
      <c r="R70" s="58" t="n"/>
      <c r="S70" s="58" t="n"/>
      <c r="T70" s="83" t="n"/>
      <c r="U70" s="57" t="n"/>
      <c r="V70" s="58" t="n"/>
      <c r="W70" s="58" t="n"/>
      <c r="X70" s="83" t="n"/>
      <c r="Y70" s="57" t="n"/>
      <c r="Z70" s="58" t="n">
        <v>0.3520833333333334</v>
      </c>
      <c r="AA70" s="60" t="n">
        <v>0.7395833333333334</v>
      </c>
      <c r="AB70" s="83">
        <f>MOD(AA70-Z70,1)*24</f>
        <v/>
      </c>
      <c r="AC70" s="41" t="n">
        <v>1</v>
      </c>
      <c r="AD70" s="116" t="n">
        <v>0.3465277777777778</v>
      </c>
      <c r="AE70" s="117" t="n">
        <v>0.7361111111111112</v>
      </c>
      <c r="AF70" s="83">
        <f>MOD(AE70-AD70,1)*24</f>
        <v/>
      </c>
      <c r="AG70" s="57" t="n">
        <v>1</v>
      </c>
      <c r="AH70" s="58" t="n">
        <v>0.3513888888888889</v>
      </c>
      <c r="AI70" s="58" t="n">
        <v>0.7409722222222223</v>
      </c>
      <c r="AJ70" s="83">
        <f>MOD(AI70-AH70,1)*24</f>
        <v/>
      </c>
      <c r="AK70" s="57" t="n">
        <v>1</v>
      </c>
      <c r="AL70" s="58" t="n">
        <v>0.35</v>
      </c>
      <c r="AM70" s="58" t="n">
        <v>0.7375</v>
      </c>
      <c r="AN70" s="83">
        <f>MOD(AM70-AL70,1)*24</f>
        <v/>
      </c>
      <c r="AO70" s="57" t="n">
        <v>1</v>
      </c>
      <c r="AP70" s="58" t="n">
        <v>0.3493055555555555</v>
      </c>
      <c r="AQ70" s="58" t="n"/>
      <c r="AR70" s="83" t="n"/>
      <c r="AS70" s="57" t="n">
        <v>0.5</v>
      </c>
      <c r="AT70" s="58" t="n"/>
      <c r="AU70" s="58" t="n"/>
      <c r="AV70" s="83" t="n"/>
      <c r="AW70" s="57" t="n"/>
      <c r="AX70" s="58" t="n"/>
      <c r="AY70" s="58" t="n"/>
      <c r="AZ70" s="83" t="n"/>
      <c r="BA70" s="57" t="n"/>
      <c r="BB70" s="58" t="n"/>
      <c r="BC70" s="60" t="n"/>
      <c r="BD70" s="83" t="n"/>
      <c r="BE70" s="41" t="n"/>
      <c r="BF70" s="116" t="n"/>
      <c r="BG70" s="115" t="n"/>
      <c r="BH70" s="83" t="n"/>
      <c r="BI70" s="57" t="n"/>
      <c r="BJ70" s="58" t="n"/>
      <c r="BK70" s="58" t="n"/>
      <c r="BL70" s="83" t="n"/>
      <c r="BM70" s="57" t="n"/>
      <c r="BN70" s="58" t="n"/>
      <c r="BO70" s="58" t="n"/>
      <c r="BP70" s="83" t="n"/>
      <c r="BQ70" s="57" t="n"/>
      <c r="BR70" s="58" t="n"/>
      <c r="BS70" s="58" t="n"/>
      <c r="BT70" s="83" t="n"/>
      <c r="BU70" s="57" t="n"/>
      <c r="BV70" s="58" t="n"/>
      <c r="BW70" s="60" t="n"/>
      <c r="BX70" s="83" t="n"/>
      <c r="BY70" s="41" t="n"/>
      <c r="BZ70" s="41" t="n"/>
      <c r="CA70" s="41" t="n"/>
      <c r="CB70" s="83" t="n"/>
      <c r="CC70" s="41" t="n"/>
      <c r="CD70" s="116" t="n"/>
      <c r="CE70" s="115" t="n"/>
      <c r="CF70" s="83" t="n"/>
      <c r="CG70" s="57" t="n"/>
      <c r="CH70" s="58" t="n"/>
      <c r="CI70" s="58" t="n"/>
      <c r="CJ70" s="83" t="n"/>
      <c r="CK70" s="57" t="n"/>
      <c r="CL70" s="58" t="n"/>
      <c r="CM70" s="58" t="n"/>
      <c r="CN70" s="83" t="n"/>
      <c r="CO70" s="57" t="n"/>
      <c r="CP70" s="58" t="n"/>
      <c r="CQ70" s="58" t="n"/>
      <c r="CR70" s="83" t="n"/>
      <c r="CS70" s="57" t="n"/>
      <c r="CT70" s="58" t="n"/>
      <c r="CU70" s="58" t="n"/>
      <c r="CV70" s="83" t="n"/>
      <c r="CW70" s="57" t="n"/>
      <c r="CX70" s="58" t="n"/>
      <c r="CY70" s="58" t="n"/>
      <c r="CZ70" s="83" t="n"/>
      <c r="DA70" s="57" t="n"/>
      <c r="DB70" s="58" t="n"/>
      <c r="DC70" s="58" t="n"/>
      <c r="DD70" s="83" t="n"/>
      <c r="DE70" s="57" t="n"/>
      <c r="DF70" s="58" t="n"/>
      <c r="DG70" s="60" t="n"/>
      <c r="DH70" s="83" t="n"/>
      <c r="DI70" s="41" t="n"/>
      <c r="DJ70" s="116" t="n"/>
      <c r="DK70" s="116" t="n"/>
      <c r="DL70" s="83" t="n"/>
      <c r="DM70" s="41" t="n"/>
      <c r="DN70" s="58" t="n"/>
      <c r="DO70" s="58" t="n"/>
      <c r="DP70" s="83" t="n"/>
      <c r="DQ70" s="57" t="n"/>
      <c r="DR70" s="61" t="n"/>
      <c r="DS70" s="62" t="n"/>
      <c r="DT70" s="83" t="n"/>
      <c r="DU70" s="41" t="n"/>
      <c r="DV70" s="61">
        <f>SUM(H70,L70,P70,T70,X70,AB70,AF70,AJ70,AN70,AR70,AV70,AZ70,BD70,BH70,BL70,BP70,BT70,BX70,CB70,CF70,CJ70,CN70,CR70,CV70,CZ70,DD70,DH70,DL70,DP70,DT70)</f>
        <v/>
      </c>
      <c r="DW70" s="62">
        <f>SUM(I70,M70,Q70,U70,Y70,AC70,AG70,AK70,AO70,AS70,AW70,BA70,BE70,BI70,BM70,BQ70,BU70,BY70,CC70,CG70,CK70,CO70,CS70,CW70,DA70,DE70,DI70,DM70,DQ70,DU70)</f>
        <v/>
      </c>
      <c r="DX70" s="83" t="n"/>
      <c r="DY70" s="41" t="n"/>
      <c r="DZ70" s="84" t="n"/>
      <c r="EA70" s="84" t="n"/>
      <c r="EB70" s="84" t="n"/>
      <c r="EC70" s="84" t="n"/>
      <c r="ED70" s="84" t="n"/>
      <c r="EE70" s="84" t="n"/>
      <c r="EF70" s="84" t="n"/>
      <c r="EG70" s="84" t="n"/>
      <c r="EH70" s="84" t="n"/>
      <c r="EI70" s="84" t="n"/>
      <c r="EJ70" s="84" t="n"/>
      <c r="EK70" s="84" t="inlineStr">
        <is>
          <t>只打一次卡</t>
        </is>
      </c>
      <c r="EL70" s="84" t="n"/>
      <c r="EM70" s="84" t="n"/>
      <c r="EN70" s="84" t="n"/>
      <c r="EO70" s="84" t="n"/>
      <c r="EP70" s="84" t="n"/>
      <c r="EQ70" s="84" t="n"/>
      <c r="ER70" s="84" t="n"/>
      <c r="ES70" s="84" t="n"/>
      <c r="ET70" s="84" t="n"/>
      <c r="EU70" s="84" t="n"/>
      <c r="EV70" s="84" t="n"/>
      <c r="EW70" s="84" t="n"/>
      <c r="EX70" s="84" t="n"/>
      <c r="EY70" s="84" t="n"/>
      <c r="EZ70" s="84" t="n"/>
      <c r="FA70" s="84" t="n"/>
      <c r="FB70" s="84" t="n"/>
      <c r="FC70" s="84" t="n"/>
      <c r="FD70" s="84" t="n"/>
      <c r="FE70" s="84" t="n"/>
    </row>
    <row r="71" ht="59" customFormat="1" customHeight="1" s="54">
      <c r="A71" s="55" t="inlineStr">
        <is>
          <t>五楼</t>
        </is>
      </c>
      <c r="B71" s="56" t="inlineStr">
        <is>
          <t>姜全洪</t>
        </is>
      </c>
      <c r="C71" s="41" t="inlineStr">
        <is>
          <t>63</t>
        </is>
      </c>
      <c r="D71" s="41" t="n"/>
      <c r="E71" s="57" t="n"/>
      <c r="F71" s="115" t="n"/>
      <c r="G71" s="58" t="n"/>
      <c r="H71" s="83" t="n"/>
      <c r="I71" s="57" t="n"/>
      <c r="J71" s="58" t="n">
        <v>0.3527777777777778</v>
      </c>
      <c r="K71" s="58" t="n">
        <v>0.7409722222222223</v>
      </c>
      <c r="L71" s="83">
        <f>MOD(K71-J71,1)*24</f>
        <v/>
      </c>
      <c r="M71" s="57" t="n">
        <v>1</v>
      </c>
      <c r="N71" s="58" t="n">
        <v>0.3527777777777778</v>
      </c>
      <c r="O71" s="58" t="n">
        <v>0.8256944444444444</v>
      </c>
      <c r="P71" s="83">
        <f>MOD(O71-N71,1)*24</f>
        <v/>
      </c>
      <c r="Q71" s="57" t="n">
        <v>1</v>
      </c>
      <c r="R71" s="58" t="n"/>
      <c r="S71" s="58" t="n"/>
      <c r="T71" s="83" t="n"/>
      <c r="U71" s="57" t="n"/>
      <c r="V71" s="58" t="n"/>
      <c r="W71" s="58" t="n"/>
      <c r="X71" s="83" t="n"/>
      <c r="Y71" s="57" t="n"/>
      <c r="Z71" s="58" t="n">
        <v>0.3541666666666667</v>
      </c>
      <c r="AA71" s="60" t="n">
        <v>0.7402777777777778</v>
      </c>
      <c r="AB71" s="83">
        <f>MOD(AA71-Z71,1)*24</f>
        <v/>
      </c>
      <c r="AC71" s="41" t="n">
        <v>1</v>
      </c>
      <c r="AD71" s="116" t="n">
        <v>0.3527777777777778</v>
      </c>
      <c r="AE71" s="117" t="n">
        <v>0.7444444444444445</v>
      </c>
      <c r="AF71" s="83">
        <f>MOD(AE71-AD71,1)*24</f>
        <v/>
      </c>
      <c r="AG71" s="57" t="n">
        <v>1</v>
      </c>
      <c r="AH71" s="58" t="n">
        <v>0.3520833333333334</v>
      </c>
      <c r="AI71" s="58" t="n">
        <v>0.75</v>
      </c>
      <c r="AJ71" s="83">
        <f>MOD(AI71-AH71,1)*24</f>
        <v/>
      </c>
      <c r="AK71" s="57" t="n">
        <v>1</v>
      </c>
      <c r="AL71" s="58" t="n">
        <v>0.3520833333333334</v>
      </c>
      <c r="AM71" s="58" t="n">
        <v>0.7381944444444445</v>
      </c>
      <c r="AN71" s="83">
        <f>MOD(AM71-AL71,1)*24</f>
        <v/>
      </c>
      <c r="AO71" s="57" t="n">
        <v>1</v>
      </c>
      <c r="AP71" s="58" t="n">
        <v>0.3513888888888889</v>
      </c>
      <c r="AQ71" s="58" t="n">
        <v>0.7444444444444445</v>
      </c>
      <c r="AR71" s="83">
        <f>MOD(AQ71-AP71,1)*24</f>
        <v/>
      </c>
      <c r="AS71" s="57" t="n">
        <v>1</v>
      </c>
      <c r="AT71" s="58" t="n">
        <v>0.3527777777777778</v>
      </c>
      <c r="AU71" s="58" t="n">
        <v>0.7375</v>
      </c>
      <c r="AV71" s="83">
        <f>MOD(AU71-AT71,1)*24</f>
        <v/>
      </c>
      <c r="AW71" s="57" t="n">
        <v>1</v>
      </c>
      <c r="AX71" s="58" t="n"/>
      <c r="AY71" s="58" t="n"/>
      <c r="AZ71" s="83" t="n"/>
      <c r="BA71" s="57" t="n"/>
      <c r="BB71" s="58" t="n">
        <v>0.3520833333333334</v>
      </c>
      <c r="BC71" s="60" t="n">
        <v>0.7458333333333333</v>
      </c>
      <c r="BD71" s="83">
        <f>MOD(BC71-BB71,1)*24</f>
        <v/>
      </c>
      <c r="BE71" s="41" t="n">
        <v>1</v>
      </c>
      <c r="BF71" s="116" t="n">
        <v>0.3520833333333334</v>
      </c>
      <c r="BG71" s="115" t="n">
        <v>0.75625</v>
      </c>
      <c r="BH71" s="83">
        <f>MOD(BG71-BF71,1)*24</f>
        <v/>
      </c>
      <c r="BI71" s="57" t="n">
        <v>1</v>
      </c>
      <c r="BJ71" s="58" t="n">
        <v>0.3520833333333334</v>
      </c>
      <c r="BK71" s="58" t="n">
        <v>0.7611111111111111</v>
      </c>
      <c r="BL71" s="83">
        <f>MOD(BK71-BJ71,1)*24</f>
        <v/>
      </c>
      <c r="BM71" s="57" t="n">
        <v>1</v>
      </c>
      <c r="BN71" s="58" t="n">
        <v>0.3520833333333334</v>
      </c>
      <c r="BO71" s="58" t="n">
        <v>0.7430555555555556</v>
      </c>
      <c r="BP71" s="83">
        <f>MOD(BO71-BN71,1)*24</f>
        <v/>
      </c>
      <c r="BQ71" s="57" t="n">
        <v>1</v>
      </c>
      <c r="BR71" s="58" t="n">
        <v>0.3520833333333334</v>
      </c>
      <c r="BS71" s="58" t="n">
        <v>0.7423611111111111</v>
      </c>
      <c r="BT71" s="83">
        <f>MOD(BS71-BR71,1)*24</f>
        <v/>
      </c>
      <c r="BU71" s="57" t="n">
        <v>1</v>
      </c>
      <c r="BV71" s="58" t="n">
        <v>0.3520833333333334</v>
      </c>
      <c r="BW71" s="60" t="n">
        <v>0.7444444444444445</v>
      </c>
      <c r="BX71" s="83">
        <f>MOD(BW71-BV71,1)*24</f>
        <v/>
      </c>
      <c r="BY71" s="41" t="n">
        <v>1</v>
      </c>
      <c r="BZ71" s="41" t="n"/>
      <c r="CA71" s="41" t="n"/>
      <c r="CB71" s="83" t="n"/>
      <c r="CC71" s="41" t="n"/>
      <c r="CD71" s="116" t="n">
        <v>0.3520833333333334</v>
      </c>
      <c r="CE71" s="115" t="n">
        <v>0.7673611111111112</v>
      </c>
      <c r="CF71" s="83">
        <f>MOD(CE71-CD71,1)*24</f>
        <v/>
      </c>
      <c r="CG71" s="57" t="n">
        <v>1</v>
      </c>
      <c r="CH71" s="58" t="n">
        <v>0.3527777777777778</v>
      </c>
      <c r="CI71" s="58" t="n">
        <v>0.8291666666666667</v>
      </c>
      <c r="CJ71" s="83">
        <f>MOD(CI71-CH71,1)*24</f>
        <v/>
      </c>
      <c r="CK71" s="57" t="n">
        <v>1</v>
      </c>
      <c r="CL71" s="58" t="n">
        <v>0.3520833333333334</v>
      </c>
      <c r="CM71" s="58" t="n">
        <v>0.8298611111111112</v>
      </c>
      <c r="CN71" s="83">
        <f>MOD(CM71-CL71,1)*24</f>
        <v/>
      </c>
      <c r="CO71" s="57" t="n">
        <v>1</v>
      </c>
      <c r="CP71" s="58" t="n">
        <v>0.3513888888888889</v>
      </c>
      <c r="CQ71" s="58" t="n">
        <v>0.8194444444444444</v>
      </c>
      <c r="CR71" s="83">
        <f>MOD(CQ71-CP71,1)*24</f>
        <v/>
      </c>
      <c r="CS71" s="57" t="n">
        <v>1</v>
      </c>
      <c r="CT71" s="58" t="n">
        <v>0.3520833333333334</v>
      </c>
      <c r="CU71" s="58" t="n">
        <v>0.8326388888888889</v>
      </c>
      <c r="CV71" s="83">
        <f>MOD(CU71-CT71,1)*24</f>
        <v/>
      </c>
      <c r="CW71" s="57" t="n">
        <v>1</v>
      </c>
      <c r="CX71" s="58" t="n">
        <v>0.3520833333333334</v>
      </c>
      <c r="CY71" s="58" t="n">
        <v>0.8055555555555556</v>
      </c>
      <c r="CZ71" s="83">
        <f>MOD(CY71-CX71,1)*24</f>
        <v/>
      </c>
      <c r="DA71" s="57" t="n">
        <v>1</v>
      </c>
      <c r="DB71" s="58" t="n"/>
      <c r="DC71" s="58" t="n"/>
      <c r="DD71" s="83" t="n"/>
      <c r="DE71" s="57" t="n"/>
      <c r="DF71" s="58" t="n">
        <v>0.3527777777777778</v>
      </c>
      <c r="DG71" s="60" t="n">
        <v>0.9201388888888888</v>
      </c>
      <c r="DH71" s="83">
        <f>MOD(DG71-DF71,1)*24</f>
        <v/>
      </c>
      <c r="DI71" s="41" t="n">
        <v>1</v>
      </c>
      <c r="DJ71" s="116" t="n">
        <v>0.3513888888888889</v>
      </c>
      <c r="DK71" s="116" t="n">
        <v>0.8763888888888889</v>
      </c>
      <c r="DL71" s="83">
        <f>MOD(DK71-DJ71,1)*24</f>
        <v/>
      </c>
      <c r="DM71" s="41" t="n">
        <v>1</v>
      </c>
      <c r="DN71" s="58" t="n">
        <v>0.3527777777777778</v>
      </c>
      <c r="DO71" s="58" t="n">
        <v>0.8701388888888889</v>
      </c>
      <c r="DP71" s="83">
        <f>MOD(DO71-DN71,1)*24</f>
        <v/>
      </c>
      <c r="DQ71" s="57" t="n">
        <v>1</v>
      </c>
      <c r="DR71" s="61" t="n">
        <v>0.3520833333333334</v>
      </c>
      <c r="DS71" s="62" t="n">
        <v>0.8361111111111111</v>
      </c>
      <c r="DT71" s="83">
        <f>MOD(DS71-DR71,1)*24</f>
        <v/>
      </c>
      <c r="DU71" s="41" t="n">
        <v>1</v>
      </c>
      <c r="DV71" s="61">
        <f>SUM(H71,L71,P71,T71,X71,AB71,AF71,AJ71,AN71,AR71,AV71,AZ71,BD71,BH71,BL71,BP71,BT71,BX71,CB71,CF71,CJ71,CN71,CR71,CV71,CZ71,DD71,DH71,DL71,DP71,DT71)</f>
        <v/>
      </c>
      <c r="DW71" s="62">
        <f>SUM(I71,M71,Q71,U71,Y71,AC71,AG71,AK71,AO71,AS71,AW71,BA71,BE71,BI71,BM71,BQ71,BU71,BY71,CC71,CG71,CK71,CO71,CS71,CW71,DA71,DE71,DI71,DM71,DQ71,DU71)</f>
        <v/>
      </c>
      <c r="DX71" s="83" t="n"/>
      <c r="DY71" s="41" t="n"/>
      <c r="DZ71" s="84" t="n"/>
      <c r="EA71" s="84" t="n"/>
      <c r="EB71" s="84" t="n"/>
      <c r="EC71" s="84" t="n"/>
      <c r="ED71" s="84" t="n"/>
      <c r="EE71" s="84" t="n"/>
      <c r="EF71" s="84" t="n"/>
      <c r="EG71" s="84" t="n"/>
      <c r="EH71" s="84" t="n"/>
      <c r="EI71" s="84" t="n"/>
      <c r="EJ71" s="84" t="n"/>
      <c r="EK71" s="84" t="n"/>
      <c r="EL71" s="84" t="n"/>
      <c r="EM71" s="84" t="n"/>
      <c r="EN71" s="84" t="n"/>
      <c r="EO71" s="84" t="n"/>
      <c r="EP71" s="84" t="n"/>
      <c r="EQ71" s="84" t="n"/>
      <c r="ER71" s="84" t="n"/>
      <c r="ES71" s="84" t="n"/>
      <c r="ET71" s="84" t="n"/>
      <c r="EU71" s="84" t="n"/>
      <c r="EV71" s="84" t="n"/>
      <c r="EW71" s="84" t="n"/>
      <c r="EX71" s="84" t="n"/>
      <c r="EY71" s="84" t="n"/>
      <c r="EZ71" s="84" t="n"/>
      <c r="FA71" s="84" t="n"/>
      <c r="FB71" s="84" t="n"/>
      <c r="FC71" s="84" t="n"/>
      <c r="FD71" s="84" t="n"/>
      <c r="FE71" s="84" t="n"/>
    </row>
    <row r="72" ht="59" customFormat="1" customHeight="1" s="54">
      <c r="A72" s="55" t="inlineStr">
        <is>
          <t>五楼</t>
        </is>
      </c>
      <c r="B72" s="56" t="inlineStr">
        <is>
          <t>李丰希</t>
        </is>
      </c>
      <c r="C72" s="41" t="inlineStr">
        <is>
          <t>64</t>
        </is>
      </c>
      <c r="D72" s="41" t="n"/>
      <c r="E72" s="57" t="n"/>
      <c r="F72" s="115" t="n">
        <v>0.3513888888888889</v>
      </c>
      <c r="G72" s="58" t="n">
        <v>0.7493055555555556</v>
      </c>
      <c r="H72" s="83">
        <f>MOD(G72-F72,1)*24</f>
        <v/>
      </c>
      <c r="I72" s="57" t="n">
        <v>1</v>
      </c>
      <c r="J72" s="58" t="n">
        <v>0.3111111111111111</v>
      </c>
      <c r="K72" s="58" t="n">
        <v>0.9027777777777778</v>
      </c>
      <c r="L72" s="83">
        <f>MOD(K72-J72,1)*24</f>
        <v/>
      </c>
      <c r="M72" s="57" t="n">
        <v>1</v>
      </c>
      <c r="N72" s="58" t="n">
        <v>0.3527777777777778</v>
      </c>
      <c r="O72" s="58" t="n">
        <v>0.7645833333333333</v>
      </c>
      <c r="P72" s="83">
        <f>MOD(O72-N72,1)*24</f>
        <v/>
      </c>
      <c r="Q72" s="57" t="n">
        <v>1</v>
      </c>
      <c r="R72" s="58" t="n"/>
      <c r="S72" s="58" t="n"/>
      <c r="T72" s="83" t="n"/>
      <c r="U72" s="57" t="n"/>
      <c r="V72" s="58" t="n"/>
      <c r="W72" s="58" t="n"/>
      <c r="X72" s="83" t="n"/>
      <c r="Y72" s="57" t="n"/>
      <c r="Z72" s="58" t="n">
        <v>0.3534722222222222</v>
      </c>
      <c r="AA72" s="60" t="n">
        <v>0.7395833333333334</v>
      </c>
      <c r="AB72" s="83">
        <f>MOD(AA72-Z72,1)*24</f>
        <v/>
      </c>
      <c r="AC72" s="41" t="n">
        <v>1</v>
      </c>
      <c r="AD72" s="116" t="n">
        <v>0.3548611111111111</v>
      </c>
      <c r="AE72" s="117" t="n">
        <v>0.7486111111111111</v>
      </c>
      <c r="AF72" s="83">
        <f>MOD(AE72-AD72,1)*24</f>
        <v/>
      </c>
      <c r="AG72" s="57" t="n">
        <v>1</v>
      </c>
      <c r="AH72" s="58" t="n">
        <v>0.3534722222222222</v>
      </c>
      <c r="AI72" s="58" t="n">
        <v>0.7604166666666666</v>
      </c>
      <c r="AJ72" s="83">
        <f>MOD(AI72-AH72,1)*24</f>
        <v/>
      </c>
      <c r="AK72" s="57" t="n">
        <v>1</v>
      </c>
      <c r="AL72" s="58" t="n">
        <v>0.3541666666666667</v>
      </c>
      <c r="AM72" s="58" t="n">
        <v>0.7381944444444445</v>
      </c>
      <c r="AN72" s="83">
        <f>MOD(AM72-AL72,1)*24</f>
        <v/>
      </c>
      <c r="AO72" s="57" t="n">
        <v>1</v>
      </c>
      <c r="AP72" s="58" t="n">
        <v>0.3534722222222222</v>
      </c>
      <c r="AQ72" s="58" t="n">
        <v>0.7916666666666666</v>
      </c>
      <c r="AR72" s="83">
        <f>MOD(AQ72-AP72,1)*24</f>
        <v/>
      </c>
      <c r="AS72" s="57" t="n">
        <v>0.5</v>
      </c>
      <c r="AT72" s="58" t="n">
        <v>0.3534722222222222</v>
      </c>
      <c r="AU72" s="58" t="n">
        <v>0.7743055555555556</v>
      </c>
      <c r="AV72" s="83">
        <f>MOD(AU72-AT72,1)*24</f>
        <v/>
      </c>
      <c r="AW72" s="57" t="n">
        <v>0.5</v>
      </c>
      <c r="AX72" s="58" t="n"/>
      <c r="AY72" s="58" t="n"/>
      <c r="AZ72" s="83" t="n"/>
      <c r="BA72" s="57" t="n"/>
      <c r="BB72" s="58" t="n">
        <v>0.3534722222222222</v>
      </c>
      <c r="BC72" s="60" t="n">
        <v>0.8277777777777777</v>
      </c>
      <c r="BD72" s="83">
        <f>MOD(BC72-BB72,1)*24</f>
        <v/>
      </c>
      <c r="BE72" s="41" t="n">
        <v>1</v>
      </c>
      <c r="BF72" s="116" t="n">
        <v>0.3534722222222222</v>
      </c>
      <c r="BG72" s="115" t="n">
        <v>0.8388888888888889</v>
      </c>
      <c r="BH72" s="83">
        <f>MOD(BG72-BF72,1)*24</f>
        <v/>
      </c>
      <c r="BI72" s="57" t="n">
        <v>1</v>
      </c>
      <c r="BJ72" s="58" t="n">
        <v>0.3541666666666667</v>
      </c>
      <c r="BK72" s="58" t="n">
        <v>0.7895833333333333</v>
      </c>
      <c r="BL72" s="83">
        <f>MOD(BK72-BJ72,1)*24</f>
        <v/>
      </c>
      <c r="BM72" s="57" t="n">
        <v>1</v>
      </c>
      <c r="BN72" s="58" t="n">
        <v>0.7951388888888888</v>
      </c>
      <c r="BO72" s="58" t="n"/>
      <c r="BP72" s="83" t="n"/>
      <c r="BQ72" s="57" t="n">
        <v>0.5</v>
      </c>
      <c r="BR72" s="58" t="n">
        <v>0.3548611111111111</v>
      </c>
      <c r="BS72" s="58" t="n"/>
      <c r="BT72" s="83" t="n"/>
      <c r="BU72" s="57" t="n">
        <v>0.5</v>
      </c>
      <c r="BV72" s="58" t="n">
        <v>0.35</v>
      </c>
      <c r="BW72" s="60" t="n">
        <v>0.7576388888888889</v>
      </c>
      <c r="BX72" s="83">
        <f>MOD(BW72-BV72,1)*24</f>
        <v/>
      </c>
      <c r="BY72" s="41" t="n">
        <v>1</v>
      </c>
      <c r="BZ72" s="41" t="n"/>
      <c r="CA72" s="41" t="n"/>
      <c r="CB72" s="83" t="n"/>
      <c r="CC72" s="41" t="n"/>
      <c r="CD72" s="116" t="n">
        <v>0.3520833333333334</v>
      </c>
      <c r="CE72" s="115" t="n">
        <v>0.7472222222222222</v>
      </c>
      <c r="CF72" s="83">
        <f>MOD(CE72-CD72,1)*24</f>
        <v/>
      </c>
      <c r="CG72" s="57" t="n">
        <v>1</v>
      </c>
      <c r="CH72" s="58" t="n">
        <v>0.3541666666666667</v>
      </c>
      <c r="CI72" s="58" t="n">
        <v>0.7590277777777777</v>
      </c>
      <c r="CJ72" s="83">
        <f>MOD(CI72-CH72,1)*24</f>
        <v/>
      </c>
      <c r="CK72" s="57" t="n">
        <v>1</v>
      </c>
      <c r="CL72" s="58" t="n">
        <v>0.3555555555555556</v>
      </c>
      <c r="CM72" s="58" t="n">
        <v>0.7631944444444444</v>
      </c>
      <c r="CN72" s="83">
        <f>MOD(CM72-CL72,1)*24</f>
        <v/>
      </c>
      <c r="CO72" s="57" t="n">
        <v>1</v>
      </c>
      <c r="CP72" s="58" t="n">
        <v>0.3534722222222222</v>
      </c>
      <c r="CQ72" s="58" t="n">
        <v>0.7416666666666667</v>
      </c>
      <c r="CR72" s="83">
        <f>MOD(CQ72-CP72,1)*24</f>
        <v/>
      </c>
      <c r="CS72" s="57" t="n">
        <v>1</v>
      </c>
      <c r="CT72" s="58" t="n">
        <v>0.3548611111111111</v>
      </c>
      <c r="CU72" s="58" t="n">
        <v>0.7451388888888889</v>
      </c>
      <c r="CV72" s="83">
        <f>MOD(CU72-CT72,1)*24</f>
        <v/>
      </c>
      <c r="CW72" s="57" t="n">
        <v>1</v>
      </c>
      <c r="CX72" s="58" t="n">
        <v>0.3548611111111111</v>
      </c>
      <c r="CY72" s="58" t="n">
        <v>0.7361111111111112</v>
      </c>
      <c r="CZ72" s="83">
        <f>MOD(CY72-CX72,1)*24</f>
        <v/>
      </c>
      <c r="DA72" s="57" t="n">
        <v>1</v>
      </c>
      <c r="DB72" s="58" t="n"/>
      <c r="DC72" s="58" t="n"/>
      <c r="DD72" s="83" t="n"/>
      <c r="DE72" s="57" t="n"/>
      <c r="DF72" s="58" t="n">
        <v>0.3548611111111111</v>
      </c>
      <c r="DG72" s="60" t="n">
        <v>0.7763888888888889</v>
      </c>
      <c r="DH72" s="83">
        <f>MOD(DG72-DF72,1)*24</f>
        <v/>
      </c>
      <c r="DI72" s="41" t="n">
        <v>1</v>
      </c>
      <c r="DJ72" s="116" t="n">
        <v>0.3555555555555556</v>
      </c>
      <c r="DK72" s="116" t="n">
        <v>0.7701388888888889</v>
      </c>
      <c r="DL72" s="83">
        <f>MOD(DK72-DJ72,1)*24</f>
        <v/>
      </c>
      <c r="DM72" s="41" t="n">
        <v>1</v>
      </c>
      <c r="DN72" s="58" t="n">
        <v>0.35625</v>
      </c>
      <c r="DO72" s="58" t="n">
        <v>0.7423611111111111</v>
      </c>
      <c r="DP72" s="83">
        <f>MOD(DO72-DN72,1)*24</f>
        <v/>
      </c>
      <c r="DQ72" s="57" t="n">
        <v>1</v>
      </c>
      <c r="DR72" s="61" t="n">
        <v>0.3576388888888889</v>
      </c>
      <c r="DS72" s="62" t="n">
        <v>0.7715277777777778</v>
      </c>
      <c r="DT72" s="83">
        <f>MOD(DS72-DR72,1)*24</f>
        <v/>
      </c>
      <c r="DU72" s="41" t="n">
        <v>1</v>
      </c>
      <c r="DV72" s="61">
        <f>SUM(H72,L72,P72,T72,X72,AB72,AF72,AJ72,AN72,AR72,AV72,AZ72,BD72,BH72,BL72,BP72,BT72,BX72,CB72,CF72,CJ72,CN72,CR72,CV72,CZ72,DD72,DH72,DL72,DP72,DT72)</f>
        <v/>
      </c>
      <c r="DW72" s="62">
        <f>SUM(I72,M72,Q72,U72,Y72,AC72,AG72,AK72,AO72,AS72,AW72,BA72,BE72,BI72,BM72,BQ72,BU72,BY72,CC72,CG72,CK72,CO72,CS72,CW72,DA72,DE72,DI72,DM72,DQ72,DU72)</f>
        <v/>
      </c>
      <c r="DX72" s="83" t="n"/>
      <c r="DY72" s="41" t="n"/>
      <c r="DZ72" s="84" t="n"/>
      <c r="EA72" s="84" t="n"/>
      <c r="EB72" s="84" t="n"/>
      <c r="EC72" s="84" t="n"/>
      <c r="ED72" s="84" t="n"/>
      <c r="EE72" s="84" t="n"/>
      <c r="EF72" s="84" t="n"/>
      <c r="EG72" s="84" t="n"/>
      <c r="EH72" s="84" t="inlineStr">
        <is>
          <t>迟到</t>
        </is>
      </c>
      <c r="EI72" s="84" t="n"/>
      <c r="EJ72" s="84" t="n"/>
      <c r="EK72" s="84" t="n"/>
      <c r="EL72" s="84" t="n"/>
      <c r="EM72" s="84" t="n"/>
      <c r="EN72" s="84" t="n"/>
      <c r="EO72" s="84" t="n"/>
      <c r="EP72" s="84" t="n"/>
      <c r="EQ72" s="84" t="inlineStr">
        <is>
          <t>只打一次卡</t>
        </is>
      </c>
      <c r="ER72" s="84" t="inlineStr">
        <is>
          <t>只打一次卡</t>
        </is>
      </c>
      <c r="ES72" s="84" t="n"/>
      <c r="ET72" s="84" t="n"/>
      <c r="EU72" s="84" t="n"/>
      <c r="EV72" s="84" t="n"/>
      <c r="EW72" s="84" t="inlineStr">
        <is>
          <t>迟到</t>
        </is>
      </c>
      <c r="EX72" s="84" t="n"/>
      <c r="EY72" s="84" t="inlineStr">
        <is>
          <t>迟到</t>
        </is>
      </c>
      <c r="EZ72" s="84" t="inlineStr">
        <is>
          <t>迟到</t>
        </is>
      </c>
      <c r="FA72" s="84" t="n"/>
      <c r="FB72" s="84" t="inlineStr">
        <is>
          <t>迟到</t>
        </is>
      </c>
      <c r="FC72" s="84" t="inlineStr">
        <is>
          <t>迟到</t>
        </is>
      </c>
      <c r="FD72" s="84" t="inlineStr">
        <is>
          <t>迟到</t>
        </is>
      </c>
      <c r="FE72" s="84" t="inlineStr">
        <is>
          <t>迟到</t>
        </is>
      </c>
    </row>
    <row r="73" ht="59" customFormat="1" customHeight="1" s="54">
      <c r="A73" s="55" t="inlineStr">
        <is>
          <t>五楼</t>
        </is>
      </c>
      <c r="B73" s="56" t="inlineStr">
        <is>
          <t>李丰希</t>
        </is>
      </c>
      <c r="C73" s="41" t="inlineStr">
        <is>
          <t>64</t>
        </is>
      </c>
      <c r="D73" s="41" t="n"/>
      <c r="E73" s="57" t="n"/>
      <c r="F73" s="115" t="n"/>
      <c r="G73" s="58" t="n"/>
      <c r="H73" s="83" t="n"/>
      <c r="I73" s="57" t="n"/>
      <c r="J73" s="58" t="n"/>
      <c r="K73" s="58" t="n"/>
      <c r="L73" s="83" t="n"/>
      <c r="M73" s="57" t="n"/>
      <c r="N73" s="58" t="n"/>
      <c r="O73" s="58" t="n"/>
      <c r="P73" s="83" t="n"/>
      <c r="Q73" s="57" t="n"/>
      <c r="R73" s="58" t="n"/>
      <c r="S73" s="58" t="n"/>
      <c r="T73" s="83" t="n"/>
      <c r="U73" s="57" t="n"/>
      <c r="V73" s="58" t="n"/>
      <c r="W73" s="58" t="n"/>
      <c r="X73" s="83" t="n"/>
      <c r="Y73" s="57" t="n"/>
      <c r="Z73" s="58" t="n"/>
      <c r="AA73" s="60" t="n"/>
      <c r="AB73" s="83" t="n"/>
      <c r="AC73" s="41" t="n"/>
      <c r="AD73" s="116" t="n"/>
      <c r="AE73" s="117" t="n"/>
      <c r="AF73" s="83" t="n"/>
      <c r="AG73" s="57" t="n"/>
      <c r="AH73" s="58" t="n"/>
      <c r="AI73" s="58" t="n"/>
      <c r="AJ73" s="83" t="n"/>
      <c r="AK73" s="57" t="n"/>
      <c r="AL73" s="58" t="n"/>
      <c r="AM73" s="58" t="n"/>
      <c r="AN73" s="83" t="n"/>
      <c r="AO73" s="57" t="n"/>
      <c r="AP73" s="58" t="n">
        <v>0.8256944444444444</v>
      </c>
      <c r="AQ73" s="58" t="n"/>
      <c r="AR73" s="83" t="n"/>
      <c r="AS73" s="57" t="n">
        <v>0.5</v>
      </c>
      <c r="AT73" s="58" t="n">
        <v>0.7756944444444445</v>
      </c>
      <c r="AU73" s="58" t="n"/>
      <c r="AV73" s="83" t="n"/>
      <c r="AW73" s="57" t="n">
        <v>0.5</v>
      </c>
      <c r="AX73" s="58" t="n"/>
      <c r="AY73" s="58" t="n"/>
      <c r="AZ73" s="83" t="n"/>
      <c r="BA73" s="57" t="n"/>
      <c r="BB73" s="58" t="n"/>
      <c r="BC73" s="60" t="n"/>
      <c r="BD73" s="83" t="n"/>
      <c r="BE73" s="41" t="n"/>
      <c r="BF73" s="116" t="n"/>
      <c r="BG73" s="115" t="n"/>
      <c r="BH73" s="83" t="n"/>
      <c r="BI73" s="57" t="n"/>
      <c r="BJ73" s="58" t="n"/>
      <c r="BK73" s="58" t="n"/>
      <c r="BL73" s="83" t="n"/>
      <c r="BM73" s="57" t="n"/>
      <c r="BN73" s="58" t="n"/>
      <c r="BO73" s="58" t="n"/>
      <c r="BP73" s="83" t="n"/>
      <c r="BQ73" s="57" t="n"/>
      <c r="BR73" s="58" t="n"/>
      <c r="BS73" s="58" t="n"/>
      <c r="BT73" s="83" t="n"/>
      <c r="BU73" s="57" t="n"/>
      <c r="BV73" s="58" t="n"/>
      <c r="BW73" s="60" t="n"/>
      <c r="BX73" s="83" t="n"/>
      <c r="BY73" s="41" t="n"/>
      <c r="BZ73" s="41" t="n"/>
      <c r="CA73" s="41" t="n"/>
      <c r="CB73" s="83" t="n"/>
      <c r="CC73" s="41" t="n"/>
      <c r="CD73" s="116" t="n"/>
      <c r="CE73" s="115" t="n"/>
      <c r="CF73" s="83" t="n"/>
      <c r="CG73" s="57" t="n"/>
      <c r="CH73" s="58" t="n"/>
      <c r="CI73" s="58" t="n"/>
      <c r="CJ73" s="83" t="n"/>
      <c r="CK73" s="57" t="n"/>
      <c r="CL73" s="58" t="n"/>
      <c r="CM73" s="58" t="n"/>
      <c r="CN73" s="83" t="n"/>
      <c r="CO73" s="57" t="n"/>
      <c r="CP73" s="58" t="n"/>
      <c r="CQ73" s="58" t="n"/>
      <c r="CR73" s="83" t="n"/>
      <c r="CS73" s="57" t="n"/>
      <c r="CT73" s="58" t="n"/>
      <c r="CU73" s="58" t="n"/>
      <c r="CV73" s="83" t="n"/>
      <c r="CW73" s="57" t="n"/>
      <c r="CX73" s="58" t="n"/>
      <c r="CY73" s="58" t="n"/>
      <c r="CZ73" s="83" t="n"/>
      <c r="DA73" s="57" t="n"/>
      <c r="DB73" s="58" t="n"/>
      <c r="DC73" s="58" t="n"/>
      <c r="DD73" s="83" t="n"/>
      <c r="DE73" s="57" t="n"/>
      <c r="DF73" s="58" t="n"/>
      <c r="DG73" s="60" t="n"/>
      <c r="DH73" s="83" t="n"/>
      <c r="DI73" s="41" t="n"/>
      <c r="DJ73" s="116" t="n"/>
      <c r="DK73" s="116" t="n"/>
      <c r="DL73" s="83" t="n"/>
      <c r="DM73" s="41" t="n"/>
      <c r="DN73" s="58" t="n"/>
      <c r="DO73" s="58" t="n"/>
      <c r="DP73" s="83" t="n"/>
      <c r="DQ73" s="57" t="n"/>
      <c r="DR73" s="61" t="n"/>
      <c r="DS73" s="62" t="n"/>
      <c r="DT73" s="83" t="n"/>
      <c r="DU73" s="41" t="n"/>
      <c r="DV73" s="61">
        <f>SUM(H73,L73,P73,T73,X73,AB73,AF73,AJ73,AN73,AR73,AV73,AZ73,BD73,BH73,BL73,BP73,BT73,BX73,CB73,CF73,CJ73,CN73,CR73,CV73,CZ73,DD73,DH73,DL73,DP73,DT73)</f>
        <v/>
      </c>
      <c r="DW73" s="62">
        <f>SUM(I73,M73,Q73,U73,Y73,AC73,AG73,AK73,AO73,AS73,AW73,BA73,BE73,BI73,BM73,BQ73,BU73,BY73,CC73,CG73,CK73,CO73,CS73,CW73,DA73,DE73,DI73,DM73,DQ73,DU73)</f>
        <v/>
      </c>
      <c r="DX73" s="83" t="n"/>
      <c r="DY73" s="41" t="n"/>
      <c r="DZ73" s="84" t="n"/>
      <c r="EA73" s="84" t="n"/>
      <c r="EB73" s="84" t="n"/>
      <c r="EC73" s="84" t="n"/>
      <c r="ED73" s="84" t="n"/>
      <c r="EE73" s="84" t="n"/>
      <c r="EF73" s="84" t="n"/>
      <c r="EG73" s="84" t="n"/>
      <c r="EH73" s="84" t="n"/>
      <c r="EI73" s="84" t="n"/>
      <c r="EJ73" s="84" t="n"/>
      <c r="EK73" s="84" t="n"/>
      <c r="EL73" s="84" t="n"/>
      <c r="EM73" s="84" t="n"/>
      <c r="EN73" s="84" t="n"/>
      <c r="EO73" s="84" t="n"/>
      <c r="EP73" s="84" t="n"/>
      <c r="EQ73" s="84" t="n"/>
      <c r="ER73" s="84" t="n"/>
      <c r="ES73" s="84" t="n"/>
      <c r="ET73" s="84" t="n"/>
      <c r="EU73" s="84" t="n"/>
      <c r="EV73" s="84" t="n"/>
      <c r="EW73" s="84" t="n"/>
      <c r="EX73" s="84" t="n"/>
      <c r="EY73" s="84" t="n"/>
      <c r="EZ73" s="84" t="n"/>
      <c r="FA73" s="84" t="n"/>
      <c r="FB73" s="84" t="n"/>
      <c r="FC73" s="84" t="n"/>
      <c r="FD73" s="84" t="n"/>
      <c r="FE73" s="84" t="n"/>
    </row>
    <row r="74" ht="59" customFormat="1" customHeight="1" s="54">
      <c r="A74" s="55" t="inlineStr">
        <is>
          <t>五楼</t>
        </is>
      </c>
      <c r="B74" s="56" t="inlineStr">
        <is>
          <t>许军</t>
        </is>
      </c>
      <c r="C74" s="41" t="inlineStr">
        <is>
          <t>65</t>
        </is>
      </c>
      <c r="D74" s="41" t="n"/>
      <c r="E74" s="57" t="n"/>
      <c r="F74" s="115" t="n"/>
      <c r="G74" s="58" t="n"/>
      <c r="H74" s="83" t="n"/>
      <c r="I74" s="57" t="n"/>
      <c r="J74" s="58" t="n">
        <v>0.3083333333333333</v>
      </c>
      <c r="K74" s="58" t="n">
        <v>0.9027777777777778</v>
      </c>
      <c r="L74" s="83">
        <f>MOD(K74-J74,1)*24</f>
        <v/>
      </c>
      <c r="M74" s="57" t="n">
        <v>1</v>
      </c>
      <c r="N74" s="58" t="n">
        <v>0.3479166666666667</v>
      </c>
      <c r="O74" s="58" t="n"/>
      <c r="P74" s="83" t="n"/>
      <c r="Q74" s="57" t="n">
        <v>0.5</v>
      </c>
      <c r="R74" s="58" t="n">
        <v>0.3520833333333334</v>
      </c>
      <c r="S74" s="58" t="n">
        <v>0.7368055555555556</v>
      </c>
      <c r="T74" s="83">
        <f>MOD(S74-R74,1)*24</f>
        <v/>
      </c>
      <c r="U74" s="57" t="n">
        <v>1</v>
      </c>
      <c r="V74" s="58" t="n"/>
      <c r="W74" s="58" t="n"/>
      <c r="X74" s="83" t="n"/>
      <c r="Y74" s="57" t="n"/>
      <c r="Z74" s="58" t="n">
        <v>0.3416666666666667</v>
      </c>
      <c r="AA74" s="60" t="n">
        <v>0.8173611111111111</v>
      </c>
      <c r="AB74" s="83">
        <f>MOD(AA74-Z74,1)*24</f>
        <v/>
      </c>
      <c r="AC74" s="41" t="n">
        <v>1</v>
      </c>
      <c r="AD74" s="116" t="n">
        <v>0.3486111111111111</v>
      </c>
      <c r="AE74" s="117" t="n">
        <v>0.7708333333333334</v>
      </c>
      <c r="AF74" s="83">
        <f>MOD(AE74-AD74,1)*24</f>
        <v/>
      </c>
      <c r="AG74" s="57" t="n">
        <v>0.5</v>
      </c>
      <c r="AH74" s="58" t="n">
        <v>0.3493055555555555</v>
      </c>
      <c r="AI74" s="58" t="n">
        <v>0.7423611111111111</v>
      </c>
      <c r="AJ74" s="83">
        <f>MOD(AI74-AH74,1)*24</f>
        <v/>
      </c>
      <c r="AK74" s="57" t="n">
        <v>1</v>
      </c>
      <c r="AL74" s="58" t="n"/>
      <c r="AM74" s="58" t="n"/>
      <c r="AN74" s="83" t="n"/>
      <c r="AO74" s="57" t="n"/>
      <c r="AP74" s="58" t="n"/>
      <c r="AQ74" s="58" t="n"/>
      <c r="AR74" s="83" t="n"/>
      <c r="AS74" s="57" t="n"/>
      <c r="AT74" s="58" t="n"/>
      <c r="AU74" s="58" t="n"/>
      <c r="AV74" s="83" t="n"/>
      <c r="AW74" s="57" t="n"/>
      <c r="AX74" s="58" t="n">
        <v>0.5375</v>
      </c>
      <c r="AY74" s="58" t="n">
        <v>0.7388888888888889</v>
      </c>
      <c r="AZ74" s="83">
        <f>MOD(AY74-AX74,1)*24</f>
        <v/>
      </c>
      <c r="BA74" s="57" t="n">
        <v>0.5</v>
      </c>
      <c r="BB74" s="58" t="n">
        <v>0.3479166666666667</v>
      </c>
      <c r="BC74" s="60" t="n">
        <v>0.7541666666666667</v>
      </c>
      <c r="BD74" s="83">
        <f>MOD(BC74-BB74,1)*24</f>
        <v/>
      </c>
      <c r="BE74" s="41" t="n">
        <v>1</v>
      </c>
      <c r="BF74" s="116" t="n">
        <v>0.3472222222222222</v>
      </c>
      <c r="BG74" s="115" t="n">
        <v>0.8291666666666667</v>
      </c>
      <c r="BH74" s="83">
        <f>MOD(BG74-BF74,1)*24</f>
        <v/>
      </c>
      <c r="BI74" s="57" t="n">
        <v>1</v>
      </c>
      <c r="BJ74" s="58" t="n">
        <v>0.35</v>
      </c>
      <c r="BK74" s="58" t="n">
        <v>0.8118055555555556</v>
      </c>
      <c r="BL74" s="83">
        <f>MOD(BK74-BJ74,1)*24</f>
        <v/>
      </c>
      <c r="BM74" s="57" t="n">
        <v>1</v>
      </c>
      <c r="BN74" s="58" t="n">
        <v>0.3555555555555556</v>
      </c>
      <c r="BO74" s="58" t="n">
        <v>0.7409722222222223</v>
      </c>
      <c r="BP74" s="83">
        <f>MOD(BO74-BN74,1)*24</f>
        <v/>
      </c>
      <c r="BQ74" s="57" t="n">
        <v>1</v>
      </c>
      <c r="BR74" s="58" t="n"/>
      <c r="BS74" s="58" t="n"/>
      <c r="BT74" s="83" t="n"/>
      <c r="BU74" s="57" t="n"/>
      <c r="BV74" s="58" t="n">
        <v>0.3493055555555555</v>
      </c>
      <c r="BW74" s="60" t="n">
        <v>0.7416666666666667</v>
      </c>
      <c r="BX74" s="83">
        <f>MOD(BW74-BV74,1)*24</f>
        <v/>
      </c>
      <c r="BY74" s="41" t="n">
        <v>0.5</v>
      </c>
      <c r="BZ74" s="41" t="n"/>
      <c r="CA74" s="41" t="n"/>
      <c r="CB74" s="83" t="n"/>
      <c r="CC74" s="41" t="n"/>
      <c r="CD74" s="116" t="n">
        <v>0.3368055555555556</v>
      </c>
      <c r="CE74" s="115" t="n">
        <v>0.7666666666666667</v>
      </c>
      <c r="CF74" s="83">
        <f>MOD(CE74-CD74,1)*24</f>
        <v/>
      </c>
      <c r="CG74" s="57" t="n">
        <v>1</v>
      </c>
      <c r="CH74" s="58" t="n">
        <v>0.3520833333333334</v>
      </c>
      <c r="CI74" s="58" t="n">
        <v>0.7541666666666667</v>
      </c>
      <c r="CJ74" s="83">
        <f>MOD(CI74-CH74,1)*24</f>
        <v/>
      </c>
      <c r="CK74" s="57" t="n">
        <v>0.5</v>
      </c>
      <c r="CL74" s="58" t="n">
        <v>0.3479166666666667</v>
      </c>
      <c r="CM74" s="58" t="n">
        <v>0.7513888888888889</v>
      </c>
      <c r="CN74" s="83">
        <f>MOD(CM74-CL74,1)*24</f>
        <v/>
      </c>
      <c r="CO74" s="57" t="n">
        <v>1</v>
      </c>
      <c r="CP74" s="58" t="n">
        <v>0.3493055555555555</v>
      </c>
      <c r="CQ74" s="58" t="n">
        <v>0.7541666666666667</v>
      </c>
      <c r="CR74" s="83">
        <f>MOD(CQ74-CP74,1)*24</f>
        <v/>
      </c>
      <c r="CS74" s="57" t="n">
        <v>0.5</v>
      </c>
      <c r="CT74" s="58" t="n">
        <v>0.3458333333333333</v>
      </c>
      <c r="CU74" s="58" t="n">
        <v>0.7395833333333334</v>
      </c>
      <c r="CV74" s="83">
        <f>MOD(CU74-CT74,1)*24</f>
        <v/>
      </c>
      <c r="CW74" s="57" t="n">
        <v>1</v>
      </c>
      <c r="CX74" s="58" t="n">
        <v>0.3472222222222222</v>
      </c>
      <c r="CY74" s="58" t="n">
        <v>0.7395833333333334</v>
      </c>
      <c r="CZ74" s="83">
        <f>MOD(CY74-CX74,1)*24</f>
        <v/>
      </c>
      <c r="DA74" s="57" t="n">
        <v>1</v>
      </c>
      <c r="DB74" s="58" t="n">
        <v>0.5333333333333333</v>
      </c>
      <c r="DC74" s="58" t="n">
        <v>0.7368055555555556</v>
      </c>
      <c r="DD74" s="83">
        <f>MOD(DC74-DB74,1)*24</f>
        <v/>
      </c>
      <c r="DE74" s="57" t="n">
        <v>0.5</v>
      </c>
      <c r="DF74" s="58" t="n">
        <v>0.3520833333333334</v>
      </c>
      <c r="DG74" s="60" t="n">
        <v>0.7756944444444445</v>
      </c>
      <c r="DH74" s="83">
        <f>MOD(DG74-DF74,1)*24</f>
        <v/>
      </c>
      <c r="DI74" s="41" t="n">
        <v>1</v>
      </c>
      <c r="DJ74" s="116" t="n">
        <v>0.3506944444444444</v>
      </c>
      <c r="DK74" s="116" t="n">
        <v>0.7381944444444445</v>
      </c>
      <c r="DL74" s="83">
        <f>MOD(DK74-DJ74,1)*24</f>
        <v/>
      </c>
      <c r="DM74" s="41" t="n">
        <v>0.5</v>
      </c>
      <c r="DN74" s="58" t="n">
        <v>0.3493055555555555</v>
      </c>
      <c r="DO74" s="58" t="n">
        <v>0.8701388888888889</v>
      </c>
      <c r="DP74" s="83">
        <f>MOD(DO74-DN74,1)*24</f>
        <v/>
      </c>
      <c r="DQ74" s="57" t="n">
        <v>1</v>
      </c>
      <c r="DR74" s="61" t="n">
        <v>0.3506944444444444</v>
      </c>
      <c r="DS74" s="62" t="n">
        <v>0.8361111111111111</v>
      </c>
      <c r="DT74" s="83">
        <f>MOD(DS74-DR74,1)*24</f>
        <v/>
      </c>
      <c r="DU74" s="41" t="n">
        <v>1</v>
      </c>
      <c r="DV74" s="61">
        <f>SUM(H74,L74,P74,T74,X74,AB74,AF74,AJ74,AN74,AR74,AV74,AZ74,BD74,BH74,BL74,BP74,BT74,BX74,CB74,CF74,CJ74,CN74,CR74,CV74,CZ74,DD74,DH74,DL74,DP74,DT74)</f>
        <v/>
      </c>
      <c r="DW74" s="62">
        <f>SUM(I74,M74,Q74,U74,Y74,AC74,AG74,AK74,AO74,AS74,AW74,BA74,BE74,BI74,BM74,BQ74,BU74,BY74,CC74,CG74,CK74,CO74,CS74,CW74,DA74,DE74,DI74,DM74,DQ74,DU74)</f>
        <v/>
      </c>
      <c r="DX74" s="83" t="n"/>
      <c r="DY74" s="41" t="n"/>
      <c r="DZ74" s="84" t="n"/>
      <c r="EA74" s="84" t="n"/>
      <c r="EB74" s="84" t="n"/>
      <c r="EC74" s="84" t="n"/>
      <c r="ED74" s="84" t="inlineStr">
        <is>
          <t>只打一次卡</t>
        </is>
      </c>
      <c r="EE74" s="84" t="n"/>
      <c r="EF74" s="84" t="n"/>
      <c r="EG74" s="84" t="n"/>
      <c r="EH74" s="84" t="n"/>
      <c r="EI74" s="84" t="n"/>
      <c r="EJ74" s="84" t="n"/>
      <c r="EK74" s="84" t="n"/>
      <c r="EL74" s="84" t="n"/>
      <c r="EM74" s="84" t="inlineStr">
        <is>
          <t>迟到</t>
        </is>
      </c>
      <c r="EN74" s="84" t="n"/>
      <c r="EO74" s="84" t="n"/>
      <c r="EP74" s="84" t="n"/>
      <c r="EQ74" s="84" t="inlineStr">
        <is>
          <t>迟到</t>
        </is>
      </c>
      <c r="ER74" s="84" t="n"/>
      <c r="ES74" s="84" t="n"/>
      <c r="ET74" s="84" t="n"/>
      <c r="EU74" s="84" t="n"/>
      <c r="EV74" s="84" t="n"/>
      <c r="EW74" s="84" t="n"/>
      <c r="EX74" s="84" t="n"/>
      <c r="EY74" s="84" t="n"/>
      <c r="EZ74" s="84" t="n"/>
      <c r="FA74" s="84" t="inlineStr">
        <is>
          <t>迟到</t>
        </is>
      </c>
      <c r="FB74" s="84" t="n"/>
      <c r="FC74" s="84" t="n"/>
      <c r="FD74" s="84" t="n"/>
      <c r="FE74" s="84" t="n"/>
    </row>
    <row r="75" ht="59" customFormat="1" customHeight="1" s="54">
      <c r="A75" s="55" t="inlineStr">
        <is>
          <t>五楼</t>
        </is>
      </c>
      <c r="B75" s="56" t="inlineStr">
        <is>
          <t>许军</t>
        </is>
      </c>
      <c r="C75" s="41" t="inlineStr">
        <is>
          <t>65</t>
        </is>
      </c>
      <c r="D75" s="41" t="n"/>
      <c r="E75" s="57" t="n"/>
      <c r="F75" s="115" t="n"/>
      <c r="G75" s="58" t="n"/>
      <c r="H75" s="83" t="n"/>
      <c r="I75" s="57" t="n"/>
      <c r="J75" s="58" t="n"/>
      <c r="K75" s="58" t="n"/>
      <c r="L75" s="83" t="n"/>
      <c r="M75" s="57" t="n"/>
      <c r="N75" s="58" t="n"/>
      <c r="O75" s="58" t="n"/>
      <c r="P75" s="83" t="n"/>
      <c r="Q75" s="57" t="n"/>
      <c r="R75" s="58" t="n"/>
      <c r="S75" s="58" t="n"/>
      <c r="T75" s="83" t="n"/>
      <c r="U75" s="57" t="n"/>
      <c r="V75" s="58" t="n"/>
      <c r="W75" s="58" t="n"/>
      <c r="X75" s="83" t="n"/>
      <c r="Y75" s="57" t="n"/>
      <c r="Z75" s="58" t="n"/>
      <c r="AA75" s="60" t="n"/>
      <c r="AB75" s="83" t="n"/>
      <c r="AC75" s="41" t="n"/>
      <c r="AD75" s="116" t="n">
        <v>0.83125</v>
      </c>
      <c r="AE75" s="117" t="n"/>
      <c r="AF75" s="83" t="n"/>
      <c r="AG75" s="57" t="n">
        <v>0.5</v>
      </c>
      <c r="AH75" s="58" t="n"/>
      <c r="AI75" s="58" t="n"/>
      <c r="AJ75" s="83" t="n"/>
      <c r="AK75" s="57" t="n"/>
      <c r="AL75" s="58" t="n"/>
      <c r="AM75" s="58" t="n"/>
      <c r="AN75" s="83" t="n"/>
      <c r="AO75" s="57" t="n"/>
      <c r="AP75" s="58" t="n"/>
      <c r="AQ75" s="58" t="n"/>
      <c r="AR75" s="83" t="n"/>
      <c r="AS75" s="57" t="n"/>
      <c r="AT75" s="58" t="n"/>
      <c r="AU75" s="58" t="n"/>
      <c r="AV75" s="83" t="n"/>
      <c r="AW75" s="57" t="n"/>
      <c r="AX75" s="58" t="n"/>
      <c r="AY75" s="58" t="n"/>
      <c r="AZ75" s="83" t="n"/>
      <c r="BA75" s="57" t="n"/>
      <c r="BB75" s="58" t="n"/>
      <c r="BC75" s="60" t="n"/>
      <c r="BD75" s="83" t="n"/>
      <c r="BE75" s="41" t="n"/>
      <c r="BF75" s="116" t="n"/>
      <c r="BG75" s="115" t="n"/>
      <c r="BH75" s="83" t="n"/>
      <c r="BI75" s="57" t="n"/>
      <c r="BJ75" s="58" t="n"/>
      <c r="BK75" s="58" t="n"/>
      <c r="BL75" s="83" t="n"/>
      <c r="BM75" s="57" t="n"/>
      <c r="BN75" s="58" t="n"/>
      <c r="BO75" s="58" t="n"/>
      <c r="BP75" s="83" t="n"/>
      <c r="BQ75" s="57" t="n"/>
      <c r="BR75" s="58" t="n"/>
      <c r="BS75" s="58" t="n"/>
      <c r="BT75" s="83" t="n"/>
      <c r="BU75" s="57" t="n"/>
      <c r="BV75" s="58" t="n">
        <v>0.8069444444444445</v>
      </c>
      <c r="BW75" s="60" t="n"/>
      <c r="BX75" s="83" t="n"/>
      <c r="BY75" s="41" t="n">
        <v>0.5</v>
      </c>
      <c r="BZ75" s="41" t="n"/>
      <c r="CA75" s="41" t="n"/>
      <c r="CB75" s="83" t="n"/>
      <c r="CC75" s="41" t="n"/>
      <c r="CD75" s="116" t="n"/>
      <c r="CE75" s="115" t="n"/>
      <c r="CF75" s="83" t="n"/>
      <c r="CG75" s="57" t="n"/>
      <c r="CH75" s="58" t="n">
        <v>0.84375</v>
      </c>
      <c r="CI75" s="58" t="n"/>
      <c r="CJ75" s="83" t="n"/>
      <c r="CK75" s="57" t="n">
        <v>0.5</v>
      </c>
      <c r="CL75" s="58" t="n"/>
      <c r="CM75" s="58" t="n"/>
      <c r="CN75" s="83" t="n"/>
      <c r="CO75" s="57" t="n"/>
      <c r="CP75" s="58" t="n">
        <v>0.8319444444444445</v>
      </c>
      <c r="CQ75" s="58" t="n"/>
      <c r="CR75" s="83" t="n"/>
      <c r="CS75" s="57" t="n">
        <v>0.5</v>
      </c>
      <c r="CT75" s="58" t="n"/>
      <c r="CU75" s="58" t="n"/>
      <c r="CV75" s="83" t="n"/>
      <c r="CW75" s="57" t="n"/>
      <c r="CX75" s="58" t="n"/>
      <c r="CY75" s="58" t="n"/>
      <c r="CZ75" s="83" t="n"/>
      <c r="DA75" s="57" t="n"/>
      <c r="DB75" s="58" t="n"/>
      <c r="DC75" s="58" t="n"/>
      <c r="DD75" s="83" t="n"/>
      <c r="DE75" s="57" t="n"/>
      <c r="DF75" s="58" t="n"/>
      <c r="DG75" s="60" t="n"/>
      <c r="DH75" s="83" t="n"/>
      <c r="DI75" s="41" t="n"/>
      <c r="DJ75" s="116" t="n">
        <v>0.8402777777777778</v>
      </c>
      <c r="DK75" s="116" t="n"/>
      <c r="DL75" s="83" t="n"/>
      <c r="DM75" s="41" t="n">
        <v>0.5</v>
      </c>
      <c r="DN75" s="58" t="n"/>
      <c r="DO75" s="58" t="n"/>
      <c r="DP75" s="83" t="n"/>
      <c r="DQ75" s="57" t="n"/>
      <c r="DR75" s="61" t="n"/>
      <c r="DS75" s="62" t="n"/>
      <c r="DT75" s="83" t="n"/>
      <c r="DU75" s="41" t="n"/>
      <c r="DV75" s="61">
        <f>SUM(H75,L75,P75,T75,X75,AB75,AF75,AJ75,AN75,AR75,AV75,AZ75,BD75,BH75,BL75,BP75,BT75,BX75,CB75,CF75,CJ75,CN75,CR75,CV75,CZ75,DD75,DH75,DL75,DP75,DT75)</f>
        <v/>
      </c>
      <c r="DW75" s="62">
        <f>SUM(I75,M75,Q75,U75,Y75,AC75,AG75,AK75,AO75,AS75,AW75,BA75,BE75,BI75,BM75,BQ75,BU75,BY75,CC75,CG75,CK75,CO75,CS75,CW75,DA75,DE75,DI75,DM75,DQ75,DU75)</f>
        <v/>
      </c>
      <c r="DX75" s="83" t="n"/>
      <c r="DY75" s="41" t="n"/>
      <c r="DZ75" s="84" t="n"/>
      <c r="EA75" s="84" t="n"/>
      <c r="EB75" s="84" t="n"/>
      <c r="EC75" s="84" t="n"/>
      <c r="ED75" s="84" t="n"/>
      <c r="EE75" s="84" t="n"/>
      <c r="EF75" s="84" t="n"/>
      <c r="EG75" s="84" t="n"/>
      <c r="EH75" s="84" t="n"/>
      <c r="EI75" s="84" t="n"/>
      <c r="EJ75" s="84" t="n"/>
      <c r="EK75" s="84" t="n"/>
      <c r="EL75" s="84" t="n"/>
      <c r="EM75" s="84" t="n"/>
      <c r="EN75" s="84" t="n"/>
      <c r="EO75" s="84" t="n"/>
      <c r="EP75" s="84" t="n"/>
      <c r="EQ75" s="84" t="n"/>
      <c r="ER75" s="84" t="n"/>
      <c r="ES75" s="84" t="n"/>
      <c r="ET75" s="84" t="n"/>
      <c r="EU75" s="84" t="n"/>
      <c r="EV75" s="84" t="n"/>
      <c r="EW75" s="84" t="n"/>
      <c r="EX75" s="84" t="n"/>
      <c r="EY75" s="84" t="n"/>
      <c r="EZ75" s="84" t="n"/>
      <c r="FA75" s="84" t="n"/>
      <c r="FB75" s="84" t="n"/>
      <c r="FC75" s="84" t="n"/>
      <c r="FD75" s="84" t="n"/>
      <c r="FE75" s="84" t="n"/>
    </row>
    <row r="76" ht="59" customFormat="1" customHeight="1" s="54">
      <c r="A76" s="55" t="inlineStr">
        <is>
          <t>五楼</t>
        </is>
      </c>
      <c r="B76" s="56" t="inlineStr">
        <is>
          <t>王美镪</t>
        </is>
      </c>
      <c r="C76" s="41" t="inlineStr">
        <is>
          <t>66</t>
        </is>
      </c>
      <c r="D76" s="41" t="n"/>
      <c r="E76" s="57" t="n"/>
      <c r="F76" s="115" t="n"/>
      <c r="G76" s="58" t="n"/>
      <c r="H76" s="83" t="n"/>
      <c r="I76" s="57" t="n"/>
      <c r="J76" s="58" t="n"/>
      <c r="K76" s="58" t="n"/>
      <c r="L76" s="83" t="n"/>
      <c r="M76" s="57" t="n"/>
      <c r="N76" s="58" t="n"/>
      <c r="O76" s="58" t="n"/>
      <c r="P76" s="83" t="n"/>
      <c r="Q76" s="57" t="n"/>
      <c r="R76" s="58" t="n"/>
      <c r="S76" s="58" t="n"/>
      <c r="T76" s="83" t="n"/>
      <c r="U76" s="57" t="n"/>
      <c r="V76" s="58" t="n"/>
      <c r="W76" s="58" t="n"/>
      <c r="X76" s="83" t="n"/>
      <c r="Y76" s="57" t="n"/>
      <c r="Z76" s="58" t="n"/>
      <c r="AA76" s="60" t="n"/>
      <c r="AB76" s="83" t="n"/>
      <c r="AC76" s="41" t="n"/>
      <c r="AD76" s="116" t="n"/>
      <c r="AE76" s="117" t="n"/>
      <c r="AF76" s="83" t="n"/>
      <c r="AG76" s="57" t="n"/>
      <c r="AH76" s="58" t="n"/>
      <c r="AI76" s="58" t="n"/>
      <c r="AJ76" s="83" t="n"/>
      <c r="AK76" s="57" t="n"/>
      <c r="AL76" s="58" t="n"/>
      <c r="AM76" s="58" t="n"/>
      <c r="AN76" s="83" t="n"/>
      <c r="AO76" s="57" t="n"/>
      <c r="AP76" s="58" t="n"/>
      <c r="AQ76" s="58" t="n"/>
      <c r="AR76" s="83" t="n"/>
      <c r="AS76" s="57" t="n"/>
      <c r="AT76" s="58" t="n"/>
      <c r="AU76" s="58" t="n"/>
      <c r="AV76" s="83" t="n"/>
      <c r="AW76" s="57" t="n"/>
      <c r="AX76" s="58" t="n"/>
      <c r="AY76" s="58" t="n"/>
      <c r="AZ76" s="83" t="n"/>
      <c r="BA76" s="57" t="n"/>
      <c r="BB76" s="58" t="n"/>
      <c r="BC76" s="60" t="n"/>
      <c r="BD76" s="83" t="n"/>
      <c r="BE76" s="41" t="n"/>
      <c r="BF76" s="116" t="n"/>
      <c r="BG76" s="115" t="n"/>
      <c r="BH76" s="83" t="n"/>
      <c r="BI76" s="57" t="n"/>
      <c r="BJ76" s="58" t="n"/>
      <c r="BK76" s="58" t="n"/>
      <c r="BL76" s="83" t="n"/>
      <c r="BM76" s="57" t="n"/>
      <c r="BN76" s="58" t="n"/>
      <c r="BO76" s="58" t="n"/>
      <c r="BP76" s="83" t="n"/>
      <c r="BQ76" s="57" t="n"/>
      <c r="BR76" s="58" t="n"/>
      <c r="BS76" s="58" t="n"/>
      <c r="BT76" s="83" t="n"/>
      <c r="BU76" s="57" t="n"/>
      <c r="BV76" s="58" t="n"/>
      <c r="BW76" s="60" t="n"/>
      <c r="BX76" s="83" t="n"/>
      <c r="BY76" s="41" t="n"/>
      <c r="BZ76" s="41" t="n"/>
      <c r="CA76" s="41" t="n"/>
      <c r="CB76" s="83" t="n"/>
      <c r="CC76" s="41" t="n"/>
      <c r="CD76" s="116" t="n">
        <v>0.3590277777777778</v>
      </c>
      <c r="CE76" s="115" t="n">
        <v>0.7479166666666667</v>
      </c>
      <c r="CF76" s="83">
        <f>MOD(CE76-CD76,1)*24</f>
        <v/>
      </c>
      <c r="CG76" s="57" t="n">
        <v>1</v>
      </c>
      <c r="CH76" s="58" t="n">
        <v>0.3465277777777778</v>
      </c>
      <c r="CI76" s="58" t="n">
        <v>0.7381944444444445</v>
      </c>
      <c r="CJ76" s="83">
        <f>MOD(CI76-CH76,1)*24</f>
        <v/>
      </c>
      <c r="CK76" s="57" t="n">
        <v>1</v>
      </c>
      <c r="CL76" s="58" t="n">
        <v>0.35</v>
      </c>
      <c r="CM76" s="58" t="n">
        <v>0.7423611111111111</v>
      </c>
      <c r="CN76" s="83">
        <f>MOD(CM76-CL76,1)*24</f>
        <v/>
      </c>
      <c r="CO76" s="57" t="n">
        <v>1</v>
      </c>
      <c r="CP76" s="58" t="n">
        <v>0.3472222222222222</v>
      </c>
      <c r="CQ76" s="58" t="n">
        <v>0.7416666666666667</v>
      </c>
      <c r="CR76" s="83">
        <f>MOD(CQ76-CP76,1)*24</f>
        <v/>
      </c>
      <c r="CS76" s="57" t="n">
        <v>1</v>
      </c>
      <c r="CT76" s="58" t="n">
        <v>0.3486111111111111</v>
      </c>
      <c r="CU76" s="58" t="n">
        <v>0.7451388888888889</v>
      </c>
      <c r="CV76" s="83">
        <f>MOD(CU76-CT76,1)*24</f>
        <v/>
      </c>
      <c r="CW76" s="57" t="n">
        <v>1</v>
      </c>
      <c r="CX76" s="58" t="n">
        <v>0.3472222222222222</v>
      </c>
      <c r="CY76" s="58" t="n">
        <v>0.7361111111111112</v>
      </c>
      <c r="CZ76" s="83">
        <f>MOD(CY76-CX76,1)*24</f>
        <v/>
      </c>
      <c r="DA76" s="57" t="n">
        <v>1</v>
      </c>
      <c r="DB76" s="58" t="n"/>
      <c r="DC76" s="58" t="n"/>
      <c r="DD76" s="83" t="n"/>
      <c r="DE76" s="57" t="n"/>
      <c r="DF76" s="58" t="n">
        <v>0.3479166666666667</v>
      </c>
      <c r="DG76" s="60" t="n">
        <v>0.7361111111111112</v>
      </c>
      <c r="DH76" s="83">
        <f>MOD(DG76-DF76,1)*24</f>
        <v/>
      </c>
      <c r="DI76" s="41" t="n">
        <v>1</v>
      </c>
      <c r="DJ76" s="116" t="n">
        <v>0.3493055555555555</v>
      </c>
      <c r="DK76" s="116" t="n">
        <v>0.7465277777777778</v>
      </c>
      <c r="DL76" s="83">
        <f>MOD(DK76-DJ76,1)*24</f>
        <v/>
      </c>
      <c r="DM76" s="41" t="n">
        <v>1</v>
      </c>
      <c r="DN76" s="58" t="n">
        <v>0.3506944444444444</v>
      </c>
      <c r="DO76" s="58" t="n">
        <v>0.7395833333333334</v>
      </c>
      <c r="DP76" s="83">
        <f>MOD(DO76-DN76,1)*24</f>
        <v/>
      </c>
      <c r="DQ76" s="57" t="n">
        <v>1</v>
      </c>
      <c r="DR76" s="61" t="n">
        <v>0.3486111111111111</v>
      </c>
      <c r="DS76" s="62" t="n">
        <v>0.7388888888888889</v>
      </c>
      <c r="DT76" s="83">
        <f>MOD(DS76-DR76,1)*24</f>
        <v/>
      </c>
      <c r="DU76" s="41" t="n">
        <v>1</v>
      </c>
      <c r="DV76" s="61">
        <f>SUM(H76,L76,P76,T76,X76,AB76,AF76,AJ76,AN76,AR76,AV76,AZ76,BD76,BH76,BL76,BP76,BT76,BX76,CB76,CF76,CJ76,CN76,CR76,CV76,CZ76,DD76,DH76,DL76,DP76,DT76)</f>
        <v/>
      </c>
      <c r="DW76" s="62">
        <f>SUM(I76,M76,Q76,U76,Y76,AC76,AG76,AK76,AO76,AS76,AW76,BA76,BE76,BI76,BM76,BQ76,BU76,BY76,CC76,CG76,CK76,CO76,CS76,CW76,DA76,DE76,DI76,DM76,DQ76,DU76)</f>
        <v/>
      </c>
      <c r="DX76" s="83" t="n"/>
      <c r="DY76" s="41" t="n"/>
      <c r="DZ76" s="84" t="n"/>
      <c r="EA76" s="84" t="n"/>
      <c r="EB76" s="84" t="n"/>
      <c r="EC76" s="84" t="n"/>
      <c r="ED76" s="84" t="n"/>
      <c r="EE76" s="84" t="n"/>
      <c r="EF76" s="84" t="n"/>
      <c r="EG76" s="84" t="n"/>
      <c r="EH76" s="84" t="n"/>
      <c r="EI76" s="84" t="n"/>
      <c r="EJ76" s="84" t="n"/>
      <c r="EK76" s="84" t="n"/>
      <c r="EL76" s="84" t="n"/>
      <c r="EM76" s="84" t="n"/>
      <c r="EN76" s="84" t="n"/>
      <c r="EO76" s="84" t="n"/>
      <c r="EP76" s="84" t="n"/>
      <c r="EQ76" s="84" t="n"/>
      <c r="ER76" s="84" t="n"/>
      <c r="ES76" s="84" t="n"/>
      <c r="ET76" s="84" t="n"/>
      <c r="EU76" s="84" t="inlineStr">
        <is>
          <t>迟到</t>
        </is>
      </c>
      <c r="EV76" s="84" t="n"/>
      <c r="EW76" s="84" t="n"/>
      <c r="EX76" s="84" t="n"/>
      <c r="EY76" s="84" t="n"/>
      <c r="EZ76" s="84" t="n"/>
      <c r="FA76" s="84" t="n"/>
      <c r="FB76" s="84" t="n"/>
      <c r="FC76" s="84" t="n"/>
      <c r="FD76" s="84" t="n"/>
      <c r="FE76" s="84" t="n"/>
    </row>
    <row r="77" ht="59" customFormat="1" customHeight="1" s="54">
      <c r="A77" s="55" t="inlineStr">
        <is>
          <t>五楼</t>
        </is>
      </c>
      <c r="B77" s="56" t="inlineStr">
        <is>
          <t>黄义晴</t>
        </is>
      </c>
      <c r="C77" s="41" t="inlineStr">
        <is>
          <t>67</t>
        </is>
      </c>
      <c r="D77" s="41" t="n"/>
      <c r="E77" s="57" t="n"/>
      <c r="F77" s="115" t="n">
        <v>0.3479166666666667</v>
      </c>
      <c r="G77" s="58" t="n">
        <v>0.7368055555555556</v>
      </c>
      <c r="H77" s="83">
        <f>MOD(G77-F77,1)*24</f>
        <v/>
      </c>
      <c r="I77" s="57" t="n">
        <v>1</v>
      </c>
      <c r="J77" s="58" t="n">
        <v>0.3465277777777778</v>
      </c>
      <c r="K77" s="58" t="n">
        <v>0.7361111111111112</v>
      </c>
      <c r="L77" s="83">
        <f>MOD(K77-J77,1)*24</f>
        <v/>
      </c>
      <c r="M77" s="57" t="n">
        <v>1</v>
      </c>
      <c r="N77" s="58" t="n">
        <v>0.3472222222222222</v>
      </c>
      <c r="O77" s="58" t="n">
        <v>0.7395833333333334</v>
      </c>
      <c r="P77" s="83">
        <f>MOD(O77-N77,1)*24</f>
        <v/>
      </c>
      <c r="Q77" s="57" t="n">
        <v>1</v>
      </c>
      <c r="R77" s="58" t="n"/>
      <c r="S77" s="58" t="n"/>
      <c r="T77" s="83" t="n"/>
      <c r="U77" s="57" t="n"/>
      <c r="V77" s="58" t="n"/>
      <c r="W77" s="58" t="n"/>
      <c r="X77" s="83" t="n"/>
      <c r="Y77" s="57" t="n"/>
      <c r="Z77" s="58" t="n">
        <v>0.3451388888888889</v>
      </c>
      <c r="AA77" s="60" t="n">
        <v>0.7361111111111112</v>
      </c>
      <c r="AB77" s="83">
        <f>MOD(AA77-Z77,1)*24</f>
        <v/>
      </c>
      <c r="AC77" s="41" t="n">
        <v>1</v>
      </c>
      <c r="AD77" s="116" t="n">
        <v>0.34375</v>
      </c>
      <c r="AE77" s="117" t="n">
        <v>0.7381944444444445</v>
      </c>
      <c r="AF77" s="83">
        <f>MOD(AE77-AD77,1)*24</f>
        <v/>
      </c>
      <c r="AG77" s="57" t="n">
        <v>1</v>
      </c>
      <c r="AH77" s="58" t="n">
        <v>0.3444444444444444</v>
      </c>
      <c r="AI77" s="58" t="n">
        <v>0.7361111111111112</v>
      </c>
      <c r="AJ77" s="83">
        <f>MOD(AI77-AH77,1)*24</f>
        <v/>
      </c>
      <c r="AK77" s="57" t="n">
        <v>1</v>
      </c>
      <c r="AL77" s="58" t="n">
        <v>0.3458333333333333</v>
      </c>
      <c r="AM77" s="58" t="n">
        <v>0.7361111111111112</v>
      </c>
      <c r="AN77" s="83">
        <f>MOD(AM77-AL77,1)*24</f>
        <v/>
      </c>
      <c r="AO77" s="57" t="n">
        <v>1</v>
      </c>
      <c r="AP77" s="58" t="n">
        <v>0.3444444444444444</v>
      </c>
      <c r="AQ77" s="58" t="n">
        <v>0.7368055555555556</v>
      </c>
      <c r="AR77" s="83">
        <f>MOD(AQ77-AP77,1)*24</f>
        <v/>
      </c>
      <c r="AS77" s="57" t="n">
        <v>1</v>
      </c>
      <c r="AT77" s="58" t="n">
        <v>0.3451388888888889</v>
      </c>
      <c r="AU77" s="58" t="n">
        <v>0.7368055555555556</v>
      </c>
      <c r="AV77" s="83">
        <f>MOD(AU77-AT77,1)*24</f>
        <v/>
      </c>
      <c r="AW77" s="57" t="n">
        <v>1</v>
      </c>
      <c r="AX77" s="58" t="n"/>
      <c r="AY77" s="58" t="n"/>
      <c r="AZ77" s="83" t="n"/>
      <c r="BA77" s="57" t="n"/>
      <c r="BB77" s="58" t="n">
        <v>0.34375</v>
      </c>
      <c r="BC77" s="60" t="n">
        <v>0.7368055555555556</v>
      </c>
      <c r="BD77" s="83">
        <f>MOD(BC77-BB77,1)*24</f>
        <v/>
      </c>
      <c r="BE77" s="41" t="n">
        <v>1</v>
      </c>
      <c r="BF77" s="116" t="n">
        <v>0.3430555555555556</v>
      </c>
      <c r="BG77" s="115" t="n">
        <v>0.7361111111111112</v>
      </c>
      <c r="BH77" s="83">
        <f>MOD(BG77-BF77,1)*24</f>
        <v/>
      </c>
      <c r="BI77" s="57" t="n">
        <v>1</v>
      </c>
      <c r="BJ77" s="58" t="n">
        <v>0.3451388888888889</v>
      </c>
      <c r="BK77" s="58" t="n">
        <v>0.7368055555555556</v>
      </c>
      <c r="BL77" s="83">
        <f>MOD(BK77-BJ77,1)*24</f>
        <v/>
      </c>
      <c r="BM77" s="57" t="n">
        <v>1</v>
      </c>
      <c r="BN77" s="58" t="n">
        <v>0.3444444444444444</v>
      </c>
      <c r="BO77" s="58" t="n">
        <v>0.7361111111111112</v>
      </c>
      <c r="BP77" s="83">
        <f>MOD(BO77-BN77,1)*24</f>
        <v/>
      </c>
      <c r="BQ77" s="57" t="n">
        <v>1</v>
      </c>
      <c r="BR77" s="58" t="n">
        <v>0.3444444444444444</v>
      </c>
      <c r="BS77" s="58" t="n">
        <v>0.7388888888888889</v>
      </c>
      <c r="BT77" s="83">
        <f>MOD(BS77-BR77,1)*24</f>
        <v/>
      </c>
      <c r="BU77" s="57" t="n">
        <v>1</v>
      </c>
      <c r="BV77" s="58" t="n">
        <v>0.34375</v>
      </c>
      <c r="BW77" s="60" t="n">
        <v>0.7368055555555556</v>
      </c>
      <c r="BX77" s="83">
        <f>MOD(BW77-BV77,1)*24</f>
        <v/>
      </c>
      <c r="BY77" s="41" t="n">
        <v>1</v>
      </c>
      <c r="BZ77" s="41" t="n"/>
      <c r="CA77" s="41" t="n"/>
      <c r="CB77" s="83" t="n"/>
      <c r="CC77" s="41" t="n"/>
      <c r="CD77" s="116" t="n">
        <v>0.3465277777777778</v>
      </c>
      <c r="CE77" s="115" t="n">
        <v>0.7368055555555556</v>
      </c>
      <c r="CF77" s="83">
        <f>MOD(CE77-CD77,1)*24</f>
        <v/>
      </c>
      <c r="CG77" s="57" t="n">
        <v>1</v>
      </c>
      <c r="CH77" s="58" t="n">
        <v>0.3465277777777778</v>
      </c>
      <c r="CI77" s="58" t="n">
        <v>0.7368055555555556</v>
      </c>
      <c r="CJ77" s="83">
        <f>MOD(CI77-CH77,1)*24</f>
        <v/>
      </c>
      <c r="CK77" s="57" t="n">
        <v>1</v>
      </c>
      <c r="CL77" s="58" t="n">
        <v>0.3479166666666667</v>
      </c>
      <c r="CM77" s="58" t="n">
        <v>0.7368055555555556</v>
      </c>
      <c r="CN77" s="83">
        <f>MOD(CM77-CL77,1)*24</f>
        <v/>
      </c>
      <c r="CO77" s="57" t="n">
        <v>1</v>
      </c>
      <c r="CP77" s="58" t="n">
        <v>0.3465277777777778</v>
      </c>
      <c r="CQ77" s="58" t="n">
        <v>0.7361111111111112</v>
      </c>
      <c r="CR77" s="83">
        <f>MOD(CQ77-CP77,1)*24</f>
        <v/>
      </c>
      <c r="CS77" s="57" t="n">
        <v>1</v>
      </c>
      <c r="CT77" s="58" t="n">
        <v>0.3388888888888889</v>
      </c>
      <c r="CU77" s="58" t="n">
        <v>0.7368055555555556</v>
      </c>
      <c r="CV77" s="83">
        <f>MOD(CU77-CT77,1)*24</f>
        <v/>
      </c>
      <c r="CW77" s="57" t="n">
        <v>1</v>
      </c>
      <c r="CX77" s="58" t="n">
        <v>0.3472222222222222</v>
      </c>
      <c r="CY77" s="58" t="n">
        <v>0.7368055555555556</v>
      </c>
      <c r="CZ77" s="83">
        <f>MOD(CY77-CX77,1)*24</f>
        <v/>
      </c>
      <c r="DA77" s="57" t="n">
        <v>1</v>
      </c>
      <c r="DB77" s="58" t="n"/>
      <c r="DC77" s="58" t="n"/>
      <c r="DD77" s="83" t="n"/>
      <c r="DE77" s="57" t="n"/>
      <c r="DF77" s="58" t="n">
        <v>0.3465277777777778</v>
      </c>
      <c r="DG77" s="60" t="n">
        <v>0.74375</v>
      </c>
      <c r="DH77" s="83">
        <f>MOD(DG77-DF77,1)*24</f>
        <v/>
      </c>
      <c r="DI77" s="41" t="n">
        <v>1</v>
      </c>
      <c r="DJ77" s="116" t="n">
        <v>0.3472222222222222</v>
      </c>
      <c r="DK77" s="116" t="n">
        <v>0.7368055555555556</v>
      </c>
      <c r="DL77" s="83">
        <f>MOD(DK77-DJ77,1)*24</f>
        <v/>
      </c>
      <c r="DM77" s="41" t="n">
        <v>1</v>
      </c>
      <c r="DN77" s="58" t="n">
        <v>0.3472222222222222</v>
      </c>
      <c r="DO77" s="58" t="n">
        <v>0.7381944444444445</v>
      </c>
      <c r="DP77" s="83">
        <f>MOD(DO77-DN77,1)*24</f>
        <v/>
      </c>
      <c r="DQ77" s="57" t="n">
        <v>1</v>
      </c>
      <c r="DR77" s="61" t="n">
        <v>0.3395833333333333</v>
      </c>
      <c r="DS77" s="62" t="n">
        <v>0.9208333333333333</v>
      </c>
      <c r="DT77" s="83">
        <f>MOD(DS77-DR77,1)*24</f>
        <v/>
      </c>
      <c r="DU77" s="41" t="n">
        <v>1</v>
      </c>
      <c r="DV77" s="61">
        <f>SUM(H77,L77,P77,T77,X77,AB77,AF77,AJ77,AN77,AR77,AV77,AZ77,BD77,BH77,BL77,BP77,BT77,BX77,CB77,CF77,CJ77,CN77,CR77,CV77,CZ77,DD77,DH77,DL77,DP77,DT77)</f>
        <v/>
      </c>
      <c r="DW77" s="62">
        <f>SUM(I77,M77,Q77,U77,Y77,AC77,AG77,AK77,AO77,AS77,AW77,BA77,BE77,BI77,BM77,BQ77,BU77,BY77,CC77,CG77,CK77,CO77,CS77,CW77,DA77,DE77,DI77,DM77,DQ77,DU77)</f>
        <v/>
      </c>
      <c r="DX77" s="83" t="n"/>
      <c r="DY77" s="41" t="n"/>
      <c r="DZ77" s="84" t="n"/>
      <c r="EA77" s="84" t="n"/>
      <c r="EB77" s="84" t="n"/>
      <c r="EC77" s="84" t="n"/>
      <c r="ED77" s="84" t="n"/>
      <c r="EE77" s="84" t="n"/>
      <c r="EF77" s="84" t="n"/>
      <c r="EG77" s="84" t="n"/>
      <c r="EH77" s="84" t="n"/>
      <c r="EI77" s="84" t="n"/>
      <c r="EJ77" s="84" t="n"/>
      <c r="EK77" s="84" t="n"/>
      <c r="EL77" s="84" t="n"/>
      <c r="EM77" s="84" t="n"/>
      <c r="EN77" s="84" t="n"/>
      <c r="EO77" s="84" t="n"/>
      <c r="EP77" s="84" t="n"/>
      <c r="EQ77" s="84" t="n"/>
      <c r="ER77" s="84" t="n"/>
      <c r="ES77" s="84" t="n"/>
      <c r="ET77" s="84" t="n"/>
      <c r="EU77" s="84" t="n"/>
      <c r="EV77" s="84" t="n"/>
      <c r="EW77" s="84" t="n"/>
      <c r="EX77" s="84" t="n"/>
      <c r="EY77" s="84" t="n"/>
      <c r="EZ77" s="84" t="n"/>
      <c r="FA77" s="84" t="n"/>
      <c r="FB77" s="84" t="n"/>
      <c r="FC77" s="84" t="n"/>
      <c r="FD77" s="84" t="n"/>
      <c r="FE77" s="84" t="n"/>
    </row>
    <row r="78" ht="59" customFormat="1" customHeight="1" s="54">
      <c r="A78" s="55" t="inlineStr">
        <is>
          <t>五楼</t>
        </is>
      </c>
      <c r="B78" s="56" t="inlineStr">
        <is>
          <t>何绍奇</t>
        </is>
      </c>
      <c r="C78" s="41" t="inlineStr">
        <is>
          <t>69</t>
        </is>
      </c>
      <c r="D78" s="41" t="n"/>
      <c r="E78" s="57" t="n"/>
      <c r="F78" s="115" t="n">
        <v>0.3493055555555555</v>
      </c>
      <c r="G78" s="58" t="n">
        <v>0.7375</v>
      </c>
      <c r="H78" s="83">
        <f>MOD(G78-F78,1)*24</f>
        <v/>
      </c>
      <c r="I78" s="57" t="n">
        <v>1</v>
      </c>
      <c r="J78" s="58" t="n">
        <v>0.3493055555555555</v>
      </c>
      <c r="K78" s="58" t="n">
        <v>0.7368055555555556</v>
      </c>
      <c r="L78" s="83">
        <f>MOD(K78-J78,1)*24</f>
        <v/>
      </c>
      <c r="M78" s="57" t="n">
        <v>1</v>
      </c>
      <c r="N78" s="58" t="n">
        <v>0.3493055555555555</v>
      </c>
      <c r="O78" s="58" t="n">
        <v>0.7395833333333334</v>
      </c>
      <c r="P78" s="83">
        <f>MOD(O78-N78,1)*24</f>
        <v/>
      </c>
      <c r="Q78" s="57" t="n">
        <v>1</v>
      </c>
      <c r="R78" s="58" t="n"/>
      <c r="S78" s="58" t="n"/>
      <c r="T78" s="83" t="n"/>
      <c r="U78" s="57" t="n"/>
      <c r="V78" s="58" t="n"/>
      <c r="W78" s="58" t="n"/>
      <c r="X78" s="83" t="n"/>
      <c r="Y78" s="57" t="n"/>
      <c r="Z78" s="58" t="n">
        <v>0.3486111111111111</v>
      </c>
      <c r="AA78" s="60" t="n">
        <v>0.7375</v>
      </c>
      <c r="AB78" s="83">
        <f>MOD(AA78-Z78,1)*24</f>
        <v/>
      </c>
      <c r="AC78" s="41" t="n">
        <v>1</v>
      </c>
      <c r="AD78" s="116" t="n">
        <v>0.3493055555555555</v>
      </c>
      <c r="AE78" s="117" t="n">
        <v>0.7395833333333334</v>
      </c>
      <c r="AF78" s="83">
        <f>MOD(AE78-AD78,1)*24</f>
        <v/>
      </c>
      <c r="AG78" s="57" t="n">
        <v>1</v>
      </c>
      <c r="AH78" s="58" t="n">
        <v>0.3479166666666667</v>
      </c>
      <c r="AI78" s="58" t="n">
        <v>0.7444444444444445</v>
      </c>
      <c r="AJ78" s="83">
        <f>MOD(AI78-AH78,1)*24</f>
        <v/>
      </c>
      <c r="AK78" s="57" t="n">
        <v>1</v>
      </c>
      <c r="AL78" s="58" t="n">
        <v>0.3458333333333333</v>
      </c>
      <c r="AM78" s="58" t="n">
        <v>0.7375</v>
      </c>
      <c r="AN78" s="83">
        <f>MOD(AM78-AL78,1)*24</f>
        <v/>
      </c>
      <c r="AO78" s="57" t="n">
        <v>1</v>
      </c>
      <c r="AP78" s="58" t="n">
        <v>0.35</v>
      </c>
      <c r="AQ78" s="58" t="n">
        <v>0.7375</v>
      </c>
      <c r="AR78" s="83">
        <f>MOD(AQ78-AP78,1)*24</f>
        <v/>
      </c>
      <c r="AS78" s="57" t="n">
        <v>1</v>
      </c>
      <c r="AT78" s="58" t="n">
        <v>0.35</v>
      </c>
      <c r="AU78" s="58" t="n">
        <v>0.7381944444444445</v>
      </c>
      <c r="AV78" s="83">
        <f>MOD(AU78-AT78,1)*24</f>
        <v/>
      </c>
      <c r="AW78" s="57" t="n">
        <v>1</v>
      </c>
      <c r="AX78" s="58" t="n"/>
      <c r="AY78" s="58" t="n"/>
      <c r="AZ78" s="83" t="n"/>
      <c r="BA78" s="57" t="n"/>
      <c r="BB78" s="58" t="n">
        <v>0.3465277777777778</v>
      </c>
      <c r="BC78" s="60" t="n">
        <v>0.7375</v>
      </c>
      <c r="BD78" s="83">
        <f>MOD(BC78-BB78,1)*24</f>
        <v/>
      </c>
      <c r="BE78" s="41" t="n">
        <v>1</v>
      </c>
      <c r="BF78" s="116" t="n">
        <v>0.3479166666666667</v>
      </c>
      <c r="BG78" s="115" t="n">
        <v>0.7381944444444445</v>
      </c>
      <c r="BH78" s="83">
        <f>MOD(BG78-BF78,1)*24</f>
        <v/>
      </c>
      <c r="BI78" s="57" t="n">
        <v>1</v>
      </c>
      <c r="BJ78" s="58" t="n">
        <v>0.3472222222222222</v>
      </c>
      <c r="BK78" s="58" t="n">
        <v>0.75625</v>
      </c>
      <c r="BL78" s="83">
        <f>MOD(BK78-BJ78,1)*24</f>
        <v/>
      </c>
      <c r="BM78" s="57" t="n">
        <v>1</v>
      </c>
      <c r="BN78" s="58" t="n">
        <v>0.3479166666666667</v>
      </c>
      <c r="BO78" s="58" t="n">
        <v>0.7375</v>
      </c>
      <c r="BP78" s="83">
        <f>MOD(BO78-BN78,1)*24</f>
        <v/>
      </c>
      <c r="BQ78" s="57" t="n">
        <v>1</v>
      </c>
      <c r="BR78" s="58" t="n">
        <v>0.3479166666666667</v>
      </c>
      <c r="BS78" s="58" t="n">
        <v>0.7409722222222223</v>
      </c>
      <c r="BT78" s="83">
        <f>MOD(BS78-BR78,1)*24</f>
        <v/>
      </c>
      <c r="BU78" s="57" t="n">
        <v>1</v>
      </c>
      <c r="BV78" s="58" t="n">
        <v>0.3479166666666667</v>
      </c>
      <c r="BW78" s="60" t="n">
        <v>0.7381944444444445</v>
      </c>
      <c r="BX78" s="83">
        <f>MOD(BW78-BV78,1)*24</f>
        <v/>
      </c>
      <c r="BY78" s="41" t="n">
        <v>1</v>
      </c>
      <c r="BZ78" s="41" t="n"/>
      <c r="CA78" s="41" t="n"/>
      <c r="CB78" s="83" t="n"/>
      <c r="CC78" s="41" t="n"/>
      <c r="CD78" s="116" t="n">
        <v>0.3486111111111111</v>
      </c>
      <c r="CE78" s="115" t="n">
        <v>0.7381944444444445</v>
      </c>
      <c r="CF78" s="83">
        <f>MOD(CE78-CD78,1)*24</f>
        <v/>
      </c>
      <c r="CG78" s="57" t="n">
        <v>1</v>
      </c>
      <c r="CH78" s="58" t="n">
        <v>0.3465277777777778</v>
      </c>
      <c r="CI78" s="58" t="n">
        <v>0.7430555555555556</v>
      </c>
      <c r="CJ78" s="83">
        <f>MOD(CI78-CH78,1)*24</f>
        <v/>
      </c>
      <c r="CK78" s="57" t="n">
        <v>1</v>
      </c>
      <c r="CL78" s="58" t="n">
        <v>0.3479166666666667</v>
      </c>
      <c r="CM78" s="58" t="n">
        <v>0.7381944444444445</v>
      </c>
      <c r="CN78" s="83">
        <f>MOD(CM78-CL78,1)*24</f>
        <v/>
      </c>
      <c r="CO78" s="57" t="n">
        <v>1</v>
      </c>
      <c r="CP78" s="58" t="n">
        <v>0.3479166666666667</v>
      </c>
      <c r="CQ78" s="58" t="n">
        <v>0.7409722222222223</v>
      </c>
      <c r="CR78" s="83">
        <f>MOD(CQ78-CP78,1)*24</f>
        <v/>
      </c>
      <c r="CS78" s="57" t="n">
        <v>1</v>
      </c>
      <c r="CT78" s="58" t="n"/>
      <c r="CU78" s="58" t="n"/>
      <c r="CV78" s="83" t="n"/>
      <c r="CW78" s="57" t="n"/>
      <c r="CX78" s="58" t="n">
        <v>0.3479166666666667</v>
      </c>
      <c r="CY78" s="58" t="n">
        <v>0.7375</v>
      </c>
      <c r="CZ78" s="83">
        <f>MOD(CY78-CX78,1)*24</f>
        <v/>
      </c>
      <c r="DA78" s="57" t="n">
        <v>1</v>
      </c>
      <c r="DB78" s="58" t="n">
        <v>0.3513888888888889</v>
      </c>
      <c r="DC78" s="58" t="n">
        <v>0.7361111111111112</v>
      </c>
      <c r="DD78" s="83">
        <f>MOD(DC78-DB78,1)*24</f>
        <v/>
      </c>
      <c r="DE78" s="57" t="n">
        <v>1</v>
      </c>
      <c r="DF78" s="58" t="n">
        <v>0.3486111111111111</v>
      </c>
      <c r="DG78" s="60" t="n">
        <v>0.7361111111111112</v>
      </c>
      <c r="DH78" s="83">
        <f>MOD(DG78-DF78,1)*24</f>
        <v/>
      </c>
      <c r="DI78" s="41" t="n">
        <v>1</v>
      </c>
      <c r="DJ78" s="116" t="n">
        <v>0.3486111111111111</v>
      </c>
      <c r="DK78" s="116" t="n">
        <v>0.7368055555555556</v>
      </c>
      <c r="DL78" s="83">
        <f>MOD(DK78-DJ78,1)*24</f>
        <v/>
      </c>
      <c r="DM78" s="41" t="n">
        <v>1</v>
      </c>
      <c r="DN78" s="58" t="n">
        <v>0.3493055555555555</v>
      </c>
      <c r="DO78" s="58" t="n">
        <v>0.7395833333333334</v>
      </c>
      <c r="DP78" s="83">
        <f>MOD(DO78-DN78,1)*24</f>
        <v/>
      </c>
      <c r="DQ78" s="57" t="n">
        <v>1</v>
      </c>
      <c r="DR78" s="61" t="n">
        <v>0.3486111111111111</v>
      </c>
      <c r="DS78" s="62" t="n">
        <v>0.7395833333333334</v>
      </c>
      <c r="DT78" s="83">
        <f>MOD(DS78-DR78,1)*24</f>
        <v/>
      </c>
      <c r="DU78" s="41" t="n">
        <v>1</v>
      </c>
      <c r="DV78" s="61">
        <f>SUM(H78,L78,P78,T78,X78,AB78,AF78,AJ78,AN78,AR78,AV78,AZ78,BD78,BH78,BL78,BP78,BT78,BX78,CB78,CF78,CJ78,CN78,CR78,CV78,CZ78,DD78,DH78,DL78,DP78,DT78)</f>
        <v/>
      </c>
      <c r="DW78" s="62">
        <f>SUM(I78,M78,Q78,U78,Y78,AC78,AG78,AK78,AO78,AS78,AW78,BA78,BE78,BI78,BM78,BQ78,BU78,BY78,CC78,CG78,CK78,CO78,CS78,CW78,DA78,DE78,DI78,DM78,DQ78,DU78)</f>
        <v/>
      </c>
      <c r="DX78" s="83" t="n"/>
      <c r="DY78" s="41" t="n"/>
      <c r="DZ78" s="84" t="n"/>
      <c r="EA78" s="84" t="n"/>
      <c r="EB78" s="84" t="n"/>
      <c r="EC78" s="84" t="n"/>
      <c r="ED78" s="84" t="n"/>
      <c r="EE78" s="84" t="n"/>
      <c r="EF78" s="84" t="n"/>
      <c r="EG78" s="84" t="n"/>
      <c r="EH78" s="84" t="n"/>
      <c r="EI78" s="84" t="n"/>
      <c r="EJ78" s="84" t="n"/>
      <c r="EK78" s="84" t="n"/>
      <c r="EL78" s="84" t="n"/>
      <c r="EM78" s="84" t="n"/>
      <c r="EN78" s="84" t="n"/>
      <c r="EO78" s="84" t="n"/>
      <c r="EP78" s="84" t="n"/>
      <c r="EQ78" s="84" t="n"/>
      <c r="ER78" s="84" t="n"/>
      <c r="ES78" s="84" t="n"/>
      <c r="ET78" s="84" t="n"/>
      <c r="EU78" s="84" t="n"/>
      <c r="EV78" s="84" t="n"/>
      <c r="EW78" s="84" t="n"/>
      <c r="EX78" s="84" t="n"/>
      <c r="EY78" s="84" t="n"/>
      <c r="EZ78" s="84" t="n"/>
      <c r="FA78" s="84" t="n"/>
      <c r="FB78" s="84" t="n"/>
      <c r="FC78" s="84" t="n"/>
      <c r="FD78" s="84" t="n"/>
      <c r="FE78" s="84" t="n"/>
    </row>
    <row r="79" ht="59" customFormat="1" customHeight="1" s="54">
      <c r="A79" s="55" t="inlineStr">
        <is>
          <t>五楼</t>
        </is>
      </c>
      <c r="B79" s="56" t="inlineStr">
        <is>
          <t>旷星琪</t>
        </is>
      </c>
      <c r="C79" s="41" t="inlineStr">
        <is>
          <t>70</t>
        </is>
      </c>
      <c r="D79" s="41" t="n"/>
      <c r="E79" s="57" t="n"/>
      <c r="F79" s="115" t="n">
        <v>0.3409722222222222</v>
      </c>
      <c r="G79" s="58" t="n">
        <v>0.7361111111111112</v>
      </c>
      <c r="H79" s="83">
        <f>MOD(G79-F79,1)*24</f>
        <v/>
      </c>
      <c r="I79" s="57" t="n">
        <v>1</v>
      </c>
      <c r="J79" s="58" t="n">
        <v>0.3381944444444445</v>
      </c>
      <c r="K79" s="58" t="n">
        <v>0.7361111111111112</v>
      </c>
      <c r="L79" s="83">
        <f>MOD(K79-J79,1)*24</f>
        <v/>
      </c>
      <c r="M79" s="57" t="n">
        <v>1</v>
      </c>
      <c r="N79" s="58" t="n">
        <v>0.3388888888888889</v>
      </c>
      <c r="O79" s="58" t="n">
        <v>0.7361111111111112</v>
      </c>
      <c r="P79" s="83">
        <f>MOD(O79-N79,1)*24</f>
        <v/>
      </c>
      <c r="Q79" s="57" t="n">
        <v>1</v>
      </c>
      <c r="R79" s="58" t="n"/>
      <c r="S79" s="58" t="n"/>
      <c r="T79" s="83" t="n"/>
      <c r="U79" s="57" t="n"/>
      <c r="V79" s="58" t="n"/>
      <c r="W79" s="58" t="n"/>
      <c r="X79" s="83" t="n"/>
      <c r="Y79" s="57" t="n"/>
      <c r="Z79" s="58" t="n">
        <v>0.3465277777777778</v>
      </c>
      <c r="AA79" s="60" t="n">
        <v>0.7361111111111112</v>
      </c>
      <c r="AB79" s="83">
        <f>MOD(AA79-Z79,1)*24</f>
        <v/>
      </c>
      <c r="AC79" s="41" t="n">
        <v>1</v>
      </c>
      <c r="AD79" s="116" t="n">
        <v>0.3409722222222222</v>
      </c>
      <c r="AE79" s="117" t="n">
        <v>0.7361111111111112</v>
      </c>
      <c r="AF79" s="83">
        <f>MOD(AE79-AD79,1)*24</f>
        <v/>
      </c>
      <c r="AG79" s="57" t="n">
        <v>1</v>
      </c>
      <c r="AH79" s="58" t="n">
        <v>0.3409722222222222</v>
      </c>
      <c r="AI79" s="58" t="n">
        <v>0.7361111111111112</v>
      </c>
      <c r="AJ79" s="83">
        <f>MOD(AI79-AH79,1)*24</f>
        <v/>
      </c>
      <c r="AK79" s="57" t="n">
        <v>1</v>
      </c>
      <c r="AL79" s="58" t="n">
        <v>0.3381944444444445</v>
      </c>
      <c r="AM79" s="58" t="n">
        <v>0.7361111111111112</v>
      </c>
      <c r="AN79" s="83">
        <f>MOD(AM79-AL79,1)*24</f>
        <v/>
      </c>
      <c r="AO79" s="57" t="n">
        <v>1</v>
      </c>
      <c r="AP79" s="58" t="n">
        <v>0.3381944444444445</v>
      </c>
      <c r="AQ79" s="58" t="n">
        <v>0.7361111111111112</v>
      </c>
      <c r="AR79" s="83">
        <f>MOD(AQ79-AP79,1)*24</f>
        <v/>
      </c>
      <c r="AS79" s="57" t="n">
        <v>1</v>
      </c>
      <c r="AT79" s="58" t="n">
        <v>0.3388888888888889</v>
      </c>
      <c r="AU79" s="58" t="n">
        <v>0.7361111111111112</v>
      </c>
      <c r="AV79" s="83">
        <f>MOD(AU79-AT79,1)*24</f>
        <v/>
      </c>
      <c r="AW79" s="57" t="n">
        <v>1</v>
      </c>
      <c r="AX79" s="58" t="n"/>
      <c r="AY79" s="58" t="n"/>
      <c r="AZ79" s="83" t="n"/>
      <c r="BA79" s="57" t="n"/>
      <c r="BB79" s="58" t="n">
        <v>0.3409722222222222</v>
      </c>
      <c r="BC79" s="60" t="n">
        <v>0.7361111111111112</v>
      </c>
      <c r="BD79" s="83">
        <f>MOD(BC79-BB79,1)*24</f>
        <v/>
      </c>
      <c r="BE79" s="41" t="n">
        <v>1</v>
      </c>
      <c r="BF79" s="116" t="n">
        <v>0.3395833333333333</v>
      </c>
      <c r="BG79" s="115" t="n">
        <v>0.7361111111111112</v>
      </c>
      <c r="BH79" s="83">
        <f>MOD(BG79-BF79,1)*24</f>
        <v/>
      </c>
      <c r="BI79" s="57" t="n">
        <v>1</v>
      </c>
      <c r="BJ79" s="58" t="n">
        <v>0.3409722222222222</v>
      </c>
      <c r="BK79" s="58" t="n">
        <v>0.7361111111111112</v>
      </c>
      <c r="BL79" s="83">
        <f>MOD(BK79-BJ79,1)*24</f>
        <v/>
      </c>
      <c r="BM79" s="57" t="n">
        <v>1</v>
      </c>
      <c r="BN79" s="58" t="n">
        <v>0.3388888888888889</v>
      </c>
      <c r="BO79" s="58" t="n">
        <v>0.7361111111111112</v>
      </c>
      <c r="BP79" s="83">
        <f>MOD(BO79-BN79,1)*24</f>
        <v/>
      </c>
      <c r="BQ79" s="57" t="n">
        <v>1</v>
      </c>
      <c r="BR79" s="58" t="n">
        <v>0.3381944444444445</v>
      </c>
      <c r="BS79" s="58" t="n">
        <v>0.7729166666666667</v>
      </c>
      <c r="BT79" s="83">
        <f>MOD(BS79-BR79,1)*24</f>
        <v/>
      </c>
      <c r="BU79" s="57" t="n">
        <v>1</v>
      </c>
      <c r="BV79" s="58" t="n">
        <v>0.3361111111111111</v>
      </c>
      <c r="BW79" s="60" t="n">
        <v>0.7361111111111112</v>
      </c>
      <c r="BX79" s="83">
        <f>MOD(BW79-BV79,1)*24</f>
        <v/>
      </c>
      <c r="BY79" s="41" t="n">
        <v>1</v>
      </c>
      <c r="BZ79" s="41" t="n"/>
      <c r="CA79" s="41" t="n"/>
      <c r="CB79" s="83" t="n"/>
      <c r="CC79" s="41" t="n"/>
      <c r="CD79" s="116" t="n">
        <v>0.3416666666666667</v>
      </c>
      <c r="CE79" s="115" t="n">
        <v>0.7361111111111112</v>
      </c>
      <c r="CF79" s="83">
        <f>MOD(CE79-CD79,1)*24</f>
        <v/>
      </c>
      <c r="CG79" s="57" t="n">
        <v>1</v>
      </c>
      <c r="CH79" s="58" t="n">
        <v>0.3347222222222222</v>
      </c>
      <c r="CI79" s="58" t="n">
        <v>0.7361111111111112</v>
      </c>
      <c r="CJ79" s="83">
        <f>MOD(CI79-CH79,1)*24</f>
        <v/>
      </c>
      <c r="CK79" s="57" t="n">
        <v>1</v>
      </c>
      <c r="CL79" s="58" t="n">
        <v>0.3395833333333333</v>
      </c>
      <c r="CM79" s="58" t="n">
        <v>0.7361111111111112</v>
      </c>
      <c r="CN79" s="83">
        <f>MOD(CM79-CL79,1)*24</f>
        <v/>
      </c>
      <c r="CO79" s="57" t="n">
        <v>1</v>
      </c>
      <c r="CP79" s="58" t="n">
        <v>0.3381944444444445</v>
      </c>
      <c r="CQ79" s="58" t="n">
        <v>0.7361111111111112</v>
      </c>
      <c r="CR79" s="83">
        <f>MOD(CQ79-CP79,1)*24</f>
        <v/>
      </c>
      <c r="CS79" s="57" t="n">
        <v>1</v>
      </c>
      <c r="CT79" s="58" t="n">
        <v>0.3354166666666666</v>
      </c>
      <c r="CU79" s="58" t="n">
        <v>0.7361111111111112</v>
      </c>
      <c r="CV79" s="83">
        <f>MOD(CU79-CT79,1)*24</f>
        <v/>
      </c>
      <c r="CW79" s="57" t="n">
        <v>1</v>
      </c>
      <c r="CX79" s="58" t="n">
        <v>0.3388888888888889</v>
      </c>
      <c r="CY79" s="58" t="n">
        <v>0.7361111111111112</v>
      </c>
      <c r="CZ79" s="83">
        <f>MOD(CY79-CX79,1)*24</f>
        <v/>
      </c>
      <c r="DA79" s="57" t="n">
        <v>1</v>
      </c>
      <c r="DB79" s="58" t="n"/>
      <c r="DC79" s="58" t="n"/>
      <c r="DD79" s="83" t="n"/>
      <c r="DE79" s="57" t="n"/>
      <c r="DF79" s="58" t="n">
        <v>0.3381944444444445</v>
      </c>
      <c r="DG79" s="60" t="n">
        <v>0.7361111111111112</v>
      </c>
      <c r="DH79" s="83">
        <f>MOD(DG79-DF79,1)*24</f>
        <v/>
      </c>
      <c r="DI79" s="41" t="n">
        <v>1</v>
      </c>
      <c r="DJ79" s="116" t="n">
        <v>0.3381944444444445</v>
      </c>
      <c r="DK79" s="116" t="n">
        <v>0.7361111111111112</v>
      </c>
      <c r="DL79" s="83">
        <f>MOD(DK79-DJ79,1)*24</f>
        <v/>
      </c>
      <c r="DM79" s="41" t="n">
        <v>1</v>
      </c>
      <c r="DN79" s="58" t="n">
        <v>0.3375</v>
      </c>
      <c r="DO79" s="58" t="n">
        <v>0.7361111111111112</v>
      </c>
      <c r="DP79" s="83">
        <f>MOD(DO79-DN79,1)*24</f>
        <v/>
      </c>
      <c r="DQ79" s="57" t="n">
        <v>1</v>
      </c>
      <c r="DR79" s="61" t="n">
        <v>0.3354166666666666</v>
      </c>
      <c r="DS79" s="62" t="n"/>
      <c r="DT79" s="83" t="n"/>
      <c r="DU79" s="41" t="n">
        <v>0.5</v>
      </c>
      <c r="DV79" s="61">
        <f>SUM(H79,L79,P79,T79,X79,AB79,AF79,AJ79,AN79,AR79,AV79,AZ79,BD79,BH79,BL79,BP79,BT79,BX79,CB79,CF79,CJ79,CN79,CR79,CV79,CZ79,DD79,DH79,DL79,DP79,DT79)</f>
        <v/>
      </c>
      <c r="DW79" s="62">
        <f>SUM(I79,M79,Q79,U79,Y79,AC79,AG79,AK79,AO79,AS79,AW79,BA79,BE79,BI79,BM79,BQ79,BU79,BY79,CC79,CG79,CK79,CO79,CS79,CW79,DA79,DE79,DI79,DM79,DQ79,DU79)</f>
        <v/>
      </c>
      <c r="DX79" s="83" t="n"/>
      <c r="DY79" s="41" t="n"/>
      <c r="DZ79" s="84" t="n"/>
      <c r="EA79" s="84" t="n"/>
      <c r="EB79" s="84" t="n"/>
      <c r="EC79" s="84" t="n"/>
      <c r="ED79" s="84" t="n"/>
      <c r="EE79" s="84" t="n"/>
      <c r="EF79" s="84" t="n"/>
      <c r="EG79" s="84" t="n"/>
      <c r="EH79" s="84" t="n"/>
      <c r="EI79" s="84" t="n"/>
      <c r="EJ79" s="84" t="n"/>
      <c r="EK79" s="84" t="n"/>
      <c r="EL79" s="84" t="n"/>
      <c r="EM79" s="84" t="n"/>
      <c r="EN79" s="84" t="n"/>
      <c r="EO79" s="84" t="n"/>
      <c r="EP79" s="84" t="n"/>
      <c r="EQ79" s="84" t="n"/>
      <c r="ER79" s="84" t="n"/>
      <c r="ES79" s="84" t="n"/>
      <c r="ET79" s="84" t="n"/>
      <c r="EU79" s="84" t="n"/>
      <c r="EV79" s="84" t="n"/>
      <c r="EW79" s="84" t="n"/>
      <c r="EX79" s="84" t="n"/>
      <c r="EY79" s="84" t="n"/>
      <c r="EZ79" s="84" t="n"/>
      <c r="FA79" s="84" t="n"/>
      <c r="FB79" s="84" t="n"/>
      <c r="FC79" s="84" t="n"/>
      <c r="FD79" s="84" t="n"/>
      <c r="FE79" s="84" t="inlineStr">
        <is>
          <t>只打一次卡</t>
        </is>
      </c>
    </row>
    <row r="80" ht="59" customFormat="1" customHeight="1" s="54">
      <c r="A80" s="55" t="inlineStr">
        <is>
          <t>五楼</t>
        </is>
      </c>
      <c r="B80" s="56" t="inlineStr">
        <is>
          <t>陈昌容</t>
        </is>
      </c>
      <c r="C80" s="41" t="inlineStr">
        <is>
          <t>73</t>
        </is>
      </c>
      <c r="D80" s="41" t="n"/>
      <c r="E80" s="57" t="n"/>
      <c r="F80" s="115" t="n">
        <v>0.3506944444444444</v>
      </c>
      <c r="G80" s="58" t="n">
        <v>0.7361111111111112</v>
      </c>
      <c r="H80" s="83">
        <f>MOD(G80-F80,1)*24</f>
        <v/>
      </c>
      <c r="I80" s="57" t="n">
        <v>1</v>
      </c>
      <c r="J80" s="58" t="n">
        <v>0.3451388888888889</v>
      </c>
      <c r="K80" s="58" t="n">
        <v>0.7368055555555556</v>
      </c>
      <c r="L80" s="83">
        <f>MOD(K80-J80,1)*24</f>
        <v/>
      </c>
      <c r="M80" s="57" t="n">
        <v>1</v>
      </c>
      <c r="N80" s="58" t="n">
        <v>0.3409722222222222</v>
      </c>
      <c r="O80" s="58" t="n">
        <v>0.7375</v>
      </c>
      <c r="P80" s="83">
        <f>MOD(O80-N80,1)*24</f>
        <v/>
      </c>
      <c r="Q80" s="57" t="n">
        <v>1</v>
      </c>
      <c r="R80" s="58" t="n">
        <v>0.3375</v>
      </c>
      <c r="S80" s="58" t="n">
        <v>0.7361111111111112</v>
      </c>
      <c r="T80" s="83">
        <f>MOD(S80-R80,1)*24</f>
        <v/>
      </c>
      <c r="U80" s="57" t="n">
        <v>1</v>
      </c>
      <c r="V80" s="58" t="n"/>
      <c r="W80" s="58" t="n"/>
      <c r="X80" s="83" t="n"/>
      <c r="Y80" s="57" t="n"/>
      <c r="Z80" s="58" t="n"/>
      <c r="AA80" s="60" t="n"/>
      <c r="AB80" s="83" t="n"/>
      <c r="AC80" s="41" t="n"/>
      <c r="AD80" s="116" t="n">
        <v>0.3416666666666667</v>
      </c>
      <c r="AE80" s="117" t="n">
        <v>0.7368055555555556</v>
      </c>
      <c r="AF80" s="83">
        <f>MOD(AE80-AD80,1)*24</f>
        <v/>
      </c>
      <c r="AG80" s="57" t="n">
        <v>1</v>
      </c>
      <c r="AH80" s="58" t="n">
        <v>0.34375</v>
      </c>
      <c r="AI80" s="58" t="n">
        <v>0.7381944444444445</v>
      </c>
      <c r="AJ80" s="83">
        <f>MOD(AI80-AH80,1)*24</f>
        <v/>
      </c>
      <c r="AK80" s="57" t="n">
        <v>1</v>
      </c>
      <c r="AL80" s="58" t="n">
        <v>0.3451388888888889</v>
      </c>
      <c r="AM80" s="58" t="n">
        <v>0.7423611111111111</v>
      </c>
      <c r="AN80" s="83">
        <f>MOD(AM80-AL80,1)*24</f>
        <v/>
      </c>
      <c r="AO80" s="57" t="n">
        <v>1</v>
      </c>
      <c r="AP80" s="58" t="n">
        <v>0.3465277777777778</v>
      </c>
      <c r="AQ80" s="58" t="n">
        <v>0.7375</v>
      </c>
      <c r="AR80" s="83">
        <f>MOD(AQ80-AP80,1)*24</f>
        <v/>
      </c>
      <c r="AS80" s="57" t="n">
        <v>1</v>
      </c>
      <c r="AT80" s="58" t="n">
        <v>0.3472222222222222</v>
      </c>
      <c r="AU80" s="58" t="n">
        <v>0.7368055555555556</v>
      </c>
      <c r="AV80" s="83">
        <f>MOD(AU80-AT80,1)*24</f>
        <v/>
      </c>
      <c r="AW80" s="57" t="n">
        <v>1</v>
      </c>
      <c r="AX80" s="58" t="n"/>
      <c r="AY80" s="58" t="n"/>
      <c r="AZ80" s="83" t="n"/>
      <c r="BA80" s="57" t="n"/>
      <c r="BB80" s="58" t="n">
        <v>0.3409722222222222</v>
      </c>
      <c r="BC80" s="60" t="n">
        <v>0.7368055555555556</v>
      </c>
      <c r="BD80" s="83">
        <f>MOD(BC80-BB80,1)*24</f>
        <v/>
      </c>
      <c r="BE80" s="41" t="n">
        <v>1</v>
      </c>
      <c r="BF80" s="116" t="n">
        <v>0.3430555555555556</v>
      </c>
      <c r="BG80" s="115" t="n">
        <v>0.7368055555555556</v>
      </c>
      <c r="BH80" s="83">
        <f>MOD(BG80-BF80,1)*24</f>
        <v/>
      </c>
      <c r="BI80" s="57" t="n">
        <v>1</v>
      </c>
      <c r="BJ80" s="58" t="n">
        <v>0.3479166666666667</v>
      </c>
      <c r="BK80" s="58" t="n">
        <v>0.7368055555555556</v>
      </c>
      <c r="BL80" s="83">
        <f>MOD(BK80-BJ80,1)*24</f>
        <v/>
      </c>
      <c r="BM80" s="57" t="n">
        <v>1</v>
      </c>
      <c r="BN80" s="58" t="n">
        <v>0.3479166666666667</v>
      </c>
      <c r="BO80" s="58" t="n">
        <v>0.7368055555555556</v>
      </c>
      <c r="BP80" s="83">
        <f>MOD(BO80-BN80,1)*24</f>
        <v/>
      </c>
      <c r="BQ80" s="57" t="n">
        <v>1</v>
      </c>
      <c r="BR80" s="58" t="n">
        <v>0.3472222222222222</v>
      </c>
      <c r="BS80" s="58" t="n">
        <v>0.7368055555555556</v>
      </c>
      <c r="BT80" s="83">
        <f>MOD(BS80-BR80,1)*24</f>
        <v/>
      </c>
      <c r="BU80" s="57" t="n">
        <v>1</v>
      </c>
      <c r="BV80" s="58" t="n">
        <v>0.34375</v>
      </c>
      <c r="BW80" s="60" t="n">
        <v>0.7368055555555556</v>
      </c>
      <c r="BX80" s="83">
        <f>MOD(BW80-BV80,1)*24</f>
        <v/>
      </c>
      <c r="BY80" s="41" t="n">
        <v>1</v>
      </c>
      <c r="BZ80" s="41" t="n"/>
      <c r="CA80" s="41" t="n"/>
      <c r="CB80" s="83" t="n"/>
      <c r="CC80" s="41" t="n"/>
      <c r="CD80" s="116" t="n">
        <v>0.3465277777777778</v>
      </c>
      <c r="CE80" s="115" t="n">
        <v>0.7368055555555556</v>
      </c>
      <c r="CF80" s="83">
        <f>MOD(CE80-CD80,1)*24</f>
        <v/>
      </c>
      <c r="CG80" s="57" t="n">
        <v>1</v>
      </c>
      <c r="CH80" s="58" t="n">
        <v>0.3430555555555556</v>
      </c>
      <c r="CI80" s="58" t="n">
        <v>0.7368055555555556</v>
      </c>
      <c r="CJ80" s="83">
        <f>MOD(CI80-CH80,1)*24</f>
        <v/>
      </c>
      <c r="CK80" s="57" t="n">
        <v>1</v>
      </c>
      <c r="CL80" s="58" t="n">
        <v>0.3451388888888889</v>
      </c>
      <c r="CM80" s="58" t="n">
        <v>0.7368055555555556</v>
      </c>
      <c r="CN80" s="83">
        <f>MOD(CM80-CL80,1)*24</f>
        <v/>
      </c>
      <c r="CO80" s="57" t="n">
        <v>1</v>
      </c>
      <c r="CP80" s="58" t="n">
        <v>0.2784722222222222</v>
      </c>
      <c r="CQ80" s="58" t="n">
        <v>0.3486111111111111</v>
      </c>
      <c r="CR80" s="83">
        <f>MOD(CQ80-CP80,1)*24</f>
        <v/>
      </c>
      <c r="CS80" s="57" t="n">
        <v>0.5</v>
      </c>
      <c r="CT80" s="58" t="n">
        <v>0.3451388888888889</v>
      </c>
      <c r="CU80" s="58" t="n">
        <v>0.7368055555555556</v>
      </c>
      <c r="CV80" s="83">
        <f>MOD(CU80-CT80,1)*24</f>
        <v/>
      </c>
      <c r="CW80" s="57" t="n">
        <v>1</v>
      </c>
      <c r="CX80" s="58" t="n">
        <v>0.34375</v>
      </c>
      <c r="CY80" s="58" t="n">
        <v>0.7388888888888889</v>
      </c>
      <c r="CZ80" s="83">
        <f>MOD(CY80-CX80,1)*24</f>
        <v/>
      </c>
      <c r="DA80" s="57" t="n">
        <v>1</v>
      </c>
      <c r="DB80" s="58" t="n"/>
      <c r="DC80" s="58" t="n"/>
      <c r="DD80" s="83" t="n"/>
      <c r="DE80" s="57" t="n"/>
      <c r="DF80" s="58" t="n">
        <v>0.3444444444444444</v>
      </c>
      <c r="DG80" s="60" t="n">
        <v>0.7381944444444445</v>
      </c>
      <c r="DH80" s="83">
        <f>MOD(DG80-DF80,1)*24</f>
        <v/>
      </c>
      <c r="DI80" s="41" t="n">
        <v>1</v>
      </c>
      <c r="DJ80" s="116" t="n">
        <v>0.3479166666666667</v>
      </c>
      <c r="DK80" s="116" t="n">
        <v>0.7368055555555556</v>
      </c>
      <c r="DL80" s="83">
        <f>MOD(DK80-DJ80,1)*24</f>
        <v/>
      </c>
      <c r="DM80" s="41" t="n">
        <v>1</v>
      </c>
      <c r="DN80" s="58" t="n">
        <v>0.34375</v>
      </c>
      <c r="DO80" s="58" t="n">
        <v>0.7416666666666667</v>
      </c>
      <c r="DP80" s="83">
        <f>MOD(DO80-DN80,1)*24</f>
        <v/>
      </c>
      <c r="DQ80" s="57" t="n">
        <v>1</v>
      </c>
      <c r="DR80" s="61" t="n">
        <v>0.3458333333333333</v>
      </c>
      <c r="DS80" s="62" t="n">
        <v>0.9652777777777778</v>
      </c>
      <c r="DT80" s="83">
        <f>MOD(DS80-DR80,1)*24</f>
        <v/>
      </c>
      <c r="DU80" s="41" t="n">
        <v>1</v>
      </c>
      <c r="DV80" s="61">
        <f>SUM(H80,L80,P80,T80,X80,AB80,AF80,AJ80,AN80,AR80,AV80,AZ80,BD80,BH80,BL80,BP80,BT80,BX80,CB80,CF80,CJ80,CN80,CR80,CV80,CZ80,DD80,DH80,DL80,DP80,DT80)</f>
        <v/>
      </c>
      <c r="DW80" s="62">
        <f>SUM(I80,M80,Q80,U80,Y80,AC80,AG80,AK80,AO80,AS80,AW80,BA80,BE80,BI80,BM80,BQ80,BU80,BY80,CC80,CG80,CK80,CO80,CS80,CW80,DA80,DE80,DI80,DM80,DQ80,DU80)</f>
        <v/>
      </c>
      <c r="DX80" s="83" t="n"/>
      <c r="DY80" s="41" t="n"/>
      <c r="DZ80" s="84" t="n"/>
      <c r="EA80" s="84" t="n"/>
      <c r="EB80" s="84" t="n"/>
      <c r="EC80" s="84" t="n"/>
      <c r="ED80" s="84" t="n"/>
      <c r="EE80" s="84" t="n"/>
      <c r="EF80" s="84" t="n"/>
      <c r="EG80" s="84" t="n"/>
      <c r="EH80" s="84" t="n"/>
      <c r="EI80" s="84" t="n"/>
      <c r="EJ80" s="84" t="n"/>
      <c r="EK80" s="84" t="n"/>
      <c r="EL80" s="84" t="n"/>
      <c r="EM80" s="84" t="n"/>
      <c r="EN80" s="84" t="n"/>
      <c r="EO80" s="84" t="n"/>
      <c r="EP80" s="84" t="n"/>
      <c r="EQ80" s="84" t="n"/>
      <c r="ER80" s="84" t="n"/>
      <c r="ES80" s="84" t="n"/>
      <c r="ET80" s="84" t="n"/>
      <c r="EU80" s="84" t="n"/>
      <c r="EV80" s="84" t="n"/>
      <c r="EW80" s="84" t="n"/>
      <c r="EX80" s="84" t="inlineStr">
        <is>
          <t>早退</t>
        </is>
      </c>
      <c r="EY80" s="84" t="n"/>
      <c r="EZ80" s="84" t="n"/>
      <c r="FA80" s="84" t="n"/>
      <c r="FB80" s="84" t="n"/>
      <c r="FC80" s="84" t="n"/>
      <c r="FD80" s="84" t="n"/>
      <c r="FE80" s="84" t="n"/>
    </row>
    <row r="81" ht="59" customFormat="1" customHeight="1" s="52">
      <c r="A81" s="55" t="inlineStr">
        <is>
          <t>五楼</t>
        </is>
      </c>
      <c r="B81" s="56" t="inlineStr">
        <is>
          <t>吴洪伟</t>
        </is>
      </c>
      <c r="C81" s="41" t="inlineStr">
        <is>
          <t>78</t>
        </is>
      </c>
      <c r="D81" s="41" t="n"/>
      <c r="E81" s="57" t="n"/>
      <c r="F81" s="115" t="n">
        <v>0.34375</v>
      </c>
      <c r="G81" s="58" t="n">
        <v>0.9305555555555556</v>
      </c>
      <c r="H81" s="83">
        <f>MOD(G81-F81,1)*24</f>
        <v/>
      </c>
      <c r="I81" s="57" t="n">
        <v>1</v>
      </c>
      <c r="J81" s="58" t="n">
        <v>0.3395833333333333</v>
      </c>
      <c r="K81" s="58" t="n">
        <v>0.7479166666666667</v>
      </c>
      <c r="L81" s="83">
        <f>MOD(K81-J81,1)*24</f>
        <v/>
      </c>
      <c r="M81" s="57" t="n">
        <v>1</v>
      </c>
      <c r="N81" s="58" t="n">
        <v>0.3423611111111111</v>
      </c>
      <c r="O81" s="58" t="n">
        <v>0.7368055555555556</v>
      </c>
      <c r="P81" s="83">
        <f>MOD(O81-N81,1)*24</f>
        <v/>
      </c>
      <c r="Q81" s="57" t="n">
        <v>1</v>
      </c>
      <c r="R81" s="58" t="n"/>
      <c r="S81" s="58" t="n"/>
      <c r="T81" s="83" t="n"/>
      <c r="U81" s="57" t="n"/>
      <c r="V81" s="58" t="n"/>
      <c r="W81" s="58" t="n"/>
      <c r="X81" s="83" t="n"/>
      <c r="Y81" s="57" t="n"/>
      <c r="Z81" s="58" t="n">
        <v>0.3444444444444444</v>
      </c>
      <c r="AA81" s="60" t="n"/>
      <c r="AB81" s="83" t="n"/>
      <c r="AC81" s="41" t="n">
        <v>0.5</v>
      </c>
      <c r="AD81" s="116" t="n">
        <v>0.3375</v>
      </c>
      <c r="AE81" s="117" t="n">
        <v>0.7375</v>
      </c>
      <c r="AF81" s="83">
        <f>MOD(AE81-AD81,1)*24</f>
        <v/>
      </c>
      <c r="AG81" s="57" t="n">
        <v>1</v>
      </c>
      <c r="AH81" s="58" t="n">
        <v>0.3409722222222222</v>
      </c>
      <c r="AI81" s="58" t="n">
        <v>0.7548611111111111</v>
      </c>
      <c r="AJ81" s="83">
        <f>MOD(AI81-AH81,1)*24</f>
        <v/>
      </c>
      <c r="AK81" s="57" t="n">
        <v>1</v>
      </c>
      <c r="AL81" s="58" t="n"/>
      <c r="AM81" s="58" t="n"/>
      <c r="AN81" s="83" t="n"/>
      <c r="AO81" s="57" t="n"/>
      <c r="AP81" s="58" t="n"/>
      <c r="AQ81" s="58" t="n"/>
      <c r="AR81" s="83" t="n"/>
      <c r="AS81" s="57" t="n"/>
      <c r="AT81" s="58" t="n"/>
      <c r="AU81" s="58" t="n"/>
      <c r="AV81" s="83" t="n"/>
      <c r="AW81" s="57" t="n"/>
      <c r="AX81" s="58" t="n">
        <v>0.3368055555555556</v>
      </c>
      <c r="AY81" s="58" t="n"/>
      <c r="AZ81" s="83" t="n"/>
      <c r="BA81" s="57" t="n">
        <v>0.5</v>
      </c>
      <c r="BB81" s="58" t="n">
        <v>0.3416666666666667</v>
      </c>
      <c r="BC81" s="60" t="n">
        <v>0.7416666666666667</v>
      </c>
      <c r="BD81" s="83">
        <f>MOD(BC81-BB81,1)*24</f>
        <v/>
      </c>
      <c r="BE81" s="41" t="n">
        <v>1</v>
      </c>
      <c r="BF81" s="116" t="n">
        <v>0.3451388888888889</v>
      </c>
      <c r="BG81" s="115" t="n">
        <v>0.7472222222222222</v>
      </c>
      <c r="BH81" s="83">
        <f>MOD(BG81-BF81,1)*24</f>
        <v/>
      </c>
      <c r="BI81" s="57" t="n">
        <v>1</v>
      </c>
      <c r="BJ81" s="58" t="n">
        <v>0.34375</v>
      </c>
      <c r="BK81" s="58" t="n">
        <v>0.80625</v>
      </c>
      <c r="BL81" s="83">
        <f>MOD(BK81-BJ81,1)*24</f>
        <v/>
      </c>
      <c r="BM81" s="57" t="n">
        <v>1</v>
      </c>
      <c r="BN81" s="58" t="n">
        <v>0.3451388888888889</v>
      </c>
      <c r="BO81" s="58" t="n">
        <v>0.7451388888888889</v>
      </c>
      <c r="BP81" s="83">
        <f>MOD(BO81-BN81,1)*24</f>
        <v/>
      </c>
      <c r="BQ81" s="57" t="n">
        <v>1</v>
      </c>
      <c r="BR81" s="58" t="n">
        <v>0.3388888888888889</v>
      </c>
      <c r="BS81" s="58" t="n">
        <v>0.7381944444444445</v>
      </c>
      <c r="BT81" s="83">
        <f>MOD(BS81-BR81,1)*24</f>
        <v/>
      </c>
      <c r="BU81" s="57" t="n">
        <v>1</v>
      </c>
      <c r="BV81" s="58" t="n">
        <v>0.3423611111111111</v>
      </c>
      <c r="BW81" s="60" t="n">
        <v>0.7388888888888889</v>
      </c>
      <c r="BX81" s="83">
        <f>MOD(BW81-BV81,1)*24</f>
        <v/>
      </c>
      <c r="BY81" s="41" t="n">
        <v>1</v>
      </c>
      <c r="BZ81" s="41" t="n"/>
      <c r="CA81" s="41" t="n"/>
      <c r="CB81" s="83" t="n"/>
      <c r="CC81" s="41" t="n"/>
      <c r="CD81" s="116" t="n">
        <v>0.3347222222222222</v>
      </c>
      <c r="CE81" s="115" t="n">
        <v>0.7479166666666667</v>
      </c>
      <c r="CF81" s="83">
        <f>MOD(CE81-CD81,1)*24</f>
        <v/>
      </c>
      <c r="CG81" s="57" t="n">
        <v>1</v>
      </c>
      <c r="CH81" s="58" t="n">
        <v>0.3493055555555555</v>
      </c>
      <c r="CI81" s="58" t="n">
        <v>0.7402777777777778</v>
      </c>
      <c r="CJ81" s="83">
        <f>MOD(CI81-CH81,1)*24</f>
        <v/>
      </c>
      <c r="CK81" s="57" t="n">
        <v>1</v>
      </c>
      <c r="CL81" s="58" t="n">
        <v>0.3416666666666667</v>
      </c>
      <c r="CM81" s="58" t="n">
        <v>0.7409722222222223</v>
      </c>
      <c r="CN81" s="83">
        <f>MOD(CM81-CL81,1)*24</f>
        <v/>
      </c>
      <c r="CO81" s="57" t="n">
        <v>1</v>
      </c>
      <c r="CP81" s="58" t="n">
        <v>0.3416666666666667</v>
      </c>
      <c r="CQ81" s="58" t="n">
        <v>0.7527777777777778</v>
      </c>
      <c r="CR81" s="83">
        <f>MOD(CQ81-CP81,1)*24</f>
        <v/>
      </c>
      <c r="CS81" s="57" t="n">
        <v>1</v>
      </c>
      <c r="CT81" s="58" t="n">
        <v>0.35</v>
      </c>
      <c r="CU81" s="58" t="n">
        <v>0.7534722222222222</v>
      </c>
      <c r="CV81" s="83">
        <f>MOD(CU81-CT81,1)*24</f>
        <v/>
      </c>
      <c r="CW81" s="57" t="n">
        <v>1</v>
      </c>
      <c r="CX81" s="58" t="n">
        <v>0.3347222222222222</v>
      </c>
      <c r="CY81" s="58" t="n">
        <v>0.8201388888888889</v>
      </c>
      <c r="CZ81" s="83">
        <f>MOD(CY81-CX81,1)*24</f>
        <v/>
      </c>
      <c r="DA81" s="57" t="n">
        <v>1</v>
      </c>
      <c r="DB81" s="58" t="n">
        <v>0.34375</v>
      </c>
      <c r="DC81" s="58" t="n">
        <v>0.7402777777777778</v>
      </c>
      <c r="DD81" s="83">
        <f>MOD(DC81-DB81,1)*24</f>
        <v/>
      </c>
      <c r="DE81" s="57" t="n">
        <v>1</v>
      </c>
      <c r="DF81" s="58" t="n"/>
      <c r="DG81" s="60" t="n"/>
      <c r="DH81" s="83" t="n"/>
      <c r="DI81" s="41" t="n"/>
      <c r="DJ81" s="116" t="n">
        <v>0.3472222222222222</v>
      </c>
      <c r="DK81" s="116" t="n">
        <v>0.7493055555555556</v>
      </c>
      <c r="DL81" s="83">
        <f>MOD(DK81-DJ81,1)*24</f>
        <v/>
      </c>
      <c r="DM81" s="41" t="n">
        <v>1</v>
      </c>
      <c r="DN81" s="58" t="n">
        <v>0.34375</v>
      </c>
      <c r="DO81" s="58" t="n">
        <v>0.7381944444444445</v>
      </c>
      <c r="DP81" s="83">
        <f>MOD(DO81-DN81,1)*24</f>
        <v/>
      </c>
      <c r="DQ81" s="57" t="n">
        <v>1</v>
      </c>
      <c r="DR81" s="61" t="n">
        <v>0.34375</v>
      </c>
      <c r="DS81" s="62" t="n">
        <v>0.74375</v>
      </c>
      <c r="DT81" s="83">
        <f>MOD(DS81-DR81,1)*24</f>
        <v/>
      </c>
      <c r="DU81" s="41" t="n">
        <v>1</v>
      </c>
      <c r="DV81" s="61">
        <f>SUM(H81,L81,P81,T81,X81,AB81,AF81,AJ81,AN81,AR81,AV81,AZ81,BD81,BH81,BL81,BP81,BT81,BX81,CB81,CF81,CJ81,CN81,CR81,CV81,CZ81,DD81,DH81,DL81,DP81,DT81)</f>
        <v/>
      </c>
      <c r="DW81" s="62">
        <f>SUM(I81,M81,Q81,U81,Y81,AC81,AG81,AK81,AO81,AS81,AW81,BA81,BE81,BI81,BM81,BQ81,BU81,BY81,CC81,CG81,CK81,CO81,CS81,CW81,DA81,DE81,DI81,DM81,DQ81,DU81)</f>
        <v/>
      </c>
      <c r="DX81" s="83" t="n"/>
      <c r="DY81" s="41" t="n"/>
      <c r="DZ81" s="84" t="n"/>
      <c r="EA81" s="84" t="n"/>
      <c r="EB81" s="84" t="n"/>
      <c r="EC81" s="84" t="n"/>
      <c r="ED81" s="84" t="n"/>
      <c r="EE81" s="84" t="n"/>
      <c r="EF81" s="84" t="n"/>
      <c r="EG81" s="84" t="inlineStr">
        <is>
          <t>只打一次卡</t>
        </is>
      </c>
      <c r="EH81" s="84" t="n"/>
      <c r="EI81" s="84" t="n"/>
      <c r="EJ81" s="84" t="n"/>
      <c r="EK81" s="84" t="n"/>
      <c r="EL81" s="84" t="n"/>
      <c r="EM81" s="84" t="inlineStr">
        <is>
          <t>只打一次卡</t>
        </is>
      </c>
      <c r="EN81" s="84" t="n"/>
      <c r="EO81" s="84" t="n"/>
      <c r="EP81" s="84" t="n"/>
      <c r="EQ81" s="84" t="n"/>
      <c r="ER81" s="84" t="n"/>
      <c r="ES81" s="84" t="n"/>
      <c r="ET81" s="84" t="n"/>
      <c r="EU81" s="84" t="n"/>
      <c r="EV81" s="84" t="n"/>
      <c r="EW81" s="84" t="n"/>
      <c r="EX81" s="84" t="n"/>
      <c r="EY81" s="84" t="n"/>
      <c r="EZ81" s="84" t="n"/>
      <c r="FA81" s="84" t="n"/>
      <c r="FB81" s="84" t="n"/>
      <c r="FC81" s="84" t="n"/>
      <c r="FD81" s="84" t="n"/>
      <c r="FE81" s="84" t="n"/>
    </row>
    <row r="82" ht="59" customFormat="1" customHeight="1" s="52">
      <c r="A82" s="55" t="inlineStr">
        <is>
          <t>五楼</t>
        </is>
      </c>
      <c r="B82" s="56" t="inlineStr">
        <is>
          <t>熊壮</t>
        </is>
      </c>
      <c r="C82" s="41" t="inlineStr">
        <is>
          <t>80</t>
        </is>
      </c>
      <c r="D82" s="41" t="n"/>
      <c r="E82" s="57" t="n"/>
      <c r="F82" s="115" t="n">
        <v>0.3520833333333334</v>
      </c>
      <c r="G82" s="58" t="n">
        <v>0.9590277777777778</v>
      </c>
      <c r="H82" s="83">
        <f>MOD(G82-F82,1)*24</f>
        <v/>
      </c>
      <c r="I82" s="57" t="n">
        <v>1</v>
      </c>
      <c r="J82" s="58" t="n">
        <v>0.3541666666666667</v>
      </c>
      <c r="K82" s="58" t="n">
        <v>0.9083333333333333</v>
      </c>
      <c r="L82" s="83">
        <f>MOD(K82-J82,1)*24</f>
        <v/>
      </c>
      <c r="M82" s="57" t="n">
        <v>1</v>
      </c>
      <c r="N82" s="58" t="n">
        <v>0.3534722222222222</v>
      </c>
      <c r="O82" s="58" t="n">
        <v>0.7506944444444444</v>
      </c>
      <c r="P82" s="83">
        <f>MOD(O82-N82,1)*24</f>
        <v/>
      </c>
      <c r="Q82" s="57" t="n">
        <v>1</v>
      </c>
      <c r="R82" s="58" t="n"/>
      <c r="S82" s="58" t="n"/>
      <c r="T82" s="83" t="n"/>
      <c r="U82" s="57" t="n"/>
      <c r="V82" s="58" t="n"/>
      <c r="W82" s="58" t="n"/>
      <c r="X82" s="83" t="n"/>
      <c r="Y82" s="57" t="n"/>
      <c r="Z82" s="58" t="n">
        <v>0.3527777777777778</v>
      </c>
      <c r="AA82" s="60" t="n">
        <v>0.8576388888888888</v>
      </c>
      <c r="AB82" s="83">
        <f>MOD(AA82-Z82,1)*24</f>
        <v/>
      </c>
      <c r="AC82" s="41" t="n">
        <v>1</v>
      </c>
      <c r="AD82" s="116" t="n">
        <v>0.3493055555555555</v>
      </c>
      <c r="AE82" s="117" t="n">
        <v>0.7402777777777778</v>
      </c>
      <c r="AF82" s="83">
        <f>MOD(AE82-AD82,1)*24</f>
        <v/>
      </c>
      <c r="AG82" s="57" t="n">
        <v>1</v>
      </c>
      <c r="AH82" s="58" t="n">
        <v>0.3479166666666667</v>
      </c>
      <c r="AI82" s="58" t="n">
        <v>0.7409722222222223</v>
      </c>
      <c r="AJ82" s="83">
        <f>MOD(AI82-AH82,1)*24</f>
        <v/>
      </c>
      <c r="AK82" s="57" t="n">
        <v>1</v>
      </c>
      <c r="AL82" s="58" t="n"/>
      <c r="AM82" s="58" t="n"/>
      <c r="AN82" s="83" t="n"/>
      <c r="AO82" s="57" t="n"/>
      <c r="AP82" s="58" t="n"/>
      <c r="AQ82" s="58" t="n"/>
      <c r="AR82" s="83" t="n"/>
      <c r="AS82" s="57" t="n"/>
      <c r="AT82" s="58" t="n">
        <v>0.3513888888888889</v>
      </c>
      <c r="AU82" s="58" t="n">
        <v>0.7493055555555556</v>
      </c>
      <c r="AV82" s="83">
        <f>MOD(AU82-AT82,1)*24</f>
        <v/>
      </c>
      <c r="AW82" s="57" t="n">
        <v>1</v>
      </c>
      <c r="AX82" s="58" t="n">
        <v>0.3493055555555555</v>
      </c>
      <c r="AY82" s="58" t="n"/>
      <c r="AZ82" s="83" t="n"/>
      <c r="BA82" s="57" t="n">
        <v>0.5</v>
      </c>
      <c r="BB82" s="58" t="n">
        <v>0.3402777777777778</v>
      </c>
      <c r="BC82" s="60" t="n">
        <v>0.7381944444444445</v>
      </c>
      <c r="BD82" s="83">
        <f>MOD(BC82-BB82,1)*24</f>
        <v/>
      </c>
      <c r="BE82" s="41" t="n">
        <v>0.5</v>
      </c>
      <c r="BF82" s="116" t="n">
        <v>0.3541666666666667</v>
      </c>
      <c r="BG82" s="115" t="n">
        <v>0.8284722222222223</v>
      </c>
      <c r="BH82" s="83">
        <f>MOD(BG82-BF82,1)*24</f>
        <v/>
      </c>
      <c r="BI82" s="57" t="n">
        <v>1</v>
      </c>
      <c r="BJ82" s="58" t="n"/>
      <c r="BK82" s="58" t="n"/>
      <c r="BL82" s="83" t="n"/>
      <c r="BM82" s="57" t="n"/>
      <c r="BN82" s="58" t="n">
        <v>0.325</v>
      </c>
      <c r="BO82" s="58" t="n">
        <v>0.7451388888888889</v>
      </c>
      <c r="BP82" s="83">
        <f>MOD(BO82-BN82,1)*24</f>
        <v/>
      </c>
      <c r="BQ82" s="57" t="n">
        <v>1</v>
      </c>
      <c r="BR82" s="58" t="n">
        <v>0.3319444444444444</v>
      </c>
      <c r="BS82" s="58" t="n">
        <v>0.7465277777777778</v>
      </c>
      <c r="BT82" s="83">
        <f>MOD(BS82-BR82,1)*24</f>
        <v/>
      </c>
      <c r="BU82" s="57" t="n">
        <v>1</v>
      </c>
      <c r="BV82" s="58" t="n">
        <v>0.3513888888888889</v>
      </c>
      <c r="BW82" s="60" t="n">
        <v>0.7861111111111111</v>
      </c>
      <c r="BX82" s="83">
        <f>MOD(BW82-BV82,1)*24</f>
        <v/>
      </c>
      <c r="BY82" s="41" t="n">
        <v>1</v>
      </c>
      <c r="BZ82" s="41" t="n"/>
      <c r="CA82" s="41" t="n"/>
      <c r="CB82" s="83" t="n"/>
      <c r="CC82" s="41" t="n"/>
      <c r="CD82" s="116" t="n">
        <v>0.3527777777777778</v>
      </c>
      <c r="CE82" s="115" t="n">
        <v>0.8243055555555555</v>
      </c>
      <c r="CF82" s="83">
        <f>MOD(CE82-CD82,1)*24</f>
        <v/>
      </c>
      <c r="CG82" s="57" t="n">
        <v>1</v>
      </c>
      <c r="CH82" s="58" t="n">
        <v>0.3402777777777778</v>
      </c>
      <c r="CI82" s="58" t="n">
        <v>0.76875</v>
      </c>
      <c r="CJ82" s="83">
        <f>MOD(CI82-CH82,1)*24</f>
        <v/>
      </c>
      <c r="CK82" s="57" t="n">
        <v>1</v>
      </c>
      <c r="CL82" s="58" t="n">
        <v>0.3347222222222222</v>
      </c>
      <c r="CM82" s="58" t="n">
        <v>0.7465277777777778</v>
      </c>
      <c r="CN82" s="83">
        <f>MOD(CM82-CL82,1)*24</f>
        <v/>
      </c>
      <c r="CO82" s="57" t="n">
        <v>1</v>
      </c>
      <c r="CP82" s="58" t="n">
        <v>0.3180555555555555</v>
      </c>
      <c r="CQ82" s="58" t="n">
        <v>0.7590277777777777</v>
      </c>
      <c r="CR82" s="83">
        <f>MOD(CQ82-CP82,1)*24</f>
        <v/>
      </c>
      <c r="CS82" s="57" t="n">
        <v>1</v>
      </c>
      <c r="CT82" s="58" t="n">
        <v>0.3291666666666667</v>
      </c>
      <c r="CU82" s="58" t="n">
        <v>0.7534722222222222</v>
      </c>
      <c r="CV82" s="83">
        <f>MOD(CU82-CT82,1)*24</f>
        <v/>
      </c>
      <c r="CW82" s="57" t="n">
        <v>1</v>
      </c>
      <c r="CX82" s="58" t="n">
        <v>0.3534722222222222</v>
      </c>
      <c r="CY82" s="58" t="n">
        <v>0.7576388888888889</v>
      </c>
      <c r="CZ82" s="83">
        <f>MOD(CY82-CX82,1)*24</f>
        <v/>
      </c>
      <c r="DA82" s="57" t="n">
        <v>1</v>
      </c>
      <c r="DB82" s="58" t="n">
        <v>0.7402777777777778</v>
      </c>
      <c r="DC82" s="58" t="n"/>
      <c r="DD82" s="83" t="n"/>
      <c r="DE82" s="57" t="n">
        <v>0.5</v>
      </c>
      <c r="DF82" s="58" t="n">
        <v>0.3381944444444445</v>
      </c>
      <c r="DG82" s="60" t="n">
        <v>0.9215277777777777</v>
      </c>
      <c r="DH82" s="83">
        <f>MOD(DG82-DF82,1)*24</f>
        <v/>
      </c>
      <c r="DI82" s="41" t="n">
        <v>1</v>
      </c>
      <c r="DJ82" s="116" t="n">
        <v>0.3381944444444445</v>
      </c>
      <c r="DK82" s="116" t="n">
        <v>0.8729166666666667</v>
      </c>
      <c r="DL82" s="83">
        <f>MOD(DK82-DJ82,1)*24</f>
        <v/>
      </c>
      <c r="DM82" s="41" t="n">
        <v>1</v>
      </c>
      <c r="DN82" s="58" t="n">
        <v>0.3520833333333334</v>
      </c>
      <c r="DO82" s="58" t="n">
        <v>0.7590277777777777</v>
      </c>
      <c r="DP82" s="83">
        <f>MOD(DO82-DN82,1)*24</f>
        <v/>
      </c>
      <c r="DQ82" s="57" t="n">
        <v>1</v>
      </c>
      <c r="DR82" s="61" t="n">
        <v>0.3493055555555555</v>
      </c>
      <c r="DS82" s="62" t="n">
        <v>0.9319444444444445</v>
      </c>
      <c r="DT82" s="83">
        <f>MOD(DS82-DR82,1)*24</f>
        <v/>
      </c>
      <c r="DU82" s="41" t="n">
        <v>1</v>
      </c>
      <c r="DV82" s="61">
        <f>SUM(H82,L82,P82,T82,X82,AB82,AF82,AJ82,AN82,AR82,AV82,AZ82,BD82,BH82,BL82,BP82,BT82,BX82,CB82,CF82,CJ82,CN82,CR82,CV82,CZ82,DD82,DH82,DL82,DP82,DT82)</f>
        <v/>
      </c>
      <c r="DW82" s="62">
        <f>SUM(I82,M82,Q82,U82,Y82,AC82,AG82,AK82,AO82,AS82,AW82,BA82,BE82,BI82,BM82,BQ82,BU82,BY82,CC82,CG82,CK82,CO82,CS82,CW82,DA82,DE82,DI82,DM82,DQ82,DU82)</f>
        <v/>
      </c>
      <c r="DX82" s="83" t="n"/>
      <c r="DY82" s="41" t="n"/>
      <c r="DZ82" s="84" t="n"/>
      <c r="EA82" s="84" t="n"/>
      <c r="EB82" s="84" t="n"/>
      <c r="EC82" s="84" t="n"/>
      <c r="ED82" s="84" t="n"/>
      <c r="EE82" s="84" t="n"/>
      <c r="EF82" s="84" t="n"/>
      <c r="EG82" s="84" t="n"/>
      <c r="EH82" s="84" t="n"/>
      <c r="EI82" s="84" t="n"/>
      <c r="EJ82" s="84" t="n"/>
      <c r="EK82" s="84" t="n"/>
      <c r="EL82" s="84" t="n"/>
      <c r="EM82" s="84" t="inlineStr">
        <is>
          <t>只打一次卡</t>
        </is>
      </c>
      <c r="EN82" s="84" t="n"/>
      <c r="EO82" s="84" t="n"/>
      <c r="EP82" s="84" t="n"/>
      <c r="EQ82" s="84" t="n"/>
      <c r="ER82" s="84" t="n"/>
      <c r="ES82" s="84" t="n"/>
      <c r="ET82" s="84" t="n"/>
      <c r="EU82" s="84" t="n"/>
      <c r="EV82" s="84" t="n"/>
      <c r="EW82" s="84" t="n"/>
      <c r="EX82" s="84" t="n"/>
      <c r="EY82" s="84" t="n"/>
      <c r="EZ82" s="84" t="n"/>
      <c r="FA82" s="84" t="inlineStr">
        <is>
          <t>只打一次卡</t>
        </is>
      </c>
      <c r="FB82" s="84" t="n"/>
      <c r="FC82" s="84" t="n"/>
      <c r="FD82" s="84" t="n"/>
      <c r="FE82" s="84" t="n"/>
    </row>
    <row r="83" ht="59" customFormat="1" customHeight="1" s="52">
      <c r="A83" s="55" t="inlineStr">
        <is>
          <t>五楼</t>
        </is>
      </c>
      <c r="B83" s="56" t="inlineStr">
        <is>
          <t>熊壮</t>
        </is>
      </c>
      <c r="C83" s="41" t="inlineStr">
        <is>
          <t>80</t>
        </is>
      </c>
      <c r="D83" s="41" t="n"/>
      <c r="E83" s="57" t="n"/>
      <c r="F83" s="115" t="n"/>
      <c r="G83" s="58" t="n"/>
      <c r="H83" s="83" t="n"/>
      <c r="I83" s="57" t="n"/>
      <c r="J83" s="58" t="n"/>
      <c r="K83" s="58" t="n"/>
      <c r="L83" s="83" t="n"/>
      <c r="M83" s="57" t="n"/>
      <c r="N83" s="58" t="n"/>
      <c r="O83" s="58" t="n"/>
      <c r="P83" s="83" t="n"/>
      <c r="Q83" s="57" t="n"/>
      <c r="R83" s="58" t="n"/>
      <c r="S83" s="58" t="n"/>
      <c r="T83" s="83" t="n"/>
      <c r="U83" s="57" t="n"/>
      <c r="V83" s="58" t="n"/>
      <c r="W83" s="58" t="n"/>
      <c r="X83" s="83" t="n"/>
      <c r="Y83" s="57" t="n"/>
      <c r="Z83" s="58" t="n"/>
      <c r="AA83" s="60" t="n"/>
      <c r="AB83" s="83" t="n"/>
      <c r="AC83" s="41" t="n"/>
      <c r="AD83" s="116" t="n"/>
      <c r="AE83" s="117" t="n"/>
      <c r="AF83" s="83" t="n"/>
      <c r="AG83" s="57" t="n"/>
      <c r="AH83" s="58" t="n"/>
      <c r="AI83" s="58" t="n"/>
      <c r="AJ83" s="83" t="n"/>
      <c r="AK83" s="57" t="n"/>
      <c r="AL83" s="58" t="n"/>
      <c r="AM83" s="58" t="n"/>
      <c r="AN83" s="83" t="n"/>
      <c r="AO83" s="57" t="n"/>
      <c r="AP83" s="58" t="n"/>
      <c r="AQ83" s="58" t="n"/>
      <c r="AR83" s="83" t="n"/>
      <c r="AS83" s="57" t="n"/>
      <c r="AT83" s="58" t="n"/>
      <c r="AU83" s="58" t="n"/>
      <c r="AV83" s="83" t="n"/>
      <c r="AW83" s="57" t="n"/>
      <c r="AX83" s="58" t="n"/>
      <c r="AY83" s="58" t="n"/>
      <c r="AZ83" s="83" t="n"/>
      <c r="BA83" s="57" t="n"/>
      <c r="BB83" s="58" t="n">
        <v>0.7569444444444444</v>
      </c>
      <c r="BC83" s="60" t="n"/>
      <c r="BD83" s="83" t="n"/>
      <c r="BE83" s="41" t="n">
        <v>0.5</v>
      </c>
      <c r="BF83" s="116" t="n"/>
      <c r="BG83" s="115" t="n"/>
      <c r="BH83" s="83" t="n"/>
      <c r="BI83" s="57" t="n"/>
      <c r="BJ83" s="58" t="n"/>
      <c r="BK83" s="58" t="n"/>
      <c r="BL83" s="83" t="n"/>
      <c r="BM83" s="57" t="n"/>
      <c r="BN83" s="58" t="n"/>
      <c r="BO83" s="58" t="n"/>
      <c r="BP83" s="83" t="n"/>
      <c r="BQ83" s="57" t="n"/>
      <c r="BR83" s="58" t="n"/>
      <c r="BS83" s="58" t="n"/>
      <c r="BT83" s="83" t="n"/>
      <c r="BU83" s="57" t="n"/>
      <c r="BV83" s="58" t="n"/>
      <c r="BW83" s="60" t="n"/>
      <c r="BX83" s="83" t="n"/>
      <c r="BY83" s="41" t="n"/>
      <c r="BZ83" s="41" t="n"/>
      <c r="CA83" s="41" t="n"/>
      <c r="CB83" s="83" t="n"/>
      <c r="CC83" s="41" t="n"/>
      <c r="CD83" s="116" t="n"/>
      <c r="CE83" s="115" t="n"/>
      <c r="CF83" s="83" t="n"/>
      <c r="CG83" s="57" t="n"/>
      <c r="CH83" s="58" t="n"/>
      <c r="CI83" s="58" t="n"/>
      <c r="CJ83" s="83" t="n"/>
      <c r="CK83" s="57" t="n"/>
      <c r="CL83" s="58" t="n"/>
      <c r="CM83" s="58" t="n"/>
      <c r="CN83" s="83" t="n"/>
      <c r="CO83" s="57" t="n"/>
      <c r="CP83" s="58" t="n"/>
      <c r="CQ83" s="58" t="n"/>
      <c r="CR83" s="83" t="n"/>
      <c r="CS83" s="57" t="n"/>
      <c r="CT83" s="58" t="n"/>
      <c r="CU83" s="58" t="n"/>
      <c r="CV83" s="83" t="n"/>
      <c r="CW83" s="57" t="n"/>
      <c r="CX83" s="58" t="n"/>
      <c r="CY83" s="58" t="n"/>
      <c r="CZ83" s="83" t="n"/>
      <c r="DA83" s="57" t="n"/>
      <c r="DB83" s="58" t="n"/>
      <c r="DC83" s="58" t="n"/>
      <c r="DD83" s="83" t="n"/>
      <c r="DE83" s="57" t="n"/>
      <c r="DF83" s="58" t="n"/>
      <c r="DG83" s="60" t="n"/>
      <c r="DH83" s="83" t="n"/>
      <c r="DI83" s="41" t="n"/>
      <c r="DJ83" s="116" t="n"/>
      <c r="DK83" s="116" t="n"/>
      <c r="DL83" s="83" t="n"/>
      <c r="DM83" s="41" t="n"/>
      <c r="DN83" s="58" t="n"/>
      <c r="DO83" s="58" t="n"/>
      <c r="DP83" s="83" t="n"/>
      <c r="DQ83" s="57" t="n"/>
      <c r="DR83" s="61" t="n"/>
      <c r="DS83" s="62" t="n"/>
      <c r="DT83" s="83" t="n"/>
      <c r="DU83" s="41" t="n"/>
      <c r="DV83" s="61">
        <f>SUM(H83,L83,P83,T83,X83,AB83,AF83,AJ83,AN83,AR83,AV83,AZ83,BD83,BH83,BL83,BP83,BT83,BX83,CB83,CF83,CJ83,CN83,CR83,CV83,CZ83,DD83,DH83,DL83,DP83,DT83)</f>
        <v/>
      </c>
      <c r="DW83" s="62">
        <f>SUM(I83,M83,Q83,U83,Y83,AC83,AG83,AK83,AO83,AS83,AW83,BA83,BE83,BI83,BM83,BQ83,BU83,BY83,CC83,CG83,CK83,CO83,CS83,CW83,DA83,DE83,DI83,DM83,DQ83,DU83)</f>
        <v/>
      </c>
      <c r="DX83" s="83" t="n"/>
      <c r="DY83" s="41" t="n"/>
      <c r="DZ83" s="84" t="n"/>
      <c r="EA83" s="84" t="n"/>
      <c r="EB83" s="84" t="n"/>
      <c r="EC83" s="84" t="n"/>
      <c r="ED83" s="84" t="n"/>
      <c r="EE83" s="84" t="n"/>
      <c r="EF83" s="84" t="n"/>
      <c r="EG83" s="84" t="n"/>
      <c r="EH83" s="84" t="n"/>
      <c r="EI83" s="84" t="n"/>
      <c r="EJ83" s="84" t="n"/>
      <c r="EK83" s="84" t="n"/>
      <c r="EL83" s="84" t="n"/>
      <c r="EM83" s="84" t="n"/>
      <c r="EN83" s="84" t="n"/>
      <c r="EO83" s="84" t="n"/>
      <c r="EP83" s="84" t="n"/>
      <c r="EQ83" s="84" t="n"/>
      <c r="ER83" s="84" t="n"/>
      <c r="ES83" s="84" t="n"/>
      <c r="ET83" s="84" t="n"/>
      <c r="EU83" s="84" t="n"/>
      <c r="EV83" s="84" t="n"/>
      <c r="EW83" s="84" t="n"/>
      <c r="EX83" s="84" t="n"/>
      <c r="EY83" s="84" t="n"/>
      <c r="EZ83" s="84" t="n"/>
      <c r="FA83" s="84" t="n"/>
      <c r="FB83" s="84" t="n"/>
      <c r="FC83" s="84" t="n"/>
      <c r="FD83" s="84" t="n"/>
      <c r="FE83" s="84" t="n"/>
    </row>
    <row r="84" ht="59" customFormat="1" customHeight="1" s="52">
      <c r="A84" s="55" t="inlineStr">
        <is>
          <t>五楼</t>
        </is>
      </c>
      <c r="B84" s="56" t="inlineStr">
        <is>
          <t>覃邦斌</t>
        </is>
      </c>
      <c r="C84" s="41" t="inlineStr">
        <is>
          <t>81</t>
        </is>
      </c>
      <c r="D84" s="41" t="n"/>
      <c r="E84" s="57" t="n"/>
      <c r="F84" s="115" t="n">
        <v>0.3201388888888889</v>
      </c>
      <c r="G84" s="58" t="n">
        <v>0.7361111111111112</v>
      </c>
      <c r="H84" s="83">
        <f>MOD(G84-F84,1)*24</f>
        <v/>
      </c>
      <c r="I84" s="57" t="n">
        <v>1</v>
      </c>
      <c r="J84" s="58" t="n">
        <v>0.3159722222222222</v>
      </c>
      <c r="K84" s="58" t="n">
        <v>0.7375</v>
      </c>
      <c r="L84" s="83">
        <f>MOD(K84-J84,1)*24</f>
        <v/>
      </c>
      <c r="M84" s="57" t="n">
        <v>1</v>
      </c>
      <c r="N84" s="58" t="n">
        <v>0.3180555555555555</v>
      </c>
      <c r="O84" s="58" t="n">
        <v>0.7361111111111112</v>
      </c>
      <c r="P84" s="83">
        <f>MOD(O84-N84,1)*24</f>
        <v/>
      </c>
      <c r="Q84" s="57" t="n">
        <v>1</v>
      </c>
      <c r="R84" s="58" t="n">
        <v>0.3208333333333334</v>
      </c>
      <c r="S84" s="58" t="n">
        <v>0.7368055555555556</v>
      </c>
      <c r="T84" s="83">
        <f>MOD(S84-R84,1)*24</f>
        <v/>
      </c>
      <c r="U84" s="57" t="n">
        <v>1</v>
      </c>
      <c r="V84" s="58" t="n"/>
      <c r="W84" s="58" t="n"/>
      <c r="X84" s="83" t="n"/>
      <c r="Y84" s="57" t="n"/>
      <c r="Z84" s="58" t="n">
        <v>0.3194444444444444</v>
      </c>
      <c r="AA84" s="60" t="n">
        <v>0.7361111111111112</v>
      </c>
      <c r="AB84" s="83">
        <f>MOD(AA84-Z84,1)*24</f>
        <v/>
      </c>
      <c r="AC84" s="41" t="n">
        <v>1</v>
      </c>
      <c r="AD84" s="116" t="n">
        <v>0.31875</v>
      </c>
      <c r="AE84" s="117" t="n">
        <v>0.7381944444444445</v>
      </c>
      <c r="AF84" s="83">
        <f>MOD(AE84-AD84,1)*24</f>
        <v/>
      </c>
      <c r="AG84" s="57" t="n">
        <v>1</v>
      </c>
      <c r="AH84" s="58" t="n">
        <v>0.31875</v>
      </c>
      <c r="AI84" s="58" t="n">
        <v>0.7361111111111112</v>
      </c>
      <c r="AJ84" s="83">
        <f>MOD(AI84-AH84,1)*24</f>
        <v/>
      </c>
      <c r="AK84" s="57" t="n">
        <v>1</v>
      </c>
      <c r="AL84" s="58" t="n">
        <v>0.3215277777777778</v>
      </c>
      <c r="AM84" s="58" t="n">
        <v>0.7361111111111112</v>
      </c>
      <c r="AN84" s="83">
        <f>MOD(AM84-AL84,1)*24</f>
        <v/>
      </c>
      <c r="AO84" s="57" t="n">
        <v>1</v>
      </c>
      <c r="AP84" s="58" t="n">
        <v>0.3201388888888889</v>
      </c>
      <c r="AQ84" s="58" t="n">
        <v>0.7368055555555556</v>
      </c>
      <c r="AR84" s="83">
        <f>MOD(AQ84-AP84,1)*24</f>
        <v/>
      </c>
      <c r="AS84" s="57" t="n">
        <v>0.5</v>
      </c>
      <c r="AT84" s="58" t="n">
        <v>0.3201388888888889</v>
      </c>
      <c r="AU84" s="58" t="n">
        <v>0.3222222222222222</v>
      </c>
      <c r="AV84" s="83">
        <f>MOD(AU84-AT84,1)*24</f>
        <v/>
      </c>
      <c r="AW84" s="57" t="n">
        <v>0.5</v>
      </c>
      <c r="AX84" s="58" t="n">
        <v>0.3173611111111111</v>
      </c>
      <c r="AY84" s="58" t="n">
        <v>0.7361111111111112</v>
      </c>
      <c r="AZ84" s="83">
        <f>MOD(AY84-AX84,1)*24</f>
        <v/>
      </c>
      <c r="BA84" s="57" t="n">
        <v>1</v>
      </c>
      <c r="BB84" s="58" t="n">
        <v>0.31875</v>
      </c>
      <c r="BC84" s="60" t="n">
        <v>0.7368055555555556</v>
      </c>
      <c r="BD84" s="83">
        <f>MOD(BC84-BB84,1)*24</f>
        <v/>
      </c>
      <c r="BE84" s="41" t="n">
        <v>1</v>
      </c>
      <c r="BF84" s="116" t="n">
        <v>0.3215277777777778</v>
      </c>
      <c r="BG84" s="115" t="n">
        <v>0.7361111111111112</v>
      </c>
      <c r="BH84" s="83">
        <f>MOD(BG84-BF84,1)*24</f>
        <v/>
      </c>
      <c r="BI84" s="57" t="n">
        <v>1</v>
      </c>
      <c r="BJ84" s="58" t="n">
        <v>0.3173611111111111</v>
      </c>
      <c r="BK84" s="58" t="n">
        <v>0.7381944444444445</v>
      </c>
      <c r="BL84" s="83">
        <f>MOD(BK84-BJ84,1)*24</f>
        <v/>
      </c>
      <c r="BM84" s="57" t="n">
        <v>1</v>
      </c>
      <c r="BN84" s="58" t="n">
        <v>0.3194444444444444</v>
      </c>
      <c r="BO84" s="58" t="n">
        <v>0.7361111111111112</v>
      </c>
      <c r="BP84" s="83">
        <f>MOD(BO84-BN84,1)*24</f>
        <v/>
      </c>
      <c r="BQ84" s="57" t="n">
        <v>1</v>
      </c>
      <c r="BR84" s="58" t="n">
        <v>0.3208333333333334</v>
      </c>
      <c r="BS84" s="58" t="n">
        <v>0.7361111111111112</v>
      </c>
      <c r="BT84" s="83">
        <f>MOD(BS84-BR84,1)*24</f>
        <v/>
      </c>
      <c r="BU84" s="57" t="n">
        <v>1</v>
      </c>
      <c r="BV84" s="58" t="n">
        <v>0.3180555555555555</v>
      </c>
      <c r="BW84" s="60" t="n">
        <v>0.7520833333333333</v>
      </c>
      <c r="BX84" s="83">
        <f>MOD(BW84-BV84,1)*24</f>
        <v/>
      </c>
      <c r="BY84" s="41" t="n">
        <v>1</v>
      </c>
      <c r="BZ84" s="116" t="n">
        <v>0.2993055555555555</v>
      </c>
      <c r="CA84" s="116" t="n">
        <v>0.7416666666666667</v>
      </c>
      <c r="CB84" s="83">
        <f>MOD(CA84-BZ84,1)*24</f>
        <v/>
      </c>
      <c r="CC84" s="41" t="n">
        <v>1</v>
      </c>
      <c r="CD84" s="116" t="n">
        <v>0.3215277777777778</v>
      </c>
      <c r="CE84" s="115" t="n">
        <v>0.7361111111111112</v>
      </c>
      <c r="CF84" s="83">
        <f>MOD(CE84-CD84,1)*24</f>
        <v/>
      </c>
      <c r="CG84" s="57" t="n">
        <v>1</v>
      </c>
      <c r="CH84" s="58" t="n">
        <v>0.31875</v>
      </c>
      <c r="CI84" s="58" t="n">
        <v>0.7381944444444445</v>
      </c>
      <c r="CJ84" s="83">
        <f>MOD(CI84-CH84,1)*24</f>
        <v/>
      </c>
      <c r="CK84" s="57" t="n">
        <v>0.5</v>
      </c>
      <c r="CL84" s="58" t="n">
        <v>0.3215277777777778</v>
      </c>
      <c r="CM84" s="58" t="n">
        <v>0.7361111111111112</v>
      </c>
      <c r="CN84" s="83">
        <f>MOD(CM84-CL84,1)*24</f>
        <v/>
      </c>
      <c r="CO84" s="57" t="n">
        <v>1</v>
      </c>
      <c r="CP84" s="58" t="n">
        <v>0.3180555555555555</v>
      </c>
      <c r="CQ84" s="58" t="n">
        <v>0.7375</v>
      </c>
      <c r="CR84" s="83">
        <f>MOD(CQ84-CP84,1)*24</f>
        <v/>
      </c>
      <c r="CS84" s="57" t="n">
        <v>1</v>
      </c>
      <c r="CT84" s="58" t="n">
        <v>0.3097222222222222</v>
      </c>
      <c r="CU84" s="58" t="n">
        <v>0.7375</v>
      </c>
      <c r="CV84" s="83">
        <f>MOD(CU84-CT84,1)*24</f>
        <v/>
      </c>
      <c r="CW84" s="57" t="n">
        <v>1</v>
      </c>
      <c r="CX84" s="58" t="n">
        <v>0.3090277777777778</v>
      </c>
      <c r="CY84" s="58" t="n">
        <v>0.7361111111111112</v>
      </c>
      <c r="CZ84" s="83">
        <f>MOD(CY84-CX84,1)*24</f>
        <v/>
      </c>
      <c r="DA84" s="57" t="n">
        <v>1</v>
      </c>
      <c r="DB84" s="58" t="n"/>
      <c r="DC84" s="58" t="n"/>
      <c r="DD84" s="83" t="n"/>
      <c r="DE84" s="57" t="n"/>
      <c r="DF84" s="58" t="n">
        <v>0.3159722222222222</v>
      </c>
      <c r="DG84" s="60" t="n">
        <v>0.31875</v>
      </c>
      <c r="DH84" s="83">
        <f>MOD(DG84-DF84,1)*24</f>
        <v/>
      </c>
      <c r="DI84" s="41" t="n">
        <v>0.5</v>
      </c>
      <c r="DJ84" s="116" t="n">
        <v>0.31875</v>
      </c>
      <c r="DK84" s="116" t="n">
        <v>0.7368055555555556</v>
      </c>
      <c r="DL84" s="83">
        <f>MOD(DK84-DJ84,1)*24</f>
        <v/>
      </c>
      <c r="DM84" s="41" t="n">
        <v>1</v>
      </c>
      <c r="DN84" s="58" t="n">
        <v>0.3194444444444444</v>
      </c>
      <c r="DO84" s="58" t="n">
        <v>0.7368055555555556</v>
      </c>
      <c r="DP84" s="83">
        <f>MOD(DO84-DN84,1)*24</f>
        <v/>
      </c>
      <c r="DQ84" s="57" t="n">
        <v>1</v>
      </c>
      <c r="DR84" s="61" t="n">
        <v>0.3194444444444444</v>
      </c>
      <c r="DS84" s="62" t="n">
        <v>0.7395833333333334</v>
      </c>
      <c r="DT84" s="83">
        <f>MOD(DS84-DR84,1)*24</f>
        <v/>
      </c>
      <c r="DU84" s="41" t="n">
        <v>1</v>
      </c>
      <c r="DV84" s="61">
        <f>SUM(H84,L84,P84,T84,X84,AB84,AF84,AJ84,AN84,AR84,AV84,AZ84,BD84,BH84,BL84,BP84,BT84,BX84,CB84,CF84,CJ84,CN84,CR84,CV84,CZ84,DD84,DH84,DL84,DP84,DT84)</f>
        <v/>
      </c>
      <c r="DW84" s="62">
        <f>SUM(I84,M84,Q84,U84,Y84,AC84,AG84,AK84,AO84,AS84,AW84,BA84,BE84,BI84,BM84,BQ84,BU84,BY84,CC84,CG84,CK84,CO84,CS84,CW84,DA84,DE84,DI84,DM84,DQ84,DU84)</f>
        <v/>
      </c>
      <c r="DX84" s="83" t="n"/>
      <c r="DY84" s="41" t="n"/>
      <c r="DZ84" s="84" t="n"/>
      <c r="EA84" s="84" t="n"/>
      <c r="EB84" s="84" t="n"/>
      <c r="EC84" s="84" t="n"/>
      <c r="ED84" s="84" t="n"/>
      <c r="EE84" s="84" t="n"/>
      <c r="EF84" s="84" t="n"/>
      <c r="EG84" s="84" t="n"/>
      <c r="EH84" s="84" t="n"/>
      <c r="EI84" s="84" t="n"/>
      <c r="EJ84" s="84" t="n"/>
      <c r="EK84" s="84" t="n"/>
      <c r="EL84" s="84" t="n"/>
      <c r="EM84" s="84" t="n"/>
      <c r="EN84" s="84" t="n"/>
      <c r="EO84" s="84" t="n"/>
      <c r="EP84" s="84" t="n"/>
      <c r="EQ84" s="84" t="n"/>
      <c r="ER84" s="84" t="n"/>
      <c r="ES84" s="84" t="n"/>
      <c r="ET84" s="84" t="n"/>
      <c r="EU84" s="84" t="n"/>
      <c r="EV84" s="84" t="n"/>
      <c r="EW84" s="84" t="n"/>
      <c r="EX84" s="84" t="n"/>
      <c r="EY84" s="84" t="n"/>
      <c r="EZ84" s="84" t="n"/>
      <c r="FA84" s="84" t="n"/>
      <c r="FB84" s="84" t="n"/>
      <c r="FC84" s="84" t="n"/>
      <c r="FD84" s="84" t="n"/>
      <c r="FE84" s="84" t="n"/>
    </row>
    <row r="85" ht="59" customFormat="1" customHeight="1" s="52">
      <c r="A85" s="55" t="inlineStr">
        <is>
          <t>五楼</t>
        </is>
      </c>
      <c r="B85" s="56" t="inlineStr">
        <is>
          <t>覃邦斌</t>
        </is>
      </c>
      <c r="C85" s="41" t="inlineStr">
        <is>
          <t>81</t>
        </is>
      </c>
      <c r="D85" s="41" t="n"/>
      <c r="E85" s="57" t="n"/>
      <c r="F85" s="115" t="n"/>
      <c r="G85" s="58" t="n"/>
      <c r="H85" s="83" t="n"/>
      <c r="I85" s="57" t="n"/>
      <c r="J85" s="58" t="n"/>
      <c r="K85" s="58" t="n"/>
      <c r="L85" s="83" t="n"/>
      <c r="M85" s="57" t="n"/>
      <c r="N85" s="58" t="n"/>
      <c r="O85" s="58" t="n"/>
      <c r="P85" s="83" t="n"/>
      <c r="Q85" s="57" t="n"/>
      <c r="R85" s="58" t="n"/>
      <c r="S85" s="58" t="n"/>
      <c r="T85" s="83" t="n"/>
      <c r="U85" s="57" t="n"/>
      <c r="V85" s="58" t="n"/>
      <c r="W85" s="58" t="n"/>
      <c r="X85" s="83" t="n"/>
      <c r="Y85" s="57" t="n"/>
      <c r="Z85" s="58" t="n"/>
      <c r="AA85" s="60" t="n"/>
      <c r="AB85" s="83" t="n"/>
      <c r="AC85" s="41" t="n"/>
      <c r="AD85" s="116" t="n"/>
      <c r="AE85" s="117" t="n"/>
      <c r="AF85" s="83" t="n"/>
      <c r="AG85" s="57" t="n"/>
      <c r="AH85" s="58" t="n"/>
      <c r="AI85" s="58" t="n"/>
      <c r="AJ85" s="83" t="n"/>
      <c r="AK85" s="57" t="n"/>
      <c r="AL85" s="58" t="n"/>
      <c r="AM85" s="58" t="n"/>
      <c r="AN85" s="83" t="n"/>
      <c r="AO85" s="57" t="n"/>
      <c r="AP85" s="58" t="n">
        <v>0.7381944444444445</v>
      </c>
      <c r="AQ85" s="58" t="n"/>
      <c r="AR85" s="83" t="n"/>
      <c r="AS85" s="57" t="n">
        <v>0.5</v>
      </c>
      <c r="AT85" s="58" t="n">
        <v>0.7361111111111112</v>
      </c>
      <c r="AU85" s="58" t="n"/>
      <c r="AV85" s="83" t="n"/>
      <c r="AW85" s="57" t="n">
        <v>0.5</v>
      </c>
      <c r="AX85" s="58" t="n"/>
      <c r="AY85" s="58" t="n"/>
      <c r="AZ85" s="83" t="n"/>
      <c r="BA85" s="57" t="n"/>
      <c r="BB85" s="58" t="n"/>
      <c r="BC85" s="60" t="n"/>
      <c r="BD85" s="83" t="n"/>
      <c r="BE85" s="41" t="n"/>
      <c r="BF85" s="116" t="n"/>
      <c r="BG85" s="115" t="n"/>
      <c r="BH85" s="83" t="n"/>
      <c r="BI85" s="57" t="n"/>
      <c r="BJ85" s="58" t="n"/>
      <c r="BK85" s="58" t="n"/>
      <c r="BL85" s="83" t="n"/>
      <c r="BM85" s="57" t="n"/>
      <c r="BN85" s="58" t="n"/>
      <c r="BO85" s="58" t="n"/>
      <c r="BP85" s="83" t="n"/>
      <c r="BQ85" s="57" t="n"/>
      <c r="BR85" s="58" t="n"/>
      <c r="BS85" s="58" t="n"/>
      <c r="BT85" s="83" t="n"/>
      <c r="BU85" s="57" t="n"/>
      <c r="BV85" s="58" t="n"/>
      <c r="BW85" s="60" t="n"/>
      <c r="BX85" s="83" t="n"/>
      <c r="BY85" s="41" t="n"/>
      <c r="BZ85" s="41" t="n"/>
      <c r="CA85" s="41" t="n"/>
      <c r="CB85" s="83" t="n"/>
      <c r="CC85" s="41" t="n"/>
      <c r="CD85" s="116" t="n"/>
      <c r="CE85" s="115" t="n"/>
      <c r="CF85" s="83" t="n"/>
      <c r="CG85" s="57" t="n"/>
      <c r="CH85" s="58" t="n">
        <v>0.7395833333333334</v>
      </c>
      <c r="CI85" s="58" t="n"/>
      <c r="CJ85" s="83" t="n"/>
      <c r="CK85" s="57" t="n">
        <v>0.5</v>
      </c>
      <c r="CL85" s="58" t="n"/>
      <c r="CM85" s="58" t="n"/>
      <c r="CN85" s="83" t="n"/>
      <c r="CO85" s="57" t="n"/>
      <c r="CP85" s="58" t="n"/>
      <c r="CQ85" s="58" t="n"/>
      <c r="CR85" s="83" t="n"/>
      <c r="CS85" s="57" t="n"/>
      <c r="CT85" s="58" t="n"/>
      <c r="CU85" s="58" t="n"/>
      <c r="CV85" s="83" t="n"/>
      <c r="CW85" s="57" t="n"/>
      <c r="CX85" s="58" t="n"/>
      <c r="CY85" s="58" t="n"/>
      <c r="CZ85" s="83" t="n"/>
      <c r="DA85" s="57" t="n"/>
      <c r="DB85" s="58" t="n"/>
      <c r="DC85" s="58" t="n"/>
      <c r="DD85" s="83" t="n"/>
      <c r="DE85" s="57" t="n"/>
      <c r="DF85" s="58" t="n">
        <v>0.7361111111111112</v>
      </c>
      <c r="DG85" s="60" t="n"/>
      <c r="DH85" s="83" t="n"/>
      <c r="DI85" s="41" t="n">
        <v>0.5</v>
      </c>
      <c r="DJ85" s="116" t="n"/>
      <c r="DK85" s="116" t="n"/>
      <c r="DL85" s="83" t="n"/>
      <c r="DM85" s="41" t="n"/>
      <c r="DN85" s="58" t="n"/>
      <c r="DO85" s="58" t="n"/>
      <c r="DP85" s="83" t="n"/>
      <c r="DQ85" s="57" t="n"/>
      <c r="DR85" s="61" t="n"/>
      <c r="DS85" s="62" t="n"/>
      <c r="DT85" s="83" t="n"/>
      <c r="DU85" s="41" t="n"/>
      <c r="DV85" s="61">
        <f>SUM(H85,L85,P85,T85,X85,AB85,AF85,AJ85,AN85,AR85,AV85,AZ85,BD85,BH85,BL85,BP85,BT85,BX85,CB85,CF85,CJ85,CN85,CR85,CV85,CZ85,DD85,DH85,DL85,DP85,DT85)</f>
        <v/>
      </c>
      <c r="DW85" s="62">
        <f>SUM(I85,M85,Q85,U85,Y85,AC85,AG85,AK85,AO85,AS85,AW85,BA85,BE85,BI85,BM85,BQ85,BU85,BY85,CC85,CG85,CK85,CO85,CS85,CW85,DA85,DE85,DI85,DM85,DQ85,DU85)</f>
        <v/>
      </c>
      <c r="DX85" s="83" t="n"/>
      <c r="DY85" s="41" t="n"/>
      <c r="DZ85" s="84" t="n"/>
      <c r="EA85" s="84" t="n"/>
      <c r="EB85" s="84" t="n"/>
      <c r="EC85" s="84" t="n"/>
      <c r="ED85" s="84" t="n"/>
      <c r="EE85" s="84" t="n"/>
      <c r="EF85" s="84" t="n"/>
      <c r="EG85" s="84" t="n"/>
      <c r="EH85" s="84" t="n"/>
      <c r="EI85" s="84" t="n"/>
      <c r="EJ85" s="84" t="n"/>
      <c r="EK85" s="84" t="n"/>
      <c r="EL85" s="84" t="n"/>
      <c r="EM85" s="84" t="n"/>
      <c r="EN85" s="84" t="n"/>
      <c r="EO85" s="84" t="n"/>
      <c r="EP85" s="84" t="n"/>
      <c r="EQ85" s="84" t="n"/>
      <c r="ER85" s="84" t="n"/>
      <c r="ES85" s="84" t="n"/>
      <c r="ET85" s="84" t="n"/>
      <c r="EU85" s="84" t="n"/>
      <c r="EV85" s="84" t="n"/>
      <c r="EW85" s="84" t="n"/>
      <c r="EX85" s="84" t="n"/>
      <c r="EY85" s="84" t="n"/>
      <c r="EZ85" s="84" t="n"/>
      <c r="FA85" s="84" t="n"/>
      <c r="FB85" s="84" t="n"/>
      <c r="FC85" s="84" t="n"/>
      <c r="FD85" s="84" t="n"/>
      <c r="FE85" s="84" t="n"/>
    </row>
    <row r="86" ht="59" customFormat="1" customHeight="1" s="52">
      <c r="A86" s="55" t="inlineStr">
        <is>
          <t>五楼</t>
        </is>
      </c>
      <c r="B86" s="56" t="inlineStr">
        <is>
          <t>章新灯</t>
        </is>
      </c>
      <c r="C86" s="41" t="inlineStr">
        <is>
          <t>82</t>
        </is>
      </c>
      <c r="D86" s="41" t="n"/>
      <c r="E86" s="57" t="n"/>
      <c r="F86" s="115" t="n">
        <v>0.3430555555555556</v>
      </c>
      <c r="G86" s="58" t="n">
        <v>0.8305555555555556</v>
      </c>
      <c r="H86" s="83">
        <f>MOD(G86-F86,1)*24</f>
        <v/>
      </c>
      <c r="I86" s="57" t="n">
        <v>1</v>
      </c>
      <c r="J86" s="58" t="n">
        <v>0.3430555555555556</v>
      </c>
      <c r="K86" s="58" t="n">
        <v>0.7409722222222223</v>
      </c>
      <c r="L86" s="83">
        <f>MOD(K86-J86,1)*24</f>
        <v/>
      </c>
      <c r="M86" s="57" t="n">
        <v>1</v>
      </c>
      <c r="N86" s="58" t="n">
        <v>0.34375</v>
      </c>
      <c r="O86" s="58" t="n">
        <v>0.8333333333333334</v>
      </c>
      <c r="P86" s="83">
        <f>MOD(O86-N86,1)*24</f>
        <v/>
      </c>
      <c r="Q86" s="57" t="n">
        <v>1</v>
      </c>
      <c r="R86" s="58" t="n">
        <v>0.3402777777777778</v>
      </c>
      <c r="S86" s="58" t="n">
        <v>0.8041666666666667</v>
      </c>
      <c r="T86" s="83">
        <f>MOD(S86-R86,1)*24</f>
        <v/>
      </c>
      <c r="U86" s="57" t="n">
        <v>1</v>
      </c>
      <c r="V86" s="58" t="n"/>
      <c r="W86" s="58" t="n"/>
      <c r="X86" s="83" t="n"/>
      <c r="Y86" s="57" t="n"/>
      <c r="Z86" s="58" t="n">
        <v>0.3375</v>
      </c>
      <c r="AA86" s="60" t="n">
        <v>0.8152777777777778</v>
      </c>
      <c r="AB86" s="83">
        <f>MOD(AA86-Z86,1)*24</f>
        <v/>
      </c>
      <c r="AC86" s="41" t="n">
        <v>1</v>
      </c>
      <c r="AD86" s="116" t="n">
        <v>0.3368055555555556</v>
      </c>
      <c r="AE86" s="117" t="n">
        <v>0.8145833333333333</v>
      </c>
      <c r="AF86" s="83">
        <f>MOD(AE86-AD86,1)*24</f>
        <v/>
      </c>
      <c r="AG86" s="57" t="n">
        <v>1</v>
      </c>
      <c r="AH86" s="58" t="n">
        <v>0.3388888888888889</v>
      </c>
      <c r="AI86" s="58" t="n">
        <v>0.8319444444444445</v>
      </c>
      <c r="AJ86" s="83">
        <f>MOD(AI86-AH86,1)*24</f>
        <v/>
      </c>
      <c r="AK86" s="57" t="n">
        <v>1</v>
      </c>
      <c r="AL86" s="58" t="n">
        <v>0.3395833333333333</v>
      </c>
      <c r="AM86" s="58" t="n">
        <v>0.8243055555555555</v>
      </c>
      <c r="AN86" s="83">
        <f>MOD(AM86-AL86,1)*24</f>
        <v/>
      </c>
      <c r="AO86" s="57" t="n">
        <v>1</v>
      </c>
      <c r="AP86" s="58" t="n">
        <v>0.3409722222222222</v>
      </c>
      <c r="AQ86" s="58" t="n">
        <v>0.8472222222222222</v>
      </c>
      <c r="AR86" s="83">
        <f>MOD(AQ86-AP86,1)*24</f>
        <v/>
      </c>
      <c r="AS86" s="57" t="n">
        <v>1</v>
      </c>
      <c r="AT86" s="58" t="n">
        <v>0.3388888888888889</v>
      </c>
      <c r="AU86" s="58" t="n">
        <v>0.8472222222222222</v>
      </c>
      <c r="AV86" s="83">
        <f>MOD(AU86-AT86,1)*24</f>
        <v/>
      </c>
      <c r="AW86" s="57" t="n">
        <v>1</v>
      </c>
      <c r="AX86" s="58" t="n">
        <v>0.3381944444444445</v>
      </c>
      <c r="AY86" s="58" t="n">
        <v>0.7381944444444445</v>
      </c>
      <c r="AZ86" s="83">
        <f>MOD(AY86-AX86,1)*24</f>
        <v/>
      </c>
      <c r="BA86" s="57" t="n">
        <v>1</v>
      </c>
      <c r="BB86" s="58" t="n">
        <v>0.3368055555555556</v>
      </c>
      <c r="BC86" s="60" t="n">
        <v>0.81875</v>
      </c>
      <c r="BD86" s="83">
        <f>MOD(BC86-BB86,1)*24</f>
        <v/>
      </c>
      <c r="BE86" s="41" t="n">
        <v>1</v>
      </c>
      <c r="BF86" s="116" t="n">
        <v>0.3375</v>
      </c>
      <c r="BG86" s="115" t="n">
        <v>0.3444444444444444</v>
      </c>
      <c r="BH86" s="83">
        <f>MOD(BG86-BF86,1)*24</f>
        <v/>
      </c>
      <c r="BI86" s="57" t="n">
        <v>0.5</v>
      </c>
      <c r="BJ86" s="58" t="n">
        <v>0.3395833333333333</v>
      </c>
      <c r="BK86" s="58" t="n">
        <v>0.7402777777777778</v>
      </c>
      <c r="BL86" s="83">
        <f>MOD(BK86-BJ86,1)*24</f>
        <v/>
      </c>
      <c r="BM86" s="57" t="n">
        <v>1</v>
      </c>
      <c r="BN86" s="58" t="n">
        <v>0.3388888888888889</v>
      </c>
      <c r="BO86" s="58" t="n">
        <v>0.8097222222222222</v>
      </c>
      <c r="BP86" s="83">
        <f>MOD(BO86-BN86,1)*24</f>
        <v/>
      </c>
      <c r="BQ86" s="57" t="n">
        <v>1</v>
      </c>
      <c r="BR86" s="58" t="n">
        <v>0.3416666666666667</v>
      </c>
      <c r="BS86" s="58" t="n">
        <v>0.8020833333333334</v>
      </c>
      <c r="BT86" s="83">
        <f>MOD(BS86-BR86,1)*24</f>
        <v/>
      </c>
      <c r="BU86" s="57" t="n">
        <v>1</v>
      </c>
      <c r="BV86" s="58" t="n">
        <v>0.3395833333333333</v>
      </c>
      <c r="BW86" s="60" t="n">
        <v>0.8131944444444444</v>
      </c>
      <c r="BX86" s="83">
        <f>MOD(BW86-BV86,1)*24</f>
        <v/>
      </c>
      <c r="BY86" s="41" t="n">
        <v>1</v>
      </c>
      <c r="BZ86" s="116" t="n">
        <v>0.3409722222222222</v>
      </c>
      <c r="CA86" s="116" t="n">
        <v>0.7368055555555556</v>
      </c>
      <c r="CB86" s="83">
        <f>MOD(CA86-BZ86,1)*24</f>
        <v/>
      </c>
      <c r="CC86" s="41" t="n">
        <v>1</v>
      </c>
      <c r="CD86" s="116" t="n">
        <v>0.3368055555555556</v>
      </c>
      <c r="CE86" s="115" t="n">
        <v>0.825</v>
      </c>
      <c r="CF86" s="83">
        <f>MOD(CE86-CD86,1)*24</f>
        <v/>
      </c>
      <c r="CG86" s="57" t="n">
        <v>1</v>
      </c>
      <c r="CH86" s="58" t="n">
        <v>0.3423611111111111</v>
      </c>
      <c r="CI86" s="58" t="n">
        <v>0.8347222222222223</v>
      </c>
      <c r="CJ86" s="83">
        <f>MOD(CI86-CH86,1)*24</f>
        <v/>
      </c>
      <c r="CK86" s="57" t="n">
        <v>1</v>
      </c>
      <c r="CL86" s="58" t="n">
        <v>0.34375</v>
      </c>
      <c r="CM86" s="58" t="n">
        <v>0.83125</v>
      </c>
      <c r="CN86" s="83">
        <f>MOD(CM86-CL86,1)*24</f>
        <v/>
      </c>
      <c r="CO86" s="57" t="n">
        <v>1</v>
      </c>
      <c r="CP86" s="58" t="n">
        <v>0.3416666666666667</v>
      </c>
      <c r="CQ86" s="58" t="n">
        <v>0.8395833333333333</v>
      </c>
      <c r="CR86" s="83">
        <f>MOD(CQ86-CP86,1)*24</f>
        <v/>
      </c>
      <c r="CS86" s="57" t="n">
        <v>1</v>
      </c>
      <c r="CT86" s="58" t="n">
        <v>0.3430555555555556</v>
      </c>
      <c r="CU86" s="58" t="n">
        <v>0.8194444444444444</v>
      </c>
      <c r="CV86" s="83">
        <f>MOD(CU86-CT86,1)*24</f>
        <v/>
      </c>
      <c r="CW86" s="57" t="n">
        <v>1</v>
      </c>
      <c r="CX86" s="58" t="n">
        <v>0.3416666666666667</v>
      </c>
      <c r="CY86" s="58" t="n">
        <v>0.8229166666666666</v>
      </c>
      <c r="CZ86" s="83">
        <f>MOD(CY86-CX86,1)*24</f>
        <v/>
      </c>
      <c r="DA86" s="57" t="n">
        <v>1</v>
      </c>
      <c r="DB86" s="58" t="n"/>
      <c r="DC86" s="58" t="n"/>
      <c r="DD86" s="83" t="n"/>
      <c r="DE86" s="57" t="n"/>
      <c r="DF86" s="58" t="n">
        <v>0.3402777777777778</v>
      </c>
      <c r="DG86" s="60" t="n">
        <v>0.8347222222222223</v>
      </c>
      <c r="DH86" s="83">
        <f>MOD(DG86-DF86,1)*24</f>
        <v/>
      </c>
      <c r="DI86" s="41" t="n">
        <v>1</v>
      </c>
      <c r="DJ86" s="116" t="n">
        <v>0.3361111111111111</v>
      </c>
      <c r="DK86" s="116" t="n">
        <v>0.7368055555555556</v>
      </c>
      <c r="DL86" s="83">
        <f>MOD(DK86-DJ86,1)*24</f>
        <v/>
      </c>
      <c r="DM86" s="41" t="n">
        <v>1</v>
      </c>
      <c r="DN86" s="58" t="n"/>
      <c r="DO86" s="58" t="n"/>
      <c r="DP86" s="83" t="n"/>
      <c r="DQ86" s="57" t="n"/>
      <c r="DR86" s="61" t="n"/>
      <c r="DS86" s="62" t="n"/>
      <c r="DT86" s="83" t="n"/>
      <c r="DU86" s="41" t="n"/>
      <c r="DV86" s="61">
        <f>SUM(H86,L86,P86,T86,X86,AB86,AF86,AJ86,AN86,AR86,AV86,AZ86,BD86,BH86,BL86,BP86,BT86,BX86,CB86,CF86,CJ86,CN86,CR86,CV86,CZ86,DD86,DH86,DL86,DP86,DT86)</f>
        <v/>
      </c>
      <c r="DW86" s="62">
        <f>SUM(I86,M86,Q86,U86,Y86,AC86,AG86,AK86,AO86,AS86,AW86,BA86,BE86,BI86,BM86,BQ86,BU86,BY86,CC86,CG86,CK86,CO86,CS86,CW86,DA86,DE86,DI86,DM86,DQ86,DU86)</f>
        <v/>
      </c>
      <c r="DX86" s="83" t="n"/>
      <c r="DY86" s="41" t="n"/>
      <c r="DZ86" s="84" t="n"/>
      <c r="EA86" s="84" t="n"/>
      <c r="EB86" s="84" t="n"/>
      <c r="EC86" s="84" t="n"/>
      <c r="ED86" s="84" t="n"/>
      <c r="EE86" s="84" t="n"/>
      <c r="EF86" s="84" t="n"/>
      <c r="EG86" s="84" t="n"/>
      <c r="EH86" s="84" t="n"/>
      <c r="EI86" s="84" t="n"/>
      <c r="EJ86" s="84" t="n"/>
      <c r="EK86" s="84" t="n"/>
      <c r="EL86" s="84" t="n"/>
      <c r="EM86" s="84" t="n"/>
      <c r="EN86" s="84" t="n"/>
      <c r="EO86" s="84" t="n"/>
      <c r="EP86" s="84" t="n"/>
      <c r="EQ86" s="84" t="n"/>
      <c r="ER86" s="84" t="n"/>
      <c r="ES86" s="84" t="n"/>
      <c r="ET86" s="84" t="n"/>
      <c r="EU86" s="84" t="n"/>
      <c r="EV86" s="84" t="n"/>
      <c r="EW86" s="84" t="n"/>
      <c r="EX86" s="84" t="n"/>
      <c r="EY86" s="84" t="n"/>
      <c r="EZ86" s="84" t="n"/>
      <c r="FA86" s="84" t="n"/>
      <c r="FB86" s="84" t="n"/>
      <c r="FC86" s="84" t="n"/>
      <c r="FD86" s="84" t="n"/>
      <c r="FE86" s="84" t="n"/>
    </row>
    <row r="87" ht="59" customFormat="1" customHeight="1" s="52">
      <c r="A87" s="55" t="inlineStr">
        <is>
          <t>五楼</t>
        </is>
      </c>
      <c r="B87" s="56" t="inlineStr">
        <is>
          <t>章新灯</t>
        </is>
      </c>
      <c r="C87" s="41" t="inlineStr">
        <is>
          <t>82</t>
        </is>
      </c>
      <c r="D87" s="41" t="n"/>
      <c r="E87" s="57" t="n"/>
      <c r="F87" s="115" t="n"/>
      <c r="G87" s="58" t="n"/>
      <c r="H87" s="83" t="n"/>
      <c r="I87" s="57" t="n"/>
      <c r="J87" s="58" t="n"/>
      <c r="K87" s="58" t="n"/>
      <c r="L87" s="83" t="n"/>
      <c r="M87" s="57" t="n"/>
      <c r="N87" s="58" t="n"/>
      <c r="O87" s="58" t="n"/>
      <c r="P87" s="83" t="n"/>
      <c r="Q87" s="57" t="n"/>
      <c r="R87" s="58" t="n"/>
      <c r="S87" s="58" t="n"/>
      <c r="T87" s="83" t="n"/>
      <c r="U87" s="57" t="n"/>
      <c r="V87" s="58" t="n"/>
      <c r="W87" s="58" t="n"/>
      <c r="X87" s="83" t="n"/>
      <c r="Y87" s="57" t="n"/>
      <c r="Z87" s="58" t="n"/>
      <c r="AA87" s="60" t="n"/>
      <c r="AB87" s="83" t="n"/>
      <c r="AC87" s="41" t="n"/>
      <c r="AD87" s="116" t="n"/>
      <c r="AE87" s="117" t="n"/>
      <c r="AF87" s="83" t="n"/>
      <c r="AG87" s="57" t="n"/>
      <c r="AH87" s="58" t="n"/>
      <c r="AI87" s="58" t="n"/>
      <c r="AJ87" s="83" t="n"/>
      <c r="AK87" s="57" t="n"/>
      <c r="AL87" s="58" t="n"/>
      <c r="AM87" s="58" t="n"/>
      <c r="AN87" s="83" t="n"/>
      <c r="AO87" s="57" t="n"/>
      <c r="AP87" s="58" t="n"/>
      <c r="AQ87" s="58" t="n"/>
      <c r="AR87" s="83" t="n"/>
      <c r="AS87" s="57" t="n"/>
      <c r="AT87" s="58" t="n"/>
      <c r="AU87" s="58" t="n"/>
      <c r="AV87" s="83" t="n"/>
      <c r="AW87" s="57" t="n"/>
      <c r="AX87" s="58" t="n"/>
      <c r="AY87" s="58" t="n"/>
      <c r="AZ87" s="83" t="n"/>
      <c r="BA87" s="57" t="n"/>
      <c r="BB87" s="58" t="n"/>
      <c r="BC87" s="60" t="n"/>
      <c r="BD87" s="83" t="n"/>
      <c r="BE87" s="41" t="n"/>
      <c r="BF87" s="116" t="n">
        <v>0.8305555555555556</v>
      </c>
      <c r="BG87" s="115" t="n"/>
      <c r="BH87" s="83" t="n"/>
      <c r="BI87" s="57" t="n">
        <v>0.5</v>
      </c>
      <c r="BJ87" s="58" t="n"/>
      <c r="BK87" s="58" t="n"/>
      <c r="BL87" s="83" t="n"/>
      <c r="BM87" s="57" t="n"/>
      <c r="BN87" s="58" t="n"/>
      <c r="BO87" s="58" t="n"/>
      <c r="BP87" s="83" t="n"/>
      <c r="BQ87" s="57" t="n"/>
      <c r="BR87" s="58" t="n"/>
      <c r="BS87" s="58" t="n"/>
      <c r="BT87" s="83" t="n"/>
      <c r="BU87" s="57" t="n"/>
      <c r="BV87" s="58" t="n"/>
      <c r="BW87" s="60" t="n"/>
      <c r="BX87" s="83" t="n"/>
      <c r="BY87" s="41" t="n"/>
      <c r="BZ87" s="41" t="n"/>
      <c r="CA87" s="41" t="n"/>
      <c r="CB87" s="83" t="n"/>
      <c r="CC87" s="41" t="n"/>
      <c r="CD87" s="116" t="n"/>
      <c r="CE87" s="115" t="n"/>
      <c r="CF87" s="83" t="n"/>
      <c r="CG87" s="57" t="n"/>
      <c r="CH87" s="58" t="n"/>
      <c r="CI87" s="58" t="n"/>
      <c r="CJ87" s="83" t="n"/>
      <c r="CK87" s="57" t="n"/>
      <c r="CL87" s="58" t="n"/>
      <c r="CM87" s="58" t="n"/>
      <c r="CN87" s="83" t="n"/>
      <c r="CO87" s="57" t="n"/>
      <c r="CP87" s="58" t="n"/>
      <c r="CQ87" s="58" t="n"/>
      <c r="CR87" s="83" t="n"/>
      <c r="CS87" s="57" t="n"/>
      <c r="CT87" s="58" t="n"/>
      <c r="CU87" s="58" t="n"/>
      <c r="CV87" s="83" t="n"/>
      <c r="CW87" s="57" t="n"/>
      <c r="CX87" s="58" t="n"/>
      <c r="CY87" s="58" t="n"/>
      <c r="CZ87" s="83" t="n"/>
      <c r="DA87" s="57" t="n"/>
      <c r="DB87" s="58" t="n"/>
      <c r="DC87" s="58" t="n"/>
      <c r="DD87" s="83" t="n"/>
      <c r="DE87" s="57" t="n"/>
      <c r="DF87" s="58" t="n"/>
      <c r="DG87" s="60" t="n"/>
      <c r="DH87" s="83" t="n"/>
      <c r="DI87" s="41" t="n"/>
      <c r="DJ87" s="116" t="n"/>
      <c r="DK87" s="116" t="n"/>
      <c r="DL87" s="83" t="n"/>
      <c r="DM87" s="41" t="n"/>
      <c r="DN87" s="58" t="n"/>
      <c r="DO87" s="58" t="n"/>
      <c r="DP87" s="83" t="n"/>
      <c r="DQ87" s="57" t="n"/>
      <c r="DR87" s="61" t="n"/>
      <c r="DS87" s="62" t="n"/>
      <c r="DT87" s="83" t="n"/>
      <c r="DU87" s="41" t="n"/>
      <c r="DV87" s="61">
        <f>SUM(H87,L87,P87,T87,X87,AB87,AF87,AJ87,AN87,AR87,AV87,AZ87,BD87,BH87,BL87,BP87,BT87,BX87,CB87,CF87,CJ87,CN87,CR87,CV87,CZ87,DD87,DH87,DL87,DP87,DT87)</f>
        <v/>
      </c>
      <c r="DW87" s="62">
        <f>SUM(I87,M87,Q87,U87,Y87,AC87,AG87,AK87,AO87,AS87,AW87,BA87,BE87,BI87,BM87,BQ87,BU87,BY87,CC87,CG87,CK87,CO87,CS87,CW87,DA87,DE87,DI87,DM87,DQ87,DU87)</f>
        <v/>
      </c>
      <c r="DX87" s="83" t="n"/>
      <c r="DY87" s="41" t="n"/>
      <c r="DZ87" s="84" t="n"/>
      <c r="EA87" s="84" t="n"/>
      <c r="EB87" s="84" t="n"/>
      <c r="EC87" s="84" t="n"/>
      <c r="ED87" s="84" t="n"/>
      <c r="EE87" s="84" t="n"/>
      <c r="EF87" s="84" t="n"/>
      <c r="EG87" s="84" t="n"/>
      <c r="EH87" s="84" t="n"/>
      <c r="EI87" s="84" t="n"/>
      <c r="EJ87" s="84" t="n"/>
      <c r="EK87" s="84" t="n"/>
      <c r="EL87" s="84" t="n"/>
      <c r="EM87" s="84" t="n"/>
      <c r="EN87" s="84" t="n"/>
      <c r="EO87" s="84" t="n"/>
      <c r="EP87" s="84" t="n"/>
      <c r="EQ87" s="84" t="n"/>
      <c r="ER87" s="84" t="n"/>
      <c r="ES87" s="84" t="n"/>
      <c r="ET87" s="84" t="n"/>
      <c r="EU87" s="84" t="n"/>
      <c r="EV87" s="84" t="n"/>
      <c r="EW87" s="84" t="n"/>
      <c r="EX87" s="84" t="n"/>
      <c r="EY87" s="84" t="n"/>
      <c r="EZ87" s="84" t="n"/>
      <c r="FA87" s="84" t="n"/>
      <c r="FB87" s="84" t="n"/>
      <c r="FC87" s="84" t="n"/>
      <c r="FD87" s="84" t="n"/>
      <c r="FE87" s="84" t="n"/>
    </row>
    <row r="88" ht="59" customFormat="1" customHeight="1" s="52">
      <c r="A88" s="55" t="inlineStr">
        <is>
          <t>五楼</t>
        </is>
      </c>
      <c r="B88" s="56" t="inlineStr">
        <is>
          <t>蒋进</t>
        </is>
      </c>
      <c r="C88" s="41" t="inlineStr">
        <is>
          <t>83</t>
        </is>
      </c>
      <c r="D88" s="41" t="n"/>
      <c r="E88" s="57" t="n"/>
      <c r="F88" s="115" t="n">
        <v>0.3368055555555556</v>
      </c>
      <c r="G88" s="58" t="n">
        <v>0.9590277777777778</v>
      </c>
      <c r="H88" s="83">
        <f>MOD(G88-F88,1)*24</f>
        <v/>
      </c>
      <c r="I88" s="57" t="n">
        <v>1</v>
      </c>
      <c r="J88" s="58" t="n">
        <v>0.7861111111111111</v>
      </c>
      <c r="K88" s="58" t="n">
        <v>0.9083333333333333</v>
      </c>
      <c r="L88" s="83">
        <f>MOD(K88-J88,1)*24</f>
        <v/>
      </c>
      <c r="M88" s="57" t="n">
        <v>0.5</v>
      </c>
      <c r="N88" s="58" t="n">
        <v>0.3534722222222222</v>
      </c>
      <c r="O88" s="58" t="n">
        <v>0.8263888888888888</v>
      </c>
      <c r="P88" s="83">
        <f>MOD(O88-N88,1)*24</f>
        <v/>
      </c>
      <c r="Q88" s="57" t="n">
        <v>1</v>
      </c>
      <c r="R88" s="58" t="n">
        <v>0.7430555555555556</v>
      </c>
      <c r="S88" s="58" t="n"/>
      <c r="T88" s="83" t="n"/>
      <c r="U88" s="57" t="n">
        <v>0.5</v>
      </c>
      <c r="V88" s="58" t="n"/>
      <c r="W88" s="58" t="n"/>
      <c r="X88" s="83" t="n"/>
      <c r="Y88" s="57" t="n"/>
      <c r="Z88" s="58" t="n"/>
      <c r="AA88" s="60" t="n"/>
      <c r="AB88" s="83" t="n"/>
      <c r="AC88" s="41" t="n"/>
      <c r="AD88" s="116" t="n"/>
      <c r="AE88" s="117" t="n"/>
      <c r="AF88" s="83" t="n"/>
      <c r="AG88" s="57" t="n"/>
      <c r="AH88" s="58" t="n"/>
      <c r="AI88" s="58" t="n"/>
      <c r="AJ88" s="83" t="n"/>
      <c r="AK88" s="57" t="n"/>
      <c r="AL88" s="58" t="n"/>
      <c r="AM88" s="58" t="n"/>
      <c r="AN88" s="83" t="n"/>
      <c r="AO88" s="57" t="n"/>
      <c r="AP88" s="58" t="n"/>
      <c r="AQ88" s="58" t="n"/>
      <c r="AR88" s="83" t="n"/>
      <c r="AS88" s="57" t="n"/>
      <c r="AT88" s="58" t="n"/>
      <c r="AU88" s="58" t="n"/>
      <c r="AV88" s="83" t="n"/>
      <c r="AW88" s="57" t="n"/>
      <c r="AX88" s="58" t="n"/>
      <c r="AY88" s="58" t="n"/>
      <c r="AZ88" s="83" t="n"/>
      <c r="BA88" s="57" t="n"/>
      <c r="BB88" s="58" t="n"/>
      <c r="BC88" s="60" t="n"/>
      <c r="BD88" s="83" t="n"/>
      <c r="BE88" s="41" t="n"/>
      <c r="BF88" s="116" t="n"/>
      <c r="BG88" s="115" t="n"/>
      <c r="BH88" s="83" t="n"/>
      <c r="BI88" s="57" t="n"/>
      <c r="BJ88" s="58" t="n"/>
      <c r="BK88" s="58" t="n"/>
      <c r="BL88" s="83" t="n"/>
      <c r="BM88" s="57" t="n"/>
      <c r="BN88" s="58" t="n"/>
      <c r="BO88" s="58" t="n"/>
      <c r="BP88" s="83" t="n"/>
      <c r="BQ88" s="57" t="n"/>
      <c r="BR88" s="58" t="n"/>
      <c r="BS88" s="58" t="n"/>
      <c r="BT88" s="83" t="n"/>
      <c r="BU88" s="57" t="n"/>
      <c r="BV88" s="58" t="n"/>
      <c r="BW88" s="60" t="n"/>
      <c r="BX88" s="83" t="n"/>
      <c r="BY88" s="41" t="n"/>
      <c r="BZ88" s="41" t="n"/>
      <c r="CA88" s="41" t="n"/>
      <c r="CB88" s="83" t="n"/>
      <c r="CC88" s="41" t="n"/>
      <c r="CD88" s="116" t="n"/>
      <c r="CE88" s="115" t="n"/>
      <c r="CF88" s="83" t="n"/>
      <c r="CG88" s="57" t="n"/>
      <c r="CH88" s="58" t="n"/>
      <c r="CI88" s="58" t="n"/>
      <c r="CJ88" s="83" t="n"/>
      <c r="CK88" s="57" t="n"/>
      <c r="CL88" s="58" t="n"/>
      <c r="CM88" s="58" t="n"/>
      <c r="CN88" s="83" t="n"/>
      <c r="CO88" s="57" t="n"/>
      <c r="CP88" s="58" t="n"/>
      <c r="CQ88" s="58" t="n"/>
      <c r="CR88" s="83" t="n"/>
      <c r="CS88" s="57" t="n"/>
      <c r="CT88" s="58" t="n"/>
      <c r="CU88" s="58" t="n"/>
      <c r="CV88" s="83" t="n"/>
      <c r="CW88" s="57" t="n"/>
      <c r="CX88" s="58" t="n"/>
      <c r="CY88" s="58" t="n"/>
      <c r="CZ88" s="83" t="n"/>
      <c r="DA88" s="57" t="n"/>
      <c r="DB88" s="58" t="n"/>
      <c r="DC88" s="58" t="n"/>
      <c r="DD88" s="83" t="n"/>
      <c r="DE88" s="57" t="n"/>
      <c r="DF88" s="58" t="n"/>
      <c r="DG88" s="60" t="n"/>
      <c r="DH88" s="83" t="n"/>
      <c r="DI88" s="41" t="n"/>
      <c r="DJ88" s="116" t="n"/>
      <c r="DK88" s="116" t="n"/>
      <c r="DL88" s="83" t="n"/>
      <c r="DM88" s="41" t="n"/>
      <c r="DN88" s="58" t="n"/>
      <c r="DO88" s="58" t="n"/>
      <c r="DP88" s="83" t="n"/>
      <c r="DQ88" s="57" t="n"/>
      <c r="DR88" s="61" t="n"/>
      <c r="DS88" s="62" t="n"/>
      <c r="DT88" s="83" t="n"/>
      <c r="DU88" s="41" t="n"/>
      <c r="DV88" s="61">
        <f>SUM(H88,L88,P88,T88,X88,AB88,AF88,AJ88,AN88,AR88,AV88,AZ88,BD88,BH88,BL88,BP88,BT88,BX88,CB88,CF88,CJ88,CN88,CR88,CV88,CZ88,DD88,DH88,DL88,DP88,DT88)</f>
        <v/>
      </c>
      <c r="DW88" s="62">
        <f>SUM(I88,M88,Q88,U88,Y88,AC88,AG88,AK88,AO88,AS88,AW88,BA88,BE88,BI88,BM88,BQ88,BU88,BY88,CC88,CG88,CK88,CO88,CS88,CW88,DA88,DE88,DI88,DM88,DQ88,DU88)</f>
        <v/>
      </c>
      <c r="DX88" s="83" t="n"/>
      <c r="DY88" s="41" t="n"/>
      <c r="DZ88" s="84" t="n"/>
      <c r="EA88" s="84" t="n"/>
      <c r="EB88" s="84" t="n"/>
      <c r="EC88" s="84" t="inlineStr">
        <is>
          <t>迟到</t>
        </is>
      </c>
      <c r="ED88" s="84" t="n"/>
      <c r="EE88" s="84" t="inlineStr">
        <is>
          <t>只打一次卡</t>
        </is>
      </c>
      <c r="EF88" s="84" t="n"/>
      <c r="EG88" s="84" t="n"/>
      <c r="EH88" s="84" t="n"/>
      <c r="EI88" s="84" t="n"/>
      <c r="EJ88" s="84" t="n"/>
      <c r="EK88" s="84" t="n"/>
      <c r="EL88" s="84" t="n"/>
      <c r="EM88" s="84" t="n"/>
      <c r="EN88" s="84" t="n"/>
      <c r="EO88" s="84" t="n"/>
      <c r="EP88" s="84" t="n"/>
      <c r="EQ88" s="84" t="n"/>
      <c r="ER88" s="84" t="n"/>
      <c r="ES88" s="84" t="n"/>
      <c r="ET88" s="84" t="n"/>
      <c r="EU88" s="84" t="n"/>
      <c r="EV88" s="84" t="n"/>
      <c r="EW88" s="84" t="n"/>
      <c r="EX88" s="84" t="n"/>
      <c r="EY88" s="84" t="n"/>
      <c r="EZ88" s="84" t="n"/>
      <c r="FA88" s="84" t="n"/>
      <c r="FB88" s="84" t="n"/>
      <c r="FC88" s="84" t="n"/>
      <c r="FD88" s="84" t="n"/>
      <c r="FE88" s="84" t="n"/>
    </row>
    <row r="89" ht="59" customFormat="1" customHeight="1" s="52">
      <c r="A89" s="55" t="inlineStr">
        <is>
          <t>五楼</t>
        </is>
      </c>
      <c r="B89" s="56" t="inlineStr">
        <is>
          <t>毛玉玲</t>
        </is>
      </c>
      <c r="C89" s="41" t="inlineStr">
        <is>
          <t>85</t>
        </is>
      </c>
      <c r="D89" s="41" t="n"/>
      <c r="E89" s="57" t="n"/>
      <c r="F89" s="115" t="n">
        <v>0.3534722222222222</v>
      </c>
      <c r="G89" s="58" t="n">
        <v>0.7465277777777778</v>
      </c>
      <c r="H89" s="83">
        <f>MOD(G89-F89,1)*24</f>
        <v/>
      </c>
      <c r="I89" s="57" t="n">
        <v>1</v>
      </c>
      <c r="J89" s="58" t="n">
        <v>0.3125</v>
      </c>
      <c r="K89" s="58" t="n">
        <v>0.9027777777777778</v>
      </c>
      <c r="L89" s="83">
        <f>MOD(K89-J89,1)*24</f>
        <v/>
      </c>
      <c r="M89" s="57" t="n">
        <v>1</v>
      </c>
      <c r="N89" s="58" t="n">
        <v>0.3486111111111111</v>
      </c>
      <c r="O89" s="58" t="n">
        <v>0.7416666666666667</v>
      </c>
      <c r="P89" s="83">
        <f>MOD(O89-N89,1)*24</f>
        <v/>
      </c>
      <c r="Q89" s="57" t="n">
        <v>1</v>
      </c>
      <c r="R89" s="58" t="n"/>
      <c r="S89" s="58" t="n"/>
      <c r="T89" s="83" t="n"/>
      <c r="U89" s="57" t="n"/>
      <c r="V89" s="58" t="n"/>
      <c r="W89" s="58" t="n"/>
      <c r="X89" s="83" t="n"/>
      <c r="Y89" s="57" t="n"/>
      <c r="Z89" s="58" t="n">
        <v>0.3465277777777778</v>
      </c>
      <c r="AA89" s="60" t="n">
        <v>0.7395833333333334</v>
      </c>
      <c r="AB89" s="83">
        <f>MOD(AA89-Z89,1)*24</f>
        <v/>
      </c>
      <c r="AC89" s="41" t="n">
        <v>1</v>
      </c>
      <c r="AD89" s="116" t="n">
        <v>0.3541666666666667</v>
      </c>
      <c r="AE89" s="117" t="n">
        <v>0.7833333333333333</v>
      </c>
      <c r="AF89" s="83">
        <f>MOD(AE89-AD89,1)*24</f>
        <v/>
      </c>
      <c r="AG89" s="57" t="n">
        <v>1</v>
      </c>
      <c r="AH89" s="58" t="n">
        <v>0.3513888888888889</v>
      </c>
      <c r="AI89" s="58" t="n">
        <v>0.7430555555555556</v>
      </c>
      <c r="AJ89" s="83">
        <f>MOD(AI89-AH89,1)*24</f>
        <v/>
      </c>
      <c r="AK89" s="57" t="n">
        <v>1</v>
      </c>
      <c r="AL89" s="58" t="n">
        <v>0.35</v>
      </c>
      <c r="AM89" s="58" t="n">
        <v>0.7590277777777777</v>
      </c>
      <c r="AN89" s="83">
        <f>MOD(AM89-AL89,1)*24</f>
        <v/>
      </c>
      <c r="AO89" s="57" t="n">
        <v>1</v>
      </c>
      <c r="AP89" s="58" t="n">
        <v>0.3506944444444444</v>
      </c>
      <c r="AQ89" s="58" t="n">
        <v>0.8</v>
      </c>
      <c r="AR89" s="83">
        <f>MOD(AQ89-AP89,1)*24</f>
        <v/>
      </c>
      <c r="AS89" s="57" t="n">
        <v>1</v>
      </c>
      <c r="AT89" s="58" t="n">
        <v>0.3527777777777778</v>
      </c>
      <c r="AU89" s="58" t="n">
        <v>0.74375</v>
      </c>
      <c r="AV89" s="83">
        <f>MOD(AU89-AT89,1)*24</f>
        <v/>
      </c>
      <c r="AW89" s="57" t="n">
        <v>1</v>
      </c>
      <c r="AX89" s="58" t="n"/>
      <c r="AY89" s="58" t="n"/>
      <c r="AZ89" s="83" t="n"/>
      <c r="BA89" s="57" t="n"/>
      <c r="BB89" s="58" t="n">
        <v>0.3534722222222222</v>
      </c>
      <c r="BC89" s="60" t="n">
        <v>0.7465277777777778</v>
      </c>
      <c r="BD89" s="83">
        <f>MOD(BC89-BB89,1)*24</f>
        <v/>
      </c>
      <c r="BE89" s="41" t="n">
        <v>1</v>
      </c>
      <c r="BF89" s="116" t="n">
        <v>0.3506944444444444</v>
      </c>
      <c r="BG89" s="115" t="n">
        <v>0.83125</v>
      </c>
      <c r="BH89" s="83">
        <f>MOD(BG89-BF89,1)*24</f>
        <v/>
      </c>
      <c r="BI89" s="57" t="n">
        <v>1</v>
      </c>
      <c r="BJ89" s="58" t="n">
        <v>0.3527777777777778</v>
      </c>
      <c r="BK89" s="58" t="n">
        <v>0.7409722222222223</v>
      </c>
      <c r="BL89" s="83">
        <f>MOD(BK89-BJ89,1)*24</f>
        <v/>
      </c>
      <c r="BM89" s="57" t="n">
        <v>1</v>
      </c>
      <c r="BN89" s="58" t="n">
        <v>0.3520833333333334</v>
      </c>
      <c r="BO89" s="58" t="n">
        <v>0.7388888888888889</v>
      </c>
      <c r="BP89" s="83">
        <f>MOD(BO89-BN89,1)*24</f>
        <v/>
      </c>
      <c r="BQ89" s="57" t="n">
        <v>1</v>
      </c>
      <c r="BR89" s="58" t="n">
        <v>0.3506944444444444</v>
      </c>
      <c r="BS89" s="58" t="n">
        <v>0.7423611111111111</v>
      </c>
      <c r="BT89" s="83">
        <f>MOD(BS89-BR89,1)*24</f>
        <v/>
      </c>
      <c r="BU89" s="57" t="n">
        <v>1</v>
      </c>
      <c r="BV89" s="58" t="n">
        <v>0.3534722222222222</v>
      </c>
      <c r="BW89" s="60" t="n">
        <v>0.7951388888888888</v>
      </c>
      <c r="BX89" s="83">
        <f>MOD(BW89-BV89,1)*24</f>
        <v/>
      </c>
      <c r="BY89" s="41" t="n">
        <v>1</v>
      </c>
      <c r="BZ89" s="41" t="n"/>
      <c r="CA89" s="41" t="n"/>
      <c r="CB89" s="83" t="n"/>
      <c r="CC89" s="41" t="n"/>
      <c r="CD89" s="116" t="n">
        <v>0.3513888888888889</v>
      </c>
      <c r="CE89" s="115" t="n"/>
      <c r="CF89" s="83" t="n"/>
      <c r="CG89" s="57" t="n">
        <v>0.5</v>
      </c>
      <c r="CH89" s="58" t="n">
        <v>0.3541666666666667</v>
      </c>
      <c r="CI89" s="58" t="n">
        <v>0.75</v>
      </c>
      <c r="CJ89" s="83">
        <f>MOD(CI89-CH89,1)*24</f>
        <v/>
      </c>
      <c r="CK89" s="57" t="n">
        <v>1</v>
      </c>
      <c r="CL89" s="58" t="n">
        <v>0.7541666666666667</v>
      </c>
      <c r="CM89" s="58" t="n"/>
      <c r="CN89" s="83" t="n"/>
      <c r="CO89" s="57" t="n">
        <v>0.5</v>
      </c>
      <c r="CP89" s="58" t="n">
        <v>0.3527777777777778</v>
      </c>
      <c r="CQ89" s="58" t="n">
        <v>0.7423611111111111</v>
      </c>
      <c r="CR89" s="83">
        <f>MOD(CQ89-CP89,1)*24</f>
        <v/>
      </c>
      <c r="CS89" s="57" t="n">
        <v>1</v>
      </c>
      <c r="CT89" s="58" t="n">
        <v>0.3534722222222222</v>
      </c>
      <c r="CU89" s="58" t="n">
        <v>0.7444444444444445</v>
      </c>
      <c r="CV89" s="83">
        <f>MOD(CU89-CT89,1)*24</f>
        <v/>
      </c>
      <c r="CW89" s="57" t="n">
        <v>1</v>
      </c>
      <c r="CX89" s="58" t="n">
        <v>0.3527777777777778</v>
      </c>
      <c r="CY89" s="58" t="n">
        <v>0.7527777777777778</v>
      </c>
      <c r="CZ89" s="83">
        <f>MOD(CY89-CX89,1)*24</f>
        <v/>
      </c>
      <c r="DA89" s="57" t="n">
        <v>1</v>
      </c>
      <c r="DB89" s="58" t="n"/>
      <c r="DC89" s="58" t="n"/>
      <c r="DD89" s="83" t="n"/>
      <c r="DE89" s="57" t="n"/>
      <c r="DF89" s="58" t="n">
        <v>0.3513888888888889</v>
      </c>
      <c r="DG89" s="60" t="n"/>
      <c r="DH89" s="83" t="n"/>
      <c r="DI89" s="41" t="n">
        <v>0.5</v>
      </c>
      <c r="DJ89" s="116" t="n">
        <v>0.35</v>
      </c>
      <c r="DK89" s="116" t="n">
        <v>0.7388888888888889</v>
      </c>
      <c r="DL89" s="83">
        <f>MOD(DK89-DJ89,1)*24</f>
        <v/>
      </c>
      <c r="DM89" s="41" t="n">
        <v>1</v>
      </c>
      <c r="DN89" s="58" t="n">
        <v>0.3513888888888889</v>
      </c>
      <c r="DO89" s="58" t="n">
        <v>0.7388888888888889</v>
      </c>
      <c r="DP89" s="83">
        <f>MOD(DO89-DN89,1)*24</f>
        <v/>
      </c>
      <c r="DQ89" s="57" t="n">
        <v>1</v>
      </c>
      <c r="DR89" s="61" t="n">
        <v>0.3534722222222222</v>
      </c>
      <c r="DS89" s="62" t="n">
        <v>0.7395833333333334</v>
      </c>
      <c r="DT89" s="83">
        <f>MOD(DS89-DR89,1)*24</f>
        <v/>
      </c>
      <c r="DU89" s="41" t="n">
        <v>1</v>
      </c>
      <c r="DV89" s="61">
        <f>SUM(H89,L89,P89,T89,X89,AB89,AF89,AJ89,AN89,AR89,AV89,AZ89,BD89,BH89,BL89,BP89,BT89,BX89,CB89,CF89,CJ89,CN89,CR89,CV89,CZ89,DD89,DH89,DL89,DP89,DT89)</f>
        <v/>
      </c>
      <c r="DW89" s="62">
        <f>SUM(I89,M89,Q89,U89,Y89,AC89,AG89,AK89,AO89,AS89,AW89,BA89,BE89,BI89,BM89,BQ89,BU89,BY89,CC89,CG89,CK89,CO89,CS89,CW89,DA89,DE89,DI89,DM89,DQ89,DU89)</f>
        <v/>
      </c>
      <c r="DX89" s="83" t="n"/>
      <c r="DY89" s="41" t="n"/>
      <c r="DZ89" s="84" t="n"/>
      <c r="EA89" s="84" t="n"/>
      <c r="EB89" s="84" t="n"/>
      <c r="EC89" s="84" t="n"/>
      <c r="ED89" s="84" t="n"/>
      <c r="EE89" s="84" t="n"/>
      <c r="EF89" s="84" t="n"/>
      <c r="EG89" s="84" t="n"/>
      <c r="EH89" s="84" t="n"/>
      <c r="EI89" s="84" t="n"/>
      <c r="EJ89" s="84" t="n"/>
      <c r="EK89" s="84" t="n"/>
      <c r="EL89" s="84" t="n"/>
      <c r="EM89" s="84" t="n"/>
      <c r="EN89" s="84" t="n"/>
      <c r="EO89" s="84" t="n"/>
      <c r="EP89" s="84" t="n"/>
      <c r="EQ89" s="84" t="n"/>
      <c r="ER89" s="84" t="n"/>
      <c r="ES89" s="84" t="n"/>
      <c r="ET89" s="84" t="n"/>
      <c r="EU89" s="84" t="inlineStr">
        <is>
          <t>只打一次卡</t>
        </is>
      </c>
      <c r="EV89" s="84" t="n"/>
      <c r="EW89" s="84" t="inlineStr">
        <is>
          <t>只打一次卡</t>
        </is>
      </c>
      <c r="EX89" s="84" t="n"/>
      <c r="EY89" s="84" t="n"/>
      <c r="EZ89" s="84" t="n"/>
      <c r="FA89" s="84" t="n"/>
      <c r="FB89" s="84" t="inlineStr">
        <is>
          <t>只打一次卡</t>
        </is>
      </c>
      <c r="FC89" s="84" t="n"/>
      <c r="FD89" s="84" t="n"/>
      <c r="FE89" s="84" t="n"/>
    </row>
    <row r="90" ht="15.6" customFormat="1" customHeight="1" s="52"/>
    <row r="91" ht="12" customFormat="1" customHeight="1" s="52"/>
    <row r="92" ht="12" customFormat="1" customHeight="1" s="52"/>
    <row r="93" ht="12" customFormat="1" customHeight="1" s="5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6"/>
  <sheetViews>
    <sheetView tabSelected="1" zoomScale="80" zoomScaleNormal="80" workbookViewId="0">
      <selection activeCell="M13" sqref="M13"/>
    </sheetView>
  </sheetViews>
  <sheetFormatPr baseColWidth="8" defaultColWidth="8.888888888888889" defaultRowHeight="13.2"/>
  <cols>
    <col width="12.8611111111111" customWidth="1" min="1" max="1"/>
    <col width="10.1111111111111" customWidth="1" min="2" max="2"/>
    <col width="16.5" customWidth="1" min="3" max="3"/>
    <col width="16.1851851851852" customWidth="1" min="4" max="4"/>
    <col width="16.5555555555556" customWidth="1" min="5" max="5"/>
    <col hidden="1" width="15.1111111111111" customWidth="1" min="6" max="6"/>
    <col hidden="1" width="23.2222222222222" customWidth="1" min="7" max="7"/>
    <col width="12.2222222222222" customWidth="1" style="82" min="8" max="8"/>
    <col width="12.2222222222222" customWidth="1" min="9" max="10"/>
    <col width="12.4444444444444" customWidth="1" min="11" max="11"/>
    <col width="12" customWidth="1" min="12" max="22"/>
  </cols>
  <sheetData>
    <row r="1" ht="45" customFormat="1" customHeight="1" s="42">
      <c r="A1" s="44" t="inlineStr">
        <is>
          <t>姓名</t>
        </is>
      </c>
      <c r="B1" s="44" t="inlineStr">
        <is>
          <t>打卡地点</t>
        </is>
      </c>
      <c r="C1" s="44" t="inlineStr">
        <is>
          <t>一级部门</t>
        </is>
      </c>
      <c r="D1" s="44" t="inlineStr">
        <is>
          <t>二级部门</t>
        </is>
      </c>
      <c r="E1" s="44" t="inlineStr">
        <is>
          <t>岗位</t>
        </is>
      </c>
      <c r="F1" s="86" t="inlineStr">
        <is>
          <t>上班日期</t>
        </is>
      </c>
      <c r="G1" s="86" t="inlineStr">
        <is>
          <t>身份证号</t>
        </is>
      </c>
      <c r="H1" s="86" t="inlineStr">
        <is>
          <t>月合计小时数</t>
        </is>
      </c>
      <c r="I1" s="86" t="inlineStr">
        <is>
          <t>月合计分钟数</t>
        </is>
      </c>
      <c r="J1" s="44" t="inlineStr">
        <is>
          <t>当月打卡天数</t>
        </is>
      </c>
      <c r="K1" s="44" t="inlineStr">
        <is>
          <t>正常休假天数</t>
        </is>
      </c>
      <c r="L1" s="87" t="inlineStr">
        <is>
          <t>调休天数</t>
        </is>
      </c>
      <c r="M1" s="44" t="inlineStr">
        <is>
          <t>出差天数</t>
        </is>
      </c>
      <c r="N1" s="44" t="inlineStr">
        <is>
          <t>补卡天数</t>
        </is>
      </c>
      <c r="O1" s="44" t="inlineStr">
        <is>
          <t>异常打卡</t>
        </is>
      </c>
      <c r="P1" s="87" t="inlineStr">
        <is>
          <t>漏卡次数</t>
        </is>
      </c>
      <c r="Q1" s="44" t="inlineStr">
        <is>
          <t>请假天数</t>
        </is>
      </c>
      <c r="R1" s="44" t="inlineStr">
        <is>
          <t>出勤合计</t>
        </is>
      </c>
      <c r="S1" s="44" t="inlineStr">
        <is>
          <t>补卡时间</t>
        </is>
      </c>
      <c r="T1" s="47" t="inlineStr">
        <is>
          <t>出差时间</t>
        </is>
      </c>
      <c r="U1" s="44" t="inlineStr">
        <is>
          <t>请假时间</t>
        </is>
      </c>
      <c r="V1" s="47" t="inlineStr">
        <is>
          <t>未打卡时间</t>
        </is>
      </c>
      <c r="W1" s="47" t="inlineStr">
        <is>
          <t>备注</t>
        </is>
      </c>
    </row>
    <row r="2" ht="31" customHeight="1">
      <c r="A2" s="48" t="inlineStr">
        <is>
          <t>高淑文</t>
        </is>
      </c>
      <c r="B2" s="48" t="n"/>
      <c r="C2" s="48" t="n"/>
      <c r="D2" s="48" t="n"/>
      <c r="E2" s="48" t="n"/>
      <c r="F2" s="48" t="n"/>
      <c r="G2" s="48" t="n"/>
      <c r="H2" s="88">
        <f>SUMIF('4月部门分发'!B:B,A2,'4月部门分发'!DV:DV)</f>
        <v/>
      </c>
      <c r="I2" s="48">
        <f>H2*60</f>
        <v/>
      </c>
      <c r="J2" s="48">
        <f>SUMIF('4月部门分发'!B:B,A2,'4月部门分发'!DW:DW)</f>
        <v/>
      </c>
      <c r="K2" s="48" t="n"/>
      <c r="L2" s="48" t="n"/>
      <c r="M2" s="48" t="n"/>
      <c r="N2" s="48" t="n"/>
      <c r="O2" s="48" t="n"/>
      <c r="P2" s="48" t="n"/>
      <c r="Q2" s="48" t="n"/>
      <c r="R2" s="48">
        <f>J2+K2+L2+M2+N2+O2+P2+Q2</f>
        <v/>
      </c>
      <c r="S2" s="48" t="n"/>
      <c r="T2" s="48" t="n"/>
      <c r="U2" s="48" t="n"/>
      <c r="V2" s="48" t="n"/>
      <c r="W2" s="48" t="n"/>
    </row>
    <row r="3" ht="31" customHeight="1">
      <c r="A3" s="48" t="inlineStr">
        <is>
          <t>伍小雪</t>
        </is>
      </c>
      <c r="B3" s="48" t="n"/>
      <c r="C3" s="48" t="n"/>
      <c r="D3" s="48" t="n"/>
      <c r="E3" s="48" t="n"/>
      <c r="F3" s="48" t="n"/>
      <c r="G3" s="48" t="n"/>
      <c r="H3" s="88">
        <f>SUMIF('4月部门分发'!B:B,A3,'4月部门分发'!DV:DV)</f>
        <v/>
      </c>
      <c r="I3" s="48">
        <f>H3*60</f>
        <v/>
      </c>
      <c r="J3" s="48">
        <f>SUMIF('4月部门分发'!B:B,A3,'4月部门分发'!DW:DW)</f>
        <v/>
      </c>
      <c r="K3" s="48" t="n"/>
      <c r="L3" s="48" t="n"/>
      <c r="M3" s="48" t="n"/>
      <c r="N3" s="48" t="n"/>
      <c r="O3" s="48" t="n"/>
      <c r="P3" s="48" t="n"/>
      <c r="Q3" s="48" t="n"/>
      <c r="R3" s="48">
        <f>J3+K3+L3+M3+N3+O3+P3+Q3</f>
        <v/>
      </c>
      <c r="S3" s="48" t="n"/>
      <c r="T3" s="48" t="n"/>
      <c r="U3" s="48" t="n"/>
      <c r="V3" s="48" t="n"/>
      <c r="W3" s="48" t="n"/>
    </row>
    <row r="4" ht="31" customHeight="1">
      <c r="A4" s="48" t="inlineStr">
        <is>
          <t>邱霞</t>
        </is>
      </c>
      <c r="B4" s="48" t="n"/>
      <c r="C4" s="48" t="n"/>
      <c r="D4" s="48" t="n"/>
      <c r="E4" s="48" t="n"/>
      <c r="F4" s="48" t="n"/>
      <c r="G4" s="48" t="n"/>
      <c r="H4" s="88">
        <f>SUMIF('4月部门分发'!B:B,A4,'4月部门分发'!DV:DV)</f>
        <v/>
      </c>
      <c r="I4" s="48">
        <f>H4*60</f>
        <v/>
      </c>
      <c r="J4" s="48">
        <f>SUMIF('4月部门分发'!B:B,A4,'4月部门分发'!DW:DW)</f>
        <v/>
      </c>
      <c r="K4" s="48" t="n"/>
      <c r="L4" s="48" t="n"/>
      <c r="M4" s="48" t="n"/>
      <c r="N4" s="48" t="n"/>
      <c r="O4" s="48" t="n"/>
      <c r="P4" s="48" t="n"/>
      <c r="Q4" s="48" t="n"/>
      <c r="R4" s="48">
        <f>J4+K4+L4+M4+N4+O4+P4+Q4</f>
        <v/>
      </c>
      <c r="S4" s="48" t="n"/>
      <c r="T4" s="48" t="n"/>
      <c r="U4" s="48" t="n"/>
      <c r="V4" s="48" t="n"/>
      <c r="W4" s="48" t="n"/>
    </row>
    <row r="5" ht="31" customHeight="1">
      <c r="A5" s="48" t="inlineStr">
        <is>
          <t>黄晓云</t>
        </is>
      </c>
      <c r="B5" s="48" t="n"/>
      <c r="C5" s="48" t="n"/>
      <c r="D5" s="48" t="n"/>
      <c r="E5" s="48" t="n"/>
      <c r="F5" s="48" t="n"/>
      <c r="G5" s="48" t="n"/>
      <c r="H5" s="88">
        <f>SUMIF('4月部门分发'!B:B,A5,'4月部门分发'!DV:DV)</f>
        <v/>
      </c>
      <c r="I5" s="48">
        <f>H5*60</f>
        <v/>
      </c>
      <c r="J5" s="48">
        <f>SUMIF('4月部门分发'!B:B,A5,'4月部门分发'!DW:DW)</f>
        <v/>
      </c>
      <c r="K5" s="48" t="n"/>
      <c r="L5" s="48" t="n"/>
      <c r="M5" s="48" t="n"/>
      <c r="N5" s="48" t="n"/>
      <c r="O5" s="48" t="n"/>
      <c r="P5" s="48" t="n"/>
      <c r="Q5" s="48" t="n"/>
      <c r="R5" s="48">
        <f>J5+K5+L5+M5+N5+O5+P5+Q5</f>
        <v/>
      </c>
      <c r="S5" s="48" t="n"/>
      <c r="T5" s="48" t="n"/>
      <c r="U5" s="48" t="n"/>
      <c r="V5" s="48" t="n"/>
      <c r="W5" s="48" t="n"/>
    </row>
    <row r="6" ht="31" customHeight="1">
      <c r="A6" s="48" t="inlineStr">
        <is>
          <t>陈小红</t>
        </is>
      </c>
      <c r="B6" s="48" t="n"/>
      <c r="C6" s="48" t="n"/>
      <c r="D6" s="48" t="n"/>
      <c r="E6" s="48" t="n"/>
      <c r="F6" s="48" t="n"/>
      <c r="G6" s="48" t="n"/>
      <c r="H6" s="88">
        <f>SUMIF('4月部门分发'!B:B,A6,'4月部门分发'!DV:DV)</f>
        <v/>
      </c>
      <c r="I6" s="48">
        <f>H6*60</f>
        <v/>
      </c>
      <c r="J6" s="48">
        <f>SUMIF('4月部门分发'!B:B,A6,'4月部门分发'!DW:DW)</f>
        <v/>
      </c>
      <c r="K6" s="48" t="n"/>
      <c r="L6" s="48" t="n"/>
      <c r="M6" s="48" t="n"/>
      <c r="N6" s="48" t="n"/>
      <c r="O6" s="48" t="n"/>
      <c r="P6" s="48" t="n"/>
      <c r="Q6" s="48" t="n"/>
      <c r="R6" s="48">
        <f>J6+K6+L6+M6+N6+O6+P6+Q6</f>
        <v/>
      </c>
      <c r="S6" s="48" t="n"/>
      <c r="T6" s="48" t="n"/>
      <c r="U6" s="48" t="n"/>
      <c r="V6" s="48" t="n"/>
      <c r="W6" s="48" t="n"/>
    </row>
    <row r="7" ht="31" customHeight="1">
      <c r="A7" s="48" t="inlineStr">
        <is>
          <t>胡娅</t>
        </is>
      </c>
      <c r="B7" s="48" t="n"/>
      <c r="C7" s="48" t="n"/>
      <c r="D7" s="48" t="n"/>
      <c r="E7" s="48" t="n"/>
      <c r="F7" s="48" t="n"/>
      <c r="G7" s="48" t="n"/>
      <c r="H7" s="88">
        <f>SUMIF('4月部门分发'!B:B,A7,'4月部门分发'!DV:DV)</f>
        <v/>
      </c>
      <c r="I7" s="48">
        <f>H7*60</f>
        <v/>
      </c>
      <c r="J7" s="48">
        <f>SUMIF('4月部门分发'!B:B,A7,'4月部门分发'!DW:DW)</f>
        <v/>
      </c>
      <c r="K7" s="48" t="n"/>
      <c r="L7" s="48" t="n"/>
      <c r="M7" s="48" t="n"/>
      <c r="N7" s="48" t="n"/>
      <c r="O7" s="48" t="n"/>
      <c r="P7" s="48" t="n"/>
      <c r="Q7" s="48" t="n"/>
      <c r="R7" s="48">
        <f>J7+K7+L7+M7+N7+O7+P7+Q7</f>
        <v/>
      </c>
      <c r="S7" s="48" t="n"/>
      <c r="T7" s="48" t="n"/>
      <c r="U7" s="48" t="n"/>
      <c r="V7" s="48" t="n"/>
      <c r="W7" s="48" t="n"/>
    </row>
    <row r="8" ht="31" customHeight="1">
      <c r="A8" s="48" t="inlineStr">
        <is>
          <t>杨青青</t>
        </is>
      </c>
      <c r="B8" s="48" t="n"/>
      <c r="C8" s="48" t="n"/>
      <c r="D8" s="48" t="n"/>
      <c r="E8" s="48" t="n"/>
      <c r="F8" s="48" t="n"/>
      <c r="G8" s="48" t="n"/>
      <c r="H8" s="88">
        <f>SUMIF('4月部门分发'!B:B,A8,'4月部门分发'!DV:DV)</f>
        <v/>
      </c>
      <c r="I8" s="48">
        <f>H8*60</f>
        <v/>
      </c>
      <c r="J8" s="48">
        <f>SUMIF('4月部门分发'!B:B,A8,'4月部门分发'!DW:DW)</f>
        <v/>
      </c>
      <c r="K8" s="48" t="n"/>
      <c r="L8" s="48" t="n"/>
      <c r="M8" s="48" t="n"/>
      <c r="N8" s="48" t="n"/>
      <c r="O8" s="48" t="n"/>
      <c r="P8" s="48" t="n"/>
      <c r="Q8" s="48" t="n"/>
      <c r="R8" s="48">
        <f>J8+K8+L8+M8+N8+O8+P8+Q8</f>
        <v/>
      </c>
      <c r="S8" s="48" t="n"/>
      <c r="T8" s="48" t="n"/>
      <c r="U8" s="48" t="n"/>
      <c r="V8" s="48" t="n"/>
      <c r="W8" s="48" t="n"/>
    </row>
    <row r="9" ht="31" customHeight="1">
      <c r="A9" s="48" t="inlineStr">
        <is>
          <t>向锋</t>
        </is>
      </c>
      <c r="B9" s="48" t="n"/>
      <c r="C9" s="48" t="n"/>
      <c r="D9" s="48" t="n"/>
      <c r="E9" s="48" t="n"/>
      <c r="F9" s="48" t="n"/>
      <c r="G9" s="48" t="n"/>
      <c r="H9" s="88">
        <f>SUMIF('4月部门分发'!B:B,A9,'4月部门分发'!DV:DV)</f>
        <v/>
      </c>
      <c r="I9" s="48">
        <f>H9*60</f>
        <v/>
      </c>
      <c r="J9" s="48">
        <f>SUMIF('4月部门分发'!B:B,A9,'4月部门分发'!DW:DW)</f>
        <v/>
      </c>
      <c r="K9" s="48" t="n"/>
      <c r="L9" s="48" t="n"/>
      <c r="M9" s="48" t="n"/>
      <c r="N9" s="48" t="n"/>
      <c r="O9" s="48" t="n"/>
      <c r="P9" s="48" t="n"/>
      <c r="Q9" s="48" t="n"/>
      <c r="R9" s="48">
        <f>J9+K9+L9+M9+N9+O9+P9+Q9</f>
        <v/>
      </c>
      <c r="S9" s="48" t="n"/>
      <c r="T9" s="48" t="n"/>
      <c r="U9" s="48" t="n"/>
      <c r="V9" s="48" t="n"/>
      <c r="W9" s="48" t="n"/>
    </row>
    <row r="10" ht="31" customHeight="1">
      <c r="A10" s="48" t="inlineStr">
        <is>
          <t>雷松儒</t>
        </is>
      </c>
      <c r="B10" s="48" t="n"/>
      <c r="C10" s="48" t="n"/>
      <c r="D10" s="48" t="n"/>
      <c r="E10" s="48" t="n"/>
      <c r="F10" s="48" t="n"/>
      <c r="G10" s="48" t="n"/>
      <c r="H10" s="88">
        <f>SUMIF('4月部门分发'!B:B,A10,'4月部门分发'!DV:DV)</f>
        <v/>
      </c>
      <c r="I10" s="48">
        <f>H10*60</f>
        <v/>
      </c>
      <c r="J10" s="48">
        <f>SUMIF('4月部门分发'!B:B,A10,'4月部门分发'!DW:DW)</f>
        <v/>
      </c>
      <c r="K10" s="48" t="n"/>
      <c r="L10" s="48" t="n"/>
      <c r="M10" s="48" t="n"/>
      <c r="N10" s="48" t="n"/>
      <c r="O10" s="48" t="n"/>
      <c r="P10" s="48" t="n"/>
      <c r="Q10" s="48" t="n"/>
      <c r="R10" s="48">
        <f>J10+K10+L10+M10+N10+O10+P10+Q10</f>
        <v/>
      </c>
      <c r="S10" s="48" t="n"/>
      <c r="T10" s="48" t="n"/>
      <c r="U10" s="48" t="n"/>
      <c r="V10" s="48" t="n"/>
      <c r="W10" s="48" t="n"/>
    </row>
    <row r="11" ht="31" customHeight="1">
      <c r="A11" s="48" t="inlineStr">
        <is>
          <t>杨首琴</t>
        </is>
      </c>
      <c r="B11" s="48" t="n"/>
      <c r="C11" s="48" t="n"/>
      <c r="D11" s="48" t="n"/>
      <c r="E11" s="48" t="n"/>
      <c r="F11" s="48" t="n"/>
      <c r="G11" s="48" t="n"/>
      <c r="H11" s="88">
        <f>SUMIF('4月部门分发'!B:B,A11,'4月部门分发'!DV:DV)</f>
        <v/>
      </c>
      <c r="I11" s="48">
        <f>H11*60</f>
        <v/>
      </c>
      <c r="J11" s="48">
        <f>SUMIF('4月部门分发'!B:B,A11,'4月部门分发'!DW:DW)</f>
        <v/>
      </c>
      <c r="K11" s="48" t="n"/>
      <c r="L11" s="48" t="n"/>
      <c r="M11" s="48" t="n"/>
      <c r="N11" s="48" t="n"/>
      <c r="O11" s="48" t="n"/>
      <c r="P11" s="48" t="n"/>
      <c r="Q11" s="48" t="n"/>
      <c r="R11" s="48">
        <f>J11+K11+L11+M11+N11+O11+P11+Q11</f>
        <v/>
      </c>
      <c r="S11" s="48" t="n"/>
      <c r="T11" s="48" t="n"/>
      <c r="U11" s="48" t="n"/>
      <c r="V11" s="48" t="n"/>
      <c r="W11" s="48" t="n"/>
    </row>
    <row r="12" ht="31" customHeight="1">
      <c r="A12" s="48" t="inlineStr">
        <is>
          <t>王晓兰</t>
        </is>
      </c>
      <c r="B12" s="48" t="n"/>
      <c r="C12" s="48" t="n"/>
      <c r="D12" s="48" t="n"/>
      <c r="E12" s="48" t="n"/>
      <c r="F12" s="48" t="n"/>
      <c r="G12" s="48" t="n"/>
      <c r="H12" s="88">
        <f>SUMIF('4月部门分发'!B:B,A12,'4月部门分发'!DV:DV)</f>
        <v/>
      </c>
      <c r="I12" s="48">
        <f>H12*60</f>
        <v/>
      </c>
      <c r="J12" s="48">
        <f>SUMIF('4月部门分发'!B:B,A12,'4月部门分发'!DW:DW)</f>
        <v/>
      </c>
      <c r="K12" s="48" t="n"/>
      <c r="L12" s="48" t="n"/>
      <c r="M12" s="48" t="n"/>
      <c r="N12" s="48" t="n"/>
      <c r="O12" s="48" t="n"/>
      <c r="P12" s="48" t="n"/>
      <c r="Q12" s="48" t="n"/>
      <c r="R12" s="48">
        <f>J12+K12+L12+M12+N12+O12+P12+Q12</f>
        <v/>
      </c>
      <c r="S12" s="48" t="n"/>
      <c r="T12" s="48" t="n"/>
      <c r="U12" s="48" t="n"/>
      <c r="V12" s="48" t="n"/>
      <c r="W12" s="48" t="n"/>
    </row>
    <row r="13" ht="31" customHeight="1">
      <c r="A13" s="48" t="inlineStr">
        <is>
          <t>杨益琴</t>
        </is>
      </c>
      <c r="B13" s="48" t="n"/>
      <c r="C13" s="48" t="n"/>
      <c r="D13" s="48" t="n"/>
      <c r="E13" s="48" t="n"/>
      <c r="F13" s="48" t="n"/>
      <c r="G13" s="48" t="n"/>
      <c r="H13" s="88">
        <f>SUMIF('4月部门分发'!B:B,A13,'4月部门分发'!DV:DV)</f>
        <v/>
      </c>
      <c r="I13" s="48">
        <f>H13*60</f>
        <v/>
      </c>
      <c r="J13" s="48">
        <f>SUMIF('4月部门分发'!B:B,A13,'4月部门分发'!DW:DW)</f>
        <v/>
      </c>
      <c r="K13" s="48" t="n"/>
      <c r="L13" s="48" t="n"/>
      <c r="M13" s="48" t="n"/>
      <c r="N13" s="48" t="n"/>
      <c r="O13" s="48" t="n"/>
      <c r="P13" s="48" t="n"/>
      <c r="Q13" s="48" t="n"/>
      <c r="R13" s="48">
        <f>J13+K13+L13+M13+N13+O13+P13+Q13</f>
        <v/>
      </c>
      <c r="S13" s="48" t="n"/>
      <c r="T13" s="48" t="n"/>
      <c r="U13" s="48" t="n"/>
      <c r="V13" s="48" t="n"/>
      <c r="W13" s="48" t="n"/>
    </row>
    <row r="14" ht="31" customHeight="1">
      <c r="A14" s="48" t="inlineStr">
        <is>
          <t>刘琴</t>
        </is>
      </c>
      <c r="B14" s="48" t="n"/>
      <c r="C14" s="48" t="n"/>
      <c r="D14" s="48" t="n"/>
      <c r="E14" s="48" t="n"/>
      <c r="F14" s="48" t="n"/>
      <c r="G14" s="48" t="n"/>
      <c r="H14" s="88">
        <f>SUMIF('4月部门分发'!B:B,A14,'4月部门分发'!DV:DV)</f>
        <v/>
      </c>
      <c r="I14" s="48">
        <f>H14*60</f>
        <v/>
      </c>
      <c r="J14" s="48">
        <f>SUMIF('4月部门分发'!B:B,A14,'4月部门分发'!DW:DW)</f>
        <v/>
      </c>
      <c r="K14" s="48" t="n"/>
      <c r="L14" s="48" t="n"/>
      <c r="M14" s="48" t="n"/>
      <c r="N14" s="48" t="n"/>
      <c r="O14" s="48" t="n"/>
      <c r="P14" s="48" t="n"/>
      <c r="Q14" s="48" t="n"/>
      <c r="R14" s="48">
        <f>J14+K14+L14+M14+N14+O14+P14+Q14</f>
        <v/>
      </c>
      <c r="S14" s="48" t="n"/>
      <c r="T14" s="48" t="n"/>
      <c r="U14" s="48" t="n"/>
      <c r="V14" s="48" t="n"/>
      <c r="W14" s="48" t="n"/>
    </row>
    <row r="15" ht="31" customHeight="1">
      <c r="A15" s="48" t="inlineStr">
        <is>
          <t>刘文旦</t>
        </is>
      </c>
      <c r="B15" s="48" t="n"/>
      <c r="C15" s="48" t="n"/>
      <c r="D15" s="48" t="n"/>
      <c r="E15" s="48" t="n"/>
      <c r="F15" s="48" t="n"/>
      <c r="G15" s="48" t="n"/>
      <c r="H15" s="88">
        <f>SUMIF('4月部门分发'!B:B,A15,'4月部门分发'!DV:DV)</f>
        <v/>
      </c>
      <c r="I15" s="48">
        <f>H15*60</f>
        <v/>
      </c>
      <c r="J15" s="48">
        <f>SUMIF('4月部门分发'!B:B,A15,'4月部门分发'!DW:DW)</f>
        <v/>
      </c>
      <c r="K15" s="48" t="n"/>
      <c r="L15" s="48" t="n"/>
      <c r="M15" s="48" t="n"/>
      <c r="N15" s="48" t="n"/>
      <c r="O15" s="48" t="n"/>
      <c r="P15" s="48" t="n"/>
      <c r="Q15" s="48" t="n"/>
      <c r="R15" s="48">
        <f>J15+K15+L15+M15+N15+O15+P15+Q15</f>
        <v/>
      </c>
      <c r="S15" s="48" t="n"/>
      <c r="T15" s="48" t="n"/>
      <c r="U15" s="48" t="n"/>
      <c r="V15" s="48" t="n"/>
      <c r="W15" s="48" t="n"/>
    </row>
    <row r="16" ht="31" customHeight="1">
      <c r="A16" s="48" t="inlineStr">
        <is>
          <t>王一程</t>
        </is>
      </c>
      <c r="B16" s="48" t="n"/>
      <c r="C16" s="48" t="n"/>
      <c r="D16" s="48" t="n"/>
      <c r="E16" s="48" t="n"/>
      <c r="F16" s="48" t="n"/>
      <c r="G16" s="48" t="n"/>
      <c r="H16" s="88">
        <f>SUMIF('4月部门分发'!B:B,A16,'4月部门分发'!DV:DV)</f>
        <v/>
      </c>
      <c r="I16" s="48">
        <f>H16*60</f>
        <v/>
      </c>
      <c r="J16" s="48">
        <f>SUMIF('4月部门分发'!B:B,A16,'4月部门分发'!DW:DW)</f>
        <v/>
      </c>
      <c r="K16" s="48" t="n"/>
      <c r="L16" s="48" t="n"/>
      <c r="M16" s="48" t="n"/>
      <c r="N16" s="48" t="n"/>
      <c r="O16" s="48" t="n"/>
      <c r="P16" s="48" t="n"/>
      <c r="Q16" s="48" t="n"/>
      <c r="R16" s="48">
        <f>J16+K16+L16+M16+N16+O16+P16+Q16</f>
        <v/>
      </c>
      <c r="S16" s="48" t="n"/>
      <c r="T16" s="48" t="n"/>
      <c r="U16" s="48" t="n"/>
      <c r="V16" s="48" t="n"/>
      <c r="W16" s="48" t="n"/>
    </row>
    <row r="17" ht="31" customHeight="1">
      <c r="A17" s="48" t="inlineStr">
        <is>
          <t>段绍红</t>
        </is>
      </c>
      <c r="B17" s="48" t="n"/>
      <c r="C17" s="48" t="n"/>
      <c r="D17" s="48" t="n"/>
      <c r="E17" s="48" t="n"/>
      <c r="F17" s="48" t="n"/>
      <c r="G17" s="48" t="n"/>
      <c r="H17" s="88">
        <f>SUMIF('4月部门分发'!B:B,A17,'4月部门分发'!DV:DV)</f>
        <v/>
      </c>
      <c r="I17" s="48">
        <f>H17*60</f>
        <v/>
      </c>
      <c r="J17" s="48">
        <f>SUMIF('4月部门分发'!B:B,A17,'4月部门分发'!DW:DW)</f>
        <v/>
      </c>
      <c r="K17" s="48" t="n"/>
      <c r="L17" s="48" t="n"/>
      <c r="M17" s="48" t="n"/>
      <c r="N17" s="48" t="n"/>
      <c r="O17" s="48" t="n"/>
      <c r="P17" s="48" t="n"/>
      <c r="Q17" s="48" t="n"/>
      <c r="R17" s="48">
        <f>J17+K17+L17+M17+N17+O17+P17+Q17</f>
        <v/>
      </c>
      <c r="S17" s="48" t="n"/>
      <c r="T17" s="48" t="n"/>
      <c r="U17" s="48" t="n"/>
      <c r="V17" s="48" t="n"/>
      <c r="W17" s="48" t="n"/>
    </row>
    <row r="18" ht="31" customHeight="1">
      <c r="A18" s="48" t="inlineStr">
        <is>
          <t>龙训东</t>
        </is>
      </c>
      <c r="B18" s="48" t="n"/>
      <c r="C18" s="48" t="n"/>
      <c r="D18" s="48" t="n"/>
      <c r="E18" s="48" t="n"/>
      <c r="F18" s="48" t="n"/>
      <c r="G18" s="48" t="n"/>
      <c r="H18" s="88">
        <f>SUMIF('4月部门分发'!B:B,A18,'4月部门分发'!DV:DV)</f>
        <v/>
      </c>
      <c r="I18" s="48">
        <f>H18*60</f>
        <v/>
      </c>
      <c r="J18" s="48">
        <f>SUMIF('4月部门分发'!B:B,A18,'4月部门分发'!DW:DW)</f>
        <v/>
      </c>
      <c r="K18" s="48" t="n"/>
      <c r="L18" s="48" t="n"/>
      <c r="M18" s="48" t="n"/>
      <c r="N18" s="48" t="n"/>
      <c r="O18" s="48" t="n"/>
      <c r="P18" s="48" t="n"/>
      <c r="Q18" s="48" t="n"/>
      <c r="R18" s="48">
        <f>J18+K18+L18+M18+N18+O18+P18+Q18</f>
        <v/>
      </c>
      <c r="S18" s="48" t="n"/>
      <c r="T18" s="48" t="n"/>
      <c r="U18" s="48" t="n"/>
      <c r="V18" s="48" t="n"/>
      <c r="W18" s="48" t="n"/>
    </row>
    <row r="19" ht="31" customHeight="1">
      <c r="A19" s="48" t="inlineStr">
        <is>
          <t>李荧</t>
        </is>
      </c>
      <c r="B19" s="48" t="n"/>
      <c r="C19" s="48" t="n"/>
      <c r="D19" s="48" t="n"/>
      <c r="E19" s="48" t="n"/>
      <c r="F19" s="48" t="n"/>
      <c r="G19" s="48" t="n"/>
      <c r="H19" s="88">
        <f>SUMIF('4月部门分发'!B:B,A19,'4月部门分发'!DV:DV)</f>
        <v/>
      </c>
      <c r="I19" s="48">
        <f>H19*60</f>
        <v/>
      </c>
      <c r="J19" s="48">
        <f>SUMIF('4月部门分发'!B:B,A19,'4月部门分发'!DW:DW)</f>
        <v/>
      </c>
      <c r="K19" s="48" t="n"/>
      <c r="L19" s="48" t="n"/>
      <c r="M19" s="48" t="n"/>
      <c r="N19" s="48" t="n"/>
      <c r="O19" s="48" t="n"/>
      <c r="P19" s="48" t="n"/>
      <c r="Q19" s="48" t="n"/>
      <c r="R19" s="48">
        <f>J19+K19+L19+M19+N19+O19+P19+Q19</f>
        <v/>
      </c>
      <c r="S19" s="48" t="n"/>
      <c r="T19" s="48" t="n"/>
      <c r="U19" s="48" t="n"/>
      <c r="V19" s="48" t="n"/>
      <c r="W19" s="48" t="n"/>
    </row>
    <row r="20" ht="31" customHeight="1">
      <c r="A20" s="48" t="inlineStr">
        <is>
          <t>贺悦</t>
        </is>
      </c>
      <c r="B20" s="48" t="n"/>
      <c r="C20" s="48" t="n"/>
      <c r="D20" s="48" t="n"/>
      <c r="E20" s="48" t="n"/>
      <c r="F20" s="48" t="n"/>
      <c r="G20" s="48" t="n"/>
      <c r="H20" s="88">
        <f>SUMIF('4月部门分发'!B:B,A20,'4月部门分发'!DV:DV)</f>
        <v/>
      </c>
      <c r="I20" s="48">
        <f>H20*60</f>
        <v/>
      </c>
      <c r="J20" s="48">
        <f>SUMIF('4月部门分发'!B:B,A20,'4月部门分发'!DW:DW)</f>
        <v/>
      </c>
      <c r="K20" s="48" t="n"/>
      <c r="L20" s="48" t="n"/>
      <c r="M20" s="48" t="n"/>
      <c r="N20" s="48" t="n"/>
      <c r="O20" s="48" t="n"/>
      <c r="P20" s="48" t="n"/>
      <c r="Q20" s="48" t="n"/>
      <c r="R20" s="48">
        <f>J20+K20+L20+M20+N20+O20+P20+Q20</f>
        <v/>
      </c>
      <c r="S20" s="48" t="n"/>
      <c r="T20" s="48" t="n"/>
      <c r="U20" s="48" t="n"/>
      <c r="V20" s="48" t="n"/>
      <c r="W20" s="48" t="n"/>
    </row>
    <row r="21" ht="31" customHeight="1">
      <c r="A21" s="48" t="inlineStr">
        <is>
          <t>莫娇</t>
        </is>
      </c>
      <c r="B21" s="48" t="n"/>
      <c r="C21" s="48" t="n"/>
      <c r="D21" s="48" t="n"/>
      <c r="E21" s="48" t="n"/>
      <c r="F21" s="48" t="n"/>
      <c r="G21" s="48" t="n"/>
      <c r="H21" s="88">
        <f>SUMIF('4月部门分发'!B:B,A21,'4月部门分发'!DV:DV)</f>
        <v/>
      </c>
      <c r="I21" s="48">
        <f>H21*60</f>
        <v/>
      </c>
      <c r="J21" s="48">
        <f>SUMIF('4月部门分发'!B:B,A21,'4月部门分发'!DW:DW)</f>
        <v/>
      </c>
      <c r="K21" s="48" t="n"/>
      <c r="L21" s="48" t="n"/>
      <c r="M21" s="48" t="n"/>
      <c r="N21" s="48" t="n"/>
      <c r="O21" s="48" t="n"/>
      <c r="P21" s="48" t="n"/>
      <c r="Q21" s="48" t="n"/>
      <c r="R21" s="48">
        <f>J21+K21+L21+M21+N21+O21+P21+Q21</f>
        <v/>
      </c>
      <c r="S21" s="48" t="n"/>
      <c r="T21" s="48" t="n"/>
      <c r="U21" s="48" t="n"/>
      <c r="V21" s="48" t="n"/>
      <c r="W21" s="48" t="n"/>
    </row>
    <row r="22" ht="31" customHeight="1">
      <c r="A22" s="48" t="inlineStr">
        <is>
          <t>蒋年冬</t>
        </is>
      </c>
      <c r="B22" s="48" t="n"/>
      <c r="C22" s="48" t="n"/>
      <c r="D22" s="48" t="n"/>
      <c r="E22" s="48" t="n"/>
      <c r="F22" s="48" t="n"/>
      <c r="G22" s="48" t="n"/>
      <c r="H22" s="88">
        <f>SUMIF('4月部门分发'!B:B,A22,'4月部门分发'!DV:DV)</f>
        <v/>
      </c>
      <c r="I22" s="48">
        <f>H22*60</f>
        <v/>
      </c>
      <c r="J22" s="48">
        <f>SUMIF('4月部门分发'!B:B,A22,'4月部门分发'!DW:DW)</f>
        <v/>
      </c>
      <c r="K22" s="48" t="n"/>
      <c r="L22" s="48" t="n"/>
      <c r="M22" s="48" t="n"/>
      <c r="N22" s="48" t="n"/>
      <c r="O22" s="48" t="n"/>
      <c r="P22" s="48" t="n"/>
      <c r="Q22" s="48" t="n"/>
      <c r="R22" s="48">
        <f>J22+K22+L22+M22+N22+O22+P22+Q22</f>
        <v/>
      </c>
      <c r="S22" s="48" t="n"/>
      <c r="T22" s="48" t="n"/>
      <c r="U22" s="48" t="n"/>
      <c r="V22" s="48" t="n"/>
      <c r="W22" s="48" t="n"/>
    </row>
    <row r="23" ht="31" customHeight="1">
      <c r="A23" s="48" t="inlineStr">
        <is>
          <t>田建锋</t>
        </is>
      </c>
      <c r="B23" s="48" t="n"/>
      <c r="C23" s="48" t="n"/>
      <c r="D23" s="48" t="n"/>
      <c r="E23" s="48" t="n"/>
      <c r="F23" s="48" t="n"/>
      <c r="G23" s="48" t="n"/>
      <c r="H23" s="88">
        <f>SUMIF('4月部门分发'!B:B,A23,'4月部门分发'!DV:DV)</f>
        <v/>
      </c>
      <c r="I23" s="48">
        <f>H23*60</f>
        <v/>
      </c>
      <c r="J23" s="48">
        <f>SUMIF('4月部门分发'!B:B,A23,'4月部门分发'!DW:DW)</f>
        <v/>
      </c>
      <c r="K23" s="48" t="n"/>
      <c r="L23" s="48" t="n"/>
      <c r="M23" s="48" t="n"/>
      <c r="N23" s="48" t="n"/>
      <c r="O23" s="48" t="n"/>
      <c r="P23" s="48" t="n"/>
      <c r="Q23" s="48" t="n"/>
      <c r="R23" s="48">
        <f>J23+K23+L23+M23+N23+O23+P23+Q23</f>
        <v/>
      </c>
      <c r="S23" s="48" t="n"/>
      <c r="T23" s="48" t="n"/>
      <c r="U23" s="48" t="n"/>
      <c r="V23" s="48" t="n"/>
      <c r="W23" s="48" t="n"/>
    </row>
    <row r="24" ht="31" customHeight="1">
      <c r="A24" s="48" t="inlineStr">
        <is>
          <t>李红波</t>
        </is>
      </c>
      <c r="B24" s="48" t="n"/>
      <c r="C24" s="48" t="n"/>
      <c r="D24" s="48" t="n"/>
      <c r="E24" s="48" t="n"/>
      <c r="F24" s="48" t="n"/>
      <c r="G24" s="48" t="n"/>
      <c r="H24" s="88">
        <f>SUMIF('4月部门分发'!B:B,A24,'4月部门分发'!DV:DV)</f>
        <v/>
      </c>
      <c r="I24" s="48">
        <f>H24*60</f>
        <v/>
      </c>
      <c r="J24" s="48">
        <f>SUMIF('4月部门分发'!B:B,A24,'4月部门分发'!DW:DW)</f>
        <v/>
      </c>
      <c r="K24" s="48" t="n"/>
      <c r="L24" s="48" t="n"/>
      <c r="M24" s="48" t="n"/>
      <c r="N24" s="48" t="n"/>
      <c r="O24" s="48" t="n"/>
      <c r="P24" s="48" t="n"/>
      <c r="Q24" s="48" t="n"/>
      <c r="R24" s="48">
        <f>J24+K24+L24+M24+N24+O24+P24+Q24</f>
        <v/>
      </c>
      <c r="S24" s="48" t="n"/>
      <c r="T24" s="48" t="n"/>
      <c r="U24" s="48" t="n"/>
      <c r="V24" s="48" t="n"/>
      <c r="W24" s="48" t="n"/>
    </row>
    <row r="25" ht="31" customHeight="1">
      <c r="A25" s="48" t="inlineStr">
        <is>
          <t>陈明会</t>
        </is>
      </c>
      <c r="B25" s="48" t="n"/>
      <c r="C25" s="48" t="n"/>
      <c r="D25" s="48" t="n"/>
      <c r="E25" s="48" t="n"/>
      <c r="F25" s="48" t="n"/>
      <c r="G25" s="48" t="n"/>
      <c r="H25" s="88">
        <f>SUMIF('4月部门分发'!B:B,A25,'4月部门分发'!DV:DV)</f>
        <v/>
      </c>
      <c r="I25" s="48">
        <f>H25*60</f>
        <v/>
      </c>
      <c r="J25" s="48">
        <f>SUMIF('4月部门分发'!B:B,A25,'4月部门分发'!DW:DW)</f>
        <v/>
      </c>
      <c r="K25" s="48" t="n"/>
      <c r="L25" s="48" t="n"/>
      <c r="M25" s="48" t="n"/>
      <c r="N25" s="48" t="n"/>
      <c r="O25" s="48" t="n"/>
      <c r="P25" s="48" t="n"/>
      <c r="Q25" s="48" t="n"/>
      <c r="R25" s="48">
        <f>J25+K25+L25+M25+N25+O25+P25+Q25</f>
        <v/>
      </c>
      <c r="S25" s="48" t="n"/>
      <c r="T25" s="48" t="n"/>
      <c r="U25" s="48" t="n"/>
      <c r="V25" s="48" t="n"/>
      <c r="W25" s="48" t="n"/>
    </row>
    <row r="26" ht="31" customHeight="1">
      <c r="A26" s="48" t="inlineStr">
        <is>
          <t>张金彬</t>
        </is>
      </c>
      <c r="B26" s="48" t="n"/>
      <c r="C26" s="48" t="n"/>
      <c r="D26" s="48" t="n"/>
      <c r="E26" s="48" t="n"/>
      <c r="F26" s="48" t="n"/>
      <c r="G26" s="48" t="n"/>
      <c r="H26" s="88">
        <f>SUMIF('4月部门分发'!B:B,A26,'4月部门分发'!DV:DV)</f>
        <v/>
      </c>
      <c r="I26" s="48">
        <f>H26*60</f>
        <v/>
      </c>
      <c r="J26" s="48">
        <f>SUMIF('4月部门分发'!B:B,A26,'4月部门分发'!DW:DW)</f>
        <v/>
      </c>
      <c r="K26" s="48" t="n"/>
      <c r="L26" s="48" t="n"/>
      <c r="M26" s="48" t="n"/>
      <c r="N26" s="48" t="n"/>
      <c r="O26" s="48" t="n"/>
      <c r="P26" s="48" t="n"/>
      <c r="Q26" s="48" t="n"/>
      <c r="R26" s="48">
        <f>J26+K26+L26+M26+N26+O26+P26+Q26</f>
        <v/>
      </c>
      <c r="S26" s="48" t="n"/>
      <c r="T26" s="48" t="n"/>
      <c r="U26" s="48" t="n"/>
      <c r="V26" s="48" t="n"/>
      <c r="W26" s="48" t="n"/>
    </row>
    <row r="27" ht="31" customHeight="1">
      <c r="A27" s="48" t="inlineStr">
        <is>
          <t>刘建君</t>
        </is>
      </c>
      <c r="B27" s="48" t="n"/>
      <c r="C27" s="48" t="n"/>
      <c r="D27" s="48" t="n"/>
      <c r="E27" s="48" t="n"/>
      <c r="F27" s="48" t="n"/>
      <c r="G27" s="48" t="n"/>
      <c r="H27" s="88">
        <f>SUMIF('4月部门分发'!B:B,A27,'4月部门分发'!DV:DV)</f>
        <v/>
      </c>
      <c r="I27" s="48">
        <f>H27*60</f>
        <v/>
      </c>
      <c r="J27" s="48">
        <f>SUMIF('4月部门分发'!B:B,A27,'4月部门分发'!DW:DW)</f>
        <v/>
      </c>
      <c r="K27" s="48" t="n"/>
      <c r="L27" s="48" t="n"/>
      <c r="M27" s="48" t="n"/>
      <c r="N27" s="48" t="n"/>
      <c r="O27" s="48" t="n"/>
      <c r="P27" s="48" t="n"/>
      <c r="Q27" s="48" t="n"/>
      <c r="R27" s="48">
        <f>J27+K27+L27+M27+N27+O27+P27+Q27</f>
        <v/>
      </c>
      <c r="S27" s="48" t="n"/>
      <c r="T27" s="48" t="n"/>
      <c r="U27" s="48" t="n"/>
      <c r="V27" s="48" t="n"/>
      <c r="W27" s="48" t="n"/>
    </row>
    <row r="28" ht="31" customHeight="1">
      <c r="A28" s="48" t="inlineStr">
        <is>
          <t>吕丹丹</t>
        </is>
      </c>
      <c r="B28" s="48" t="n"/>
      <c r="C28" s="48" t="n"/>
      <c r="D28" s="48" t="n"/>
      <c r="E28" s="48" t="n"/>
      <c r="F28" s="48" t="n"/>
      <c r="G28" s="48" t="n"/>
      <c r="H28" s="88">
        <f>SUMIF('4月部门分发'!B:B,A28,'4月部门分发'!DV:DV)</f>
        <v/>
      </c>
      <c r="I28" s="48">
        <f>H28*60</f>
        <v/>
      </c>
      <c r="J28" s="48">
        <f>SUMIF('4月部门分发'!B:B,A28,'4月部门分发'!DW:DW)</f>
        <v/>
      </c>
      <c r="K28" s="48" t="n"/>
      <c r="L28" s="48" t="n"/>
      <c r="M28" s="48" t="n"/>
      <c r="N28" s="48" t="n"/>
      <c r="O28" s="48" t="n"/>
      <c r="P28" s="48" t="n"/>
      <c r="Q28" s="48" t="n"/>
      <c r="R28" s="48">
        <f>J28+K28+L28+M28+N28+O28+P28+Q28</f>
        <v/>
      </c>
      <c r="S28" s="48" t="n"/>
      <c r="T28" s="48" t="n"/>
      <c r="U28" s="48" t="n"/>
      <c r="V28" s="48" t="n"/>
      <c r="W28" s="48" t="n"/>
    </row>
    <row r="29" ht="31" customHeight="1">
      <c r="A29" s="48" t="inlineStr">
        <is>
          <t>李光义</t>
        </is>
      </c>
      <c r="B29" s="48" t="n"/>
      <c r="C29" s="48" t="n"/>
      <c r="D29" s="48" t="n"/>
      <c r="E29" s="48" t="n"/>
      <c r="F29" s="48" t="n"/>
      <c r="G29" s="48" t="n"/>
      <c r="H29" s="88">
        <f>SUMIF('4月部门分发'!B:B,A29,'4月部门分发'!DV:DV)</f>
        <v/>
      </c>
      <c r="I29" s="48">
        <f>H29*60</f>
        <v/>
      </c>
      <c r="J29" s="48">
        <f>SUMIF('4月部门分发'!B:B,A29,'4月部门分发'!DW:DW)</f>
        <v/>
      </c>
      <c r="K29" s="48" t="n"/>
      <c r="L29" s="48" t="n"/>
      <c r="M29" s="48" t="n"/>
      <c r="N29" s="48" t="n"/>
      <c r="O29" s="48" t="n"/>
      <c r="P29" s="48" t="n"/>
      <c r="Q29" s="48" t="n"/>
      <c r="R29" s="48">
        <f>J29+K29+L29+M29+N29+O29+P29+Q29</f>
        <v/>
      </c>
      <c r="S29" s="48" t="n"/>
      <c r="T29" s="48" t="n"/>
      <c r="U29" s="48" t="n"/>
      <c r="V29" s="48" t="n"/>
      <c r="W29" s="48" t="n"/>
    </row>
    <row r="30" ht="31" customHeight="1">
      <c r="A30" s="48" t="inlineStr">
        <is>
          <t>匡启素</t>
        </is>
      </c>
      <c r="B30" s="48" t="n"/>
      <c r="C30" s="48" t="n"/>
      <c r="D30" s="48" t="n"/>
      <c r="E30" s="48" t="n"/>
      <c r="F30" s="48" t="n"/>
      <c r="G30" s="48" t="n"/>
      <c r="H30" s="88">
        <f>SUMIF('4月部门分发'!B:B,A30,'4月部门分发'!DV:DV)</f>
        <v/>
      </c>
      <c r="I30" s="48">
        <f>H30*60</f>
        <v/>
      </c>
      <c r="J30" s="48">
        <f>SUMIF('4月部门分发'!B:B,A30,'4月部门分发'!DW:DW)</f>
        <v/>
      </c>
      <c r="K30" s="48" t="n"/>
      <c r="L30" s="48" t="n"/>
      <c r="M30" s="48" t="n"/>
      <c r="N30" s="48" t="n"/>
      <c r="O30" s="48" t="n"/>
      <c r="P30" s="48" t="n"/>
      <c r="Q30" s="48" t="n"/>
      <c r="R30" s="48">
        <f>J30+K30+L30+M30+N30+O30+P30+Q30</f>
        <v/>
      </c>
      <c r="S30" s="48" t="n"/>
      <c r="T30" s="48" t="n"/>
      <c r="U30" s="48" t="n"/>
      <c r="V30" s="48" t="n"/>
      <c r="W30" s="48" t="n"/>
    </row>
    <row r="31" ht="31" customHeight="1">
      <c r="A31" s="48" t="inlineStr">
        <is>
          <t>兰媛</t>
        </is>
      </c>
      <c r="B31" s="48" t="n"/>
      <c r="C31" s="48" t="n"/>
      <c r="D31" s="48" t="n"/>
      <c r="E31" s="48" t="n"/>
      <c r="F31" s="48" t="n"/>
      <c r="G31" s="48" t="n"/>
      <c r="H31" s="88">
        <f>SUMIF('4月部门分发'!B:B,A31,'4月部门分发'!DV:DV)</f>
        <v/>
      </c>
      <c r="I31" s="48">
        <f>H31*60</f>
        <v/>
      </c>
      <c r="J31" s="48">
        <f>SUMIF('4月部门分发'!B:B,A31,'4月部门分发'!DW:DW)</f>
        <v/>
      </c>
      <c r="K31" s="48" t="n"/>
      <c r="L31" s="48" t="n"/>
      <c r="M31" s="48" t="n"/>
      <c r="N31" s="48" t="n"/>
      <c r="O31" s="48" t="n"/>
      <c r="P31" s="48" t="n"/>
      <c r="Q31" s="48" t="n"/>
      <c r="R31" s="48">
        <f>J31+K31+L31+M31+N31+O31+P31+Q31</f>
        <v/>
      </c>
      <c r="S31" s="48" t="n"/>
      <c r="T31" s="48" t="n"/>
      <c r="U31" s="48" t="n"/>
      <c r="V31" s="48" t="n"/>
      <c r="W31" s="48" t="n"/>
    </row>
    <row r="32" ht="31" customHeight="1">
      <c r="A32" s="48" t="inlineStr">
        <is>
          <t>方宇</t>
        </is>
      </c>
      <c r="B32" s="48" t="n"/>
      <c r="C32" s="48" t="n"/>
      <c r="D32" s="48" t="n"/>
      <c r="E32" s="48" t="n"/>
      <c r="F32" s="48" t="n"/>
      <c r="G32" s="48" t="n"/>
      <c r="H32" s="88">
        <f>SUMIF('4月部门分发'!B:B,A32,'4月部门分发'!DV:DV)</f>
        <v/>
      </c>
      <c r="I32" s="48">
        <f>H32*60</f>
        <v/>
      </c>
      <c r="J32" s="48">
        <f>SUMIF('4月部门分发'!B:B,A32,'4月部门分发'!DW:DW)</f>
        <v/>
      </c>
      <c r="K32" s="48" t="n"/>
      <c r="L32" s="48" t="n"/>
      <c r="M32" s="48" t="n"/>
      <c r="N32" s="48" t="n"/>
      <c r="O32" s="48" t="n"/>
      <c r="P32" s="48" t="n"/>
      <c r="Q32" s="48" t="n"/>
      <c r="R32" s="48">
        <f>J32+K32+L32+M32+N32+O32+P32+Q32</f>
        <v/>
      </c>
      <c r="S32" s="48" t="n"/>
      <c r="T32" s="48" t="n"/>
      <c r="U32" s="48" t="n"/>
      <c r="V32" s="48" t="n"/>
      <c r="W32" s="48" t="n"/>
    </row>
    <row r="33" ht="31" customHeight="1">
      <c r="A33" s="48" t="inlineStr">
        <is>
          <t>莫永兵</t>
        </is>
      </c>
      <c r="B33" s="48" t="n"/>
      <c r="C33" s="48" t="n"/>
      <c r="D33" s="48" t="n"/>
      <c r="E33" s="48" t="n"/>
      <c r="F33" s="48" t="n"/>
      <c r="G33" s="48" t="n"/>
      <c r="H33" s="88">
        <f>SUMIF('4月部门分发'!B:B,A33,'4月部门分发'!DV:DV)</f>
        <v/>
      </c>
      <c r="I33" s="48">
        <f>H33*60</f>
        <v/>
      </c>
      <c r="J33" s="48">
        <f>SUMIF('4月部门分发'!B:B,A33,'4月部门分发'!DW:DW)</f>
        <v/>
      </c>
      <c r="K33" s="48" t="n"/>
      <c r="L33" s="48" t="n"/>
      <c r="M33" s="48" t="n"/>
      <c r="N33" s="48" t="n"/>
      <c r="O33" s="48" t="n"/>
      <c r="P33" s="48" t="n"/>
      <c r="Q33" s="48" t="n"/>
      <c r="R33" s="48">
        <f>J33+K33+L33+M33+N33+O33+P33+Q33</f>
        <v/>
      </c>
      <c r="S33" s="48" t="n"/>
      <c r="T33" s="48" t="n"/>
      <c r="U33" s="48" t="n"/>
      <c r="V33" s="48" t="n"/>
      <c r="W33" s="48" t="n"/>
    </row>
    <row r="34" ht="31" customHeight="1">
      <c r="A34" s="48" t="inlineStr">
        <is>
          <t>冯钰超</t>
        </is>
      </c>
      <c r="B34" s="48" t="n"/>
      <c r="C34" s="48" t="n"/>
      <c r="D34" s="48" t="n"/>
      <c r="E34" s="48" t="n"/>
      <c r="F34" s="48" t="n"/>
      <c r="G34" s="48" t="n"/>
      <c r="H34" s="88">
        <f>SUMIF('4月部门分发'!B:B,A34,'4月部门分发'!DV:DV)</f>
        <v/>
      </c>
      <c r="I34" s="48">
        <f>H34*60</f>
        <v/>
      </c>
      <c r="J34" s="48">
        <f>SUMIF('4月部门分发'!B:B,A34,'4月部门分发'!DW:DW)</f>
        <v/>
      </c>
      <c r="K34" s="48" t="n"/>
      <c r="L34" s="48" t="n"/>
      <c r="M34" s="48" t="n"/>
      <c r="N34" s="48" t="n"/>
      <c r="O34" s="48" t="n"/>
      <c r="P34" s="48" t="n"/>
      <c r="Q34" s="48" t="n"/>
      <c r="R34" s="48">
        <f>J34+K34+L34+M34+N34+O34+P34+Q34</f>
        <v/>
      </c>
      <c r="S34" s="48" t="n"/>
      <c r="T34" s="48" t="n"/>
      <c r="U34" s="48" t="n"/>
      <c r="V34" s="48" t="n"/>
      <c r="W34" s="48" t="n"/>
    </row>
    <row r="35" ht="31" customHeight="1">
      <c r="A35" s="48" t="inlineStr">
        <is>
          <t>黄华</t>
        </is>
      </c>
      <c r="B35" s="48" t="n"/>
      <c r="C35" s="48" t="n"/>
      <c r="D35" s="48" t="n"/>
      <c r="E35" s="48" t="n"/>
      <c r="F35" s="48" t="n"/>
      <c r="G35" s="48" t="n"/>
      <c r="H35" s="88">
        <f>SUMIF('4月部门分发'!B:B,A35,'4月部门分发'!DV:DV)</f>
        <v/>
      </c>
      <c r="I35" s="48">
        <f>H35*60</f>
        <v/>
      </c>
      <c r="J35" s="48">
        <f>SUMIF('4月部门分发'!B:B,A35,'4月部门分发'!DW:DW)</f>
        <v/>
      </c>
      <c r="K35" s="48" t="n"/>
      <c r="L35" s="48" t="n"/>
      <c r="M35" s="48" t="n"/>
      <c r="N35" s="48" t="n"/>
      <c r="O35" s="48" t="n"/>
      <c r="P35" s="48" t="n"/>
      <c r="Q35" s="48" t="n"/>
      <c r="R35" s="48">
        <f>J35+K35+L35+M35+N35+O35+P35+Q35</f>
        <v/>
      </c>
      <c r="S35" s="48" t="n"/>
      <c r="T35" s="48" t="n"/>
      <c r="U35" s="48" t="n"/>
      <c r="V35" s="48" t="n"/>
      <c r="W35" s="48" t="n"/>
    </row>
    <row r="36" ht="31" customHeight="1">
      <c r="A36" s="48" t="inlineStr">
        <is>
          <t>康波</t>
        </is>
      </c>
      <c r="B36" s="48" t="n"/>
      <c r="C36" s="48" t="n"/>
      <c r="D36" s="48" t="n"/>
      <c r="E36" s="48" t="n"/>
      <c r="F36" s="48" t="n"/>
      <c r="G36" s="48" t="n"/>
      <c r="H36" s="88">
        <f>SUMIF('4月部门分发'!B:B,A36,'4月部门分发'!DV:DV)</f>
        <v/>
      </c>
      <c r="I36" s="48">
        <f>H36*60</f>
        <v/>
      </c>
      <c r="J36" s="48">
        <f>SUMIF('4月部门分发'!B:B,A36,'4月部门分发'!DW:DW)</f>
        <v/>
      </c>
      <c r="K36" s="48" t="n"/>
      <c r="L36" s="48" t="n"/>
      <c r="M36" s="48" t="n"/>
      <c r="N36" s="48" t="n"/>
      <c r="O36" s="48" t="n"/>
      <c r="P36" s="48" t="n"/>
      <c r="Q36" s="48" t="n"/>
      <c r="R36" s="48">
        <f>J36+K36+L36+M36+N36+O36+P36+Q36</f>
        <v/>
      </c>
      <c r="S36" s="48" t="n"/>
      <c r="T36" s="48" t="n"/>
      <c r="U36" s="48" t="n"/>
      <c r="V36" s="48" t="n"/>
      <c r="W36" s="48" t="n"/>
    </row>
    <row r="37" ht="31" customHeight="1">
      <c r="A37" s="48" t="inlineStr">
        <is>
          <t>罗雨</t>
        </is>
      </c>
      <c r="B37" s="48" t="n"/>
      <c r="C37" s="48" t="n"/>
      <c r="D37" s="48" t="n"/>
      <c r="E37" s="48" t="n"/>
      <c r="F37" s="48" t="n"/>
      <c r="G37" s="48" t="n"/>
      <c r="H37" s="88">
        <f>SUMIF('4月部门分发'!B:B,A37,'4月部门分发'!DV:DV)</f>
        <v/>
      </c>
      <c r="I37" s="48">
        <f>H37*60</f>
        <v/>
      </c>
      <c r="J37" s="48">
        <f>SUMIF('4月部门分发'!B:B,A37,'4月部门分发'!DW:DW)</f>
        <v/>
      </c>
      <c r="K37" s="48" t="n"/>
      <c r="L37" s="48" t="n"/>
      <c r="M37" s="48" t="n"/>
      <c r="N37" s="48" t="n"/>
      <c r="O37" s="48" t="n"/>
      <c r="P37" s="48" t="n"/>
      <c r="Q37" s="48" t="n"/>
      <c r="R37" s="48">
        <f>J37+K37+L37+M37+N37+O37+P37+Q37</f>
        <v/>
      </c>
      <c r="S37" s="48" t="n"/>
      <c r="T37" s="48" t="n"/>
      <c r="U37" s="48" t="n"/>
      <c r="V37" s="48" t="n"/>
      <c r="W37" s="48" t="n"/>
    </row>
    <row r="38" ht="31" customHeight="1">
      <c r="A38" s="48" t="inlineStr">
        <is>
          <t>谭勇</t>
        </is>
      </c>
      <c r="B38" s="48" t="n"/>
      <c r="C38" s="48" t="n"/>
      <c r="D38" s="48" t="n"/>
      <c r="E38" s="48" t="n"/>
      <c r="F38" s="48" t="n"/>
      <c r="G38" s="48" t="n"/>
      <c r="H38" s="88">
        <f>SUMIF('4月部门分发'!B:B,A38,'4月部门分发'!DV:DV)</f>
        <v/>
      </c>
      <c r="I38" s="48">
        <f>H38*60</f>
        <v/>
      </c>
      <c r="J38" s="48">
        <f>SUMIF('4月部门分发'!B:B,A38,'4月部门分发'!DW:DW)</f>
        <v/>
      </c>
      <c r="K38" s="48" t="n"/>
      <c r="L38" s="48" t="n"/>
      <c r="M38" s="48" t="n"/>
      <c r="N38" s="48" t="n"/>
      <c r="O38" s="48" t="n"/>
      <c r="P38" s="48" t="n"/>
      <c r="Q38" s="48" t="n"/>
      <c r="R38" s="48">
        <f>J38+K38+L38+M38+N38+O38+P38+Q38</f>
        <v/>
      </c>
      <c r="S38" s="48" t="n"/>
      <c r="T38" s="48" t="n"/>
      <c r="U38" s="48" t="n"/>
      <c r="V38" s="48" t="n"/>
      <c r="W38" s="48" t="n"/>
    </row>
    <row r="39" ht="31" customHeight="1">
      <c r="A39" s="48" t="inlineStr">
        <is>
          <t>赵豪杰</t>
        </is>
      </c>
      <c r="B39" s="48" t="n"/>
      <c r="C39" s="48" t="n"/>
      <c r="D39" s="48" t="n"/>
      <c r="E39" s="48" t="n"/>
      <c r="F39" s="48" t="n"/>
      <c r="G39" s="48" t="n"/>
      <c r="H39" s="88">
        <f>SUMIF('4月部门分发'!B:B,A39,'4月部门分发'!DV:DV)</f>
        <v/>
      </c>
      <c r="I39" s="48">
        <f>H39*60</f>
        <v/>
      </c>
      <c r="J39" s="48">
        <f>SUMIF('4月部门分发'!B:B,A39,'4月部门分发'!DW:DW)</f>
        <v/>
      </c>
      <c r="K39" s="48" t="n"/>
      <c r="L39" s="48" t="n"/>
      <c r="M39" s="48" t="n"/>
      <c r="N39" s="48" t="n"/>
      <c r="O39" s="48" t="n"/>
      <c r="P39" s="48" t="n"/>
      <c r="Q39" s="48" t="n"/>
      <c r="R39" s="48">
        <f>J39+K39+L39+M39+N39+O39+P39+Q39</f>
        <v/>
      </c>
      <c r="S39" s="48" t="n"/>
      <c r="T39" s="48" t="n"/>
      <c r="U39" s="48" t="n"/>
      <c r="V39" s="48" t="n"/>
      <c r="W39" s="48" t="n"/>
    </row>
    <row r="40" ht="31" customHeight="1">
      <c r="A40" s="48" t="inlineStr">
        <is>
          <t>田鹏飞</t>
        </is>
      </c>
      <c r="B40" s="48" t="n"/>
      <c r="C40" s="48" t="n"/>
      <c r="D40" s="48" t="n"/>
      <c r="E40" s="48" t="n"/>
      <c r="F40" s="48" t="n"/>
      <c r="G40" s="48" t="n"/>
      <c r="H40" s="88">
        <f>SUMIF('4月部门分发'!B:B,A40,'4月部门分发'!DV:DV)</f>
        <v/>
      </c>
      <c r="I40" s="48">
        <f>H40*60</f>
        <v/>
      </c>
      <c r="J40" s="48">
        <f>SUMIF('4月部门分发'!B:B,A40,'4月部门分发'!DW:DW)</f>
        <v/>
      </c>
      <c r="K40" s="48" t="n"/>
      <c r="L40" s="48" t="n"/>
      <c r="M40" s="48" t="n"/>
      <c r="N40" s="48" t="n"/>
      <c r="O40" s="48" t="n"/>
      <c r="P40" s="48" t="n"/>
      <c r="Q40" s="48" t="n"/>
      <c r="R40" s="48">
        <f>J40+K40+L40+M40+N40+O40+P40+Q40</f>
        <v/>
      </c>
      <c r="S40" s="48" t="n"/>
      <c r="T40" s="48" t="n"/>
      <c r="U40" s="48" t="n"/>
      <c r="V40" s="48" t="n"/>
      <c r="W40" s="48" t="n"/>
    </row>
    <row r="41" ht="31" customHeight="1">
      <c r="A41" s="48" t="inlineStr">
        <is>
          <t>谢灵</t>
        </is>
      </c>
      <c r="B41" s="48" t="n"/>
      <c r="C41" s="48" t="n"/>
      <c r="D41" s="48" t="n"/>
      <c r="E41" s="48" t="n"/>
      <c r="F41" s="48" t="n"/>
      <c r="G41" s="48" t="n"/>
      <c r="H41" s="88">
        <f>SUMIF('4月部门分发'!B:B,A41,'4月部门分发'!DV:DV)</f>
        <v/>
      </c>
      <c r="I41" s="48">
        <f>H41*60</f>
        <v/>
      </c>
      <c r="J41" s="48">
        <f>SUMIF('4月部门分发'!B:B,A41,'4月部门分发'!DW:DW)</f>
        <v/>
      </c>
      <c r="K41" s="48" t="n"/>
      <c r="L41" s="48" t="n"/>
      <c r="M41" s="48" t="n"/>
      <c r="N41" s="48" t="n"/>
      <c r="O41" s="48" t="n"/>
      <c r="P41" s="48" t="n"/>
      <c r="Q41" s="48" t="n"/>
      <c r="R41" s="48">
        <f>J41+K41+L41+M41+N41+O41+P41+Q41</f>
        <v/>
      </c>
      <c r="S41" s="48" t="n"/>
      <c r="T41" s="48" t="n"/>
      <c r="U41" s="48" t="n"/>
      <c r="V41" s="48" t="n"/>
      <c r="W41" s="48" t="n"/>
    </row>
    <row r="42" ht="31" customHeight="1">
      <c r="A42" s="48" t="inlineStr">
        <is>
          <t>周朝会</t>
        </is>
      </c>
      <c r="B42" s="48" t="n"/>
      <c r="C42" s="48" t="n"/>
      <c r="D42" s="48" t="n"/>
      <c r="E42" s="48" t="n"/>
      <c r="F42" s="48" t="n"/>
      <c r="G42" s="48" t="n"/>
      <c r="H42" s="88">
        <f>SUMIF('4月部门分发'!B:B,A42,'4月部门分发'!DV:DV)</f>
        <v/>
      </c>
      <c r="I42" s="48">
        <f>H42*60</f>
        <v/>
      </c>
      <c r="J42" s="48">
        <f>SUMIF('4月部门分发'!B:B,A42,'4月部门分发'!DW:DW)</f>
        <v/>
      </c>
      <c r="K42" s="48" t="n"/>
      <c r="L42" s="48" t="n"/>
      <c r="M42" s="48" t="n"/>
      <c r="N42" s="48" t="n"/>
      <c r="O42" s="48" t="n"/>
      <c r="P42" s="48" t="n"/>
      <c r="Q42" s="48" t="n"/>
      <c r="R42" s="48">
        <f>J42+K42+L42+M42+N42+O42+P42+Q42</f>
        <v/>
      </c>
      <c r="S42" s="48" t="n"/>
      <c r="T42" s="48" t="n"/>
      <c r="U42" s="48" t="n"/>
      <c r="V42" s="48" t="n"/>
      <c r="W42" s="48" t="n"/>
    </row>
    <row r="43" ht="31" customHeight="1">
      <c r="A43" s="48" t="inlineStr">
        <is>
          <t>伍梦柯</t>
        </is>
      </c>
      <c r="B43" s="48" t="n"/>
      <c r="C43" s="48" t="n"/>
      <c r="D43" s="48" t="n"/>
      <c r="E43" s="48" t="n"/>
      <c r="F43" s="48" t="n"/>
      <c r="G43" s="48" t="n"/>
      <c r="H43" s="88">
        <f>SUMIF('4月部门分发'!B:B,A43,'4月部门分发'!DV:DV)</f>
        <v/>
      </c>
      <c r="I43" s="48">
        <f>H43*60</f>
        <v/>
      </c>
      <c r="J43" s="48">
        <f>SUMIF('4月部门分发'!B:B,A43,'4月部门分发'!DW:DW)</f>
        <v/>
      </c>
      <c r="K43" s="48" t="n"/>
      <c r="L43" s="48" t="n"/>
      <c r="M43" s="48" t="n"/>
      <c r="N43" s="48" t="n"/>
      <c r="O43" s="48" t="n"/>
      <c r="P43" s="48" t="n"/>
      <c r="Q43" s="48" t="n"/>
      <c r="R43" s="48">
        <f>J43+K43+L43+M43+N43+O43+P43+Q43</f>
        <v/>
      </c>
      <c r="S43" s="48" t="n"/>
      <c r="T43" s="48" t="n"/>
      <c r="U43" s="48" t="n"/>
      <c r="V43" s="48" t="n"/>
      <c r="W43" s="48" t="n"/>
    </row>
    <row r="44" ht="31" customHeight="1">
      <c r="A44" s="48" t="inlineStr">
        <is>
          <t>陶杨</t>
        </is>
      </c>
      <c r="B44" s="48" t="n"/>
      <c r="C44" s="48" t="n"/>
      <c r="D44" s="48" t="n"/>
      <c r="E44" s="48" t="n"/>
      <c r="F44" s="48" t="n"/>
      <c r="G44" s="48" t="n"/>
      <c r="H44" s="88">
        <f>SUMIF('4月部门分发'!B:B,A44,'4月部门分发'!DV:DV)</f>
        <v/>
      </c>
      <c r="I44" s="48">
        <f>H44*60</f>
        <v/>
      </c>
      <c r="J44" s="48">
        <f>SUMIF('4月部门分发'!B:B,A44,'4月部门分发'!DW:DW)</f>
        <v/>
      </c>
      <c r="K44" s="48" t="n"/>
      <c r="L44" s="48" t="n"/>
      <c r="M44" s="48" t="n"/>
      <c r="N44" s="48" t="n"/>
      <c r="O44" s="48" t="n"/>
      <c r="P44" s="48" t="n"/>
      <c r="Q44" s="48" t="n"/>
      <c r="R44" s="48">
        <f>J44+K44+L44+M44+N44+O44+P44+Q44</f>
        <v/>
      </c>
      <c r="S44" s="48" t="n"/>
      <c r="T44" s="48" t="n"/>
      <c r="U44" s="48" t="n"/>
      <c r="V44" s="48" t="n"/>
      <c r="W44" s="48" t="n"/>
    </row>
    <row r="45" ht="31" customHeight="1">
      <c r="A45" s="48" t="inlineStr">
        <is>
          <t>李志明</t>
        </is>
      </c>
      <c r="B45" s="48" t="n"/>
      <c r="C45" s="48" t="n"/>
      <c r="D45" s="48" t="n"/>
      <c r="E45" s="48" t="n"/>
      <c r="F45" s="48" t="n"/>
      <c r="G45" s="48" t="n"/>
      <c r="H45" s="88">
        <f>SUMIF('4月部门分发'!B:B,A45,'4月部门分发'!DV:DV)</f>
        <v/>
      </c>
      <c r="I45" s="48">
        <f>H45*60</f>
        <v/>
      </c>
      <c r="J45" s="48">
        <f>SUMIF('4月部门分发'!B:B,A45,'4月部门分发'!DW:DW)</f>
        <v/>
      </c>
      <c r="K45" s="48" t="n"/>
      <c r="L45" s="48" t="n"/>
      <c r="M45" s="48" t="n"/>
      <c r="N45" s="48" t="n"/>
      <c r="O45" s="48" t="n"/>
      <c r="P45" s="48" t="n"/>
      <c r="Q45" s="48" t="n"/>
      <c r="R45" s="48">
        <f>J45+K45+L45+M45+N45+O45+P45+Q45</f>
        <v/>
      </c>
      <c r="S45" s="48" t="n"/>
      <c r="T45" s="48" t="n"/>
      <c r="U45" s="48" t="n"/>
      <c r="V45" s="48" t="n"/>
      <c r="W45" s="48" t="n"/>
    </row>
    <row r="46" ht="31" customHeight="1">
      <c r="A46" s="48" t="inlineStr">
        <is>
          <t>漆娇</t>
        </is>
      </c>
      <c r="B46" s="48" t="n"/>
      <c r="C46" s="48" t="n"/>
      <c r="D46" s="48" t="n"/>
      <c r="E46" s="48" t="n"/>
      <c r="F46" s="48" t="n"/>
      <c r="G46" s="48" t="n"/>
      <c r="H46" s="88">
        <f>SUMIF('4月部门分发'!B:B,A46,'4月部门分发'!DV:DV)</f>
        <v/>
      </c>
      <c r="I46" s="48">
        <f>H46*60</f>
        <v/>
      </c>
      <c r="J46" s="48">
        <f>SUMIF('4月部门分发'!B:B,A46,'4月部门分发'!DW:DW)</f>
        <v/>
      </c>
      <c r="K46" s="48" t="n"/>
      <c r="L46" s="48" t="n"/>
      <c r="M46" s="48" t="n"/>
      <c r="N46" s="48" t="n"/>
      <c r="O46" s="48" t="n"/>
      <c r="P46" s="48" t="n"/>
      <c r="Q46" s="48" t="n"/>
      <c r="R46" s="48">
        <f>J46+K46+L46+M46+N46+O46+P46+Q46</f>
        <v/>
      </c>
      <c r="S46" s="48" t="n"/>
      <c r="T46" s="48" t="n"/>
      <c r="U46" s="48" t="n"/>
      <c r="V46" s="48" t="n"/>
      <c r="W46" s="48" t="n"/>
    </row>
    <row r="47" ht="31" customHeight="1">
      <c r="A47" s="48" t="inlineStr">
        <is>
          <t>唐良基</t>
        </is>
      </c>
      <c r="B47" s="48" t="n"/>
      <c r="C47" s="48" t="n"/>
      <c r="D47" s="48" t="n"/>
      <c r="E47" s="48" t="n"/>
      <c r="F47" s="48" t="n"/>
      <c r="G47" s="48" t="n"/>
      <c r="H47" s="88">
        <f>SUMIF('4月部门分发'!B:B,A47,'4月部门分发'!DV:DV)</f>
        <v/>
      </c>
      <c r="I47" s="48">
        <f>H47*60</f>
        <v/>
      </c>
      <c r="J47" s="48">
        <f>SUMIF('4月部门分发'!B:B,A47,'4月部门分发'!DW:DW)</f>
        <v/>
      </c>
      <c r="K47" s="48" t="n"/>
      <c r="L47" s="48" t="n"/>
      <c r="M47" s="48" t="n"/>
      <c r="N47" s="48" t="n"/>
      <c r="O47" s="48" t="n"/>
      <c r="P47" s="48" t="n"/>
      <c r="Q47" s="48" t="n"/>
      <c r="R47" s="48">
        <f>J47+K47+L47+M47+N47+O47+P47+Q47</f>
        <v/>
      </c>
      <c r="S47" s="48" t="n"/>
      <c r="T47" s="48" t="n"/>
      <c r="U47" s="48" t="n"/>
      <c r="V47" s="48" t="n"/>
      <c r="W47" s="48" t="n"/>
    </row>
    <row r="48" ht="31" customHeight="1">
      <c r="A48" s="48" t="inlineStr">
        <is>
          <t>刘明</t>
        </is>
      </c>
      <c r="B48" s="48" t="n"/>
      <c r="C48" s="48" t="n"/>
      <c r="D48" s="48" t="n"/>
      <c r="E48" s="48" t="n"/>
      <c r="F48" s="48" t="n"/>
      <c r="G48" s="48" t="n"/>
      <c r="H48" s="88">
        <f>SUMIF('4月部门分发'!B:B,A48,'4月部门分发'!DV:DV)</f>
        <v/>
      </c>
      <c r="I48" s="48">
        <f>H48*60</f>
        <v/>
      </c>
      <c r="J48" s="48">
        <f>SUMIF('4月部门分发'!B:B,A48,'4月部门分发'!DW:DW)</f>
        <v/>
      </c>
      <c r="K48" s="48" t="n"/>
      <c r="L48" s="48" t="n"/>
      <c r="M48" s="48" t="n"/>
      <c r="N48" s="48" t="n"/>
      <c r="O48" s="48" t="n"/>
      <c r="P48" s="48" t="n"/>
      <c r="Q48" s="48" t="n"/>
      <c r="R48" s="48">
        <f>J48+K48+L48+M48+N48+O48+P48+Q48</f>
        <v/>
      </c>
      <c r="S48" s="48" t="n"/>
      <c r="T48" s="48" t="n"/>
      <c r="U48" s="48" t="n"/>
      <c r="V48" s="48" t="n"/>
      <c r="W48" s="48" t="n"/>
    </row>
    <row r="49" ht="31" customHeight="1">
      <c r="A49" s="48" t="inlineStr">
        <is>
          <t>高源</t>
        </is>
      </c>
      <c r="B49" s="48" t="n"/>
      <c r="C49" s="48" t="n"/>
      <c r="D49" s="48" t="n"/>
      <c r="E49" s="48" t="n"/>
      <c r="F49" s="48" t="n"/>
      <c r="G49" s="48" t="n"/>
      <c r="H49" s="88">
        <f>SUMIF('4月部门分发'!B:B,A49,'4月部门分发'!DV:DV)</f>
        <v/>
      </c>
      <c r="I49" s="48">
        <f>H49*60</f>
        <v/>
      </c>
      <c r="J49" s="48">
        <f>SUMIF('4月部门分发'!B:B,A49,'4月部门分发'!DW:DW)</f>
        <v/>
      </c>
      <c r="K49" s="48" t="n"/>
      <c r="L49" s="48" t="n"/>
      <c r="M49" s="48" t="n"/>
      <c r="N49" s="48" t="n"/>
      <c r="O49" s="48" t="n"/>
      <c r="P49" s="48" t="n"/>
      <c r="Q49" s="48" t="n"/>
      <c r="R49" s="48">
        <f>J49+K49+L49+M49+N49+O49+P49+Q49</f>
        <v/>
      </c>
      <c r="S49" s="48" t="n"/>
      <c r="T49" s="48" t="n"/>
      <c r="U49" s="48" t="n"/>
      <c r="V49" s="48" t="n"/>
      <c r="W49" s="48" t="n"/>
    </row>
    <row r="50" ht="31" customHeight="1">
      <c r="A50" s="48" t="inlineStr">
        <is>
          <t>张兴六</t>
        </is>
      </c>
      <c r="B50" s="48" t="n"/>
      <c r="C50" s="48" t="n"/>
      <c r="D50" s="48" t="n"/>
      <c r="E50" s="48" t="n"/>
      <c r="F50" s="48" t="n"/>
      <c r="G50" s="48" t="n"/>
      <c r="H50" s="88">
        <f>SUMIF('4月部门分发'!B:B,A50,'4月部门分发'!DV:DV)</f>
        <v/>
      </c>
      <c r="I50" s="48">
        <f>H50*60</f>
        <v/>
      </c>
      <c r="J50" s="48">
        <f>SUMIF('4月部门分发'!B:B,A50,'4月部门分发'!DW:DW)</f>
        <v/>
      </c>
      <c r="K50" s="48" t="n"/>
      <c r="L50" s="48" t="n"/>
      <c r="M50" s="48" t="n"/>
      <c r="N50" s="48" t="n"/>
      <c r="O50" s="48" t="n"/>
      <c r="P50" s="48" t="n"/>
      <c r="Q50" s="48" t="n"/>
      <c r="R50" s="48">
        <f>J50+K50+L50+M50+N50+O50+P50+Q50</f>
        <v/>
      </c>
      <c r="S50" s="48" t="n"/>
      <c r="T50" s="48" t="n"/>
      <c r="U50" s="48" t="n"/>
      <c r="V50" s="48" t="n"/>
      <c r="W50" s="48" t="n"/>
    </row>
    <row r="51" ht="31" customHeight="1">
      <c r="A51" s="48" t="inlineStr">
        <is>
          <t>何汉秀</t>
        </is>
      </c>
      <c r="B51" s="48" t="n"/>
      <c r="C51" s="48" t="n"/>
      <c r="D51" s="48" t="n"/>
      <c r="E51" s="48" t="n"/>
      <c r="F51" s="48" t="n"/>
      <c r="G51" s="48" t="n"/>
      <c r="H51" s="88">
        <f>SUMIF('4月部门分发'!B:B,A51,'4月部门分发'!DV:DV)</f>
        <v/>
      </c>
      <c r="I51" s="48">
        <f>H51*60</f>
        <v/>
      </c>
      <c r="J51" s="48">
        <f>SUMIF('4月部门分发'!B:B,A51,'4月部门分发'!DW:DW)</f>
        <v/>
      </c>
      <c r="K51" s="48" t="n"/>
      <c r="L51" s="48" t="n"/>
      <c r="M51" s="48" t="n"/>
      <c r="N51" s="48" t="n"/>
      <c r="O51" s="48" t="n"/>
      <c r="P51" s="48" t="n"/>
      <c r="Q51" s="48" t="n"/>
      <c r="R51" s="48">
        <f>J51+K51+L51+M51+N51+O51+P51+Q51</f>
        <v/>
      </c>
      <c r="S51" s="48" t="n"/>
      <c r="T51" s="48" t="n"/>
      <c r="U51" s="48" t="n"/>
      <c r="V51" s="48" t="n"/>
      <c r="W51" s="48" t="n"/>
    </row>
    <row r="52" ht="31" customHeight="1">
      <c r="A52" s="48" t="inlineStr">
        <is>
          <t>李春严</t>
        </is>
      </c>
      <c r="B52" s="48" t="n"/>
      <c r="C52" s="48" t="n"/>
      <c r="D52" s="48" t="n"/>
      <c r="E52" s="48" t="n"/>
      <c r="F52" s="48" t="n"/>
      <c r="G52" s="48" t="n"/>
      <c r="H52" s="88">
        <f>SUMIF('4月部门分发'!B:B,A52,'4月部门分发'!DV:DV)</f>
        <v/>
      </c>
      <c r="I52" s="48">
        <f>H52*60</f>
        <v/>
      </c>
      <c r="J52" s="48">
        <f>SUMIF('4月部门分发'!B:B,A52,'4月部门分发'!DW:DW)</f>
        <v/>
      </c>
      <c r="K52" s="48" t="n"/>
      <c r="L52" s="48" t="n"/>
      <c r="M52" s="48" t="n"/>
      <c r="N52" s="48" t="n"/>
      <c r="O52" s="48" t="n"/>
      <c r="P52" s="48" t="n"/>
      <c r="Q52" s="48" t="n"/>
      <c r="R52" s="48">
        <f>J52+K52+L52+M52+N52+O52+P52+Q52</f>
        <v/>
      </c>
      <c r="S52" s="48" t="n"/>
      <c r="T52" s="48" t="n"/>
      <c r="U52" s="48" t="n"/>
      <c r="V52" s="48" t="n"/>
      <c r="W52" s="48" t="n"/>
    </row>
    <row r="53" ht="31" customHeight="1">
      <c r="A53" s="48" t="inlineStr">
        <is>
          <t>姜全洪</t>
        </is>
      </c>
      <c r="B53" s="48" t="n"/>
      <c r="C53" s="48" t="n"/>
      <c r="D53" s="48" t="n"/>
      <c r="E53" s="48" t="n"/>
      <c r="F53" s="48" t="n"/>
      <c r="G53" s="48" t="n"/>
      <c r="H53" s="88">
        <f>SUMIF('4月部门分发'!B:B,A53,'4月部门分发'!DV:DV)</f>
        <v/>
      </c>
      <c r="I53" s="48">
        <f>H53*60</f>
        <v/>
      </c>
      <c r="J53" s="48">
        <f>SUMIF('4月部门分发'!B:B,A53,'4月部门分发'!DW:DW)</f>
        <v/>
      </c>
      <c r="K53" s="48" t="n"/>
      <c r="L53" s="48" t="n"/>
      <c r="M53" s="48" t="n"/>
      <c r="N53" s="48" t="n"/>
      <c r="O53" s="48" t="n"/>
      <c r="P53" s="48" t="n"/>
      <c r="Q53" s="48" t="n"/>
      <c r="R53" s="48">
        <f>J53+K53+L53+M53+N53+O53+P53+Q53</f>
        <v/>
      </c>
      <c r="S53" s="48" t="n"/>
      <c r="T53" s="48" t="n"/>
      <c r="U53" s="48" t="n"/>
      <c r="V53" s="48" t="n"/>
      <c r="W53" s="48" t="n"/>
    </row>
    <row r="54" ht="31" customHeight="1">
      <c r="A54" s="48" t="inlineStr">
        <is>
          <t>李丰希</t>
        </is>
      </c>
      <c r="B54" s="48" t="n"/>
      <c r="C54" s="48" t="n"/>
      <c r="D54" s="48" t="n"/>
      <c r="E54" s="48" t="n"/>
      <c r="F54" s="48" t="n"/>
      <c r="G54" s="48" t="n"/>
      <c r="H54" s="88">
        <f>SUMIF('4月部门分发'!B:B,A54,'4月部门分发'!DV:DV)</f>
        <v/>
      </c>
      <c r="I54" s="48">
        <f>H54*60</f>
        <v/>
      </c>
      <c r="J54" s="48">
        <f>SUMIF('4月部门分发'!B:B,A54,'4月部门分发'!DW:DW)</f>
        <v/>
      </c>
      <c r="K54" s="48" t="n"/>
      <c r="L54" s="48" t="n"/>
      <c r="M54" s="48" t="n"/>
      <c r="N54" s="48" t="n"/>
      <c r="O54" s="48" t="n"/>
      <c r="P54" s="48" t="n"/>
      <c r="Q54" s="48" t="n"/>
      <c r="R54" s="48">
        <f>J54+K54+L54+M54+N54+O54+P54+Q54</f>
        <v/>
      </c>
      <c r="S54" s="48" t="n"/>
      <c r="T54" s="48" t="n"/>
      <c r="U54" s="48" t="n"/>
      <c r="V54" s="48" t="n"/>
      <c r="W54" s="48" t="n"/>
    </row>
    <row r="55" ht="31" customHeight="1">
      <c r="A55" s="48" t="inlineStr">
        <is>
          <t>许军</t>
        </is>
      </c>
      <c r="B55" s="48" t="n"/>
      <c r="C55" s="48" t="n"/>
      <c r="D55" s="48" t="n"/>
      <c r="E55" s="48" t="n"/>
      <c r="F55" s="48" t="n"/>
      <c r="G55" s="48" t="n"/>
      <c r="H55" s="88">
        <f>SUMIF('4月部门分发'!B:B,A55,'4月部门分发'!DV:DV)</f>
        <v/>
      </c>
      <c r="I55" s="48">
        <f>H55*60</f>
        <v/>
      </c>
      <c r="J55" s="48">
        <f>SUMIF('4月部门分发'!B:B,A55,'4月部门分发'!DW:DW)</f>
        <v/>
      </c>
      <c r="K55" s="48" t="n"/>
      <c r="L55" s="48" t="n"/>
      <c r="M55" s="48" t="n"/>
      <c r="N55" s="48" t="n"/>
      <c r="O55" s="48" t="n"/>
      <c r="P55" s="48" t="n"/>
      <c r="Q55" s="48" t="n"/>
      <c r="R55" s="48">
        <f>J55+K55+L55+M55+N55+O55+P55+Q55</f>
        <v/>
      </c>
      <c r="S55" s="48" t="n"/>
      <c r="T55" s="48" t="n"/>
      <c r="U55" s="48" t="n"/>
      <c r="V55" s="48" t="n"/>
      <c r="W55" s="48" t="n"/>
    </row>
    <row r="56" ht="31" customHeight="1">
      <c r="A56" s="48" t="inlineStr">
        <is>
          <t>王美镪</t>
        </is>
      </c>
      <c r="B56" s="48" t="n"/>
      <c r="C56" s="48" t="n"/>
      <c r="D56" s="48" t="n"/>
      <c r="E56" s="48" t="n"/>
      <c r="F56" s="48" t="n"/>
      <c r="G56" s="48" t="n"/>
      <c r="H56" s="88">
        <f>SUMIF('4月部门分发'!B:B,A56,'4月部门分发'!DV:DV)</f>
        <v/>
      </c>
      <c r="I56" s="48">
        <f>H56*60</f>
        <v/>
      </c>
      <c r="J56" s="48">
        <f>SUMIF('4月部门分发'!B:B,A56,'4月部门分发'!DW:DW)</f>
        <v/>
      </c>
      <c r="K56" s="48" t="n"/>
      <c r="L56" s="48" t="n"/>
      <c r="M56" s="48" t="n"/>
      <c r="N56" s="48" t="n"/>
      <c r="O56" s="48" t="n"/>
      <c r="P56" s="48" t="n"/>
      <c r="Q56" s="48" t="n"/>
      <c r="R56" s="48">
        <f>J56+K56+L56+M56+N56+O56+P56+Q56</f>
        <v/>
      </c>
      <c r="S56" s="48" t="n"/>
      <c r="T56" s="48" t="n"/>
      <c r="U56" s="48" t="n"/>
      <c r="V56" s="48" t="n"/>
      <c r="W56" s="48" t="n"/>
    </row>
    <row r="57" ht="31" customHeight="1">
      <c r="A57" s="48" t="inlineStr">
        <is>
          <t>黄义晴</t>
        </is>
      </c>
      <c r="B57" s="48" t="n"/>
      <c r="C57" s="48" t="n"/>
      <c r="D57" s="48" t="n"/>
      <c r="E57" s="48" t="n"/>
      <c r="F57" s="48" t="n"/>
      <c r="G57" s="48" t="n"/>
      <c r="H57" s="88">
        <f>SUMIF('4月部门分发'!B:B,A57,'4月部门分发'!DV:DV)</f>
        <v/>
      </c>
      <c r="I57" s="48">
        <f>H57*60</f>
        <v/>
      </c>
      <c r="J57" s="48">
        <f>SUMIF('4月部门分发'!B:B,A57,'4月部门分发'!DW:DW)</f>
        <v/>
      </c>
      <c r="K57" s="48" t="n"/>
      <c r="L57" s="48" t="n"/>
      <c r="M57" s="48" t="n"/>
      <c r="N57" s="48" t="n"/>
      <c r="O57" s="48" t="n"/>
      <c r="P57" s="48" t="n"/>
      <c r="Q57" s="48" t="n"/>
      <c r="R57" s="48">
        <f>J57+K57+L57+M57+N57+O57+P57+Q57</f>
        <v/>
      </c>
      <c r="S57" s="48" t="n"/>
      <c r="T57" s="48" t="n"/>
      <c r="U57" s="48" t="n"/>
      <c r="V57" s="48" t="n"/>
      <c r="W57" s="48" t="n"/>
    </row>
    <row r="58" ht="31" customHeight="1">
      <c r="A58" s="48" t="inlineStr">
        <is>
          <t>何绍奇</t>
        </is>
      </c>
      <c r="B58" s="48" t="n"/>
      <c r="C58" s="48" t="n"/>
      <c r="D58" s="48" t="n"/>
      <c r="E58" s="48" t="n"/>
      <c r="F58" s="48" t="n"/>
      <c r="G58" s="48" t="n"/>
      <c r="H58" s="88">
        <f>SUMIF('4月部门分发'!B:B,A58,'4月部门分发'!DV:DV)</f>
        <v/>
      </c>
      <c r="I58" s="48">
        <f>H58*60</f>
        <v/>
      </c>
      <c r="J58" s="48">
        <f>SUMIF('4月部门分发'!B:B,A58,'4月部门分发'!DW:DW)</f>
        <v/>
      </c>
      <c r="K58" s="48" t="n"/>
      <c r="L58" s="48" t="n"/>
      <c r="M58" s="48" t="n"/>
      <c r="N58" s="48" t="n"/>
      <c r="O58" s="48" t="n"/>
      <c r="P58" s="48" t="n"/>
      <c r="Q58" s="48" t="n"/>
      <c r="R58" s="48">
        <f>J58+K58+L58+M58+N58+O58+P58+Q58</f>
        <v/>
      </c>
      <c r="S58" s="48" t="n"/>
      <c r="T58" s="48" t="n"/>
      <c r="U58" s="48" t="n"/>
      <c r="V58" s="48" t="n"/>
      <c r="W58" s="48" t="n"/>
    </row>
    <row r="59" ht="31" customHeight="1">
      <c r="A59" s="48" t="inlineStr">
        <is>
          <t>旷星琪</t>
        </is>
      </c>
      <c r="B59" s="48" t="n"/>
      <c r="C59" s="48" t="n"/>
      <c r="D59" s="48" t="n"/>
      <c r="E59" s="48" t="n"/>
      <c r="F59" s="48" t="n"/>
      <c r="G59" s="48" t="n"/>
      <c r="H59" s="88">
        <f>SUMIF('4月部门分发'!B:B,A59,'4月部门分发'!DV:DV)</f>
        <v/>
      </c>
      <c r="I59" s="48">
        <f>H59*60</f>
        <v/>
      </c>
      <c r="J59" s="48">
        <f>SUMIF('4月部门分发'!B:B,A59,'4月部门分发'!DW:DW)</f>
        <v/>
      </c>
      <c r="K59" s="48" t="n"/>
      <c r="L59" s="48" t="n"/>
      <c r="M59" s="48" t="n"/>
      <c r="N59" s="48" t="n"/>
      <c r="O59" s="48" t="n"/>
      <c r="P59" s="48" t="n"/>
      <c r="Q59" s="48" t="n"/>
      <c r="R59" s="48">
        <f>J59+K59+L59+M59+N59+O59+P59+Q59</f>
        <v/>
      </c>
      <c r="S59" s="48" t="n"/>
      <c r="T59" s="48" t="n"/>
      <c r="U59" s="48" t="n"/>
      <c r="V59" s="48" t="n"/>
      <c r="W59" s="48" t="n"/>
    </row>
    <row r="60" ht="31" customHeight="1">
      <c r="A60" s="48" t="inlineStr">
        <is>
          <t>陈昌容</t>
        </is>
      </c>
      <c r="B60" s="48" t="n"/>
      <c r="C60" s="48" t="n"/>
      <c r="D60" s="48" t="n"/>
      <c r="E60" s="48" t="n"/>
      <c r="F60" s="48" t="n"/>
      <c r="G60" s="48" t="n"/>
      <c r="H60" s="88">
        <f>SUMIF('4月部门分发'!B:B,A60,'4月部门分发'!DV:DV)</f>
        <v/>
      </c>
      <c r="I60" s="48">
        <f>H60*60</f>
        <v/>
      </c>
      <c r="J60" s="48">
        <f>SUMIF('4月部门分发'!B:B,A60,'4月部门分发'!DW:DW)</f>
        <v/>
      </c>
      <c r="K60" s="48" t="n"/>
      <c r="L60" s="48" t="n"/>
      <c r="M60" s="48" t="n"/>
      <c r="N60" s="48" t="n"/>
      <c r="O60" s="48" t="n"/>
      <c r="P60" s="48" t="n"/>
      <c r="Q60" s="48" t="n"/>
      <c r="R60" s="48">
        <f>J60+K60+L60+M60+N60+O60+P60+Q60</f>
        <v/>
      </c>
      <c r="S60" s="48" t="n"/>
      <c r="T60" s="48" t="n"/>
      <c r="U60" s="48" t="n"/>
      <c r="V60" s="48" t="n"/>
      <c r="W60" s="48" t="n"/>
    </row>
    <row r="61" ht="31" customHeight="1">
      <c r="A61" s="48" t="inlineStr">
        <is>
          <t>吴洪伟</t>
        </is>
      </c>
      <c r="B61" s="48" t="n"/>
      <c r="C61" s="48" t="n"/>
      <c r="D61" s="48" t="n"/>
      <c r="E61" s="48" t="n"/>
      <c r="F61" s="48" t="n"/>
      <c r="G61" s="48" t="n"/>
      <c r="H61" s="88">
        <f>SUMIF('4月部门分发'!B:B,A61,'4月部门分发'!DV:DV)</f>
        <v/>
      </c>
      <c r="I61" s="48">
        <f>H61*60</f>
        <v/>
      </c>
      <c r="J61" s="48">
        <f>SUMIF('4月部门分发'!B:B,A61,'4月部门分发'!DW:DW)</f>
        <v/>
      </c>
      <c r="K61" s="48" t="n"/>
      <c r="L61" s="48" t="n"/>
      <c r="M61" s="48" t="n"/>
      <c r="N61" s="48" t="n"/>
      <c r="O61" s="48" t="n"/>
      <c r="P61" s="48" t="n"/>
      <c r="Q61" s="48" t="n"/>
      <c r="R61" s="48">
        <f>J61+K61+L61+M61+N61+O61+P61+Q61</f>
        <v/>
      </c>
      <c r="S61" s="48" t="n"/>
      <c r="T61" s="48" t="n"/>
      <c r="U61" s="48" t="n"/>
      <c r="V61" s="48" t="n"/>
      <c r="W61" s="48" t="n"/>
    </row>
    <row r="62" ht="31" customHeight="1">
      <c r="A62" s="48" t="inlineStr">
        <is>
          <t>熊壮</t>
        </is>
      </c>
      <c r="B62" s="48" t="n"/>
      <c r="C62" s="48" t="n"/>
      <c r="D62" s="48" t="n"/>
      <c r="E62" s="48" t="n"/>
      <c r="F62" s="48" t="n"/>
      <c r="G62" s="48" t="n"/>
      <c r="H62" s="88">
        <f>SUMIF('4月部门分发'!B:B,A62,'4月部门分发'!DV:DV)</f>
        <v/>
      </c>
      <c r="I62" s="48">
        <f>H62*60</f>
        <v/>
      </c>
      <c r="J62" s="48">
        <f>SUMIF('4月部门分发'!B:B,A62,'4月部门分发'!DW:DW)</f>
        <v/>
      </c>
      <c r="K62" s="48" t="n"/>
      <c r="L62" s="48" t="n"/>
      <c r="M62" s="48" t="n"/>
      <c r="N62" s="48" t="n"/>
      <c r="O62" s="48" t="n"/>
      <c r="P62" s="48" t="n"/>
      <c r="Q62" s="48" t="n"/>
      <c r="R62" s="48">
        <f>J62+K62+L62+M62+N62+O62+P62+Q62</f>
        <v/>
      </c>
      <c r="S62" s="48" t="n"/>
      <c r="T62" s="48" t="n"/>
      <c r="U62" s="48" t="n"/>
      <c r="V62" s="48" t="n"/>
      <c r="W62" s="48" t="n"/>
    </row>
    <row r="63" ht="31" customHeight="1">
      <c r="A63" s="48" t="inlineStr">
        <is>
          <t>覃邦斌</t>
        </is>
      </c>
      <c r="B63" s="48" t="n"/>
      <c r="C63" s="48" t="n"/>
      <c r="D63" s="48" t="n"/>
      <c r="E63" s="48" t="n"/>
      <c r="F63" s="48" t="n"/>
      <c r="G63" s="48" t="n"/>
      <c r="H63" s="88">
        <f>SUMIF('4月部门分发'!B:B,A63,'4月部门分发'!DV:DV)</f>
        <v/>
      </c>
      <c r="I63" s="48">
        <f>H63*60</f>
        <v/>
      </c>
      <c r="J63" s="48">
        <f>SUMIF('4月部门分发'!B:B,A63,'4月部门分发'!DW:DW)</f>
        <v/>
      </c>
      <c r="K63" s="48" t="n"/>
      <c r="L63" s="48" t="n"/>
      <c r="M63" s="48" t="n"/>
      <c r="N63" s="48" t="n"/>
      <c r="O63" s="48" t="n"/>
      <c r="P63" s="48" t="n"/>
      <c r="Q63" s="48" t="n"/>
      <c r="R63" s="48">
        <f>J63+K63+L63+M63+N63+O63+P63+Q63</f>
        <v/>
      </c>
      <c r="S63" s="48" t="n"/>
      <c r="T63" s="48" t="n"/>
      <c r="U63" s="48" t="n"/>
      <c r="V63" s="48" t="n"/>
      <c r="W63" s="48" t="n"/>
    </row>
    <row r="64" ht="31" customHeight="1">
      <c r="A64" s="48" t="inlineStr">
        <is>
          <t>章新灯</t>
        </is>
      </c>
      <c r="B64" s="48" t="n"/>
      <c r="C64" s="48" t="n"/>
      <c r="D64" s="48" t="n"/>
      <c r="E64" s="48" t="n"/>
      <c r="F64" s="48" t="n"/>
      <c r="G64" s="48" t="n"/>
      <c r="H64" s="88">
        <f>SUMIF('4月部门分发'!B:B,A64,'4月部门分发'!DV:DV)</f>
        <v/>
      </c>
      <c r="I64" s="48">
        <f>H64*60</f>
        <v/>
      </c>
      <c r="J64" s="48">
        <f>SUMIF('4月部门分发'!B:B,A64,'4月部门分发'!DW:DW)</f>
        <v/>
      </c>
      <c r="K64" s="48" t="n"/>
      <c r="L64" s="48" t="n"/>
      <c r="M64" s="48" t="n"/>
      <c r="N64" s="48" t="n"/>
      <c r="O64" s="48" t="n"/>
      <c r="P64" s="48" t="n"/>
      <c r="Q64" s="48" t="n"/>
      <c r="R64" s="48">
        <f>J64+K64+L64+M64+N64+O64+P64+Q64</f>
        <v/>
      </c>
      <c r="S64" s="48" t="n"/>
      <c r="T64" s="48" t="n"/>
      <c r="U64" s="48" t="n"/>
      <c r="V64" s="48" t="n"/>
      <c r="W64" s="48" t="n"/>
    </row>
    <row r="65" ht="31" customHeight="1">
      <c r="A65" s="48" t="inlineStr">
        <is>
          <t>蒋进</t>
        </is>
      </c>
      <c r="B65" s="48" t="n"/>
      <c r="C65" s="48" t="n"/>
      <c r="D65" s="48" t="n"/>
      <c r="E65" s="48" t="n"/>
      <c r="F65" s="48" t="n"/>
      <c r="G65" s="48" t="n"/>
      <c r="H65" s="88">
        <f>SUMIF('4月部门分发'!B:B,A65,'4月部门分发'!DV:DV)</f>
        <v/>
      </c>
      <c r="I65" s="48">
        <f>H65*60</f>
        <v/>
      </c>
      <c r="J65" s="48">
        <f>SUMIF('4月部门分发'!B:B,A65,'4月部门分发'!DW:DW)</f>
        <v/>
      </c>
      <c r="K65" s="48" t="n"/>
      <c r="L65" s="48" t="n"/>
      <c r="M65" s="48" t="n"/>
      <c r="N65" s="48" t="n"/>
      <c r="O65" s="48" t="n"/>
      <c r="P65" s="48" t="n"/>
      <c r="Q65" s="48" t="n"/>
      <c r="R65" s="48">
        <f>J65+K65+L65+M65+N65+O65+P65+Q65</f>
        <v/>
      </c>
      <c r="S65" s="48" t="n"/>
      <c r="T65" s="48" t="n"/>
      <c r="U65" s="48" t="n"/>
      <c r="V65" s="48" t="n"/>
      <c r="W65" s="48" t="n"/>
    </row>
    <row r="66" ht="31" customHeight="1">
      <c r="A66" s="48" t="inlineStr">
        <is>
          <t>毛玉玲</t>
        </is>
      </c>
      <c r="B66" s="48" t="n"/>
      <c r="C66" s="48" t="n"/>
      <c r="D66" s="48" t="n"/>
      <c r="E66" s="48" t="n"/>
      <c r="F66" s="48" t="n"/>
      <c r="G66" s="48" t="n"/>
      <c r="H66" s="88">
        <f>SUMIF('4月部门分发'!B:B,A66,'4月部门分发'!DV:DV)</f>
        <v/>
      </c>
      <c r="I66" s="48">
        <f>H66*60</f>
        <v/>
      </c>
      <c r="J66" s="48">
        <f>SUMIF('4月部门分发'!B:B,A66,'4月部门分发'!DW:DW)</f>
        <v/>
      </c>
      <c r="K66" s="48" t="n"/>
      <c r="L66" s="48" t="n"/>
      <c r="M66" s="48" t="n"/>
      <c r="N66" s="48" t="n"/>
      <c r="O66" s="48" t="n"/>
      <c r="P66" s="48" t="n"/>
      <c r="Q66" s="48" t="n"/>
      <c r="R66" s="48">
        <f>J66+K66+L66+M66+N66+O66+P66+Q66</f>
        <v/>
      </c>
      <c r="S66" s="48" t="n"/>
      <c r="T66" s="48" t="n"/>
      <c r="U66" s="48" t="n"/>
      <c r="V66" s="48" t="n"/>
      <c r="W66" s="48" t="n"/>
    </row>
    <row r="67" ht="15.6" customHeight="1"/>
  </sheetData>
  <autoFilter ref="A1:W57"/>
  <conditionalFormatting sqref="A58:A104857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SmackBio</dc:creator>
  <dc:title xmlns:dc="http://purl.org/dc/elements/1.1/">员工刷卡记录表</dc:title>
  <dc:description xmlns:dc="http://purl.org/dc/elements/1.1/">2016/ 1/ 1~2016/ 1/14</dc:description>
  <dcterms:created xmlns:dcterms="http://purl.org/dc/terms/" xmlns:xsi="http://www.w3.org/2001/XMLSchema-instance" xsi:type="dcterms:W3CDTF">1996-10-14T23:33:00Z</dcterms:created>
  <dcterms:modified xmlns:dcterms="http://purl.org/dc/terms/" xmlns:xsi="http://www.w3.org/2001/XMLSchema-instance" xsi:type="dcterms:W3CDTF">2026-07-09T01:56:23Z</dcterms:modified>
  <cp:lastModifiedBy>幸好流年遇见你</cp:lastModifiedBy>
  <cp:lastPrinted>2011-02-15T10:33:00Z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E473AF408FB84F5C9514F2E36CFC7756_13</vt:lpwstr>
  </property>
</Properties>
</file>