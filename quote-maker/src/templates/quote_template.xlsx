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 tabRatio="864" activeTab="1"/>
  </bookViews>
  <sheets>
    <sheet name="汇总" sheetId="38" r:id="rId1"/>
    <sheet name="1" sheetId="20" r:id="rId2"/>
    <sheet name="2" sheetId="25" r:id="rId3"/>
    <sheet name="3" sheetId="26" r:id="rId4"/>
    <sheet name="4" sheetId="27" r:id="rId5"/>
    <sheet name="5" sheetId="28" r:id="rId6"/>
    <sheet name="6" sheetId="33" r:id="rId7"/>
    <sheet name="7" sheetId="34" r:id="rId8"/>
    <sheet name="8" sheetId="35" r:id="rId9"/>
    <sheet name="9" sheetId="36" r:id="rId10"/>
    <sheet name="10" sheetId="37" r:id="rId11"/>
    <sheet name="11" sheetId="40" r:id="rId12"/>
    <sheet name="12" sheetId="41" r:id="rId13"/>
    <sheet name="13" sheetId="42" r:id="rId14"/>
    <sheet name="14" sheetId="43" r:id="rId15"/>
    <sheet name="15" sheetId="44" r:id="rId16"/>
    <sheet name="16" sheetId="45" r:id="rId17"/>
    <sheet name="17" sheetId="46" r:id="rId18"/>
    <sheet name="18" sheetId="47" r:id="rId19"/>
    <sheet name="19" sheetId="48" r:id="rId20"/>
    <sheet name="20" sheetId="49" r:id="rId21"/>
    <sheet name="21" sheetId="50" r:id="rId22"/>
    <sheet name="22" sheetId="51" r:id="rId23"/>
    <sheet name="23" sheetId="52" r:id="rId24"/>
    <sheet name="24" sheetId="53" r:id="rId25"/>
    <sheet name="25" sheetId="54" r:id="rId26"/>
    <sheet name="26" sheetId="55" r:id="rId27"/>
    <sheet name="27" sheetId="56" r:id="rId28"/>
    <sheet name="28" sheetId="57" r:id="rId29"/>
    <sheet name="29" sheetId="58" r:id="rId30"/>
    <sheet name="30" sheetId="59" r:id="rId31"/>
    <sheet name="五金-1" sheetId="29" r:id="rId32" state="hidden"/>
    <sheet name="五金-2" sheetId="31" r:id="rId33" state="hidden"/>
    <sheet name="铝框门" sheetId="30" r:id="rId34" state="hidden"/>
    <sheet name="前工序完工单号总表" sheetId="39" r:id="rId35" state="hidden"/>
  </sheets>
  <externalReferences>
    <externalReference r:id="rId36"/>
    <externalReference r:id="rId37"/>
  </externalReferences>
  <definedNames>
    <definedName name="_xlnm.Print_Titles" localSheetId="1">'1'!#REF!</definedName>
    <definedName name="_xlnm.Print_Area" localSheetId="1">'1'!$A$1:$R$44</definedName>
    <definedName name="_xlnm.Print_Titles" localSheetId="2">'2'!#REF!</definedName>
    <definedName name="_xlnm.Print_Area" localSheetId="2">'2'!$A$1:$R$42</definedName>
    <definedName name="_xlnm.Print_Titles" localSheetId="3">'3'!#REF!</definedName>
    <definedName name="_xlnm.Print_Area" localSheetId="3">'3'!$A$1:$R$42</definedName>
    <definedName name="_xlnm.Print_Titles" localSheetId="4">'4'!#REF!</definedName>
    <definedName name="_xlnm.Print_Area" localSheetId="4">'4'!$A$1:$R$42</definedName>
    <definedName name="_xlnm.Print_Titles" localSheetId="5">'5'!#REF!</definedName>
    <definedName name="_xlnm.Print_Area" localSheetId="5">'5'!$A$1:$R$42</definedName>
    <definedName name="_xlnm.Print_Area" localSheetId="31">'五金-1'!$A$1:$T$30</definedName>
    <definedName name="_xlnm.Print_Area" localSheetId="32">'五金-2'!$A$1:$T$30</definedName>
    <definedName name="_xlnm.Print_Area" localSheetId="33">铝框门!$A$1:$T$30</definedName>
    <definedName name="_xlnm.Print_Titles" localSheetId="6">'6'!#REF!</definedName>
    <definedName name="_xlnm.Print_Area" localSheetId="6">'6'!$A$1:$R$42</definedName>
    <definedName name="_xlnm.Print_Titles" localSheetId="7">'7'!#REF!</definedName>
    <definedName name="_xlnm.Print_Area" localSheetId="7">'7'!$A$1:$R$42</definedName>
    <definedName name="_xlnm.Print_Titles" localSheetId="8">'8'!#REF!</definedName>
    <definedName name="_xlnm.Print_Area" localSheetId="8">'8'!$A$1:$R$42</definedName>
    <definedName name="_xlnm.Print_Titles" localSheetId="9">'9'!#REF!</definedName>
    <definedName name="_xlnm.Print_Area" localSheetId="9">'9'!$A$1:$R$42</definedName>
    <definedName name="_xlnm.Print_Titles" localSheetId="10">'10'!#REF!</definedName>
    <definedName name="_xlnm.Print_Area" localSheetId="10">'10'!$A$1:$R$42</definedName>
    <definedName name="_xlnm._FilterDatabase" localSheetId="1" hidden="1">'1'!#REF!</definedName>
    <definedName name="_xlnm._FilterDatabase" localSheetId="2" hidden="1">'2'!#REF!</definedName>
    <definedName name="_xlnm._FilterDatabase" localSheetId="3" hidden="1">'3'!#REF!</definedName>
    <definedName name="_xlnm._FilterDatabase" localSheetId="4" hidden="1">'4'!#REF!</definedName>
    <definedName name="_xlnm._FilterDatabase" localSheetId="5" hidden="1">'5'!#REF!</definedName>
    <definedName name="_xlnm._FilterDatabase" localSheetId="6" hidden="1">'6'!#REF!</definedName>
    <definedName name="_xlnm._FilterDatabase" localSheetId="7" hidden="1">'7'!#REF!</definedName>
    <definedName name="_xlnm._FilterDatabase" localSheetId="8" hidden="1">'8'!#REF!</definedName>
    <definedName name="_xlnm._FilterDatabase" localSheetId="9" hidden="1">'9'!#REF!</definedName>
    <definedName name="_xlnm._FilterDatabase" localSheetId="10" hidden="1">'10'!#REF!</definedName>
    <definedName name="_xlnm.Print_Titles" localSheetId="11">'11'!#REF!</definedName>
    <definedName name="_xlnm.Print_Area" localSheetId="11">'11'!$A$1:$R$42</definedName>
    <definedName name="_xlnm._FilterDatabase" localSheetId="11" hidden="1">'11'!#REF!</definedName>
    <definedName name="_xlnm.Print_Titles" localSheetId="12">'12'!#REF!</definedName>
    <definedName name="_xlnm.Print_Area" localSheetId="12">'12'!$A$1:$R$42</definedName>
    <definedName name="_xlnm._FilterDatabase" localSheetId="12" hidden="1">'12'!#REF!</definedName>
    <definedName name="_xlnm.Print_Titles" localSheetId="13">'13'!#REF!</definedName>
    <definedName name="_xlnm.Print_Area" localSheetId="13">'13'!$A$1:$R$42</definedName>
    <definedName name="_xlnm._FilterDatabase" localSheetId="13" hidden="1">'13'!#REF!</definedName>
    <definedName name="_xlnm.Print_Titles" localSheetId="14">'14'!#REF!</definedName>
    <definedName name="_xlnm.Print_Area" localSheetId="14">'14'!$A$1:$R$42</definedName>
    <definedName name="_xlnm._FilterDatabase" localSheetId="14" hidden="1">'14'!#REF!</definedName>
    <definedName name="_xlnm.Print_Titles" localSheetId="15">'15'!#REF!</definedName>
    <definedName name="_xlnm.Print_Area" localSheetId="15">'15'!$A$1:$R$42</definedName>
    <definedName name="_xlnm._FilterDatabase" localSheetId="15" hidden="1">'15'!#REF!</definedName>
    <definedName name="_xlnm.Print_Titles" localSheetId="16">'16'!#REF!</definedName>
    <definedName name="_xlnm.Print_Area" localSheetId="16">'16'!$A$1:$R$42</definedName>
    <definedName name="_xlnm._FilterDatabase" localSheetId="16" hidden="1">'16'!#REF!</definedName>
    <definedName name="_xlnm.Print_Titles" localSheetId="17">'17'!#REF!</definedName>
    <definedName name="_xlnm.Print_Area" localSheetId="17">'17'!$A$1:$R$42</definedName>
    <definedName name="_xlnm._FilterDatabase" localSheetId="17" hidden="1">'17'!#REF!</definedName>
    <definedName name="_xlnm.Print_Titles" localSheetId="18">'18'!#REF!</definedName>
    <definedName name="_xlnm.Print_Area" localSheetId="18">'18'!$A$1:$R$42</definedName>
    <definedName name="_xlnm._FilterDatabase" localSheetId="18" hidden="1">'18'!#REF!</definedName>
    <definedName name="_xlnm.Print_Titles" localSheetId="19">'19'!#REF!</definedName>
    <definedName name="_xlnm.Print_Area" localSheetId="19">'19'!$A$1:$R$42</definedName>
    <definedName name="_xlnm._FilterDatabase" localSheetId="19" hidden="1">'19'!#REF!</definedName>
    <definedName name="_xlnm.Print_Titles" localSheetId="20">'20'!#REF!</definedName>
    <definedName name="_xlnm.Print_Area" localSheetId="20">'20'!$A$1:$R$42</definedName>
    <definedName name="_xlnm._FilterDatabase" localSheetId="20" hidden="1">'20'!#REF!</definedName>
    <definedName name="_xlnm.Print_Titles" localSheetId="21">'21'!#REF!</definedName>
    <definedName name="_xlnm.Print_Area" localSheetId="21">'21'!$A$1:$R$42</definedName>
    <definedName name="_xlnm._FilterDatabase" localSheetId="21" hidden="1">'21'!#REF!</definedName>
    <definedName name="_xlnm.Print_Titles" localSheetId="22">'22'!#REF!</definedName>
    <definedName name="_xlnm.Print_Area" localSheetId="22">'22'!$A$1:$R$42</definedName>
    <definedName name="_xlnm._FilterDatabase" localSheetId="22" hidden="1">'22'!#REF!</definedName>
    <definedName name="_xlnm.Print_Titles" localSheetId="23">'23'!#REF!</definedName>
    <definedName name="_xlnm.Print_Area" localSheetId="23">'23'!$A$1:$R$42</definedName>
    <definedName name="_xlnm._FilterDatabase" localSheetId="23" hidden="1">'23'!#REF!</definedName>
    <definedName name="_xlnm.Print_Titles" localSheetId="24">'24'!#REF!</definedName>
    <definedName name="_xlnm.Print_Area" localSheetId="24">'24'!$A$1:$R$42</definedName>
    <definedName name="_xlnm._FilterDatabase" localSheetId="24" hidden="1">'24'!#REF!</definedName>
    <definedName name="_xlnm.Print_Titles" localSheetId="25">'25'!#REF!</definedName>
    <definedName name="_xlnm.Print_Area" localSheetId="25">'25'!$A$1:$R$42</definedName>
    <definedName name="_xlnm._FilterDatabase" localSheetId="25" hidden="1">'25'!#REF!</definedName>
    <definedName name="_xlnm.Print_Titles" localSheetId="26">'26'!#REF!</definedName>
    <definedName name="_xlnm.Print_Area" localSheetId="26">'26'!$A$1:$R$42</definedName>
    <definedName name="_xlnm._FilterDatabase" localSheetId="26" hidden="1">'26'!#REF!</definedName>
    <definedName name="_xlnm.Print_Titles" localSheetId="27">'27'!#REF!</definedName>
    <definedName name="_xlnm.Print_Area" localSheetId="27">'27'!$A$1:$R$42</definedName>
    <definedName name="_xlnm._FilterDatabase" localSheetId="27" hidden="1">'27'!#REF!</definedName>
    <definedName name="_xlnm.Print_Titles" localSheetId="28">'28'!#REF!</definedName>
    <definedName name="_xlnm.Print_Area" localSheetId="28">'28'!$A$1:$R$42</definedName>
    <definedName name="_xlnm._FilterDatabase" localSheetId="28" hidden="1">'28'!#REF!</definedName>
    <definedName name="_xlnm.Print_Titles" localSheetId="29">'29'!#REF!</definedName>
    <definedName name="_xlnm.Print_Area" localSheetId="29">'29'!$A$1:$R$42</definedName>
    <definedName name="_xlnm._FilterDatabase" localSheetId="29" hidden="1">'29'!#REF!</definedName>
    <definedName name="_xlnm.Print_Titles" localSheetId="30">'30'!#REF!</definedName>
    <definedName name="_xlnm.Print_Area" localSheetId="30">'30'!$A$1:$R$42</definedName>
    <definedName name="_xlnm._FilterDatabase" localSheetId="30" hidden="1">'30'!#REF!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<sst xmlns="http://schemas.openxmlformats.org/spreadsheetml/2006/main" count="3334" uniqueCount="132">
  <si>
    <t>订单金额汇总表</t>
  </si>
  <si>
    <t>单号</t>
  </si>
  <si>
    <t>序号</t>
  </si>
  <si>
    <t>板材金额</t>
  </si>
  <si>
    <t>五金金额</t>
  </si>
  <si>
    <t>铝框门</t>
  </si>
  <si>
    <t>小计</t>
  </si>
  <si>
    <t>总合计</t>
  </si>
  <si>
    <t>奢匠</t>
  </si>
  <si>
    <t>整装产品报价生产清单</t>
  </si>
  <si>
    <t>销售经理</t>
  </si>
  <si>
    <t>经销商地址</t>
  </si>
  <si>
    <t>经销商名</t>
  </si>
  <si>
    <t>接单日期</t>
  </si>
  <si>
    <t>订单编号</t>
  </si>
  <si>
    <t>终端客户及地址</t>
  </si>
  <si>
    <t>整装作业单</t>
  </si>
  <si>
    <t>省份</t>
  </si>
  <si>
    <t>姓名</t>
  </si>
  <si>
    <t>生产单号</t>
  </si>
  <si>
    <t>区域</t>
  </si>
  <si>
    <t>产品名称</t>
  </si>
  <si>
    <t>款式</t>
  </si>
  <si>
    <t>高</t>
  </si>
  <si>
    <t>宽</t>
  </si>
  <si>
    <t>厚</t>
  </si>
  <si>
    <t>数量</t>
  </si>
  <si>
    <t>米数</t>
  </si>
  <si>
    <t>平方</t>
  </si>
  <si>
    <t>单价（元）</t>
  </si>
  <si>
    <t>小计（元）</t>
  </si>
  <si>
    <t>工分</t>
  </si>
  <si>
    <t>颜色</t>
  </si>
  <si>
    <t>材质</t>
  </si>
  <si>
    <t>备注</t>
  </si>
  <si>
    <t>（请车间多配一瓶油漆，随货一起）</t>
  </si>
  <si>
    <t>木箱包装</t>
  </si>
  <si>
    <t>此单共打个木箱包装</t>
  </si>
  <si>
    <t>合计</t>
  </si>
  <si>
    <t>图文说明:</t>
  </si>
  <si>
    <t>元</t>
  </si>
  <si>
    <t>共计页</t>
  </si>
  <si>
    <t>板材</t>
  </si>
  <si>
    <t>五金</t>
  </si>
  <si>
    <t>经销商确认:</t>
  </si>
  <si>
    <t>制表人：</t>
  </si>
  <si>
    <t>陈昌容</t>
  </si>
  <si>
    <t>项目设计师：</t>
  </si>
  <si>
    <t>绘图员：</t>
  </si>
  <si>
    <t>拆单：</t>
  </si>
  <si>
    <t>木工预计交货日期：</t>
  </si>
  <si>
    <t>木工实际交货日期：</t>
  </si>
  <si>
    <t>包装预计交货日期：</t>
  </si>
  <si>
    <t>包装实际交货日期：</t>
  </si>
  <si>
    <t>1、开料</t>
  </si>
  <si>
    <t>2、实木备料</t>
  </si>
  <si>
    <t>3、柜体开料</t>
  </si>
  <si>
    <t>4、封边</t>
  </si>
  <si>
    <t>5、打孔</t>
  </si>
  <si>
    <t>6、门扇</t>
  </si>
  <si>
    <t>7、附件</t>
  </si>
  <si>
    <t>责任人</t>
  </si>
  <si>
    <t>完成时间</t>
  </si>
  <si>
    <t>8、贴皮</t>
  </si>
  <si>
    <t>9、雕刻</t>
  </si>
  <si>
    <t>10、木工配套</t>
  </si>
  <si>
    <t>11、木磨</t>
  </si>
  <si>
    <t>12、灰工</t>
  </si>
  <si>
    <t>13、底漆</t>
  </si>
  <si>
    <t>14、油磨</t>
  </si>
  <si>
    <t>15、油磨检验</t>
  </si>
  <si>
    <t>16、擦色</t>
  </si>
  <si>
    <t>17、面漆</t>
  </si>
  <si>
    <t>18、全检</t>
  </si>
  <si>
    <t>19、包装</t>
  </si>
  <si>
    <t>预计交货日期：</t>
  </si>
  <si>
    <t>下单日期:</t>
  </si>
  <si>
    <t>定制家居五金清单</t>
  </si>
  <si>
    <t>品牌：</t>
  </si>
  <si>
    <t>经销商姓名</t>
  </si>
  <si>
    <t>客户姓名</t>
  </si>
  <si>
    <t>生产编号</t>
  </si>
  <si>
    <t>五金名称</t>
  </si>
  <si>
    <t>单位</t>
  </si>
  <si>
    <t>长度(mm)</t>
  </si>
  <si>
    <t>宽度（mm）</t>
  </si>
  <si>
    <t>单价</t>
  </si>
  <si>
    <t>总价</t>
  </si>
  <si>
    <t>数量总计：</t>
  </si>
  <si>
    <t>总价格</t>
  </si>
  <si>
    <t>制表人</t>
  </si>
  <si>
    <t>设计师</t>
  </si>
  <si>
    <t>经销商确认</t>
  </si>
  <si>
    <t>下单日期</t>
  </si>
  <si>
    <t>终端客户</t>
  </si>
  <si>
    <t>厚度</t>
  </si>
  <si>
    <t>备注1</t>
  </si>
  <si>
    <t>备注2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</si>
  <si>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</si>
  <si>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</si>
  <si>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</si>
  <si>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</si>
  <si>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</si>
  <si>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</si>
  <si>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</si>
  <si>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</si>
  <si>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</si>
  <si>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</si>
  <si>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</si>
  <si>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</si>
  <si>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</si>
  <si>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</si>
  <si>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</si>
  <si>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</si>
  <si>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</si>
  <si>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</si>
  <si>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</si>
  <si>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</si>
  <si>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吕丹丹</t>
  </si>
  <si>
    <t>实木前工段试装完工单号签名流转表（交财务）</t>
  </si>
  <si>
    <t>经销商</t>
  </si>
  <si>
    <t>实木备料</t>
  </si>
  <si>
    <t>柜门开料</t>
  </si>
  <si>
    <t>柜体开料</t>
  </si>
  <si>
    <t>封边</t>
  </si>
  <si>
    <t>贴皮</t>
  </si>
  <si>
    <t>柜门雕刻</t>
  </si>
  <si>
    <t>附件雕刻</t>
  </si>
  <si>
    <t>榫钻拼框</t>
  </si>
  <si>
    <t>精裁砂光</t>
  </si>
  <si>
    <t>钉线打孔</t>
  </si>
  <si>
    <t>木工配套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</si>
</sst>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_ "/>
    <numFmt numFmtId="178" formatCode="#,##0.0"/>
    <numFmt numFmtId="179" formatCode="0.0_ "/>
    <numFmt numFmtId="180" formatCode="0;[Red]0"/>
    <numFmt numFmtId="181" formatCode="0.00;[Red]0.00"/>
    <numFmt numFmtId="182" formatCode="0.0;[Red]0.0"/>
    <numFmt numFmtId="183" formatCode="0.00_ "/>
    <numFmt numFmtId="184" formatCode="0_);\(0\)"/>
  </numFmts>
  <fonts count="58">
    <font>
      <sz val="12"/>
      <name val="宋体"/>
      <charset val="134"/>
    </font>
    <font>
      <b/>
      <sz val="20"/>
      <name val="宋体"/>
      <charset val="134"/>
    </font>
    <font>
      <sz val="10"/>
      <name val="Arial"/>
      <charset val="0"/>
    </font>
    <font>
      <sz val="11"/>
      <name val="Arial"/>
      <charset val="0"/>
    </font>
    <font>
      <b/>
      <sz val="14"/>
      <name val="Arial"/>
      <charset val="0"/>
    </font>
    <font>
      <sz val="11"/>
      <color rgb="FFFF0000"/>
      <name val="Arial"/>
      <charset val="0"/>
    </font>
    <font>
      <sz val="12"/>
      <name val="Arial"/>
      <charset val="0"/>
    </font>
    <font>
      <b/>
      <sz val="10"/>
      <name val="Arial"/>
      <charset val="0"/>
    </font>
    <font>
      <b/>
      <sz val="22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2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4"/>
      <color indexed="8"/>
      <name val="宋体"/>
      <charset val="134"/>
    </font>
    <font>
      <b/>
      <sz val="16"/>
      <color rgb="FFFF0000"/>
      <name val="宋体"/>
      <charset val="134"/>
    </font>
    <font>
      <b/>
      <sz val="11"/>
      <color rgb="FFFF0000"/>
      <name val="宋体"/>
      <charset val="134"/>
    </font>
    <font>
      <b/>
      <sz val="14"/>
      <color rgb="FFFF0000"/>
      <name val="宋体"/>
      <charset val="134"/>
    </font>
    <font>
      <b/>
      <sz val="11"/>
      <color theme="1"/>
      <name val="宋体"/>
      <charset val="134"/>
    </font>
    <font>
      <b/>
      <sz val="11"/>
      <name val="Arial"/>
      <charset val="0"/>
    </font>
    <font>
      <sz val="10"/>
      <color rgb="FFFF0000"/>
      <name val="Arial"/>
      <charset val="0"/>
    </font>
    <font>
      <b/>
      <sz val="12"/>
      <color rgb="FFFF0000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2"/>
      <name val="黑体"/>
      <charset val="134"/>
    </font>
    <font>
      <b/>
      <sz val="14"/>
      <name val="仿宋_GB2312"/>
      <charset val="134"/>
    </font>
    <font>
      <b/>
      <sz val="18"/>
      <name val="仿宋_GB2312"/>
      <charset val="134"/>
    </font>
    <font>
      <b/>
      <sz val="18"/>
      <color rgb="FFFF0000"/>
      <name val="宋体"/>
      <charset val="134"/>
    </font>
    <font>
      <sz val="14"/>
      <name val="宋体"/>
      <charset val="134"/>
    </font>
    <font>
      <b/>
      <sz val="9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8"/>
      <name val="宋体"/>
      <charset val="134"/>
    </font>
    <font>
      <b/>
      <sz val="12"/>
      <name val="仿宋_GB2312"/>
      <charset val="134"/>
    </font>
    <font>
      <b/>
      <sz val="14"/>
      <color rgb="FFFF0000"/>
      <name val="仿宋_GB2312"/>
      <charset val="134"/>
    </font>
    <font>
      <b/>
      <sz val="18"/>
      <color rgb="FFFF0000"/>
      <name val="仿宋_GB2312"/>
      <charset val="134"/>
    </font>
    <font>
      <u/>
      <sz val="9"/>
      <color indexed="12"/>
      <name val="宋体"/>
      <charset val="134"/>
    </font>
    <font>
      <u/>
      <sz val="9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0" fillId="4" borderId="36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7" fillId="0" borderId="39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5" borderId="40" applyNumberFormat="0" applyAlignment="0" applyProtection="0">
      <alignment vertical="center"/>
    </xf>
    <xf numFmtId="0" fontId="49" fillId="6" borderId="41" applyNumberFormat="0" applyAlignment="0" applyProtection="0">
      <alignment vertical="center"/>
    </xf>
    <xf numFmtId="0" fontId="50" fillId="6" borderId="40" applyNumberFormat="0" applyAlignment="0" applyProtection="0">
      <alignment vertical="center"/>
    </xf>
    <xf numFmtId="0" fontId="51" fillId="7" borderId="42" applyNumberFormat="0" applyAlignment="0" applyProtection="0">
      <alignment vertical="center"/>
    </xf>
    <xf numFmtId="0" fontId="52" fillId="0" borderId="43" applyNumberFormat="0" applyFill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3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wrapText="1"/>
    </xf>
    <xf numFmtId="0" fontId="8" fillId="2" borderId="10" xfId="0" applyNumberFormat="1" applyFont="1" applyFill="1" applyBorder="1" applyAlignment="1" applyProtection="1">
      <alignment horizontal="center" vertical="center" readingOrder="1"/>
    </xf>
    <xf numFmtId="0" fontId="8" fillId="2" borderId="0" xfId="0" applyNumberFormat="1" applyFont="1" applyFill="1" applyBorder="1" applyAlignment="1" applyProtection="1">
      <alignment horizontal="center" vertical="center" readingOrder="1"/>
    </xf>
    <xf numFmtId="0" fontId="8" fillId="2" borderId="0" xfId="0" applyNumberFormat="1" applyFont="1" applyFill="1" applyBorder="1" applyAlignment="1" applyProtection="1">
      <alignment horizontal="center" vertical="center" wrapText="1" readingOrder="1"/>
    </xf>
    <xf numFmtId="0" fontId="9" fillId="2" borderId="4" xfId="0" applyNumberFormat="1" applyFont="1" applyFill="1" applyBorder="1" applyAlignment="1" applyProtection="1">
      <alignment horizontal="center" vertical="center" readingOrder="1"/>
    </xf>
    <xf numFmtId="0" fontId="9" fillId="2" borderId="4" xfId="0" applyNumberFormat="1" applyFont="1" applyFill="1" applyBorder="1" applyAlignment="1" applyProtection="1">
      <alignment horizontal="center" vertical="center" wrapText="1" readingOrder="1"/>
    </xf>
    <xf numFmtId="0" fontId="10" fillId="2" borderId="4" xfId="0" applyNumberFormat="1" applyFont="1" applyFill="1" applyBorder="1" applyAlignment="1" applyProtection="1">
      <alignment horizontal="center" vertical="center" readingOrder="1"/>
    </xf>
    <xf numFmtId="0" fontId="10" fillId="2" borderId="4" xfId="0" applyNumberFormat="1" applyFont="1" applyFill="1" applyBorder="1" applyAlignment="1" applyProtection="1">
      <alignment horizontal="center" vertical="center" wrapText="1" readingOrder="1"/>
    </xf>
    <xf numFmtId="0" fontId="9" fillId="2" borderId="5" xfId="0" applyNumberFormat="1" applyFont="1" applyFill="1" applyBorder="1" applyAlignment="1" applyProtection="1">
      <alignment horizontal="center" vertical="center" readingOrder="1"/>
    </xf>
    <xf numFmtId="0" fontId="9" fillId="2" borderId="6" xfId="0" applyNumberFormat="1" applyFont="1" applyFill="1" applyBorder="1" applyAlignment="1" applyProtection="1">
      <alignment horizontal="center" vertical="center" readingOrder="1"/>
    </xf>
    <xf numFmtId="0" fontId="10" fillId="3" borderId="4" xfId="0" applyNumberFormat="1" applyFont="1" applyFill="1" applyBorder="1" applyAlignment="1" applyProtection="1">
      <alignment horizontal="center" vertical="center" readingOrder="1"/>
    </xf>
    <xf numFmtId="0" fontId="11" fillId="2" borderId="4" xfId="0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readingOrder="1"/>
    </xf>
    <xf numFmtId="14" fontId="9" fillId="0" borderId="4" xfId="0" applyNumberFormat="1" applyFont="1" applyFill="1" applyBorder="1" applyAlignment="1" applyProtection="1">
      <alignment horizontal="center" vertical="center" readingOrder="1"/>
    </xf>
    <xf numFmtId="14" fontId="9" fillId="2" borderId="4" xfId="0" applyNumberFormat="1" applyFont="1" applyFill="1" applyBorder="1" applyAlignment="1" applyProtection="1">
      <alignment horizontal="center" vertical="center" wrapText="1" readingOrder="1"/>
    </xf>
    <xf numFmtId="0" fontId="12" fillId="2" borderId="4" xfId="0" applyNumberFormat="1" applyFont="1" applyFill="1" applyBorder="1" applyAlignment="1" applyProtection="1">
      <alignment horizontal="center" vertical="center" readingOrder="1"/>
    </xf>
    <xf numFmtId="0" fontId="10" fillId="0" borderId="11" xfId="0" applyNumberFormat="1" applyFont="1" applyFill="1" applyBorder="1" applyAlignment="1" applyProtection="1">
      <alignment horizontal="center" vertical="center" wrapText="1" readingOrder="1"/>
    </xf>
    <xf numFmtId="1" fontId="10" fillId="0" borderId="11" xfId="0" applyNumberFormat="1" applyFont="1" applyFill="1" applyBorder="1" applyAlignment="1" applyProtection="1">
      <alignment horizontal="center" vertical="center" readingOrder="1"/>
    </xf>
    <xf numFmtId="0" fontId="10" fillId="0" borderId="11" xfId="0" applyNumberFormat="1" applyFont="1" applyFill="1" applyBorder="1" applyAlignment="1" applyProtection="1">
      <alignment horizontal="center" vertical="center" readingOrder="1"/>
    </xf>
    <xf numFmtId="176" fontId="10" fillId="0" borderId="11" xfId="0" applyNumberFormat="1" applyFont="1" applyFill="1" applyBorder="1" applyAlignment="1" applyProtection="1">
      <alignment horizontal="center" vertical="center" readingOrder="1"/>
    </xf>
    <xf numFmtId="177" fontId="10" fillId="0" borderId="4" xfId="0" applyNumberFormat="1" applyFont="1" applyFill="1" applyBorder="1" applyAlignment="1" applyProtection="1">
      <alignment horizontal="center" vertical="center" readingOrder="1"/>
    </xf>
    <xf numFmtId="177" fontId="12" fillId="2" borderId="4" xfId="0" applyNumberFormat="1" applyFont="1" applyFill="1" applyBorder="1" applyAlignment="1" applyProtection="1">
      <alignment horizontal="center" vertical="center" wrapText="1" readingOrder="1"/>
    </xf>
    <xf numFmtId="178" fontId="10" fillId="0" borderId="11" xfId="0" applyNumberFormat="1" applyFont="1" applyFill="1" applyBorder="1" applyAlignment="1" applyProtection="1">
      <alignment horizontal="center" vertical="center" wrapText="1" readingOrder="1"/>
    </xf>
    <xf numFmtId="177" fontId="10" fillId="0" borderId="11" xfId="0" applyNumberFormat="1" applyFont="1" applyFill="1" applyBorder="1" applyAlignment="1" applyProtection="1">
      <alignment horizontal="center" vertical="center" readingOrder="1"/>
    </xf>
    <xf numFmtId="178" fontId="13" fillId="2" borderId="4" xfId="0" applyNumberFormat="1" applyFont="1" applyFill="1" applyBorder="1" applyAlignment="1" applyProtection="1">
      <alignment horizontal="center" vertical="center" wrapText="1" readingOrder="1"/>
    </xf>
    <xf numFmtId="178" fontId="12" fillId="2" borderId="4" xfId="0" applyNumberFormat="1" applyFont="1" applyFill="1" applyBorder="1" applyAlignment="1" applyProtection="1">
      <alignment horizontal="center" vertical="center" wrapText="1" readingOrder="1"/>
    </xf>
    <xf numFmtId="0" fontId="10" fillId="0" borderId="12" xfId="0" applyNumberFormat="1" applyFont="1" applyFill="1" applyBorder="1" applyAlignment="1" applyProtection="1">
      <alignment horizontal="center" vertical="center" wrapText="1" readingOrder="1"/>
    </xf>
    <xf numFmtId="1" fontId="10" fillId="0" borderId="12" xfId="0" applyNumberFormat="1" applyFont="1" applyFill="1" applyBorder="1" applyAlignment="1" applyProtection="1">
      <alignment horizontal="center" vertical="center" readingOrder="1"/>
    </xf>
    <xf numFmtId="0" fontId="10" fillId="0" borderId="12" xfId="0" applyNumberFormat="1" applyFont="1" applyFill="1" applyBorder="1" applyAlignment="1" applyProtection="1">
      <alignment horizontal="center" vertical="center" readingOrder="1"/>
    </xf>
    <xf numFmtId="176" fontId="10" fillId="0" borderId="12" xfId="0" applyNumberFormat="1" applyFont="1" applyFill="1" applyBorder="1" applyAlignment="1" applyProtection="1">
      <alignment horizontal="center" vertical="center" readingOrder="1"/>
    </xf>
    <xf numFmtId="177" fontId="10" fillId="0" borderId="13" xfId="0" applyNumberFormat="1" applyFont="1" applyFill="1" applyBorder="1" applyAlignment="1" applyProtection="1">
      <alignment horizontal="center" vertical="center" readingOrder="1"/>
    </xf>
    <xf numFmtId="0" fontId="10" fillId="0" borderId="4" xfId="0" applyNumberFormat="1" applyFont="1" applyFill="1" applyBorder="1" applyAlignment="1" applyProtection="1">
      <alignment horizontal="center" vertical="center" wrapText="1" readingOrder="1"/>
    </xf>
    <xf numFmtId="1" fontId="10" fillId="0" borderId="4" xfId="0" applyNumberFormat="1" applyFont="1" applyFill="1" applyBorder="1" applyAlignment="1" applyProtection="1">
      <alignment horizontal="center" vertical="center" readingOrder="1"/>
    </xf>
    <xf numFmtId="176" fontId="10" fillId="0" borderId="4" xfId="0" applyNumberFormat="1" applyFont="1" applyFill="1" applyBorder="1" applyAlignment="1" applyProtection="1">
      <alignment horizontal="center" vertical="center" readingOrder="1"/>
    </xf>
    <xf numFmtId="0" fontId="14" fillId="2" borderId="4" xfId="0" applyNumberFormat="1" applyFont="1" applyFill="1" applyBorder="1" applyAlignment="1" applyProtection="1">
      <alignment horizontal="center" vertical="center" readingOrder="1"/>
    </xf>
    <xf numFmtId="0" fontId="14" fillId="2" borderId="4" xfId="0" applyNumberFormat="1" applyFont="1" applyFill="1" applyBorder="1" applyAlignment="1" applyProtection="1">
      <alignment horizontal="center" vertical="center" wrapText="1" readingOrder="1"/>
    </xf>
    <xf numFmtId="1" fontId="14" fillId="2" borderId="4" xfId="0" applyNumberFormat="1" applyFont="1" applyFill="1" applyBorder="1" applyAlignment="1" applyProtection="1">
      <alignment horizontal="center" vertical="center" readingOrder="1"/>
    </xf>
    <xf numFmtId="176" fontId="14" fillId="2" borderId="4" xfId="0" applyNumberFormat="1" applyFont="1" applyFill="1" applyBorder="1" applyAlignment="1" applyProtection="1">
      <alignment horizontal="center" vertical="center" readingOrder="1"/>
    </xf>
    <xf numFmtId="177" fontId="14" fillId="2" borderId="5" xfId="0" applyNumberFormat="1" applyFont="1" applyFill="1" applyBorder="1" applyAlignment="1" applyProtection="1">
      <alignment horizontal="center" vertical="center" readingOrder="1"/>
    </xf>
    <xf numFmtId="177" fontId="14" fillId="2" borderId="6" xfId="0" applyNumberFormat="1" applyFont="1" applyFill="1" applyBorder="1" applyAlignment="1" applyProtection="1">
      <alignment horizontal="center" vertical="center" readingOrder="1"/>
    </xf>
    <xf numFmtId="177" fontId="14" fillId="2" borderId="4" xfId="0" applyNumberFormat="1" applyFont="1" applyFill="1" applyBorder="1" applyAlignment="1" applyProtection="1">
      <alignment horizontal="center" vertical="center" wrapText="1" readingOrder="1"/>
    </xf>
    <xf numFmtId="178" fontId="15" fillId="2" borderId="4" xfId="0" applyNumberFormat="1" applyFont="1" applyFill="1" applyBorder="1" applyAlignment="1" applyProtection="1">
      <alignment horizontal="center" vertical="center" readingOrder="1"/>
    </xf>
    <xf numFmtId="178" fontId="15" fillId="2" borderId="4" xfId="0" applyNumberFormat="1" applyFont="1" applyFill="1" applyBorder="1" applyAlignment="1" applyProtection="1">
      <alignment horizontal="center" vertical="center" wrapText="1" readingOrder="1"/>
    </xf>
    <xf numFmtId="177" fontId="16" fillId="2" borderId="14" xfId="0" applyNumberFormat="1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3" fontId="16" fillId="2" borderId="4" xfId="0" applyNumberFormat="1" applyFont="1" applyFill="1" applyBorder="1" applyAlignment="1" applyProtection="1">
      <alignment horizontal="center" vertical="center" readingOrder="1"/>
    </xf>
    <xf numFmtId="178" fontId="16" fillId="2" borderId="4" xfId="0" applyNumberFormat="1" applyFont="1" applyFill="1" applyBorder="1" applyAlignment="1" applyProtection="1">
      <alignment horizontal="center" vertical="center" readingOrder="1"/>
    </xf>
    <xf numFmtId="178" fontId="18" fillId="2" borderId="4" xfId="0" applyNumberFormat="1" applyFont="1" applyFill="1" applyBorder="1" applyAlignment="1" applyProtection="1">
      <alignment horizontal="center" vertical="center" readingOrder="1"/>
    </xf>
    <xf numFmtId="178" fontId="18" fillId="2" borderId="4" xfId="0" applyNumberFormat="1" applyFont="1" applyFill="1" applyBorder="1" applyAlignment="1" applyProtection="1">
      <alignment horizontal="center" vertical="center" wrapText="1" readingOrder="1"/>
    </xf>
    <xf numFmtId="178" fontId="10" fillId="2" borderId="4" xfId="0" applyNumberFormat="1" applyFont="1" applyFill="1" applyBorder="1" applyAlignment="1" applyProtection="1">
      <alignment horizontal="center" vertical="center" readingOrder="1"/>
    </xf>
    <xf numFmtId="0" fontId="9" fillId="2" borderId="14" xfId="0" applyNumberFormat="1" applyFont="1" applyFill="1" applyBorder="1" applyAlignment="1" applyProtection="1">
      <alignment horizontal="center" vertical="center" readingOrder="1"/>
    </xf>
    <xf numFmtId="178" fontId="9" fillId="2" borderId="5" xfId="0" applyNumberFormat="1" applyFont="1" applyFill="1" applyBorder="1" applyAlignment="1" applyProtection="1">
      <alignment horizontal="center" vertical="center" readingOrder="1"/>
    </xf>
    <xf numFmtId="178" fontId="9" fillId="2" borderId="6" xfId="0" applyNumberFormat="1" applyFont="1" applyFill="1" applyBorder="1" applyAlignment="1" applyProtection="1">
      <alignment horizontal="center" vertical="center" wrapText="1" readingOrder="1"/>
    </xf>
    <xf numFmtId="178" fontId="9" fillId="2" borderId="13" xfId="0" applyNumberFormat="1" applyFont="1" applyFill="1" applyBorder="1" applyAlignment="1" applyProtection="1">
      <alignment horizontal="center" vertical="center" readingOrder="1"/>
    </xf>
    <xf numFmtId="178" fontId="9" fillId="2" borderId="15" xfId="0" applyNumberFormat="1" applyFont="1" applyFill="1" applyBorder="1" applyAlignment="1" applyProtection="1">
      <alignment horizontal="center" vertical="center" readingOrder="1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wrapText="1"/>
    </xf>
    <xf numFmtId="0" fontId="19" fillId="2" borderId="0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8" fillId="0" borderId="11" xfId="0" applyNumberFormat="1" applyFont="1" applyFill="1" applyBorder="1" applyAlignment="1" applyProtection="1">
      <alignment horizontal="center" vertical="center" readingOrder="1"/>
    </xf>
    <xf numFmtId="0" fontId="2" fillId="0" borderId="10" xfId="0" applyNumberFormat="1" applyFont="1" applyFill="1" applyBorder="1" applyAlignment="1" applyProtection="1">
      <alignment horizontal="center" vertical="top"/>
    </xf>
    <xf numFmtId="0" fontId="8" fillId="0" borderId="12" xfId="0" applyNumberFormat="1" applyFont="1" applyFill="1" applyBorder="1" applyAlignment="1" applyProtection="1">
      <alignment horizontal="center" vertical="center" readingOrder="1"/>
    </xf>
    <xf numFmtId="0" fontId="9" fillId="0" borderId="11" xfId="0" applyNumberFormat="1" applyFont="1" applyFill="1" applyBorder="1" applyAlignment="1" applyProtection="1">
      <alignment horizontal="center" vertical="center" readingOrder="1"/>
    </xf>
    <xf numFmtId="0" fontId="10" fillId="0" borderId="16" xfId="0" applyNumberFormat="1" applyFont="1" applyFill="1" applyBorder="1" applyAlignment="1" applyProtection="1">
      <alignment horizontal="center" vertical="center" readingOrder="1"/>
    </xf>
    <xf numFmtId="0" fontId="11" fillId="0" borderId="13" xfId="0" applyFont="1" applyFill="1" applyBorder="1" applyAlignment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 readingOrder="1"/>
    </xf>
    <xf numFmtId="0" fontId="9" fillId="0" borderId="12" xfId="0" applyNumberFormat="1" applyFont="1" applyFill="1" applyBorder="1" applyAlignment="1" applyProtection="1">
      <alignment horizontal="center" vertical="center" wrapText="1" readingOrder="1"/>
    </xf>
    <xf numFmtId="0" fontId="9" fillId="0" borderId="12" xfId="0" applyNumberFormat="1" applyFont="1" applyFill="1" applyBorder="1" applyAlignment="1" applyProtection="1">
      <alignment horizontal="center" vertical="center" readingOrder="1"/>
    </xf>
    <xf numFmtId="0" fontId="10" fillId="0" borderId="18" xfId="0" applyNumberFormat="1" applyFont="1" applyFill="1" applyBorder="1" applyAlignment="1" applyProtection="1">
      <alignment horizontal="center" vertical="center" readingOrder="1"/>
    </xf>
    <xf numFmtId="0" fontId="10" fillId="0" borderId="19" xfId="0" applyNumberFormat="1" applyFont="1" applyFill="1" applyBorder="1" applyAlignment="1" applyProtection="1">
      <alignment horizontal="center" vertical="center" readingOrder="1"/>
    </xf>
    <xf numFmtId="0" fontId="10" fillId="0" borderId="17" xfId="0" applyNumberFormat="1" applyFont="1" applyFill="1" applyBorder="1" applyAlignment="1" applyProtection="1">
      <alignment horizontal="center" vertical="center" readingOrder="1"/>
    </xf>
    <xf numFmtId="0" fontId="9" fillId="0" borderId="18" xfId="0" applyNumberFormat="1" applyFont="1" applyFill="1" applyBorder="1" applyAlignment="1" applyProtection="1">
      <alignment horizontal="center" vertical="center" readingOrder="1"/>
    </xf>
    <xf numFmtId="0" fontId="9" fillId="0" borderId="19" xfId="0" applyNumberFormat="1" applyFont="1" applyFill="1" applyBorder="1" applyAlignment="1" applyProtection="1">
      <alignment horizontal="center" vertical="center" readingOrder="1"/>
    </xf>
    <xf numFmtId="0" fontId="9" fillId="0" borderId="17" xfId="0" applyNumberFormat="1" applyFont="1" applyFill="1" applyBorder="1" applyAlignment="1" applyProtection="1">
      <alignment horizontal="center" vertical="center" readingOrder="1"/>
    </xf>
    <xf numFmtId="0" fontId="10" fillId="0" borderId="20" xfId="0" applyNumberFormat="1" applyFont="1" applyFill="1" applyBorder="1" applyAlignment="1" applyProtection="1">
      <alignment horizontal="center" vertical="center" readingOrder="1"/>
    </xf>
    <xf numFmtId="0" fontId="11" fillId="0" borderId="4" xfId="0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 readingOrder="1"/>
    </xf>
    <xf numFmtId="0" fontId="10" fillId="0" borderId="6" xfId="0" applyNumberFormat="1" applyFont="1" applyFill="1" applyBorder="1" applyAlignment="1" applyProtection="1">
      <alignment horizontal="center" vertical="center" wrapText="1" readingOrder="1"/>
    </xf>
    <xf numFmtId="0" fontId="9" fillId="0" borderId="4" xfId="0" applyNumberFormat="1" applyFont="1" applyFill="1" applyBorder="1" applyAlignment="1" applyProtection="1">
      <alignment vertical="center" readingOrder="1"/>
    </xf>
    <xf numFmtId="0" fontId="10" fillId="0" borderId="4" xfId="0" applyNumberFormat="1" applyFont="1" applyFill="1" applyBorder="1" applyAlignment="1" applyProtection="1">
      <alignment vertical="center" readingOrder="1"/>
    </xf>
    <xf numFmtId="0" fontId="10" fillId="0" borderId="14" xfId="0" applyNumberFormat="1" applyFont="1" applyFill="1" applyBorder="1" applyAlignment="1" applyProtection="1">
      <alignment horizontal="center" vertical="center" wrapText="1" readingOrder="1"/>
    </xf>
    <xf numFmtId="0" fontId="9" fillId="0" borderId="4" xfId="0" applyNumberFormat="1" applyFont="1" applyFill="1" applyBorder="1" applyAlignment="1" applyProtection="1">
      <alignment horizontal="center" vertical="center" readingOrder="1"/>
    </xf>
    <xf numFmtId="0" fontId="10" fillId="0" borderId="15" xfId="0" applyNumberFormat="1" applyFont="1" applyFill="1" applyBorder="1" applyAlignment="1" applyProtection="1">
      <alignment horizontal="center" vertical="center" readingOrder="1"/>
    </xf>
    <xf numFmtId="0" fontId="9" fillId="0" borderId="15" xfId="0" applyNumberFormat="1" applyFont="1" applyFill="1" applyBorder="1" applyAlignment="1" applyProtection="1">
      <alignment horizontal="center" vertical="center" readingOrder="1"/>
    </xf>
    <xf numFmtId="0" fontId="10" fillId="0" borderId="21" xfId="0" applyNumberFormat="1" applyFont="1" applyFill="1" applyBorder="1" applyAlignment="1" applyProtection="1">
      <alignment horizontal="center" vertical="center" readingOrder="1"/>
    </xf>
    <xf numFmtId="0" fontId="10" fillId="0" borderId="22" xfId="0" applyNumberFormat="1" applyFont="1" applyFill="1" applyBorder="1" applyAlignment="1" applyProtection="1">
      <alignment horizontal="center" vertical="center" readingOrder="1"/>
    </xf>
    <xf numFmtId="14" fontId="9" fillId="0" borderId="15" xfId="0" applyNumberFormat="1" applyFont="1" applyFill="1" applyBorder="1" applyAlignment="1" applyProtection="1">
      <alignment horizontal="center" vertical="center" readingOrder="1"/>
    </xf>
    <xf numFmtId="0" fontId="2" fillId="0" borderId="0" xfId="0" applyNumberFormat="1" applyFont="1" applyFill="1" applyBorder="1" applyAlignment="1" applyProtection="1">
      <alignment horizontal="center" vertical="top"/>
    </xf>
    <xf numFmtId="0" fontId="10" fillId="0" borderId="23" xfId="0" applyNumberFormat="1" applyFont="1" applyFill="1" applyBorder="1" applyAlignment="1" applyProtection="1">
      <alignment horizontal="center" vertical="center" wrapText="1" readingOrder="1"/>
    </xf>
    <xf numFmtId="1" fontId="9" fillId="0" borderId="23" xfId="0" applyNumberFormat="1" applyFont="1" applyFill="1" applyBorder="1" applyAlignment="1" applyProtection="1">
      <alignment horizontal="center" vertical="center" readingOrder="1"/>
    </xf>
    <xf numFmtId="0" fontId="10" fillId="0" borderId="5" xfId="0" applyNumberFormat="1" applyFont="1" applyFill="1" applyBorder="1" applyAlignment="1" applyProtection="1">
      <alignment horizontal="center" vertical="center" readingOrder="1"/>
    </xf>
    <xf numFmtId="0" fontId="10" fillId="0" borderId="6" xfId="0" applyNumberFormat="1" applyFont="1" applyFill="1" applyBorder="1" applyAlignment="1" applyProtection="1">
      <alignment horizontal="center" vertical="center" readingOrder="1"/>
    </xf>
    <xf numFmtId="176" fontId="10" fillId="0" borderId="23" xfId="0" applyNumberFormat="1" applyFont="1" applyFill="1" applyBorder="1" applyAlignment="1" applyProtection="1">
      <alignment horizontal="center" vertical="center" readingOrder="1"/>
    </xf>
    <xf numFmtId="179" fontId="9" fillId="0" borderId="23" xfId="0" applyNumberFormat="1" applyFont="1" applyFill="1" applyBorder="1" applyAlignment="1" applyProtection="1">
      <alignment horizontal="center" vertical="center" wrapText="1" readingOrder="1"/>
    </xf>
    <xf numFmtId="178" fontId="9" fillId="0" borderId="23" xfId="0" applyNumberFormat="1" applyFont="1" applyFill="1" applyBorder="1" applyAlignment="1" applyProtection="1">
      <alignment horizontal="center" vertical="center" wrapText="1" readingOrder="1"/>
    </xf>
    <xf numFmtId="0" fontId="2" fillId="0" borderId="10" xfId="0" applyNumberFormat="1" applyFont="1" applyFill="1" applyBorder="1" applyAlignment="1" applyProtection="1">
      <alignment horizontal="center" vertical="top" wrapText="1"/>
    </xf>
    <xf numFmtId="1" fontId="9" fillId="0" borderId="11" xfId="0" applyNumberFormat="1" applyFont="1" applyFill="1" applyBorder="1" applyAlignment="1" applyProtection="1">
      <alignment horizontal="center" vertical="center" readingOrder="1"/>
    </xf>
    <xf numFmtId="179" fontId="9" fillId="0" borderId="11" xfId="0" applyNumberFormat="1" applyFont="1" applyFill="1" applyBorder="1" applyAlignment="1" applyProtection="1">
      <alignment horizontal="center" vertical="center" wrapText="1" readingOrder="1"/>
    </xf>
    <xf numFmtId="178" fontId="9" fillId="0" borderId="11" xfId="0" applyNumberFormat="1" applyFont="1" applyFill="1" applyBorder="1" applyAlignment="1" applyProtection="1">
      <alignment horizontal="center" vertical="center" wrapText="1" readingOrder="1"/>
    </xf>
    <xf numFmtId="1" fontId="9" fillId="0" borderId="11" xfId="0" applyNumberFormat="1" applyFont="1" applyFill="1" applyBorder="1" applyAlignment="1" applyProtection="1">
      <alignment horizontal="center" vertical="center" wrapText="1" readingOrder="1"/>
    </xf>
    <xf numFmtId="176" fontId="10" fillId="0" borderId="11" xfId="0" applyNumberFormat="1" applyFont="1" applyFill="1" applyBorder="1" applyAlignment="1" applyProtection="1">
      <alignment horizontal="center" vertical="center" wrapText="1" readingOrder="1"/>
    </xf>
    <xf numFmtId="0" fontId="10" fillId="0" borderId="24" xfId="0" applyNumberFormat="1" applyFont="1" applyFill="1" applyBorder="1" applyAlignment="1" applyProtection="1">
      <alignment horizontal="center" vertical="center" wrapText="1" readingOrder="1"/>
    </xf>
    <xf numFmtId="1" fontId="9" fillId="0" borderId="12" xfId="0" applyNumberFormat="1" applyFont="1" applyFill="1" applyBorder="1" applyAlignment="1" applyProtection="1">
      <alignment horizontal="center" vertical="center" wrapText="1" readingOrder="1"/>
    </xf>
    <xf numFmtId="0" fontId="10" fillId="0" borderId="25" xfId="0" applyNumberFormat="1" applyFont="1" applyFill="1" applyBorder="1" applyAlignment="1" applyProtection="1">
      <alignment horizontal="center" vertical="center" readingOrder="1"/>
    </xf>
    <xf numFmtId="0" fontId="10" fillId="0" borderId="26" xfId="0" applyNumberFormat="1" applyFont="1" applyFill="1" applyBorder="1" applyAlignment="1" applyProtection="1">
      <alignment horizontal="center" vertical="center" readingOrder="1"/>
    </xf>
    <xf numFmtId="176" fontId="10" fillId="0" borderId="12" xfId="0" applyNumberFormat="1" applyFont="1" applyFill="1" applyBorder="1" applyAlignment="1" applyProtection="1">
      <alignment horizontal="center" vertical="center" wrapText="1" readingOrder="1"/>
    </xf>
    <xf numFmtId="179" fontId="9" fillId="0" borderId="12" xfId="0" applyNumberFormat="1" applyFont="1" applyFill="1" applyBorder="1" applyAlignment="1" applyProtection="1">
      <alignment horizontal="center" vertical="center" wrapText="1" readingOrder="1"/>
    </xf>
    <xf numFmtId="178" fontId="9" fillId="0" borderId="12" xfId="0" applyNumberFormat="1" applyFont="1" applyFill="1" applyBorder="1" applyAlignment="1" applyProtection="1">
      <alignment horizontal="center" vertical="center" wrapText="1" readingOrder="1"/>
    </xf>
    <xf numFmtId="1" fontId="9" fillId="0" borderId="4" xfId="0" applyNumberFormat="1" applyFont="1" applyFill="1" applyBorder="1" applyAlignment="1" applyProtection="1">
      <alignment horizontal="center" vertical="center" wrapText="1" readingOrder="1"/>
    </xf>
    <xf numFmtId="176" fontId="10" fillId="0" borderId="4" xfId="0" applyNumberFormat="1" applyFont="1" applyFill="1" applyBorder="1" applyAlignment="1" applyProtection="1">
      <alignment horizontal="center" vertical="center" wrapText="1" readingOrder="1"/>
    </xf>
    <xf numFmtId="179" fontId="9" fillId="0" borderId="4" xfId="0" applyNumberFormat="1" applyFont="1" applyFill="1" applyBorder="1" applyAlignment="1" applyProtection="1">
      <alignment horizontal="center" vertical="center" wrapText="1" readingOrder="1"/>
    </xf>
    <xf numFmtId="178" fontId="9" fillId="0" borderId="4" xfId="0" applyNumberFormat="1" applyFont="1" applyFill="1" applyBorder="1" applyAlignment="1" applyProtection="1">
      <alignment horizontal="center" vertical="center" wrapText="1" readingOrder="1"/>
    </xf>
    <xf numFmtId="0" fontId="2" fillId="0" borderId="4" xfId="0" applyNumberFormat="1" applyFont="1" applyFill="1" applyBorder="1" applyAlignment="1" applyProtection="1">
      <alignment horizontal="center" vertical="top"/>
    </xf>
    <xf numFmtId="1" fontId="9" fillId="0" borderId="4" xfId="0" applyNumberFormat="1" applyFont="1" applyFill="1" applyBorder="1" applyAlignment="1" applyProtection="1">
      <alignment horizontal="center" vertical="center" readingOrder="1"/>
    </xf>
    <xf numFmtId="177" fontId="9" fillId="0" borderId="4" xfId="0" applyNumberFormat="1" applyFont="1" applyFill="1" applyBorder="1" applyAlignment="1" applyProtection="1">
      <alignment horizontal="center" vertical="center" readingOrder="1"/>
    </xf>
    <xf numFmtId="178" fontId="21" fillId="0" borderId="27" xfId="0" applyNumberFormat="1" applyFont="1" applyFill="1" applyBorder="1" applyAlignment="1" applyProtection="1">
      <alignment horizontal="center" vertical="center" readingOrder="1"/>
    </xf>
    <xf numFmtId="0" fontId="21" fillId="0" borderId="27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3" fontId="21" fillId="0" borderId="27" xfId="0" applyNumberFormat="1" applyFont="1" applyFill="1" applyBorder="1" applyAlignment="1" applyProtection="1">
      <alignment horizontal="center" vertical="center" readingOrder="1"/>
    </xf>
    <xf numFmtId="178" fontId="21" fillId="0" borderId="22" xfId="0" applyNumberFormat="1" applyFont="1" applyFill="1" applyBorder="1" applyAlignment="1" applyProtection="1">
      <alignment horizontal="center" vertical="center" readingOrder="1"/>
    </xf>
    <xf numFmtId="0" fontId="20" fillId="0" borderId="0" xfId="0" applyNumberFormat="1" applyFont="1" applyFill="1" applyBorder="1" applyAlignment="1" applyProtection="1">
      <alignment horizontal="center" vertical="top"/>
    </xf>
    <xf numFmtId="178" fontId="10" fillId="0" borderId="21" xfId="0" applyNumberFormat="1" applyFont="1" applyFill="1" applyBorder="1" applyAlignment="1" applyProtection="1">
      <alignment horizontal="center" vertical="center" readingOrder="1"/>
    </xf>
    <xf numFmtId="178" fontId="10" fillId="0" borderId="27" xfId="0" applyNumberFormat="1" applyFont="1" applyFill="1" applyBorder="1" applyAlignment="1" applyProtection="1">
      <alignment horizontal="center" vertical="center" readingOrder="1"/>
    </xf>
    <xf numFmtId="178" fontId="9" fillId="0" borderId="27" xfId="0" applyNumberFormat="1" applyFont="1" applyFill="1" applyBorder="1" applyAlignment="1" applyProtection="1">
      <alignment horizontal="center" vertical="center" readingOrder="1"/>
    </xf>
    <xf numFmtId="178" fontId="9" fillId="0" borderId="14" xfId="0" applyNumberFormat="1" applyFont="1" applyFill="1" applyBorder="1" applyAlignment="1" applyProtection="1">
      <alignment horizontal="center" vertical="center" readingOrder="1"/>
    </xf>
    <xf numFmtId="178" fontId="10" fillId="0" borderId="14" xfId="0" applyNumberFormat="1" applyFont="1" applyFill="1" applyBorder="1" applyAlignment="1" applyProtection="1">
      <alignment horizontal="center" vertical="center" readingOrder="1"/>
    </xf>
    <xf numFmtId="178" fontId="10" fillId="0" borderId="6" xfId="0" applyNumberFormat="1" applyFont="1" applyFill="1" applyBorder="1" applyAlignment="1" applyProtection="1">
      <alignment horizontal="center" vertical="center" readingOrder="1"/>
    </xf>
    <xf numFmtId="178" fontId="10" fillId="0" borderId="4" xfId="0" applyNumberFormat="1" applyFont="1" applyFill="1" applyBorder="1" applyAlignment="1" applyProtection="1">
      <alignment horizontal="center" vertical="center" readingOrder="1"/>
    </xf>
    <xf numFmtId="178" fontId="9" fillId="0" borderId="4" xfId="0" applyNumberFormat="1" applyFont="1" applyFill="1" applyBorder="1" applyAlignment="1" applyProtection="1">
      <alignment horizontal="center" vertical="center" readingOrder="1"/>
    </xf>
    <xf numFmtId="178" fontId="10" fillId="0" borderId="25" xfId="0" applyNumberFormat="1" applyFont="1" applyFill="1" applyBorder="1" applyAlignment="1" applyProtection="1">
      <alignment horizontal="center" vertical="center" readingOrder="1"/>
    </xf>
    <xf numFmtId="178" fontId="10" fillId="0" borderId="26" xfId="0" applyNumberFormat="1" applyFont="1" applyFill="1" applyBorder="1" applyAlignment="1" applyProtection="1">
      <alignment horizontal="center" vertical="center" readingOrder="1"/>
    </xf>
    <xf numFmtId="178" fontId="10" fillId="0" borderId="22" xfId="0" applyNumberFormat="1" applyFont="1" applyFill="1" applyBorder="1" applyAlignment="1" applyProtection="1">
      <alignment horizontal="center" vertical="center" readingOrder="1"/>
    </xf>
    <xf numFmtId="0" fontId="11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0" fontId="25" fillId="0" borderId="25" xfId="0" applyFont="1" applyFill="1" applyBorder="1" applyAlignment="1">
      <alignment horizontal="center" vertical="center" wrapText="1"/>
    </xf>
    <xf numFmtId="0" fontId="25" fillId="0" borderId="26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5" fillId="0" borderId="28" xfId="0" applyFont="1" applyFill="1" applyBorder="1" applyAlignment="1">
      <alignment horizontal="center" vertical="center" wrapText="1"/>
    </xf>
    <xf numFmtId="0" fontId="25" fillId="0" borderId="29" xfId="0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49" fontId="11" fillId="0" borderId="4" xfId="0" applyNumberFormat="1" applyFont="1" applyFill="1" applyBorder="1" applyAlignment="1">
      <alignment horizontal="center" vertical="center" wrapText="1"/>
    </xf>
    <xf numFmtId="0" fontId="11" fillId="2" borderId="5" xfId="0" applyNumberFormat="1" applyFont="1" applyFill="1" applyBorder="1" applyAlignment="1">
      <alignment horizontal="center" vertical="center"/>
    </xf>
    <xf numFmtId="0" fontId="11" fillId="2" borderId="14" xfId="0" applyNumberFormat="1" applyFont="1" applyFill="1" applyBorder="1" applyAlignment="1">
      <alignment horizontal="center" vertical="center"/>
    </xf>
    <xf numFmtId="0" fontId="11" fillId="2" borderId="6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right" vertical="center"/>
    </xf>
    <xf numFmtId="0" fontId="11" fillId="0" borderId="6" xfId="0" applyFont="1" applyFill="1" applyBorder="1" applyAlignment="1">
      <alignment horizontal="left" vertical="center"/>
    </xf>
    <xf numFmtId="49" fontId="11" fillId="0" borderId="0" xfId="0" applyNumberFormat="1" applyFont="1" applyFill="1" applyBorder="1" applyAlignment="1">
      <alignment horizontal="center" vertical="center" wrapText="1"/>
    </xf>
    <xf numFmtId="0" fontId="25" fillId="0" borderId="21" xfId="0" applyFont="1" applyFill="1" applyBorder="1" applyAlignment="1">
      <alignment horizontal="center" vertical="center" wrapText="1"/>
    </xf>
    <xf numFmtId="0" fontId="25" fillId="0" borderId="22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 wrapText="1"/>
    </xf>
    <xf numFmtId="0" fontId="27" fillId="0" borderId="6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30" xfId="0" applyFont="1" applyFill="1" applyBorder="1" applyAlignment="1">
      <alignment horizontal="center" vertical="center" wrapText="1"/>
    </xf>
    <xf numFmtId="0" fontId="27" fillId="2" borderId="14" xfId="0" applyFont="1" applyFill="1" applyBorder="1" applyAlignment="1">
      <alignment vertical="center" wrapText="1"/>
    </xf>
    <xf numFmtId="0" fontId="27" fillId="2" borderId="6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2" borderId="4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180" fontId="11" fillId="0" borderId="4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81" fontId="11" fillId="0" borderId="4" xfId="0" applyNumberFormat="1" applyFont="1" applyFill="1" applyBorder="1" applyAlignment="1">
      <alignment horizontal="center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23" fillId="0" borderId="15" xfId="0" applyFont="1" applyFill="1" applyBorder="1" applyAlignment="1">
      <alignment horizontal="center" vertical="center" wrapText="1"/>
    </xf>
    <xf numFmtId="0" fontId="23" fillId="0" borderId="21" xfId="0" applyFont="1" applyFill="1" applyBorder="1" applyAlignment="1">
      <alignment horizontal="center" vertical="center" wrapText="1"/>
    </xf>
    <xf numFmtId="0" fontId="23" fillId="0" borderId="27" xfId="0" applyFont="1" applyFill="1" applyBorder="1" applyAlignment="1">
      <alignment horizontal="center" vertical="center" wrapText="1"/>
    </xf>
    <xf numFmtId="0" fontId="23" fillId="0" borderId="22" xfId="0" applyFont="1" applyFill="1" applyBorder="1" applyAlignment="1">
      <alignment horizontal="center" vertical="center" wrapText="1"/>
    </xf>
    <xf numFmtId="180" fontId="23" fillId="0" borderId="15" xfId="0" applyNumberFormat="1" applyFont="1" applyFill="1" applyBorder="1" applyAlignment="1">
      <alignment horizontal="center" vertical="center" wrapText="1"/>
    </xf>
    <xf numFmtId="180" fontId="23" fillId="0" borderId="21" xfId="0" applyNumberFormat="1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 wrapText="1"/>
    </xf>
    <xf numFmtId="183" fontId="23" fillId="0" borderId="4" xfId="0" applyNumberFormat="1" applyFont="1" applyFill="1" applyBorder="1" applyAlignment="1">
      <alignment horizontal="center" vertical="center" wrapText="1"/>
    </xf>
    <xf numFmtId="180" fontId="23" fillId="0" borderId="4" xfId="0" applyNumberFormat="1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23" fillId="0" borderId="25" xfId="0" applyFont="1" applyFill="1" applyBorder="1" applyAlignment="1">
      <alignment horizontal="center" vertical="center" wrapText="1"/>
    </xf>
    <xf numFmtId="0" fontId="23" fillId="0" borderId="31" xfId="0" applyFont="1" applyFill="1" applyBorder="1" applyAlignment="1">
      <alignment horizontal="center" vertical="center" wrapText="1"/>
    </xf>
    <xf numFmtId="0" fontId="23" fillId="0" borderId="26" xfId="0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179" fontId="29" fillId="0" borderId="4" xfId="0" applyNumberFormat="1" applyFont="1" applyFill="1" applyBorder="1" applyAlignment="1">
      <alignment horizontal="center" vertical="center" wrapText="1"/>
    </xf>
    <xf numFmtId="184" fontId="27" fillId="0" borderId="4" xfId="0" applyNumberFormat="1" applyFont="1" applyFill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79" fontId="11" fillId="0" borderId="0" xfId="0" applyNumberFormat="1" applyFont="1" applyFill="1" applyAlignment="1">
      <alignment horizontal="center" vertical="center" wrapText="1"/>
    </xf>
    <xf numFmtId="0" fontId="23" fillId="0" borderId="28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 wrapText="1"/>
    </xf>
    <xf numFmtId="177" fontId="26" fillId="0" borderId="5" xfId="0" applyNumberFormat="1" applyFont="1" applyFill="1" applyBorder="1" applyAlignment="1">
      <alignment horizontal="center" vertical="center" wrapText="1"/>
    </xf>
    <xf numFmtId="177" fontId="26" fillId="0" borderId="6" xfId="0" applyNumberFormat="1" applyFont="1" applyFill="1" applyBorder="1" applyAlignment="1">
      <alignment horizontal="center" vertical="center" wrapText="1"/>
    </xf>
    <xf numFmtId="0" fontId="30" fillId="0" borderId="4" xfId="0" applyFont="1" applyFill="1" applyBorder="1" applyAlignment="1">
      <alignment horizontal="center" vertical="center" wrapText="1"/>
    </xf>
    <xf numFmtId="184" fontId="26" fillId="0" borderId="4" xfId="0" applyNumberFormat="1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 vertical="center" wrapText="1"/>
    </xf>
    <xf numFmtId="0" fontId="17" fillId="0" borderId="21" xfId="0" applyFont="1" applyFill="1" applyBorder="1" applyAlignment="1">
      <alignment horizontal="center" vertical="center" wrapText="1"/>
    </xf>
    <xf numFmtId="0" fontId="17" fillId="0" borderId="27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180" fontId="24" fillId="0" borderId="4" xfId="0" applyNumberFormat="1" applyFont="1" applyFill="1" applyBorder="1" applyAlignment="1">
      <alignment horizontal="center" vertical="center" wrapText="1"/>
    </xf>
    <xf numFmtId="0" fontId="32" fillId="0" borderId="31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33" fillId="0" borderId="4" xfId="0" applyFont="1" applyFill="1" applyBorder="1" applyAlignment="1">
      <alignment horizontal="center" vertical="center" wrapText="1"/>
    </xf>
    <xf numFmtId="0" fontId="32" fillId="0" borderId="0" xfId="0" applyFont="1" applyFill="1" applyAlignment="1">
      <alignment horizontal="center" vertical="center" wrapText="1"/>
    </xf>
    <xf numFmtId="0" fontId="24" fillId="0" borderId="26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34" fillId="0" borderId="5" xfId="0" applyFont="1" applyFill="1" applyBorder="1" applyAlignment="1">
      <alignment horizontal="center" vertical="center" wrapText="1"/>
    </xf>
    <xf numFmtId="0" fontId="34" fillId="0" borderId="6" xfId="0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horizontal="center" vertical="center"/>
    </xf>
    <xf numFmtId="0" fontId="34" fillId="0" borderId="6" xfId="0" applyFont="1" applyFill="1" applyBorder="1" applyAlignment="1">
      <alignment horizontal="center" vertical="center"/>
    </xf>
    <xf numFmtId="0" fontId="34" fillId="0" borderId="14" xfId="0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vertical="center" wrapText="1"/>
    </xf>
    <xf numFmtId="0" fontId="23" fillId="0" borderId="0" xfId="0" applyFont="1" applyFill="1" applyAlignment="1">
      <alignment horizontal="center" vertical="center"/>
    </xf>
    <xf numFmtId="0" fontId="35" fillId="0" borderId="4" xfId="0" applyFont="1" applyFill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 wrapText="1"/>
    </xf>
    <xf numFmtId="0" fontId="36" fillId="0" borderId="4" xfId="0" applyFont="1" applyFill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/>
    </xf>
    <xf numFmtId="0" fontId="34" fillId="0" borderId="14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37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vertical="center"/>
    </xf>
    <xf numFmtId="0" fontId="11" fillId="0" borderId="5" xfId="0" applyFont="1" applyFill="1" applyBorder="1" applyAlignment="1">
      <alignment vertical="center"/>
    </xf>
    <xf numFmtId="0" fontId="24" fillId="0" borderId="5" xfId="0" applyFont="1" applyFill="1" applyBorder="1" applyAlignment="1">
      <alignment horizontal="center" vertical="center" wrapText="1"/>
    </xf>
    <xf numFmtId="58" fontId="37" fillId="0" borderId="4" xfId="0" applyNumberFormat="1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7" fillId="2" borderId="14" xfId="0" applyFont="1" applyFill="1" applyBorder="1" applyAlignment="1">
      <alignment horizontal="center" vertical="center" wrapText="1"/>
    </xf>
    <xf numFmtId="0" fontId="27" fillId="2" borderId="32" xfId="0" applyFont="1" applyFill="1" applyBorder="1" applyAlignment="1">
      <alignment horizontal="center" vertical="center" wrapText="1"/>
    </xf>
    <xf numFmtId="0" fontId="25" fillId="0" borderId="15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 wrapText="1"/>
    </xf>
    <xf numFmtId="183" fontId="11" fillId="2" borderId="5" xfId="0" applyNumberFormat="1" applyFont="1" applyFill="1" applyBorder="1" applyAlignment="1">
      <alignment horizontal="center" vertical="center"/>
    </xf>
    <xf numFmtId="183" fontId="11" fillId="2" borderId="14" xfId="0" applyNumberFormat="1" applyFont="1" applyFill="1" applyBorder="1" applyAlignment="1">
      <alignment horizontal="center" vertical="center"/>
    </xf>
    <xf numFmtId="183" fontId="11" fillId="2" borderId="6" xfId="0" applyNumberFormat="1" applyFont="1" applyFill="1" applyBorder="1" applyAlignment="1">
      <alignment horizontal="center" vertical="center"/>
    </xf>
    <xf numFmtId="183" fontId="11" fillId="0" borderId="4" xfId="0" applyNumberFormat="1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1" fillId="0" borderId="25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49" fontId="11" fillId="0" borderId="5" xfId="0" applyNumberFormat="1" applyFont="1" applyFill="1" applyBorder="1" applyAlignment="1">
      <alignment horizontal="center" vertical="center" wrapText="1"/>
    </xf>
    <xf numFmtId="49" fontId="11" fillId="0" borderId="14" xfId="0" applyNumberFormat="1" applyFont="1" applyFill="1" applyBorder="1" applyAlignment="1">
      <alignment horizontal="center" vertical="center" wrapText="1"/>
    </xf>
    <xf numFmtId="49" fontId="11" fillId="0" borderId="6" xfId="0" applyNumberFormat="1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left" vertical="center" wrapText="1"/>
    </xf>
    <xf numFmtId="0" fontId="27" fillId="2" borderId="30" xfId="0" applyFont="1" applyFill="1" applyBorder="1" applyAlignment="1">
      <alignment horizontal="left" vertical="center" wrapText="1"/>
    </xf>
    <xf numFmtId="49" fontId="11" fillId="0" borderId="4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 wrapText="1"/>
    </xf>
    <xf numFmtId="0" fontId="32" fillId="2" borderId="30" xfId="0" applyFont="1" applyFill="1" applyBorder="1" applyAlignment="1">
      <alignment horizontal="center" vertical="center" wrapText="1"/>
    </xf>
    <xf numFmtId="0" fontId="23" fillId="0" borderId="33" xfId="0" applyFont="1" applyFill="1" applyBorder="1" applyAlignment="1">
      <alignment horizontal="center" vertical="center" wrapText="1"/>
    </xf>
    <xf numFmtId="0" fontId="23" fillId="0" borderId="29" xfId="0" applyFont="1" applyFill="1" applyBorder="1" applyAlignment="1">
      <alignment horizontal="center" vertical="center" wrapText="1"/>
    </xf>
    <xf numFmtId="180" fontId="23" fillId="0" borderId="33" xfId="0" applyNumberFormat="1" applyFont="1" applyFill="1" applyBorder="1" applyAlignment="1">
      <alignment horizontal="center" vertical="center" wrapText="1"/>
    </xf>
    <xf numFmtId="180" fontId="23" fillId="0" borderId="28" xfId="0" applyNumberFormat="1" applyFont="1" applyFill="1" applyBorder="1" applyAlignment="1">
      <alignment horizontal="center" vertical="center" wrapText="1"/>
    </xf>
    <xf numFmtId="0" fontId="21" fillId="0" borderId="28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1" fillId="0" borderId="29" xfId="0" applyFont="1" applyFill="1" applyBorder="1" applyAlignment="1">
      <alignment horizontal="center" vertical="center" wrapText="1"/>
    </xf>
    <xf numFmtId="0" fontId="17" fillId="0" borderId="22" xfId="0" applyFont="1" applyFill="1" applyBorder="1" applyAlignment="1">
      <alignment horizontal="center" vertical="center" wrapText="1"/>
    </xf>
    <xf numFmtId="0" fontId="31" fillId="0" borderId="15" xfId="0" applyFont="1" applyFill="1" applyBorder="1" applyAlignment="1">
      <alignment horizontal="center" vertical="center" wrapText="1"/>
    </xf>
    <xf numFmtId="0" fontId="38" fillId="0" borderId="15" xfId="0" applyFont="1" applyFill="1" applyBorder="1" applyAlignment="1">
      <alignment horizontal="center" vertical="center" wrapText="1"/>
    </xf>
    <xf numFmtId="179" fontId="38" fillId="0" borderId="15" xfId="0" applyNumberFormat="1" applyFont="1" applyFill="1" applyBorder="1" applyAlignment="1">
      <alignment horizontal="center" vertical="center" wrapText="1"/>
    </xf>
    <xf numFmtId="184" fontId="17" fillId="0" borderId="15" xfId="0" applyNumberFormat="1" applyFont="1" applyFill="1" applyBorder="1" applyAlignment="1">
      <alignment horizontal="center" vertical="center" wrapText="1"/>
    </xf>
    <xf numFmtId="0" fontId="31" fillId="0" borderId="21" xfId="0" applyFont="1" applyFill="1" applyBorder="1" applyAlignment="1">
      <alignment horizontal="center" vertical="center" wrapText="1"/>
    </xf>
    <xf numFmtId="0" fontId="31" fillId="0" borderId="4" xfId="0" applyFont="1" applyFill="1" applyBorder="1" applyAlignment="1">
      <alignment horizontal="center" vertical="center" wrapText="1"/>
    </xf>
    <xf numFmtId="177" fontId="31" fillId="0" borderId="5" xfId="0" applyNumberFormat="1" applyFont="1" applyFill="1" applyBorder="1" applyAlignment="1">
      <alignment horizontal="center" vertical="center" wrapText="1"/>
    </xf>
    <xf numFmtId="177" fontId="31" fillId="0" borderId="6" xfId="0" applyNumberFormat="1" applyFont="1" applyFill="1" applyBorder="1" applyAlignment="1">
      <alignment horizontal="center" vertical="center" wrapText="1"/>
    </xf>
    <xf numFmtId="0" fontId="39" fillId="0" borderId="4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 wrapText="1"/>
    </xf>
    <xf numFmtId="179" fontId="38" fillId="0" borderId="4" xfId="0" applyNumberFormat="1" applyFont="1" applyFill="1" applyBorder="1" applyAlignment="1">
      <alignment horizontal="center" vertical="center" wrapText="1"/>
    </xf>
    <xf numFmtId="184" fontId="31" fillId="0" borderId="4" xfId="0" applyNumberFormat="1" applyFont="1" applyFill="1" applyBorder="1" applyAlignment="1">
      <alignment horizontal="center" vertical="center" wrapText="1"/>
    </xf>
    <xf numFmtId="0" fontId="31" fillId="0" borderId="5" xfId="0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9" fontId="11" fillId="0" borderId="4" xfId="49" applyNumberFormat="1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179" fontId="27" fillId="0" borderId="0" xfId="0" applyNumberFormat="1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494;&#20449;&#25991;&#20214;&#20301;&#32622;\WeChat%20Files\wxid_wbvnjn1jwdea22\FileStorage\File\2025-03\&#26495;&#24335;&#25253;&#20215;&#27169;&#26495;(21.11.1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360MoveData\Users\Administrator\Documents\WeChat%20Files\wxid_wbvnjn1jwdea22\FileStorage\File\2025-03\&#23454;&#26408;&#25253;&#20215;&#27169;&#26495;9-9.xls8.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1五"/>
      <sheetName val="2"/>
      <sheetName val="2五"/>
      <sheetName val="3"/>
      <sheetName val="3五"/>
      <sheetName val="4"/>
      <sheetName val="4五"/>
      <sheetName val="5"/>
      <sheetName val="5五"/>
      <sheetName val="6"/>
      <sheetName val="6五"/>
      <sheetName val="7"/>
      <sheetName val="7五"/>
      <sheetName val="8"/>
      <sheetName val="8五"/>
      <sheetName val="9"/>
      <sheetName val="9五"/>
      <sheetName val="10"/>
      <sheetName val="10五"/>
      <sheetName val="11"/>
      <sheetName val="11五金"/>
      <sheetName val="12"/>
      <sheetName val="12五金"/>
      <sheetName val="13"/>
      <sheetName val="13五金"/>
      <sheetName val="14"/>
      <sheetName val="14五金"/>
      <sheetName val="15"/>
      <sheetName val="15五金"/>
      <sheetName val="16"/>
      <sheetName val="16五金"/>
      <sheetName val="17"/>
      <sheetName val="17五金"/>
      <sheetName val="18"/>
      <sheetName val="18五金"/>
      <sheetName val="19"/>
      <sheetName val="19五金"/>
      <sheetName val="20"/>
      <sheetName val="20五金"/>
      <sheetName val="21"/>
      <sheetName val="21五金"/>
      <sheetName val="22"/>
      <sheetName val="22五金"/>
      <sheetName val="23"/>
      <sheetName val="23五金"/>
      <sheetName val="24"/>
      <sheetName val="24五金 "/>
      <sheetName val="25"/>
      <sheetName val="25五金"/>
      <sheetName val="26"/>
      <sheetName val="26五金"/>
      <sheetName val="27"/>
      <sheetName val="27五金 "/>
      <sheetName val="28"/>
      <sheetName val="28五金"/>
      <sheetName val="29"/>
      <sheetName val="29五金"/>
      <sheetName val="30"/>
      <sheetName val="30五金"/>
      <sheetName val="31"/>
      <sheetName val="31五金 "/>
      <sheetName val="32"/>
      <sheetName val="32五金 "/>
      <sheetName val="33"/>
      <sheetName val="33五金"/>
      <sheetName val="34"/>
      <sheetName val="34五金"/>
      <sheetName val="35"/>
      <sheetName val="35五金"/>
      <sheetName val="36"/>
      <sheetName val="36五金"/>
      <sheetName val="37"/>
      <sheetName val="37五金"/>
      <sheetName val="38"/>
      <sheetName val="38五金"/>
      <sheetName val="39"/>
      <sheetName val="39五金"/>
      <sheetName val="40"/>
      <sheetName val="40五金"/>
      <sheetName val="外购表-铝框门"/>
      <sheetName val="外购表-板材-1"/>
      <sheetName val="外购表-板材-2"/>
      <sheetName val="外购表-板材 -3"/>
      <sheetName val="实木"/>
      <sheetName val="汇总"/>
    </sheetNames>
    <sheetDataSet>
      <sheetData sheetId="0">
        <row r="23">
          <cell r="D23" t="str">
            <v>此单共页,合计金额</v>
          </cell>
        </row>
      </sheetData>
      <sheetData sheetId="1">
        <row r="29">
          <cell r="I29" t="str">
            <v>设计师</v>
          </cell>
        </row>
        <row r="30">
          <cell r="I30" t="str">
            <v>包装预计交货日期：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五金-1"/>
      <sheetName val="五金-2"/>
      <sheetName val="铝框门"/>
      <sheetName val="前工序单号总表"/>
      <sheetName val="汇总"/>
    </sheetNames>
    <sheetDataSet>
      <sheetData sheetId="0">
        <row r="5">
          <cell r="Q5">
            <v>-1</v>
          </cell>
        </row>
      </sheetData>
      <sheetData sheetId="1">
        <row r="4">
          <cell r="Q4">
            <v>-2</v>
          </cell>
        </row>
      </sheetData>
      <sheetData sheetId="2">
        <row r="4">
          <cell r="Q4">
            <v>-3</v>
          </cell>
        </row>
      </sheetData>
      <sheetData sheetId="3">
        <row r="4">
          <cell r="Q4">
            <v>-4</v>
          </cell>
        </row>
      </sheetData>
      <sheetData sheetId="4">
        <row r="4">
          <cell r="Q4">
            <v>-5</v>
          </cell>
        </row>
      </sheetData>
      <sheetData sheetId="5">
        <row r="4">
          <cell r="Q4">
            <v>-6</v>
          </cell>
        </row>
      </sheetData>
      <sheetData sheetId="6">
        <row r="4">
          <cell r="Q4">
            <v>-7</v>
          </cell>
        </row>
      </sheetData>
      <sheetData sheetId="7">
        <row r="4">
          <cell r="Q4">
            <v>-8</v>
          </cell>
        </row>
      </sheetData>
      <sheetData sheetId="8">
        <row r="4">
          <cell r="Q4">
            <v>-9</v>
          </cell>
        </row>
      </sheetData>
      <sheetData sheetId="9">
        <row r="4">
          <cell r="Q4">
            <v>-10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S33" sqref="S33"/>
    </sheetView>
  </sheetViews>
  <sheetFormatPr defaultColWidth="9" defaultRowHeight="14.25" outlineLevelCol="4"/>
  <cols>
    <col min="1" max="1" width="15.75" style="166" customWidth="1"/>
    <col min="2" max="2" width="6.875" style="166" customWidth="1"/>
    <col min="3" max="3" width="10.125" style="166" customWidth="1"/>
    <col min="4" max="4" width="10.75" style="166" customWidth="1"/>
  </cols>
  <sheetData>
    <row r="1" ht="22.5" spans="1:5">
      <c r="A1" s="329" t="s">
        <v>0</v>
      </c>
      <c r="B1" s="329"/>
      <c r="C1" s="329"/>
      <c r="D1" s="329"/>
      <c r="E1" s="330"/>
    </row>
    <row r="2" spans="1:5">
      <c r="A2" s="331" t="s">
        <v>1</v>
      </c>
      <c r="B2" s="331" t="s">
        <v>2</v>
      </c>
      <c r="C2" s="331" t="s">
        <v>3</v>
      </c>
      <c r="D2" s="331" t="s">
        <v>4</v>
      </c>
      <c r="E2" s="332" t="s">
        <v>5</v>
      </c>
    </row>
    <row r="3" spans="1:5">
      <c r="A3" s="10">
        <f>'1'!Q2</f>
        <v>0</v>
      </c>
      <c r="B3" s="10">
        <v>-1</v>
      </c>
      <c r="C3" s="10">
        <f>'1'!L27</f>
        <v>0</v>
      </c>
      <c r="D3" s="10">
        <f>'五金-1'!R26</f>
        <v>0</v>
      </c>
      <c r="E3" s="332">
        <f>铝框门!M26</f>
        <v>0</v>
      </c>
    </row>
    <row r="4" spans="1:5">
      <c r="A4" s="10">
        <f>A3</f>
        <v>0</v>
      </c>
      <c r="B4" s="10">
        <v>-2</v>
      </c>
      <c r="C4" s="10">
        <f>'2'!L25</f>
        <v>0</v>
      </c>
      <c r="D4" s="10">
        <f>'五金-2'!R26</f>
        <v>0</v>
      </c>
      <c r="E4" s="332"/>
    </row>
    <row r="5" spans="1:5">
      <c r="A5" s="10">
        <f t="shared" ref="A5:A12" si="0">A4</f>
        <v>0</v>
      </c>
      <c r="B5" s="10">
        <v>-3</v>
      </c>
      <c r="C5" s="10">
        <f>'3'!L25</f>
        <v>0</v>
      </c>
      <c r="D5" s="10"/>
      <c r="E5" s="332"/>
    </row>
    <row r="6" spans="1:5">
      <c r="A6" s="10">
        <f t="shared" si="0"/>
        <v>0</v>
      </c>
      <c r="B6" s="10">
        <v>-4</v>
      </c>
      <c r="C6" s="10">
        <f>'4'!L25</f>
        <v>0</v>
      </c>
      <c r="D6" s="10"/>
      <c r="E6" s="332"/>
    </row>
    <row r="7" spans="1:5">
      <c r="A7" s="10">
        <f t="shared" si="0"/>
        <v>0</v>
      </c>
      <c r="B7" s="10">
        <v>-5</v>
      </c>
      <c r="C7" s="10">
        <f>'5'!L25</f>
        <v>0</v>
      </c>
      <c r="D7" s="333"/>
      <c r="E7" s="332"/>
    </row>
    <row r="8" spans="1:5">
      <c r="A8" s="10">
        <f t="shared" si="0"/>
        <v>0</v>
      </c>
      <c r="B8" s="10">
        <v>-6</v>
      </c>
      <c r="C8" s="10">
        <f>'6'!L25</f>
        <v>0</v>
      </c>
      <c r="D8" s="333"/>
      <c r="E8" s="332"/>
    </row>
    <row r="9" spans="1:5">
      <c r="A9" s="10">
        <f t="shared" si="0"/>
        <v>0</v>
      </c>
      <c r="B9" s="10">
        <v>-7</v>
      </c>
      <c r="C9" s="10">
        <f>'7'!L25</f>
        <v>0</v>
      </c>
      <c r="D9" s="333"/>
      <c r="E9" s="332"/>
    </row>
    <row r="10" spans="1:5">
      <c r="A10" s="10">
        <f t="shared" si="0"/>
        <v>0</v>
      </c>
      <c r="B10" s="10">
        <v>-8</v>
      </c>
      <c r="C10" s="10">
        <f>'8'!L25</f>
        <v>0</v>
      </c>
      <c r="D10" s="333"/>
      <c r="E10" s="332"/>
    </row>
    <row r="11" spans="1:5">
      <c r="A11" s="10">
        <f t="shared" si="0"/>
        <v>0</v>
      </c>
      <c r="B11" s="10">
        <v>-9</v>
      </c>
      <c r="C11" s="10">
        <f>'9'!L25</f>
        <v>0</v>
      </c>
      <c r="D11" s="333"/>
      <c r="E11" s="332"/>
    </row>
    <row r="12" spans="1:5">
      <c r="A12" s="10">
        <f t="shared" si="0"/>
        <v>0</v>
      </c>
      <c r="B12" s="10">
        <v>-10</v>
      </c>
      <c r="C12" s="10">
        <f>'10'!L25</f>
        <v>0</v>
      </c>
      <c r="D12" s="333"/>
      <c r="E12" s="332"/>
    </row>
    <row r="13" spans="1:5">
      <c r="A13" s="10">
        <f t="shared" ref="A13:A32" si="1">A12</f>
        <v>0</v>
      </c>
      <c r="B13" s="10">
        <v>-11</v>
      </c>
      <c r="C13" s="10">
        <f>'11'!L25</f>
        <v>0</v>
      </c>
      <c r="D13" s="334"/>
      <c r="E13" s="332"/>
    </row>
    <row r="14" spans="1:5">
      <c r="A14" s="10">
        <f t="shared" si="1"/>
        <v>0</v>
      </c>
      <c r="B14" s="10">
        <v>-12</v>
      </c>
      <c r="C14" s="10">
        <f>'12'!L25</f>
        <v>0</v>
      </c>
      <c r="D14" s="334"/>
      <c r="E14" s="332"/>
    </row>
    <row r="15" spans="1:5">
      <c r="A15" s="10">
        <f t="shared" si="1"/>
        <v>0</v>
      </c>
      <c r="B15" s="10">
        <v>-13</v>
      </c>
      <c r="C15" s="10">
        <f>'13'!L25</f>
        <v>0</v>
      </c>
      <c r="D15" s="334"/>
      <c r="E15" s="332"/>
    </row>
    <row r="16" spans="1:5">
      <c r="A16" s="10">
        <f t="shared" si="1"/>
        <v>0</v>
      </c>
      <c r="B16" s="10">
        <v>-14</v>
      </c>
      <c r="C16" s="10">
        <f>'14'!L25</f>
        <v>0</v>
      </c>
      <c r="D16" s="334"/>
      <c r="E16" s="332"/>
    </row>
    <row r="17" spans="1:5">
      <c r="A17" s="10">
        <f t="shared" si="1"/>
        <v>0</v>
      </c>
      <c r="B17" s="10">
        <v>-15</v>
      </c>
      <c r="C17" s="10">
        <f>'15'!L25</f>
        <v>0</v>
      </c>
      <c r="D17" s="334"/>
      <c r="E17" s="332"/>
    </row>
    <row r="18" spans="1:5">
      <c r="A18" s="10">
        <f t="shared" si="1"/>
        <v>0</v>
      </c>
      <c r="B18" s="10">
        <v>-16</v>
      </c>
      <c r="C18" s="10">
        <f>'16'!L25</f>
        <v>0</v>
      </c>
      <c r="D18" s="334"/>
      <c r="E18" s="332"/>
    </row>
    <row r="19" spans="1:5">
      <c r="A19" s="10">
        <f t="shared" si="1"/>
        <v>0</v>
      </c>
      <c r="B19" s="10">
        <v>-17</v>
      </c>
      <c r="C19" s="10">
        <f>'17'!L25</f>
        <v>0</v>
      </c>
      <c r="D19" s="334"/>
      <c r="E19" s="332"/>
    </row>
    <row r="20" spans="1:5">
      <c r="A20" s="10">
        <f t="shared" si="1"/>
        <v>0</v>
      </c>
      <c r="B20" s="10">
        <v>-18</v>
      </c>
      <c r="C20" s="10">
        <f>'18'!L25</f>
        <v>0</v>
      </c>
      <c r="D20" s="334"/>
      <c r="E20" s="332"/>
    </row>
    <row r="21" spans="1:5">
      <c r="A21" s="10">
        <f t="shared" si="1"/>
        <v>0</v>
      </c>
      <c r="B21" s="10">
        <v>-19</v>
      </c>
      <c r="C21" s="10">
        <f>'19'!L25</f>
        <v>0</v>
      </c>
      <c r="D21" s="334"/>
      <c r="E21" s="332"/>
    </row>
    <row r="22" spans="1:5">
      <c r="A22" s="10">
        <f t="shared" si="1"/>
        <v>0</v>
      </c>
      <c r="B22" s="10">
        <v>-20</v>
      </c>
      <c r="C22" s="10">
        <f>'20'!L25</f>
        <v>0</v>
      </c>
      <c r="D22" s="334"/>
      <c r="E22" s="332"/>
    </row>
    <row r="23" spans="1:5">
      <c r="A23" s="10">
        <f t="shared" si="1"/>
        <v>0</v>
      </c>
      <c r="B23" s="10">
        <v>-21</v>
      </c>
      <c r="C23" s="10">
        <f>'21'!L25</f>
        <v>0</v>
      </c>
      <c r="D23" s="334"/>
      <c r="E23" s="332"/>
    </row>
    <row r="24" spans="1:5">
      <c r="A24" s="10">
        <f t="shared" si="1"/>
        <v>0</v>
      </c>
      <c r="B24" s="10">
        <v>-22</v>
      </c>
      <c r="C24" s="10">
        <f>'22'!L25</f>
        <v>0</v>
      </c>
      <c r="D24" s="334"/>
      <c r="E24" s="332"/>
    </row>
    <row r="25" spans="1:5">
      <c r="A25" s="10">
        <f t="shared" si="1"/>
        <v>0</v>
      </c>
      <c r="B25" s="10">
        <v>-23</v>
      </c>
      <c r="C25" s="10">
        <f>'23'!L25</f>
        <v>0</v>
      </c>
      <c r="D25" s="334"/>
      <c r="E25" s="332"/>
    </row>
    <row r="26" spans="1:5">
      <c r="A26" s="10">
        <f t="shared" si="1"/>
        <v>0</v>
      </c>
      <c r="B26" s="10">
        <v>-24</v>
      </c>
      <c r="C26" s="10">
        <f>'24'!L25</f>
        <v>0</v>
      </c>
      <c r="D26" s="334"/>
      <c r="E26" s="332"/>
    </row>
    <row r="27" spans="1:5">
      <c r="A27" s="10">
        <f t="shared" si="1"/>
        <v>0</v>
      </c>
      <c r="B27" s="10">
        <v>-25</v>
      </c>
      <c r="C27" s="10">
        <f>'25'!L25</f>
        <v>0</v>
      </c>
      <c r="D27" s="334"/>
      <c r="E27" s="332"/>
    </row>
    <row r="28" spans="1:5">
      <c r="A28" s="10">
        <f t="shared" si="1"/>
        <v>0</v>
      </c>
      <c r="B28" s="10">
        <v>-26</v>
      </c>
      <c r="C28" s="10">
        <f>'26'!L25</f>
        <v>0</v>
      </c>
      <c r="D28" s="334"/>
      <c r="E28" s="332"/>
    </row>
    <row r="29" spans="1:5">
      <c r="A29" s="10">
        <f t="shared" si="1"/>
        <v>0</v>
      </c>
      <c r="B29" s="10">
        <v>-27</v>
      </c>
      <c r="C29" s="10">
        <f>'27'!L25</f>
        <v>0</v>
      </c>
      <c r="D29" s="334"/>
      <c r="E29" s="332"/>
    </row>
    <row r="30" spans="1:5">
      <c r="A30" s="10">
        <f t="shared" si="1"/>
        <v>0</v>
      </c>
      <c r="B30" s="10">
        <v>-28</v>
      </c>
      <c r="C30" s="10">
        <f>'28'!L25</f>
        <v>0</v>
      </c>
      <c r="D30" s="334"/>
      <c r="E30" s="332"/>
    </row>
    <row r="31" spans="1:5">
      <c r="A31" s="10">
        <f t="shared" si="1"/>
        <v>0</v>
      </c>
      <c r="B31" s="10">
        <v>-29</v>
      </c>
      <c r="C31" s="10">
        <f>'29'!L25</f>
        <v>0</v>
      </c>
      <c r="D31" s="334"/>
      <c r="E31" s="332"/>
    </row>
    <row r="32" spans="1:5">
      <c r="A32" s="10">
        <f t="shared" si="1"/>
        <v>0</v>
      </c>
      <c r="B32" s="10">
        <v>-30</v>
      </c>
      <c r="C32" s="10">
        <f>'30'!L25</f>
        <v>0</v>
      </c>
      <c r="D32" s="334"/>
      <c r="E32" s="332"/>
    </row>
    <row r="33" spans="1:5">
      <c r="A33" s="10" t="s">
        <v>6</v>
      </c>
      <c r="B33" s="334"/>
      <c r="C33" s="334">
        <f>SUM(C3:C32)</f>
        <v>0</v>
      </c>
      <c r="D33" s="334">
        <f>SUM(D3:D32)</f>
        <v>0</v>
      </c>
      <c r="E33" s="334">
        <f>SUM(E3:E32)</f>
        <v>0</v>
      </c>
    </row>
    <row r="34" spans="1:5">
      <c r="A34" s="10" t="s">
        <v>7</v>
      </c>
      <c r="B34" s="334"/>
      <c r="C34" s="334">
        <f>C33+D33+E33</f>
        <v>0</v>
      </c>
      <c r="D34" s="334"/>
      <c r="E34" s="335"/>
    </row>
    <row r="35" ht="18.75" spans="1:5">
      <c r="A35" s="169"/>
      <c r="B35" s="336"/>
      <c r="C35" s="336"/>
      <c r="D35" s="336"/>
    </row>
    <row r="36" spans="1:5">
      <c r="A36" s="169"/>
    </row>
    <row r="37" spans="1:5">
      <c r="A37" s="169"/>
    </row>
    <row r="38" spans="1:5">
      <c r="A38" s="169"/>
    </row>
    <row r="39" spans="1:5">
      <c r="A39" s="169"/>
    </row>
  </sheetData>
  <mergeCells count="1">
    <mergeCell ref="A1:E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4"/>
  <sheetViews>
    <sheetView tabSelected="1" workbookViewId="0">
      <pane xSplit="1" ySplit="7" topLeftCell="B8" activePane="bottomRight" state="frozen"/>
      <selection/>
      <selection pane="topRight"/>
      <selection pane="bottomLeft"/>
      <selection pane="bottomRight" activeCell="U28" sqref="U28"/>
    </sheetView>
  </sheetViews>
  <sheetFormatPr defaultColWidth="9" defaultRowHeight="21.95" customHeight="1"/>
  <cols>
    <col min="1" max="1" width="4.125" style="289" customWidth="1"/>
    <col min="2" max="2" width="9.375" style="289" customWidth="1"/>
    <col min="3" max="3" width="12.75" style="289" customWidth="1"/>
    <col min="4" max="4" width="12.875" style="289" customWidth="1"/>
    <col min="5" max="5" width="11.375" style="289" customWidth="1"/>
    <col min="6" max="11" width="9.375" style="289" customWidth="1"/>
    <col min="12" max="12" width="11.375" style="289" customWidth="1"/>
    <col min="13" max="13" width="11.375" style="289" hidden="1" customWidth="1"/>
    <col min="14" max="14" width="9.375" style="289" customWidth="1"/>
    <col min="15" max="15" width="6.5" style="289" customWidth="1"/>
    <col min="16" max="16" width="12.5" style="289" customWidth="1"/>
    <col min="17" max="17" width="16.125" style="289" customWidth="1"/>
    <col min="18" max="18" width="4.375" style="289" customWidth="1"/>
    <col min="19" max="19" width="12.625" style="289" customWidth="1"/>
    <col min="20" max="22" width="9" style="289"/>
    <col min="23" max="16384" width="9" style="290"/>
  </cols>
  <sheetData>
    <row r="1" s="206" customFormat="1" ht="27" customHeight="1" spans="1:255">
      <c r="A1" s="291" t="s">
        <v>8</v>
      </c>
      <c r="B1" s="292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82"/>
      <c r="R1" s="182"/>
      <c r="S1" s="177"/>
    </row>
    <row r="2" s="206" customFormat="1" ht="29" customHeight="1" spans="1:255">
      <c r="A2" s="293"/>
      <c r="B2" s="294"/>
      <c r="C2" s="108" t="s">
        <v>11</v>
      </c>
      <c r="D2" s="181"/>
      <c r="E2" s="38" t="s">
        <v>12</v>
      </c>
      <c r="F2" s="295"/>
      <c r="G2" s="295"/>
      <c r="H2" s="295"/>
      <c r="I2" s="295"/>
      <c r="J2" s="295"/>
      <c r="K2" s="295"/>
      <c r="L2" s="182" t="s">
        <v>13</v>
      </c>
      <c r="M2" s="296"/>
      <c r="N2" s="297"/>
      <c r="O2" s="298"/>
      <c r="P2" s="108" t="s">
        <v>14</v>
      </c>
      <c r="Q2" s="186"/>
      <c r="R2" s="187"/>
      <c r="S2" s="188"/>
    </row>
    <row r="3" s="206" customFormat="1" ht="29" customHeight="1" spans="1:255">
      <c r="A3" s="217"/>
      <c r="B3" s="299"/>
      <c r="C3" s="191" t="s">
        <v>15</v>
      </c>
      <c r="D3" s="192"/>
      <c r="E3" s="300"/>
      <c r="F3" s="300"/>
      <c r="G3" s="300"/>
      <c r="H3" s="300"/>
      <c r="I3" s="300"/>
      <c r="J3" s="300"/>
      <c r="K3" s="301"/>
      <c r="L3" s="195"/>
      <c r="M3" s="195"/>
      <c r="N3" s="195"/>
      <c r="O3" s="196"/>
      <c r="P3" s="108"/>
      <c r="Q3" s="186"/>
      <c r="R3" s="187"/>
      <c r="S3" s="188"/>
    </row>
    <row r="4" s="283" customFormat="1" ht="23" hidden="1" customHeight="1" spans="1:255">
      <c r="A4" s="173" t="str">
        <f>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286"/>
      <c r="U4" s="286"/>
      <c r="V4" s="286"/>
      <c r="W4" s="286"/>
      <c r="X4" s="286"/>
      <c r="Y4" s="286"/>
      <c r="Z4" s="286"/>
      <c r="AA4" s="286"/>
      <c r="AB4" s="286"/>
      <c r="AC4" s="286"/>
      <c r="AD4" s="286"/>
      <c r="AE4" s="286"/>
      <c r="AF4" s="286"/>
      <c r="AG4" s="286"/>
      <c r="AH4" s="286"/>
      <c r="AI4" s="286"/>
      <c r="AJ4" s="286"/>
      <c r="AK4" s="286"/>
      <c r="AL4" s="286"/>
      <c r="AM4" s="286"/>
      <c r="AN4" s="286"/>
      <c r="AO4" s="286"/>
      <c r="AP4" s="286"/>
      <c r="AQ4" s="286"/>
      <c r="AR4" s="286"/>
      <c r="AS4" s="286"/>
      <c r="AT4" s="286"/>
      <c r="AU4" s="286"/>
      <c r="AV4" s="286"/>
      <c r="AW4" s="286"/>
      <c r="AX4" s="286"/>
      <c r="AY4" s="286"/>
      <c r="AZ4" s="286"/>
      <c r="BA4" s="286"/>
      <c r="BB4" s="286"/>
      <c r="BC4" s="286"/>
      <c r="BD4" s="286"/>
      <c r="BE4" s="286"/>
      <c r="BF4" s="286"/>
      <c r="BG4" s="286"/>
      <c r="BH4" s="286"/>
      <c r="BI4" s="286"/>
      <c r="BJ4" s="286"/>
      <c r="BK4" s="286"/>
      <c r="BL4" s="286"/>
      <c r="BM4" s="286"/>
      <c r="BN4" s="286"/>
      <c r="BO4" s="286"/>
      <c r="BP4" s="286"/>
      <c r="BQ4" s="286"/>
      <c r="BR4" s="286"/>
      <c r="BS4" s="286"/>
      <c r="BT4" s="286"/>
      <c r="BU4" s="286"/>
      <c r="BV4" s="286"/>
      <c r="BW4" s="286"/>
      <c r="BX4" s="286"/>
      <c r="BY4" s="286"/>
      <c r="BZ4" s="286"/>
      <c r="CA4" s="286"/>
      <c r="CB4" s="286"/>
      <c r="CC4" s="286"/>
      <c r="CD4" s="286"/>
      <c r="CE4" s="286"/>
      <c r="CF4" s="286"/>
      <c r="CG4" s="286"/>
      <c r="CH4" s="286"/>
      <c r="CI4" s="286"/>
      <c r="CJ4" s="286"/>
      <c r="CK4" s="286"/>
      <c r="CL4" s="286"/>
      <c r="CM4" s="286"/>
      <c r="CN4" s="286"/>
      <c r="CO4" s="286"/>
      <c r="CP4" s="286"/>
      <c r="CQ4" s="286"/>
      <c r="CR4" s="286"/>
      <c r="CS4" s="286"/>
      <c r="CT4" s="286"/>
      <c r="CU4" s="286"/>
      <c r="CV4" s="286"/>
      <c r="CW4" s="286"/>
      <c r="CX4" s="286"/>
      <c r="CY4" s="286"/>
      <c r="CZ4" s="286"/>
      <c r="DA4" s="286"/>
      <c r="DB4" s="286"/>
      <c r="DC4" s="286"/>
      <c r="DD4" s="286"/>
      <c r="DE4" s="286"/>
      <c r="DF4" s="286"/>
      <c r="DG4" s="286"/>
      <c r="DH4" s="286"/>
      <c r="DI4" s="286"/>
      <c r="DJ4" s="286"/>
      <c r="DK4" s="286"/>
      <c r="DL4" s="286"/>
      <c r="DM4" s="286"/>
      <c r="DN4" s="286"/>
      <c r="DO4" s="286"/>
      <c r="DP4" s="286"/>
      <c r="DQ4" s="286"/>
      <c r="DR4" s="286"/>
      <c r="DS4" s="286"/>
      <c r="DT4" s="286"/>
      <c r="DU4" s="286"/>
      <c r="DV4" s="286"/>
      <c r="DW4" s="286"/>
      <c r="DX4" s="286"/>
      <c r="DY4" s="286"/>
      <c r="DZ4" s="286"/>
      <c r="EA4" s="286"/>
      <c r="EB4" s="286"/>
      <c r="EC4" s="286"/>
      <c r="ED4" s="286"/>
      <c r="EE4" s="286"/>
      <c r="EF4" s="286"/>
      <c r="EG4" s="286"/>
      <c r="EH4" s="286"/>
      <c r="EI4" s="286"/>
      <c r="EJ4" s="286"/>
      <c r="EK4" s="286"/>
      <c r="EL4" s="286"/>
      <c r="EM4" s="286"/>
      <c r="EN4" s="286"/>
      <c r="EO4" s="286"/>
      <c r="EP4" s="286"/>
      <c r="EQ4" s="286"/>
      <c r="ER4" s="286"/>
      <c r="ES4" s="286"/>
      <c r="ET4" s="286"/>
      <c r="EU4" s="286"/>
      <c r="EV4" s="286"/>
      <c r="EW4" s="286"/>
      <c r="EX4" s="286"/>
      <c r="EY4" s="286"/>
      <c r="EZ4" s="286"/>
      <c r="FA4" s="286"/>
      <c r="FB4" s="286"/>
      <c r="FC4" s="286"/>
      <c r="FD4" s="286"/>
      <c r="FE4" s="286"/>
      <c r="FF4" s="286"/>
      <c r="FG4" s="286"/>
      <c r="FH4" s="286"/>
      <c r="FI4" s="286"/>
      <c r="FJ4" s="286"/>
      <c r="FK4" s="286"/>
      <c r="FL4" s="286"/>
      <c r="FM4" s="286"/>
      <c r="FN4" s="286"/>
      <c r="FO4" s="286"/>
      <c r="FP4" s="286"/>
      <c r="FQ4" s="286"/>
      <c r="FR4" s="286"/>
      <c r="FS4" s="286"/>
      <c r="FT4" s="286"/>
      <c r="FU4" s="286"/>
      <c r="FV4" s="286"/>
      <c r="FW4" s="286"/>
      <c r="FX4" s="286"/>
      <c r="FY4" s="286"/>
      <c r="FZ4" s="286"/>
      <c r="GA4" s="286"/>
      <c r="GB4" s="286"/>
      <c r="GC4" s="286"/>
      <c r="GD4" s="286"/>
      <c r="GE4" s="286"/>
      <c r="GF4" s="286"/>
      <c r="GG4" s="286"/>
      <c r="GH4" s="286"/>
      <c r="GI4" s="286"/>
      <c r="GJ4" s="286"/>
      <c r="GK4" s="286"/>
      <c r="GL4" s="286"/>
      <c r="GM4" s="286"/>
      <c r="GN4" s="286"/>
      <c r="GO4" s="286"/>
      <c r="GP4" s="286"/>
      <c r="GQ4" s="286"/>
      <c r="GR4" s="286"/>
      <c r="GS4" s="286"/>
      <c r="GT4" s="286"/>
      <c r="GU4" s="286"/>
      <c r="GV4" s="286"/>
      <c r="GW4" s="286"/>
      <c r="GX4" s="286"/>
      <c r="GY4" s="286"/>
      <c r="GZ4" s="286"/>
      <c r="HA4" s="286"/>
      <c r="HB4" s="286"/>
      <c r="HC4" s="286"/>
      <c r="HD4" s="286"/>
      <c r="HE4" s="286"/>
      <c r="HF4" s="286"/>
      <c r="HG4" s="286"/>
      <c r="HH4" s="286"/>
      <c r="HI4" s="286"/>
      <c r="HJ4" s="286"/>
      <c r="HK4" s="286"/>
      <c r="HL4" s="286"/>
      <c r="HM4" s="286"/>
      <c r="HN4" s="286"/>
      <c r="HO4" s="286"/>
      <c r="HP4" s="286"/>
      <c r="HQ4" s="286"/>
      <c r="HR4" s="286"/>
      <c r="HS4" s="286"/>
      <c r="HT4" s="286"/>
      <c r="HU4" s="286"/>
      <c r="HV4" s="286"/>
      <c r="HW4" s="286"/>
      <c r="HX4" s="286"/>
      <c r="HY4" s="286"/>
      <c r="HZ4" s="286"/>
      <c r="IA4" s="286"/>
      <c r="IB4" s="286"/>
      <c r="IC4" s="286"/>
      <c r="ID4" s="286"/>
      <c r="IE4" s="286"/>
      <c r="IF4" s="286"/>
      <c r="IG4" s="286"/>
      <c r="IH4" s="286"/>
      <c r="II4" s="286"/>
      <c r="IJ4" s="286"/>
      <c r="IK4" s="286"/>
      <c r="IL4" s="286"/>
      <c r="IM4" s="286"/>
      <c r="IN4" s="286"/>
      <c r="IO4" s="286"/>
      <c r="IP4" s="286"/>
      <c r="IQ4" s="286"/>
      <c r="IR4" s="286"/>
      <c r="IS4" s="286"/>
      <c r="IT4" s="286"/>
      <c r="IU4" s="286"/>
    </row>
    <row r="5" s="284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302"/>
      <c r="O5" s="303">
        <f>+R2</f>
        <v>0</v>
      </c>
      <c r="P5" s="108" t="s">
        <v>14</v>
      </c>
      <c r="Q5" s="201">
        <f>+Q2</f>
        <v>0</v>
      </c>
      <c r="R5" s="202">
        <v>-1</v>
      </c>
      <c r="S5" s="197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286"/>
      <c r="AK5" s="286"/>
      <c r="AL5" s="286"/>
      <c r="AM5" s="286"/>
      <c r="AN5" s="286"/>
      <c r="AO5" s="286"/>
      <c r="AP5" s="286"/>
      <c r="AQ5" s="286"/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/>
      <c r="BE5" s="286"/>
      <c r="BF5" s="286"/>
      <c r="BG5" s="286"/>
      <c r="BH5" s="286"/>
      <c r="BI5" s="286"/>
      <c r="BJ5" s="286"/>
      <c r="BK5" s="286"/>
      <c r="BL5" s="286"/>
      <c r="BM5" s="286"/>
      <c r="BN5" s="286"/>
      <c r="BO5" s="286"/>
      <c r="BP5" s="286"/>
      <c r="BQ5" s="286"/>
      <c r="BR5" s="286"/>
      <c r="BS5" s="286"/>
      <c r="BT5" s="286"/>
      <c r="BU5" s="286"/>
      <c r="BV5" s="286"/>
      <c r="BW5" s="286"/>
      <c r="BX5" s="286"/>
      <c r="BY5" s="286"/>
      <c r="BZ5" s="286"/>
      <c r="CA5" s="286"/>
      <c r="CB5" s="286"/>
      <c r="CC5" s="286"/>
      <c r="CD5" s="286"/>
      <c r="CE5" s="286"/>
      <c r="CF5" s="286"/>
      <c r="CG5" s="286"/>
      <c r="CH5" s="286"/>
      <c r="CI5" s="286"/>
      <c r="CJ5" s="286"/>
      <c r="CK5" s="286"/>
      <c r="CL5" s="286"/>
      <c r="CM5" s="286"/>
      <c r="CN5" s="286"/>
      <c r="CO5" s="286"/>
      <c r="CP5" s="286"/>
      <c r="CQ5" s="286"/>
      <c r="CR5" s="286"/>
      <c r="CS5" s="286"/>
      <c r="CT5" s="286"/>
      <c r="CU5" s="286"/>
      <c r="CV5" s="286"/>
      <c r="CW5" s="286"/>
      <c r="CX5" s="286"/>
      <c r="CY5" s="286"/>
      <c r="CZ5" s="286"/>
      <c r="DA5" s="286"/>
      <c r="DB5" s="286"/>
      <c r="DC5" s="286"/>
      <c r="DD5" s="286"/>
      <c r="DE5" s="286"/>
      <c r="DF5" s="286"/>
      <c r="DG5" s="286"/>
      <c r="DH5" s="286"/>
      <c r="DI5" s="286"/>
      <c r="DJ5" s="286"/>
      <c r="DK5" s="286"/>
      <c r="DL5" s="286"/>
      <c r="DM5" s="286"/>
      <c r="DN5" s="286"/>
      <c r="DO5" s="286"/>
      <c r="DP5" s="286"/>
      <c r="DQ5" s="286"/>
      <c r="DR5" s="286"/>
      <c r="DS5" s="286"/>
      <c r="DT5" s="286"/>
      <c r="DU5" s="286"/>
      <c r="DV5" s="286"/>
      <c r="DW5" s="286"/>
      <c r="DX5" s="286"/>
      <c r="DY5" s="286"/>
      <c r="DZ5" s="286"/>
      <c r="EA5" s="286"/>
      <c r="EB5" s="286"/>
      <c r="EC5" s="286"/>
      <c r="ED5" s="286"/>
      <c r="EE5" s="286"/>
      <c r="EF5" s="286"/>
      <c r="EG5" s="286"/>
      <c r="EH5" s="286"/>
      <c r="EI5" s="286"/>
      <c r="EJ5" s="286"/>
      <c r="EK5" s="286"/>
      <c r="EL5" s="286"/>
      <c r="EM5" s="286"/>
      <c r="EN5" s="286"/>
      <c r="EO5" s="286"/>
      <c r="EP5" s="286"/>
      <c r="EQ5" s="286"/>
      <c r="ER5" s="286"/>
      <c r="ES5" s="286"/>
      <c r="ET5" s="286"/>
      <c r="EU5" s="286"/>
      <c r="EV5" s="286"/>
      <c r="EW5" s="286"/>
      <c r="EX5" s="286"/>
      <c r="EY5" s="286"/>
      <c r="EZ5" s="286"/>
      <c r="FA5" s="286"/>
      <c r="FB5" s="286"/>
      <c r="FC5" s="286"/>
      <c r="FD5" s="286"/>
      <c r="FE5" s="286"/>
      <c r="FF5" s="286"/>
      <c r="FG5" s="286"/>
      <c r="FH5" s="286"/>
      <c r="FI5" s="286"/>
      <c r="FJ5" s="286"/>
      <c r="FK5" s="286"/>
      <c r="FL5" s="286"/>
      <c r="FM5" s="286"/>
      <c r="FN5" s="286"/>
      <c r="FO5" s="286"/>
      <c r="FP5" s="286"/>
      <c r="FQ5" s="286"/>
      <c r="FR5" s="286"/>
      <c r="FS5" s="286"/>
      <c r="FT5" s="286"/>
      <c r="FU5" s="286"/>
      <c r="FV5" s="286"/>
      <c r="FW5" s="286"/>
      <c r="FX5" s="286"/>
      <c r="FY5" s="286"/>
      <c r="FZ5" s="286"/>
      <c r="GA5" s="286"/>
      <c r="GB5" s="286"/>
      <c r="GC5" s="286"/>
      <c r="GD5" s="286"/>
      <c r="GE5" s="286"/>
      <c r="GF5" s="286"/>
      <c r="GG5" s="286"/>
      <c r="GH5" s="286"/>
      <c r="GI5" s="286"/>
      <c r="GJ5" s="286"/>
      <c r="GK5" s="286"/>
      <c r="GL5" s="286"/>
      <c r="GM5" s="286"/>
      <c r="GN5" s="286"/>
      <c r="GO5" s="286"/>
      <c r="GP5" s="286"/>
      <c r="GQ5" s="286"/>
      <c r="GR5" s="286"/>
      <c r="GS5" s="286"/>
      <c r="GT5" s="286"/>
      <c r="GU5" s="286"/>
      <c r="GV5" s="286"/>
      <c r="GW5" s="286"/>
      <c r="GX5" s="286"/>
      <c r="GY5" s="286"/>
      <c r="GZ5" s="286"/>
      <c r="HA5" s="286"/>
      <c r="HB5" s="286"/>
      <c r="HC5" s="286"/>
      <c r="HD5" s="286"/>
      <c r="HE5" s="286"/>
      <c r="HF5" s="286"/>
      <c r="HG5" s="286"/>
      <c r="HH5" s="286"/>
      <c r="HI5" s="286"/>
      <c r="HJ5" s="286"/>
      <c r="HK5" s="286"/>
      <c r="HL5" s="286"/>
      <c r="HM5" s="286"/>
      <c r="HN5" s="286"/>
      <c r="HO5" s="286"/>
      <c r="HP5" s="286"/>
      <c r="HQ5" s="286"/>
      <c r="HR5" s="286"/>
      <c r="HS5" s="286"/>
      <c r="HT5" s="286"/>
      <c r="HU5" s="286"/>
      <c r="HV5" s="286"/>
      <c r="HW5" s="286"/>
      <c r="HX5" s="286"/>
      <c r="HY5" s="286"/>
      <c r="HZ5" s="286"/>
      <c r="IA5" s="286"/>
      <c r="IB5" s="286"/>
      <c r="IC5" s="286"/>
      <c r="ID5" s="286"/>
      <c r="IE5" s="286"/>
      <c r="IF5" s="286"/>
      <c r="IG5" s="286"/>
      <c r="IH5" s="286"/>
      <c r="II5" s="286"/>
      <c r="IJ5" s="286"/>
      <c r="IK5" s="286"/>
      <c r="IL5" s="286"/>
      <c r="IM5" s="286"/>
      <c r="IN5" s="286"/>
      <c r="IO5" s="286"/>
      <c r="IP5" s="286"/>
    </row>
    <row r="6" s="284" customFormat="1" ht="25" hidden="1" customHeight="1" spans="1:255">
      <c r="A6" s="189"/>
      <c r="B6" s="190"/>
      <c r="C6" s="191" t="s">
        <v>15</v>
      </c>
      <c r="D6" s="192"/>
      <c r="E6" s="304">
        <f>E3</f>
        <v>0</v>
      </c>
      <c r="F6" s="304"/>
      <c r="G6" s="304"/>
      <c r="H6" s="304"/>
      <c r="I6" s="304"/>
      <c r="J6" s="304"/>
      <c r="K6" s="305"/>
      <c r="L6" s="108"/>
      <c r="M6" s="108"/>
      <c r="N6" s="302"/>
      <c r="O6" s="303"/>
      <c r="P6" s="108"/>
      <c r="Q6" s="201"/>
      <c r="R6" s="202"/>
      <c r="S6" s="197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6"/>
      <c r="AE6" s="286"/>
      <c r="AF6" s="286"/>
      <c r="AG6" s="286"/>
      <c r="AH6" s="286"/>
      <c r="AI6" s="286"/>
      <c r="AJ6" s="286"/>
      <c r="AK6" s="286"/>
      <c r="AL6" s="286"/>
      <c r="AM6" s="286"/>
      <c r="AN6" s="286"/>
      <c r="AO6" s="286"/>
      <c r="AP6" s="286"/>
      <c r="AQ6" s="286"/>
      <c r="AR6" s="286"/>
      <c r="AS6" s="286"/>
      <c r="AT6" s="286"/>
      <c r="AU6" s="286"/>
      <c r="AV6" s="286"/>
      <c r="AW6" s="286"/>
      <c r="AX6" s="286"/>
      <c r="AY6" s="286"/>
      <c r="AZ6" s="286"/>
      <c r="BA6" s="286"/>
      <c r="BB6" s="286"/>
      <c r="BC6" s="286"/>
      <c r="BD6" s="286"/>
      <c r="BE6" s="286"/>
      <c r="BF6" s="286"/>
      <c r="BG6" s="286"/>
      <c r="BH6" s="286"/>
      <c r="BI6" s="286"/>
      <c r="BJ6" s="286"/>
      <c r="BK6" s="286"/>
      <c r="BL6" s="286"/>
      <c r="BM6" s="286"/>
      <c r="BN6" s="286"/>
      <c r="BO6" s="286"/>
      <c r="BP6" s="286"/>
      <c r="BQ6" s="286"/>
      <c r="BR6" s="286"/>
      <c r="BS6" s="286"/>
      <c r="BT6" s="286"/>
      <c r="BU6" s="286"/>
      <c r="BV6" s="286"/>
      <c r="BW6" s="286"/>
      <c r="BX6" s="286"/>
      <c r="BY6" s="286"/>
      <c r="BZ6" s="286"/>
      <c r="CA6" s="286"/>
      <c r="CB6" s="286"/>
      <c r="CC6" s="286"/>
      <c r="CD6" s="286"/>
      <c r="CE6" s="286"/>
      <c r="CF6" s="286"/>
      <c r="CG6" s="286"/>
      <c r="CH6" s="286"/>
      <c r="CI6" s="286"/>
      <c r="CJ6" s="286"/>
      <c r="CK6" s="286"/>
      <c r="CL6" s="286"/>
      <c r="CM6" s="286"/>
      <c r="CN6" s="286"/>
      <c r="CO6" s="286"/>
      <c r="CP6" s="286"/>
      <c r="CQ6" s="286"/>
      <c r="CR6" s="286"/>
      <c r="CS6" s="286"/>
      <c r="CT6" s="286"/>
      <c r="CU6" s="286"/>
      <c r="CV6" s="286"/>
      <c r="CW6" s="286"/>
      <c r="CX6" s="286"/>
      <c r="CY6" s="286"/>
      <c r="CZ6" s="286"/>
      <c r="DA6" s="286"/>
      <c r="DB6" s="286"/>
      <c r="DC6" s="286"/>
      <c r="DD6" s="286"/>
      <c r="DE6" s="286"/>
      <c r="DF6" s="286"/>
      <c r="DG6" s="286"/>
      <c r="DH6" s="286"/>
      <c r="DI6" s="286"/>
      <c r="DJ6" s="286"/>
      <c r="DK6" s="286"/>
      <c r="DL6" s="286"/>
      <c r="DM6" s="286"/>
      <c r="DN6" s="286"/>
      <c r="DO6" s="286"/>
      <c r="DP6" s="286"/>
      <c r="DQ6" s="286"/>
      <c r="DR6" s="286"/>
      <c r="DS6" s="286"/>
      <c r="DT6" s="286"/>
      <c r="DU6" s="286"/>
      <c r="DV6" s="286"/>
      <c r="DW6" s="286"/>
      <c r="DX6" s="286"/>
      <c r="DY6" s="286"/>
      <c r="DZ6" s="286"/>
      <c r="EA6" s="286"/>
      <c r="EB6" s="286"/>
      <c r="EC6" s="286"/>
      <c r="ED6" s="286"/>
      <c r="EE6" s="286"/>
      <c r="EF6" s="286"/>
      <c r="EG6" s="286"/>
      <c r="EH6" s="286"/>
      <c r="EI6" s="286"/>
      <c r="EJ6" s="286"/>
      <c r="EK6" s="286"/>
      <c r="EL6" s="286"/>
      <c r="EM6" s="286"/>
      <c r="EN6" s="286"/>
      <c r="EO6" s="286"/>
      <c r="EP6" s="286"/>
      <c r="EQ6" s="286"/>
      <c r="ER6" s="286"/>
      <c r="ES6" s="286"/>
      <c r="ET6" s="286"/>
      <c r="EU6" s="286"/>
      <c r="EV6" s="286"/>
      <c r="EW6" s="286"/>
      <c r="EX6" s="286"/>
      <c r="EY6" s="286"/>
      <c r="EZ6" s="286"/>
      <c r="FA6" s="286"/>
      <c r="FB6" s="286"/>
      <c r="FC6" s="286"/>
      <c r="FD6" s="286"/>
      <c r="FE6" s="286"/>
      <c r="FF6" s="286"/>
      <c r="FG6" s="286"/>
      <c r="FH6" s="286"/>
      <c r="FI6" s="286"/>
      <c r="FJ6" s="286"/>
      <c r="FK6" s="286"/>
      <c r="FL6" s="286"/>
      <c r="FM6" s="286"/>
      <c r="FN6" s="286"/>
      <c r="FO6" s="286"/>
      <c r="FP6" s="286"/>
      <c r="FQ6" s="286"/>
      <c r="FR6" s="286"/>
      <c r="FS6" s="286"/>
      <c r="FT6" s="286"/>
      <c r="FU6" s="286"/>
      <c r="FV6" s="286"/>
      <c r="FW6" s="286"/>
      <c r="FX6" s="286"/>
      <c r="FY6" s="286"/>
      <c r="FZ6" s="286"/>
      <c r="GA6" s="286"/>
      <c r="GB6" s="286"/>
      <c r="GC6" s="286"/>
      <c r="GD6" s="286"/>
      <c r="GE6" s="286"/>
      <c r="GF6" s="286"/>
      <c r="GG6" s="286"/>
      <c r="GH6" s="286"/>
      <c r="GI6" s="286"/>
      <c r="GJ6" s="286"/>
      <c r="GK6" s="286"/>
      <c r="GL6" s="286"/>
      <c r="GM6" s="286"/>
      <c r="GN6" s="286"/>
      <c r="GO6" s="286"/>
      <c r="GP6" s="286"/>
      <c r="GQ6" s="286"/>
      <c r="GR6" s="286"/>
      <c r="GS6" s="286"/>
      <c r="GT6" s="286"/>
      <c r="GU6" s="286"/>
      <c r="GV6" s="286"/>
      <c r="GW6" s="286"/>
      <c r="GX6" s="286"/>
      <c r="GY6" s="286"/>
      <c r="GZ6" s="286"/>
      <c r="HA6" s="286"/>
      <c r="HB6" s="286"/>
      <c r="HC6" s="286"/>
      <c r="HD6" s="286"/>
      <c r="HE6" s="286"/>
      <c r="HF6" s="286"/>
      <c r="HG6" s="286"/>
      <c r="HH6" s="286"/>
      <c r="HI6" s="286"/>
      <c r="HJ6" s="286"/>
      <c r="HK6" s="286"/>
      <c r="HL6" s="286"/>
      <c r="HM6" s="286"/>
      <c r="HN6" s="286"/>
      <c r="HO6" s="286"/>
      <c r="HP6" s="286"/>
      <c r="HQ6" s="286"/>
      <c r="HR6" s="286"/>
      <c r="HS6" s="286"/>
      <c r="HT6" s="286"/>
      <c r="HU6" s="286"/>
      <c r="HV6" s="286"/>
      <c r="HW6" s="286"/>
      <c r="HX6" s="286"/>
      <c r="HY6" s="286"/>
      <c r="HZ6" s="286"/>
      <c r="IA6" s="286"/>
      <c r="IB6" s="286"/>
      <c r="IC6" s="286"/>
      <c r="ID6" s="286"/>
      <c r="IE6" s="286"/>
      <c r="IF6" s="286"/>
      <c r="IG6" s="286"/>
      <c r="IH6" s="286"/>
      <c r="II6" s="286"/>
      <c r="IJ6" s="286"/>
      <c r="IK6" s="286"/>
      <c r="IL6" s="286"/>
      <c r="IM6" s="286"/>
      <c r="IN6" s="286"/>
      <c r="IO6" s="286"/>
      <c r="IP6" s="286"/>
    </row>
    <row r="7" s="206" customFormat="1" ht="27" customHeight="1" spans="1:255">
      <c r="A7" s="108" t="s">
        <v>2</v>
      </c>
      <c r="B7" s="108" t="s">
        <v>20</v>
      </c>
      <c r="C7" s="108" t="s">
        <v>21</v>
      </c>
      <c r="D7" s="108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</row>
    <row r="8" s="206" customFormat="1" ht="18" customHeight="1" spans="1:255">
      <c r="A8" s="108">
        <v>1</v>
      </c>
      <c r="B8" s="108"/>
      <c r="C8" s="108"/>
      <c r="D8" s="108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>L8/100</f>
        <v>0</v>
      </c>
      <c r="N8" s="108" t="s">
        <v>35</v>
      </c>
      <c r="O8" s="108"/>
      <c r="P8" s="108"/>
      <c r="Q8" s="204"/>
      <c r="R8" s="205"/>
      <c r="S8" s="210"/>
    </row>
    <row r="9" s="206" customFormat="1" ht="18" customHeight="1" spans="1:255">
      <c r="A9" s="108">
        <v>2</v>
      </c>
      <c r="B9" s="108"/>
      <c r="C9" s="108"/>
      <c r="D9" s="108"/>
      <c r="E9" s="108"/>
      <c r="F9" s="108"/>
      <c r="G9" s="108"/>
      <c r="H9" s="108"/>
      <c r="I9" s="209"/>
      <c r="J9" s="208"/>
      <c r="K9" s="203"/>
      <c r="L9" s="203"/>
      <c r="M9" s="208">
        <f t="shared" ref="M9:M24" si="0">L9/100</f>
        <v>0</v>
      </c>
      <c r="N9" s="108"/>
      <c r="O9" s="108"/>
      <c r="P9" s="108"/>
      <c r="Q9" s="204"/>
      <c r="R9" s="205"/>
      <c r="S9" s="210"/>
    </row>
    <row r="10" s="206" customFormat="1" ht="18" customHeight="1" spans="1:255">
      <c r="A10" s="108">
        <v>3</v>
      </c>
      <c r="B10" s="108"/>
      <c r="C10" s="108"/>
      <c r="D10" s="108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206" customFormat="1" ht="18" customHeight="1" spans="1:255">
      <c r="A11" s="108">
        <v>4</v>
      </c>
      <c r="B11" s="108"/>
      <c r="C11" s="108"/>
      <c r="D11" s="108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206" customFormat="1" ht="18" customHeight="1" spans="1:255">
      <c r="A12" s="108">
        <v>5</v>
      </c>
      <c r="B12" s="108"/>
      <c r="C12" s="108"/>
      <c r="D12" s="108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206" customFormat="1" ht="18" customHeight="1" spans="1:255">
      <c r="A13" s="108">
        <v>6</v>
      </c>
      <c r="B13" s="108"/>
      <c r="C13" s="108"/>
      <c r="D13" s="108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206" customFormat="1" ht="18" customHeight="1" spans="1:255">
      <c r="A14" s="108">
        <v>7</v>
      </c>
      <c r="B14" s="108"/>
      <c r="C14" s="108"/>
      <c r="D14" s="108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206" customFormat="1" ht="18" customHeight="1" spans="1:255">
      <c r="A15" s="108">
        <v>8</v>
      </c>
      <c r="B15" s="108"/>
      <c r="C15" s="108"/>
      <c r="D15" s="108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206" customFormat="1" ht="18" customHeight="1" spans="1:255">
      <c r="A16" s="108">
        <v>9</v>
      </c>
      <c r="B16" s="108"/>
      <c r="C16" s="108"/>
      <c r="D16" s="108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206" customFormat="1" ht="18" customHeight="1" spans="1:255">
      <c r="A17" s="108">
        <v>10</v>
      </c>
      <c r="B17" s="108"/>
      <c r="C17" s="108"/>
      <c r="D17" s="108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108"/>
      <c r="O17" s="108"/>
      <c r="P17" s="108"/>
      <c r="Q17" s="204"/>
      <c r="R17" s="205"/>
      <c r="S17" s="210"/>
    </row>
    <row r="18" s="206" customFormat="1" ht="18" customHeight="1" spans="1:255">
      <c r="A18" s="108">
        <v>11</v>
      </c>
      <c r="B18" s="108"/>
      <c r="C18" s="108"/>
      <c r="D18" s="108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108"/>
      <c r="O18" s="108"/>
      <c r="P18" s="108"/>
      <c r="Q18" s="204"/>
      <c r="R18" s="205"/>
      <c r="S18" s="210"/>
    </row>
    <row r="19" s="206" customFormat="1" ht="18" customHeight="1" spans="1:255">
      <c r="A19" s="108">
        <v>12</v>
      </c>
      <c r="B19" s="108"/>
      <c r="C19" s="108"/>
      <c r="D19" s="108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108"/>
      <c r="O19" s="108"/>
      <c r="P19" s="108"/>
      <c r="Q19" s="204"/>
      <c r="R19" s="205"/>
      <c r="S19" s="210"/>
    </row>
    <row r="20" s="206" customFormat="1" ht="18" customHeight="1" spans="1:255">
      <c r="A20" s="108">
        <v>13</v>
      </c>
      <c r="B20" s="108"/>
      <c r="C20" s="108"/>
      <c r="D20" s="108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108"/>
      <c r="O20" s="108"/>
      <c r="P20" s="108"/>
      <c r="Q20" s="204"/>
      <c r="R20" s="205"/>
      <c r="S20" s="210"/>
    </row>
    <row r="21" s="206" customFormat="1" ht="18" customHeight="1" spans="1:255">
      <c r="A21" s="108">
        <v>14</v>
      </c>
      <c r="B21" s="108"/>
      <c r="C21" s="108"/>
      <c r="D21" s="108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108"/>
      <c r="O21" s="108"/>
      <c r="P21" s="108"/>
      <c r="Q21" s="204"/>
      <c r="R21" s="205"/>
      <c r="S21" s="210"/>
    </row>
    <row r="22" s="206" customFormat="1" ht="18" customHeight="1" spans="1:255">
      <c r="A22" s="108">
        <v>15</v>
      </c>
      <c r="B22" s="108"/>
      <c r="C22" s="108"/>
      <c r="D22" s="108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108"/>
      <c r="O22" s="108"/>
      <c r="P22" s="108"/>
      <c r="Q22" s="204"/>
      <c r="R22" s="205"/>
      <c r="S22" s="210"/>
    </row>
    <row r="23" s="206" customFormat="1" ht="18" customHeight="1" spans="1:255">
      <c r="A23" s="108">
        <v>16</v>
      </c>
      <c r="B23" s="108"/>
      <c r="C23" s="108"/>
      <c r="D23" s="108"/>
      <c r="E23" s="108"/>
      <c r="F23" s="108"/>
      <c r="G23" s="108"/>
      <c r="H23" s="108"/>
      <c r="I23" s="209"/>
      <c r="J23" s="208"/>
      <c r="K23" s="203"/>
      <c r="L23" s="203"/>
      <c r="M23" s="208">
        <f t="shared" si="0"/>
        <v>0</v>
      </c>
      <c r="N23" s="108"/>
      <c r="O23" s="108"/>
      <c r="P23" s="108"/>
      <c r="Q23" s="204"/>
      <c r="R23" s="205"/>
      <c r="S23" s="210"/>
    </row>
    <row r="24" s="206" customFormat="1" ht="18" customHeight="1" spans="1:255">
      <c r="A24" s="108">
        <v>17</v>
      </c>
      <c r="B24" s="108"/>
      <c r="C24" s="108"/>
      <c r="D24" s="108"/>
      <c r="E24" s="108"/>
      <c r="F24" s="108"/>
      <c r="G24" s="108"/>
      <c r="H24" s="108"/>
      <c r="I24" s="209"/>
      <c r="J24" s="208"/>
      <c r="K24" s="203"/>
      <c r="L24" s="203"/>
      <c r="M24" s="208">
        <f t="shared" si="0"/>
        <v>0</v>
      </c>
      <c r="N24" s="108"/>
      <c r="O24" s="108"/>
      <c r="P24" s="108"/>
      <c r="Q24" s="204"/>
      <c r="R24" s="205"/>
      <c r="S24" s="210"/>
    </row>
    <row r="25" s="168" customFormat="1" ht="19" customHeight="1" spans="1:255">
      <c r="A25" s="97">
        <v>18</v>
      </c>
      <c r="B25" s="306"/>
      <c r="C25" s="306" t="s">
        <v>36</v>
      </c>
      <c r="D25" s="232" t="s">
        <v>37</v>
      </c>
      <c r="E25" s="233"/>
      <c r="F25" s="233"/>
      <c r="G25" s="233"/>
      <c r="H25" s="233"/>
      <c r="I25" s="233"/>
      <c r="J25" s="233"/>
      <c r="K25" s="307"/>
      <c r="L25" s="308"/>
      <c r="M25" s="309"/>
      <c r="N25" s="291"/>
      <c r="O25" s="292"/>
      <c r="P25" s="293"/>
      <c r="Q25" s="291"/>
      <c r="R25" s="292"/>
      <c r="S25" s="218"/>
    </row>
    <row r="26" s="168" customFormat="1" ht="19" customHeight="1" spans="1:255">
      <c r="A26" s="108" t="s">
        <v>38</v>
      </c>
      <c r="B26" s="108"/>
      <c r="C26" s="108"/>
      <c r="D26" s="108"/>
      <c r="E26" s="108"/>
      <c r="F26" s="108"/>
      <c r="G26" s="108"/>
      <c r="H26" s="219">
        <f>SUM(H8:H24)</f>
        <v>0</v>
      </c>
      <c r="I26" s="220">
        <f>SUM(I8:I24)</f>
        <v>0</v>
      </c>
      <c r="J26" s="220">
        <f>SUM(J8:J24)</f>
        <v>0</v>
      </c>
      <c r="K26" s="219"/>
      <c r="L26" s="221"/>
      <c r="M26" s="220">
        <f>SUM(M8:M24)</f>
        <v>0</v>
      </c>
      <c r="N26" s="108"/>
      <c r="O26" s="108"/>
      <c r="P26" s="108"/>
      <c r="Q26" s="108"/>
      <c r="R26" s="222"/>
      <c r="S26" s="218"/>
    </row>
    <row r="27" s="285" customFormat="1" ht="25" customHeight="1" spans="1:255">
      <c r="A27" s="310" t="s">
        <v>39</v>
      </c>
      <c r="B27" s="311"/>
      <c r="C27" s="312"/>
      <c r="D27" s="239"/>
      <c r="E27" s="313"/>
      <c r="F27" s="314"/>
      <c r="G27" s="314"/>
      <c r="H27" s="315"/>
      <c r="I27" s="315"/>
      <c r="J27" s="316"/>
      <c r="K27" s="315"/>
      <c r="L27" s="317">
        <f>+SUM(L8:L25)</f>
        <v>0</v>
      </c>
      <c r="M27" s="317"/>
      <c r="N27" s="314" t="s">
        <v>40</v>
      </c>
      <c r="O27" s="318"/>
      <c r="P27" s="318"/>
      <c r="Q27" s="217"/>
      <c r="R27" s="299"/>
      <c r="S27" s="218"/>
      <c r="T27" s="230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285" customFormat="1" ht="25" customHeight="1" spans="1:255">
      <c r="A28" s="310"/>
      <c r="B28" s="150"/>
      <c r="C28" s="311"/>
      <c r="D28" s="243" t="s">
        <v>41</v>
      </c>
      <c r="E28" s="319" t="s">
        <v>38</v>
      </c>
      <c r="F28" s="320">
        <f>+L28+O28</f>
        <v>0</v>
      </c>
      <c r="G28" s="321"/>
      <c r="H28" s="322" t="s">
        <v>40</v>
      </c>
      <c r="I28" s="323"/>
      <c r="J28" s="324"/>
      <c r="K28" s="319" t="s">
        <v>42</v>
      </c>
      <c r="L28" s="325">
        <f>+L27+'2'!L25+'3'!L25+'4'!L25+'5'!L25+'6'!L25+'7'!L25+'8'!L25+'9'!L25+'10'!L25+'11'!L25+'12'!L25+'13'!L25+'14'!L25+'15'!L25+'16'!L25+'17'!L25+'18'!L25+'19'!L25+'20'!L25+'21'!L25+'22'!L25+'23'!L25+'24'!L25+'25'!L25+'26'!L25+'27'!L25+'28'!L25+'29'!L25+'30'!L25</f>
        <v>0</v>
      </c>
      <c r="M28" s="325"/>
      <c r="N28" s="319" t="s">
        <v>43</v>
      </c>
      <c r="O28" s="326">
        <f>'五金-1'!R26+'五金-2'!R26+铝框门!M26</f>
        <v>0</v>
      </c>
      <c r="P28" s="327"/>
      <c r="Q28" s="204"/>
      <c r="R28" s="205"/>
      <c r="S28" s="218"/>
      <c r="T28" s="230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285" customFormat="1" ht="25" customHeight="1" spans="1:255">
      <c r="A29" s="310"/>
      <c r="B29" s="150"/>
      <c r="C29" s="311"/>
      <c r="D29" s="239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1"/>
      <c r="T29" s="230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285" customFormat="1" ht="25" customHeight="1" spans="1:255">
      <c r="A30" s="328"/>
      <c r="B30" s="149"/>
      <c r="C30" s="149"/>
      <c r="D30" s="242"/>
      <c r="E30" s="242"/>
      <c r="F30" s="242"/>
      <c r="G30" s="242"/>
      <c r="H30" s="242"/>
      <c r="I30" s="242"/>
      <c r="J30" s="242"/>
      <c r="K30" s="242"/>
      <c r="L30" s="243" t="s">
        <v>44</v>
      </c>
      <c r="M30" s="243"/>
      <c r="N30" s="243"/>
      <c r="O30" s="244"/>
      <c r="P30" s="244"/>
      <c r="Q30" s="244"/>
      <c r="R30" s="244"/>
      <c r="S30" s="245"/>
      <c r="T30" s="218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  <row r="31" s="206" customFormat="1" ht="28" customHeight="1" spans="1:255">
      <c r="A31" s="108" t="s">
        <v>45</v>
      </c>
      <c r="B31" s="108"/>
      <c r="C31" s="108" t="s">
        <v>46</v>
      </c>
      <c r="D31" s="108" t="s">
        <v>47</v>
      </c>
      <c r="E31" s="108"/>
      <c r="F31" s="108"/>
      <c r="G31" s="108"/>
      <c r="H31" s="108" t="s">
        <v>48</v>
      </c>
      <c r="I31" s="108"/>
      <c r="J31" s="203"/>
      <c r="K31" s="203"/>
      <c r="L31" s="203" t="s">
        <v>49</v>
      </c>
      <c r="M31" s="247"/>
      <c r="N31" s="219"/>
      <c r="O31" s="219"/>
      <c r="P31" s="219"/>
      <c r="Q31" s="108"/>
      <c r="R31" s="222"/>
      <c r="S31" s="218"/>
      <c r="T31" s="218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</row>
    <row r="32" s="284" customFormat="1" ht="30" hidden="1" customHeight="1" spans="1:255">
      <c r="A32" s="248" t="str">
        <f>+A27</f>
        <v>图文说明:</v>
      </c>
      <c r="B32" s="248"/>
      <c r="C32" s="248"/>
      <c r="D32" s="248"/>
      <c r="E32" s="248"/>
      <c r="F32" s="248"/>
      <c r="G32" s="248"/>
      <c r="H32" s="248"/>
      <c r="I32" s="249" t="s">
        <v>50</v>
      </c>
      <c r="J32" s="249"/>
      <c r="K32" s="249"/>
      <c r="L32" s="272"/>
      <c r="M32" s="272"/>
      <c r="N32" s="108"/>
      <c r="O32" s="108"/>
      <c r="P32" s="251" t="s">
        <v>51</v>
      </c>
      <c r="Q32" s="204"/>
      <c r="R32" s="205"/>
      <c r="S32" s="210"/>
      <c r="T32" s="286"/>
      <c r="U32" s="286"/>
      <c r="V32" s="286"/>
      <c r="W32" s="286"/>
      <c r="X32" s="286"/>
      <c r="Y32" s="286"/>
      <c r="Z32" s="286"/>
      <c r="AA32" s="286"/>
      <c r="AB32" s="286"/>
      <c r="AC32" s="286"/>
      <c r="AD32" s="286"/>
      <c r="AE32" s="286"/>
      <c r="AF32" s="286"/>
      <c r="AG32" s="286"/>
      <c r="AH32" s="286"/>
      <c r="AI32" s="286"/>
      <c r="AJ32" s="286"/>
      <c r="AK32" s="286"/>
      <c r="AL32" s="286"/>
      <c r="AM32" s="286"/>
      <c r="AN32" s="286"/>
      <c r="AO32" s="286"/>
      <c r="AP32" s="286"/>
      <c r="AQ32" s="286"/>
      <c r="AR32" s="286"/>
      <c r="AS32" s="286"/>
      <c r="AT32" s="286"/>
      <c r="AU32" s="286"/>
      <c r="AV32" s="286"/>
      <c r="AW32" s="286"/>
      <c r="AX32" s="286"/>
      <c r="AY32" s="286"/>
      <c r="AZ32" s="286"/>
      <c r="BA32" s="286"/>
      <c r="BB32" s="286"/>
      <c r="BC32" s="286"/>
      <c r="BD32" s="286"/>
      <c r="BE32" s="286"/>
      <c r="BF32" s="286"/>
      <c r="BG32" s="286"/>
      <c r="BH32" s="286"/>
      <c r="BI32" s="286"/>
      <c r="BJ32" s="286"/>
      <c r="BK32" s="286"/>
      <c r="BL32" s="286"/>
      <c r="BM32" s="286"/>
      <c r="BN32" s="286"/>
      <c r="BO32" s="286"/>
      <c r="BP32" s="286"/>
      <c r="BQ32" s="286"/>
      <c r="BR32" s="286"/>
      <c r="BS32" s="286"/>
      <c r="BT32" s="286"/>
      <c r="BU32" s="286"/>
      <c r="BV32" s="286"/>
      <c r="BW32" s="286"/>
      <c r="BX32" s="286"/>
      <c r="BY32" s="286"/>
      <c r="BZ32" s="286"/>
      <c r="CA32" s="286"/>
      <c r="CB32" s="286"/>
      <c r="CC32" s="286"/>
      <c r="CD32" s="286"/>
      <c r="CE32" s="286"/>
      <c r="CF32" s="286"/>
      <c r="CG32" s="286"/>
      <c r="CH32" s="286"/>
      <c r="CI32" s="286"/>
      <c r="CJ32" s="286"/>
      <c r="CK32" s="286"/>
      <c r="CL32" s="286"/>
      <c r="CM32" s="286"/>
      <c r="CN32" s="286"/>
      <c r="CO32" s="286"/>
      <c r="CP32" s="286"/>
      <c r="CQ32" s="286"/>
      <c r="CR32" s="286"/>
      <c r="CS32" s="286"/>
      <c r="CT32" s="286"/>
      <c r="CU32" s="286"/>
      <c r="CV32" s="286"/>
      <c r="CW32" s="286"/>
      <c r="CX32" s="286"/>
      <c r="CY32" s="286"/>
      <c r="CZ32" s="286"/>
      <c r="DA32" s="286"/>
      <c r="DB32" s="286"/>
      <c r="DC32" s="286"/>
      <c r="DD32" s="286"/>
      <c r="DE32" s="286"/>
      <c r="DF32" s="286"/>
      <c r="DG32" s="286"/>
      <c r="DH32" s="286"/>
      <c r="DI32" s="286"/>
      <c r="DJ32" s="286"/>
      <c r="DK32" s="286"/>
      <c r="DL32" s="286"/>
      <c r="DM32" s="286"/>
      <c r="DN32" s="286"/>
      <c r="DO32" s="286"/>
      <c r="DP32" s="286"/>
      <c r="DQ32" s="286"/>
      <c r="DR32" s="286"/>
      <c r="DS32" s="286"/>
      <c r="DT32" s="286"/>
      <c r="DU32" s="286"/>
      <c r="DV32" s="286"/>
      <c r="DW32" s="286"/>
      <c r="DX32" s="286"/>
      <c r="DY32" s="286"/>
      <c r="DZ32" s="286"/>
      <c r="EA32" s="286"/>
      <c r="EB32" s="286"/>
      <c r="EC32" s="286"/>
      <c r="ED32" s="286"/>
      <c r="EE32" s="286"/>
      <c r="EF32" s="286"/>
      <c r="EG32" s="286"/>
      <c r="EH32" s="286"/>
      <c r="EI32" s="286"/>
      <c r="EJ32" s="286"/>
      <c r="EK32" s="286"/>
      <c r="EL32" s="286"/>
      <c r="EM32" s="286"/>
      <c r="EN32" s="286"/>
      <c r="EO32" s="286"/>
      <c r="EP32" s="286"/>
      <c r="EQ32" s="286"/>
      <c r="ER32" s="286"/>
      <c r="ES32" s="286"/>
      <c r="ET32" s="286"/>
      <c r="EU32" s="286"/>
      <c r="EV32" s="286"/>
      <c r="EW32" s="286"/>
      <c r="EX32" s="286"/>
      <c r="EY32" s="286"/>
      <c r="EZ32" s="286"/>
      <c r="FA32" s="286"/>
      <c r="FB32" s="286"/>
      <c r="FC32" s="286"/>
      <c r="FD32" s="286"/>
      <c r="FE32" s="286"/>
      <c r="FF32" s="286"/>
      <c r="FG32" s="286"/>
      <c r="FH32" s="286"/>
      <c r="FI32" s="286"/>
      <c r="FJ32" s="286"/>
      <c r="FK32" s="286"/>
      <c r="FL32" s="286"/>
      <c r="FM32" s="286"/>
      <c r="FN32" s="286"/>
      <c r="FO32" s="286"/>
      <c r="FP32" s="286"/>
      <c r="FQ32" s="286"/>
      <c r="FR32" s="286"/>
      <c r="FS32" s="286"/>
      <c r="FT32" s="286"/>
      <c r="FU32" s="286"/>
      <c r="FV32" s="286"/>
      <c r="FW32" s="286"/>
      <c r="FX32" s="286"/>
      <c r="FY32" s="286"/>
      <c r="FZ32" s="286"/>
      <c r="GA32" s="286"/>
      <c r="GB32" s="286"/>
      <c r="GC32" s="286"/>
      <c r="GD32" s="286"/>
      <c r="GE32" s="286"/>
      <c r="GF32" s="286"/>
      <c r="GG32" s="286"/>
      <c r="GH32" s="286"/>
      <c r="GI32" s="286"/>
      <c r="GJ32" s="286"/>
      <c r="GK32" s="286"/>
      <c r="GL32" s="286"/>
      <c r="GM32" s="286"/>
      <c r="GN32" s="286"/>
      <c r="GO32" s="286"/>
      <c r="GP32" s="286"/>
      <c r="GQ32" s="286"/>
      <c r="GR32" s="286"/>
      <c r="GS32" s="286"/>
      <c r="GT32" s="286"/>
      <c r="GU32" s="286"/>
      <c r="GV32" s="286"/>
      <c r="GW32" s="286"/>
      <c r="GX32" s="286"/>
      <c r="GY32" s="286"/>
      <c r="GZ32" s="286"/>
      <c r="HA32" s="286"/>
      <c r="HB32" s="286"/>
      <c r="HC32" s="286"/>
      <c r="HD32" s="286"/>
      <c r="HE32" s="286"/>
      <c r="HF32" s="286"/>
      <c r="HG32" s="286"/>
      <c r="HH32" s="286"/>
      <c r="HI32" s="286"/>
      <c r="HJ32" s="286"/>
      <c r="HK32" s="286"/>
      <c r="HL32" s="286"/>
      <c r="HM32" s="286"/>
      <c r="HN32" s="286"/>
      <c r="HO32" s="286"/>
      <c r="HP32" s="286"/>
      <c r="HQ32" s="286"/>
      <c r="HR32" s="286"/>
      <c r="HS32" s="286"/>
      <c r="HT32" s="286"/>
      <c r="HU32" s="286"/>
      <c r="HV32" s="286"/>
      <c r="HW32" s="286"/>
      <c r="HX32" s="286"/>
      <c r="HY32" s="286"/>
      <c r="HZ32" s="286"/>
      <c r="IA32" s="286"/>
      <c r="IB32" s="286"/>
      <c r="IC32" s="286"/>
      <c r="ID32" s="286"/>
      <c r="IE32" s="286"/>
      <c r="IF32" s="286"/>
      <c r="IG32" s="286"/>
      <c r="IH32" s="286"/>
      <c r="II32" s="286"/>
      <c r="IJ32" s="286"/>
      <c r="IK32" s="286"/>
      <c r="IL32" s="286"/>
      <c r="IM32" s="286"/>
      <c r="IN32" s="286"/>
      <c r="IO32" s="286"/>
      <c r="IP32" s="286"/>
      <c r="IQ32" s="283"/>
      <c r="IR32" s="283"/>
      <c r="IS32" s="283"/>
      <c r="IT32" s="283"/>
      <c r="IU32" s="283"/>
    </row>
    <row r="33" s="286" customFormat="1" ht="30" hidden="1" customHeight="1" spans="1:36">
      <c r="A33" s="252"/>
      <c r="B33" s="252"/>
      <c r="C33" s="252"/>
      <c r="D33" s="252"/>
      <c r="E33" s="252"/>
      <c r="F33" s="252"/>
      <c r="G33" s="252"/>
      <c r="H33" s="252"/>
      <c r="I33" s="249" t="s">
        <v>52</v>
      </c>
      <c r="J33" s="249"/>
      <c r="K33" s="249"/>
      <c r="L33" s="272"/>
      <c r="M33" s="272"/>
      <c r="N33" s="249"/>
      <c r="O33" s="249"/>
      <c r="P33" s="251" t="s">
        <v>53</v>
      </c>
      <c r="Q33" s="204"/>
      <c r="R33" s="205"/>
      <c r="S33" s="254"/>
    </row>
    <row r="34" s="287" customFormat="1" ht="21" hidden="1" customHeight="1" spans="1:36">
      <c r="A34" s="255" t="s">
        <v>54</v>
      </c>
      <c r="B34" s="256"/>
      <c r="C34" s="255" t="s">
        <v>55</v>
      </c>
      <c r="D34" s="256"/>
      <c r="E34" s="255" t="s">
        <v>56</v>
      </c>
      <c r="F34" s="256"/>
      <c r="G34" s="255" t="s">
        <v>57</v>
      </c>
      <c r="H34" s="256"/>
      <c r="I34" s="257" t="s">
        <v>58</v>
      </c>
      <c r="J34" s="258"/>
      <c r="K34" s="257"/>
      <c r="L34" s="258"/>
      <c r="M34" s="259"/>
      <c r="N34" s="257" t="s">
        <v>59</v>
      </c>
      <c r="O34" s="258"/>
      <c r="P34" s="257" t="s">
        <v>60</v>
      </c>
      <c r="Q34" s="259"/>
      <c r="R34" s="260"/>
      <c r="S34" s="261"/>
    </row>
    <row r="35" s="287" customFormat="1" ht="25" hidden="1" customHeight="1" spans="1:36">
      <c r="A35" s="262" t="s">
        <v>61</v>
      </c>
      <c r="B35" s="262" t="s">
        <v>62</v>
      </c>
      <c r="C35" s="263" t="s">
        <v>61</v>
      </c>
      <c r="D35" s="263" t="s">
        <v>62</v>
      </c>
      <c r="E35" s="263" t="s">
        <v>61</v>
      </c>
      <c r="F35" s="262" t="s">
        <v>62</v>
      </c>
      <c r="G35" s="263" t="s">
        <v>61</v>
      </c>
      <c r="H35" s="264" t="s">
        <v>62</v>
      </c>
      <c r="I35" s="263" t="s">
        <v>61</v>
      </c>
      <c r="J35" s="263" t="s">
        <v>62</v>
      </c>
      <c r="K35" s="263"/>
      <c r="L35" s="263"/>
      <c r="M35" s="263"/>
      <c r="N35" s="263" t="s">
        <v>61</v>
      </c>
      <c r="O35" s="263" t="s">
        <v>62</v>
      </c>
      <c r="P35" s="263" t="s">
        <v>61</v>
      </c>
      <c r="Q35" s="255" t="s">
        <v>62</v>
      </c>
      <c r="R35" s="260"/>
      <c r="S35" s="261"/>
    </row>
    <row r="36" s="287" customFormat="1" ht="24" hidden="1" customHeight="1" spans="1:36">
      <c r="A36" s="263"/>
      <c r="B36" s="263"/>
      <c r="C36" s="263"/>
      <c r="D36" s="263"/>
      <c r="E36" s="263"/>
      <c r="F36" s="263"/>
      <c r="G36" s="265"/>
      <c r="H36" s="265"/>
      <c r="I36" s="263"/>
      <c r="J36" s="263"/>
      <c r="K36" s="263"/>
      <c r="L36" s="263"/>
      <c r="M36" s="263"/>
      <c r="N36" s="263"/>
      <c r="O36" s="263"/>
      <c r="P36" s="263"/>
      <c r="Q36" s="255"/>
      <c r="R36" s="260"/>
      <c r="S36" s="218"/>
    </row>
    <row r="37" s="287" customFormat="1" ht="19" hidden="1" customHeight="1" spans="1:36">
      <c r="A37" s="255" t="s">
        <v>63</v>
      </c>
      <c r="B37" s="256"/>
      <c r="C37" s="255" t="s">
        <v>64</v>
      </c>
      <c r="D37" s="256"/>
      <c r="E37" s="255" t="s">
        <v>65</v>
      </c>
      <c r="F37" s="256"/>
      <c r="G37" s="257" t="s">
        <v>66</v>
      </c>
      <c r="H37" s="258"/>
      <c r="I37" s="255" t="s">
        <v>67</v>
      </c>
      <c r="J37" s="256"/>
      <c r="K37" s="255"/>
      <c r="L37" s="256"/>
      <c r="M37" s="266"/>
      <c r="N37" s="255" t="s">
        <v>68</v>
      </c>
      <c r="O37" s="256"/>
      <c r="P37" s="255" t="s">
        <v>69</v>
      </c>
      <c r="Q37" s="266"/>
      <c r="R37" s="260"/>
      <c r="S37" s="218"/>
    </row>
    <row r="38" s="287" customFormat="1" ht="30" hidden="1" customHeight="1" spans="1:36">
      <c r="A38" s="262" t="s">
        <v>61</v>
      </c>
      <c r="B38" s="262" t="s">
        <v>62</v>
      </c>
      <c r="C38" s="263" t="s">
        <v>61</v>
      </c>
      <c r="D38" s="263" t="s">
        <v>62</v>
      </c>
      <c r="E38" s="263" t="s">
        <v>61</v>
      </c>
      <c r="F38" s="262" t="s">
        <v>62</v>
      </c>
      <c r="G38" s="263" t="s">
        <v>61</v>
      </c>
      <c r="H38" s="264" t="s">
        <v>62</v>
      </c>
      <c r="I38" s="263" t="s">
        <v>61</v>
      </c>
      <c r="J38" s="263" t="s">
        <v>62</v>
      </c>
      <c r="K38" s="263"/>
      <c r="L38" s="263"/>
      <c r="M38" s="263"/>
      <c r="N38" s="263" t="s">
        <v>61</v>
      </c>
      <c r="O38" s="263" t="s">
        <v>62</v>
      </c>
      <c r="P38" s="263" t="s">
        <v>61</v>
      </c>
      <c r="Q38" s="255" t="s">
        <v>62</v>
      </c>
      <c r="R38" s="260"/>
      <c r="S38" s="218"/>
    </row>
    <row r="39" s="288" customFormat="1" ht="24" hidden="1" customHeight="1" spans="1:36">
      <c r="A39" s="263"/>
      <c r="B39" s="263"/>
      <c r="C39" s="263"/>
      <c r="D39" s="263"/>
      <c r="E39" s="263"/>
      <c r="F39" s="263"/>
      <c r="G39" s="265"/>
      <c r="H39" s="265"/>
      <c r="I39" s="263"/>
      <c r="J39" s="263"/>
      <c r="K39" s="263"/>
      <c r="L39" s="263"/>
      <c r="M39" s="263"/>
      <c r="N39" s="263"/>
      <c r="O39" s="263"/>
      <c r="P39" s="263"/>
      <c r="Q39" s="263"/>
      <c r="R39" s="260"/>
      <c r="S39" s="267"/>
    </row>
    <row r="40" s="288" customFormat="1" ht="24" hidden="1" customHeight="1" spans="1:36">
      <c r="A40" s="257" t="s">
        <v>70</v>
      </c>
      <c r="B40" s="258"/>
      <c r="C40" s="257" t="s">
        <v>71</v>
      </c>
      <c r="D40" s="258"/>
      <c r="E40" s="255" t="s">
        <v>72</v>
      </c>
      <c r="F40" s="256"/>
      <c r="G40" s="255" t="s">
        <v>73</v>
      </c>
      <c r="H40" s="256"/>
      <c r="I40" s="255" t="s">
        <v>74</v>
      </c>
      <c r="J40" s="256"/>
      <c r="K40" s="255"/>
      <c r="L40" s="256"/>
      <c r="M40" s="266"/>
      <c r="N40" s="255"/>
      <c r="O40" s="256"/>
      <c r="P40" s="255"/>
      <c r="Q40" s="266"/>
      <c r="R40" s="260"/>
      <c r="S40" s="267"/>
    </row>
    <row r="41" s="206" customFormat="1" ht="24" hidden="1" customHeight="1" spans="1:36">
      <c r="A41" s="262" t="s">
        <v>61</v>
      </c>
      <c r="B41" s="262" t="s">
        <v>62</v>
      </c>
      <c r="C41" s="262" t="s">
        <v>61</v>
      </c>
      <c r="D41" s="262" t="s">
        <v>62</v>
      </c>
      <c r="E41" s="263" t="s">
        <v>61</v>
      </c>
      <c r="F41" s="263" t="s">
        <v>62</v>
      </c>
      <c r="G41" s="263" t="s">
        <v>61</v>
      </c>
      <c r="H41" s="262" t="s">
        <v>62</v>
      </c>
      <c r="I41" s="263" t="s">
        <v>61</v>
      </c>
      <c r="J41" s="264" t="s">
        <v>62</v>
      </c>
      <c r="K41" s="263"/>
      <c r="L41" s="263"/>
      <c r="M41" s="263"/>
      <c r="N41" s="263"/>
      <c r="O41" s="263"/>
      <c r="P41" s="263"/>
      <c r="Q41" s="255"/>
      <c r="R41" s="260"/>
      <c r="S41" s="218"/>
      <c r="T41" s="218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</row>
    <row r="42" s="206" customFormat="1" hidden="1" customHeight="1" spans="1:36">
      <c r="A42" s="263"/>
      <c r="B42" s="263"/>
      <c r="C42" s="199"/>
      <c r="D42" s="199"/>
      <c r="E42" s="268"/>
      <c r="F42" s="268"/>
      <c r="G42" s="268"/>
      <c r="H42" s="268"/>
      <c r="I42" s="268"/>
      <c r="J42" s="268"/>
      <c r="K42" s="199"/>
      <c r="L42" s="199"/>
      <c r="M42" s="199"/>
      <c r="N42" s="269"/>
      <c r="O42" s="270"/>
      <c r="P42" s="260"/>
      <c r="Q42" s="260"/>
      <c r="R42" s="260"/>
      <c r="S42" s="289"/>
    </row>
    <row r="43" s="206" customFormat="1" hidden="1" customHeight="1" spans="1:36">
      <c r="A43" s="271" t="s">
        <v>75</v>
      </c>
      <c r="B43" s="250"/>
      <c r="C43" s="199">
        <f>N33</f>
        <v>0</v>
      </c>
      <c r="D43" s="199"/>
      <c r="E43" s="268" t="s">
        <v>76</v>
      </c>
      <c r="F43" s="268"/>
      <c r="G43" s="268"/>
      <c r="H43" s="272"/>
      <c r="I43" s="268"/>
      <c r="J43" s="268"/>
      <c r="K43" s="199"/>
      <c r="L43" s="199"/>
      <c r="M43" s="199"/>
      <c r="N43" s="199" t="s">
        <v>19</v>
      </c>
      <c r="O43" s="199"/>
      <c r="P43" s="186">
        <f>Q2</f>
        <v>0</v>
      </c>
      <c r="Q43" s="186"/>
      <c r="R43" s="199">
        <f>R2</f>
        <v>0</v>
      </c>
      <c r="S43" s="289"/>
    </row>
    <row r="44" s="206" customFormat="1" hidden="1" customHeight="1" spans="1:36">
      <c r="A44" s="180" t="s">
        <v>45</v>
      </c>
      <c r="B44" s="180"/>
      <c r="C44" s="108" t="str">
        <f>C31</f>
        <v>陈昌容</v>
      </c>
      <c r="D44" s="108" t="s">
        <v>47</v>
      </c>
      <c r="E44" s="108"/>
      <c r="F44" s="108">
        <f>F31</f>
        <v>0</v>
      </c>
      <c r="G44" s="108"/>
      <c r="H44" s="108" t="s">
        <v>48</v>
      </c>
      <c r="I44" s="108"/>
      <c r="J44" s="203">
        <f>J31</f>
        <v>0</v>
      </c>
      <c r="K44" s="203"/>
      <c r="L44" s="203" t="s">
        <v>49</v>
      </c>
      <c r="M44" s="247"/>
      <c r="N44" s="219">
        <f>N31</f>
        <v>0</v>
      </c>
      <c r="O44" s="219"/>
      <c r="P44" s="219"/>
      <c r="Q44" s="108"/>
      <c r="R44" s="222"/>
      <c r="S44" s="289"/>
    </row>
  </sheetData>
  <mergeCells count="115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N23:O23"/>
    <mergeCell ref="Q23:R23"/>
    <mergeCell ref="N24:O24"/>
    <mergeCell ref="Q24:R24"/>
    <mergeCell ref="D25:K25"/>
    <mergeCell ref="N25:O25"/>
    <mergeCell ref="Q25:R25"/>
    <mergeCell ref="A26:G26"/>
    <mergeCell ref="N26:O26"/>
    <mergeCell ref="Q26:R26"/>
    <mergeCell ref="D27:E27"/>
    <mergeCell ref="F27:G27"/>
    <mergeCell ref="N27:P27"/>
    <mergeCell ref="Q27:R27"/>
    <mergeCell ref="F28:G28"/>
    <mergeCell ref="O28:P28"/>
    <mergeCell ref="Q28:R28"/>
    <mergeCell ref="D29:R29"/>
    <mergeCell ref="D30:K30"/>
    <mergeCell ref="L30:N30"/>
    <mergeCell ref="O30:R30"/>
    <mergeCell ref="A31:B31"/>
    <mergeCell ref="D31:E31"/>
    <mergeCell ref="F31:G31"/>
    <mergeCell ref="H31:I31"/>
    <mergeCell ref="J31:K31"/>
    <mergeCell ref="N31:O31"/>
    <mergeCell ref="Q31:R31"/>
    <mergeCell ref="I32:K32"/>
    <mergeCell ref="Q32:R32"/>
    <mergeCell ref="I33:K33"/>
    <mergeCell ref="Q33:R33"/>
    <mergeCell ref="A34:B34"/>
    <mergeCell ref="C34:D34"/>
    <mergeCell ref="E34:F34"/>
    <mergeCell ref="G34:H34"/>
    <mergeCell ref="I34:J34"/>
    <mergeCell ref="K34:L34"/>
    <mergeCell ref="N34:O34"/>
    <mergeCell ref="P34:Q34"/>
    <mergeCell ref="A37:B37"/>
    <mergeCell ref="C37:D37"/>
    <mergeCell ref="E37:F37"/>
    <mergeCell ref="G37:H37"/>
    <mergeCell ref="I37:J37"/>
    <mergeCell ref="P37:Q37"/>
    <mergeCell ref="A40:B40"/>
    <mergeCell ref="C40:D40"/>
    <mergeCell ref="E40:F40"/>
    <mergeCell ref="G40:H40"/>
    <mergeCell ref="I40:J40"/>
    <mergeCell ref="K40:L40"/>
    <mergeCell ref="N40:O40"/>
    <mergeCell ref="P40:Q40"/>
    <mergeCell ref="A43:B43"/>
    <mergeCell ref="C43:D43"/>
    <mergeCell ref="E43:G43"/>
    <mergeCell ref="H43:J43"/>
    <mergeCell ref="K43:L43"/>
    <mergeCell ref="N43:O43"/>
    <mergeCell ref="P43:Q43"/>
    <mergeCell ref="A44:B44"/>
    <mergeCell ref="D44:E44"/>
    <mergeCell ref="F44:G44"/>
    <mergeCell ref="H44:I44"/>
    <mergeCell ref="J44:K44"/>
    <mergeCell ref="N44:O44"/>
    <mergeCell ref="Q44:R44"/>
    <mergeCell ref="A1:B3"/>
    <mergeCell ref="A4:B6"/>
    <mergeCell ref="A27:C30"/>
    <mergeCell ref="A32:H33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375" style="172" customWidth="1"/>
    <col min="2" max="2" width="9.375" style="172" customWidth="1"/>
    <col min="3" max="3" width="14.25" style="172" customWidth="1"/>
    <col min="4" max="4" width="14.125" style="172" customWidth="1"/>
    <col min="5" max="5" width="9.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375" style="172" customWidth="1"/>
    <col min="16" max="16" width="13.125" style="172" customWidth="1"/>
    <col min="17" max="17" width="16.625" style="172" customWidth="1"/>
    <col min="18" max="18" width="4.1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219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279">
        <f>'1'!M2</f>
        <v>0</v>
      </c>
      <c r="N2" s="280"/>
      <c r="O2" s="281"/>
      <c r="P2" s="108" t="s">
        <v>14</v>
      </c>
      <c r="Q2" s="186">
        <f>+'1'!Q2</f>
        <v>0</v>
      </c>
      <c r="R2" s="187">
        <v>-2</v>
      </c>
      <c r="S2" s="188"/>
    </row>
    <row r="3" s="165" customFormat="1" ht="24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88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-2</v>
      </c>
      <c r="P5" s="108" t="s">
        <v>14</v>
      </c>
      <c r="Q5" s="201">
        <f>+Q2</f>
        <v>0</v>
      </c>
      <c r="R5" s="202">
        <f>+R2</f>
        <v>-2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4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82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82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82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82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82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82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82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82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82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82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82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82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82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82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82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-2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78" orientation="landscape" horizontalDpi="600" verticalDpi="600"/>
  <headerFooter alignWithMargins="0" scaleWithDoc="0"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xSplit="1" ySplit="7" topLeftCell="B8" activePane="bottomRight" state="frozen"/>
      <selection/>
      <selection pane="topRight"/>
      <selection pane="bottomLeft"/>
      <selection pane="bottomRight" activeCell="D28" sqref="D28:K28"/>
    </sheetView>
  </sheetViews>
  <sheetFormatPr defaultColWidth="9.375" defaultRowHeight="21.95" customHeight="1"/>
  <cols>
    <col min="1" max="1" width="3.375" style="172" customWidth="1"/>
    <col min="2" max="2" width="9.375" style="172" customWidth="1"/>
    <col min="3" max="3" width="13.875" style="172" customWidth="1"/>
    <col min="4" max="4" width="14.25" style="172" customWidth="1"/>
    <col min="5" max="5" width="10.37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6.75" style="172" customWidth="1"/>
    <col min="16" max="16" width="12.625" style="172" customWidth="1"/>
    <col min="17" max="17" width="15.75" style="172" customWidth="1"/>
    <col min="18" max="18" width="3.75" style="172" customWidth="1"/>
    <col min="19" max="19" width="12.625" style="172" customWidth="1"/>
    <col min="20" max="22" width="9" style="172"/>
    <col min="23" max="33" width="9" style="2"/>
    <col min="34" max="16384" width="9.375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219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-3</v>
      </c>
      <c r="S2" s="188"/>
    </row>
    <row r="3" s="165" customFormat="1" ht="24" customHeight="1" spans="1:255">
      <c r="A3" s="178"/>
      <c r="B3" s="179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88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276"/>
      <c r="E4" s="276"/>
      <c r="F4" s="276"/>
      <c r="G4" s="276"/>
      <c r="H4" s="276"/>
      <c r="I4" s="276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204">
        <f>+F2</f>
        <v>0</v>
      </c>
      <c r="G5" s="277"/>
      <c r="H5" s="277"/>
      <c r="I5" s="205"/>
      <c r="J5" s="108" t="s">
        <v>19</v>
      </c>
      <c r="K5" s="108"/>
      <c r="L5" s="108"/>
      <c r="M5" s="204"/>
      <c r="N5" s="183">
        <f>+'1'!N5</f>
        <v>0</v>
      </c>
      <c r="O5" s="185">
        <f>+R2</f>
        <v>-3</v>
      </c>
      <c r="P5" s="108" t="s">
        <v>14</v>
      </c>
      <c r="Q5" s="201">
        <f>+Q2</f>
        <v>0</v>
      </c>
      <c r="R5" s="202">
        <f>+R2</f>
        <v>-3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195"/>
      <c r="M6" s="195"/>
      <c r="N6" s="195"/>
      <c r="O6" s="196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ref="M9:M22" si="0">L9/100</f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78" t="str">
        <f>+A25</f>
        <v>图文说明:</v>
      </c>
      <c r="B30" s="278"/>
      <c r="C30" s="278"/>
      <c r="D30" s="278"/>
      <c r="E30" s="278"/>
      <c r="F30" s="278"/>
      <c r="G30" s="278"/>
      <c r="H30" s="278"/>
      <c r="I30" s="249" t="s">
        <v>50</v>
      </c>
      <c r="J30" s="249"/>
      <c r="K30" s="249"/>
      <c r="L30" s="249"/>
      <c r="M30" s="249"/>
      <c r="N30" s="108"/>
      <c r="O30" s="108"/>
      <c r="P30" s="251" t="s">
        <v>51</v>
      </c>
      <c r="Q30" s="108"/>
      <c r="R30" s="108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78"/>
      <c r="B31" s="278"/>
      <c r="C31" s="278"/>
      <c r="D31" s="278"/>
      <c r="E31" s="278"/>
      <c r="F31" s="278"/>
      <c r="G31" s="278"/>
      <c r="H31" s="278"/>
      <c r="I31" s="249" t="s">
        <v>52</v>
      </c>
      <c r="J31" s="249"/>
      <c r="K31" s="249"/>
      <c r="L31" s="249"/>
      <c r="M31" s="249"/>
      <c r="N31" s="249">
        <f>+'1'!N33</f>
        <v>0</v>
      </c>
      <c r="O31" s="249"/>
      <c r="P31" s="251" t="s">
        <v>53</v>
      </c>
      <c r="Q31" s="108"/>
      <c r="R31" s="108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-3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4" orientation="landscape" horizontalDpi="600" verticalDpi="600"/>
  <headerFooter alignWithMargins="0" scaleWithDoc="0">
    <oddFooter>&amp;C第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xSplit="1" ySplit="7" topLeftCell="B10" activePane="bottomRight" state="frozen"/>
      <selection/>
      <selection pane="topRight"/>
      <selection pane="bottomLeft"/>
      <selection pane="bottomRigh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4.875" style="172" customWidth="1"/>
    <col min="5" max="5" width="10.875" style="172" customWidth="1"/>
    <col min="6" max="11" width="9.375" style="172" customWidth="1"/>
    <col min="12" max="12" width="10.25" style="172" customWidth="1"/>
    <col min="13" max="13" width="10.25" style="172" hidden="1" customWidth="1"/>
    <col min="14" max="14" width="10.25" style="172" customWidth="1"/>
    <col min="15" max="15" width="5.125" style="172" customWidth="1"/>
    <col min="16" max="16" width="14.25" style="172" customWidth="1"/>
    <col min="17" max="17" width="16" style="172" customWidth="1"/>
    <col min="18" max="18" width="5.1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80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-4</v>
      </c>
      <c r="S2" s="188"/>
    </row>
    <row r="3" s="165" customFormat="1" ht="24" customHeight="1" spans="1:255">
      <c r="A3" s="178"/>
      <c r="B3" s="179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3"/>
      <c r="L3" s="194"/>
      <c r="M3" s="274"/>
      <c r="N3" s="195"/>
      <c r="O3" s="196"/>
      <c r="P3" s="108"/>
      <c r="Q3" s="186"/>
      <c r="R3" s="187"/>
      <c r="S3" s="188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-4</v>
      </c>
      <c r="P5" s="108" t="s">
        <v>14</v>
      </c>
      <c r="Q5" s="201">
        <f>+Q2</f>
        <v>0</v>
      </c>
      <c r="R5" s="202">
        <f>+R2</f>
        <v>-4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6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3"/>
      <c r="L6" s="194"/>
      <c r="M6" s="194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/>
      <c r="K8" s="203"/>
      <c r="L8" s="203"/>
      <c r="M8" s="208">
        <f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ref="M9:M22" si="0">L9/100</f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>
        <f>E10/1000*F10/1000*H10</f>
        <v>0</v>
      </c>
      <c r="K10" s="203"/>
      <c r="L10" s="203">
        <f>J10*K10</f>
        <v>0</v>
      </c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-4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L3"/>
    <mergeCell ref="C4:O4"/>
    <mergeCell ref="Q4:R4"/>
    <mergeCell ref="F5:I5"/>
    <mergeCell ref="C6:D6"/>
    <mergeCell ref="E6:L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2" orientation="landscape" horizontalDpi="600" verticalDpi="600"/>
  <headerFooter alignWithMargins="0" scaleWithDoc="0">
    <oddFooter>&amp;C第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3.375" style="172" customWidth="1"/>
    <col min="2" max="2" width="9.375" style="172" customWidth="1"/>
    <col min="3" max="3" width="14.625" style="172" customWidth="1"/>
    <col min="4" max="4" width="13.75" style="172" customWidth="1"/>
    <col min="5" max="5" width="10.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6.25" style="172" customWidth="1"/>
    <col min="16" max="16" width="13" style="172" customWidth="1"/>
    <col min="17" max="17" width="15.5" style="172" customWidth="1"/>
    <col min="18" max="18" width="4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-5</v>
      </c>
      <c r="S2" s="188"/>
    </row>
    <row r="3" s="165" customFormat="1" ht="24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88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-5</v>
      </c>
      <c r="P5" s="108" t="s">
        <v>14</v>
      </c>
      <c r="Q5" s="201">
        <f>+Q2</f>
        <v>0</v>
      </c>
      <c r="R5" s="202">
        <f>+R2</f>
        <v>-5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33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ref="M9:M22" si="0">L9/100</f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-5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79" orientation="landscape" horizontalDpi="600" verticalDpi="600"/>
  <headerFooter alignWithMargins="0" scaleWithDoc="0">
    <oddFooter>&amp;C第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5" style="172" customWidth="1"/>
    <col min="4" max="4" width="13.375" style="172" customWidth="1"/>
    <col min="5" max="5" width="10.37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5.875" style="172" customWidth="1"/>
    <col min="16" max="16" width="12.75" style="172" customWidth="1"/>
    <col min="17" max="17" width="17" style="172" customWidth="1"/>
    <col min="18" max="18" width="4.1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-6</v>
      </c>
      <c r="S2" s="188"/>
    </row>
    <row r="3" s="165" customFormat="1" ht="24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88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-6</v>
      </c>
      <c r="P5" s="108" t="s">
        <v>14</v>
      </c>
      <c r="Q5" s="201">
        <f>+Q2</f>
        <v>0</v>
      </c>
      <c r="R5" s="202">
        <f>+R2</f>
        <v>-6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9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ref="M9:M22" si="0">L9/100</f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36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36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36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36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36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36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36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36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36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36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36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36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36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5" customFormat="1" hidden="1" customHeight="1" spans="1:36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172"/>
    </row>
    <row r="31" s="165" customFormat="1" hidden="1" customHeight="1" spans="1:36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172"/>
    </row>
    <row r="32" s="170" customFormat="1" ht="21" hidden="1" customHeight="1" spans="1:36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-6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4" orientation="landscape" horizontalDpi="600" verticalDpi="600"/>
  <headerFooter alignWithMargins="0" scaleWithDoc="0"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3.25" style="172" customWidth="1"/>
    <col min="2" max="2" width="9.375" style="172" customWidth="1"/>
    <col min="3" max="3" width="14.875" style="172" customWidth="1"/>
    <col min="4" max="4" width="13.875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5.625" style="172" customWidth="1"/>
    <col min="16" max="16" width="10.75" style="172" customWidth="1"/>
    <col min="17" max="17" width="18" style="172" customWidth="1"/>
    <col min="18" max="18" width="4.1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-7</v>
      </c>
      <c r="S2" s="188"/>
    </row>
    <row r="3" s="165" customFormat="1" ht="24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88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-7</v>
      </c>
      <c r="P5" s="108" t="s">
        <v>14</v>
      </c>
      <c r="Q5" s="201">
        <f>+Q2</f>
        <v>0</v>
      </c>
      <c r="R5" s="202">
        <f>+R2</f>
        <v>-7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4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tr">
        <f>'1'!N7</f>
        <v>颜色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>L9/100</f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ref="M9:M22" si="0">L10/100</f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36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36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36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36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36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36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36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36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36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36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36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36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36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5" customFormat="1" hidden="1" customHeight="1" spans="1:36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172"/>
    </row>
    <row r="31" s="165" customFormat="1" hidden="1" customHeight="1" spans="1:36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172"/>
    </row>
    <row r="32" s="170" customFormat="1" ht="21" hidden="1" customHeight="1" spans="1:36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-7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5" orientation="landscape" horizontalDpi="600" verticalDpi="600"/>
  <headerFooter alignWithMargins="0" scaleWithDoc="0">
    <oddFooter>&amp;C第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3.5" style="172" customWidth="1"/>
    <col min="2" max="2" width="9.375" style="172" customWidth="1"/>
    <col min="3" max="3" width="14.625" style="172" customWidth="1"/>
    <col min="4" max="4" width="13.5" style="172" customWidth="1"/>
    <col min="5" max="5" width="10.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6.125" style="172" customWidth="1"/>
    <col min="16" max="16" width="13.625" style="172" customWidth="1"/>
    <col min="17" max="17" width="17.75" style="172" customWidth="1"/>
    <col min="18" max="18" width="5.1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99">
        <f>+'1'!Q2</f>
        <v>0</v>
      </c>
      <c r="R2" s="187">
        <v>-8</v>
      </c>
      <c r="S2" s="188"/>
    </row>
    <row r="3" s="165" customFormat="1" ht="24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88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-8</v>
      </c>
      <c r="P5" s="108" t="s">
        <v>14</v>
      </c>
      <c r="Q5" s="201">
        <f>+Q2</f>
        <v>0</v>
      </c>
      <c r="R5" s="202">
        <f>+R2</f>
        <v>-8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>
        <f>E12/1000*F12/1000*H12</f>
        <v>0</v>
      </c>
      <c r="K12" s="203"/>
      <c r="L12" s="203">
        <f>J12*K12</f>
        <v>0</v>
      </c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36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36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36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36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36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36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36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36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36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36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36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36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36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5" customFormat="1" hidden="1" customHeight="1" spans="1:36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172"/>
    </row>
    <row r="31" s="165" customFormat="1" hidden="1" customHeight="1" spans="1:36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172"/>
    </row>
    <row r="32" s="170" customFormat="1" ht="21" hidden="1" customHeight="1" spans="1:36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-8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3" orientation="landscape" horizontalDpi="600" verticalDpi="600"/>
  <headerFooter alignWithMargins="0" scaleWithDoc="0">
    <oddFooter>&amp;C第 &amp;P 页，共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3.75" style="172" customWidth="1"/>
    <col min="4" max="4" width="14.375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375" style="172" customWidth="1"/>
    <col min="16" max="16" width="13.875" style="172" customWidth="1"/>
    <col min="17" max="17" width="18.875" style="172" customWidth="1"/>
    <col min="18" max="18" width="3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99">
        <f>+'1'!Q2</f>
        <v>0</v>
      </c>
      <c r="R2" s="187">
        <v>-9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273">
        <f>'1'!E3</f>
        <v>0</v>
      </c>
      <c r="F3" s="274"/>
      <c r="G3" s="274"/>
      <c r="H3" s="274"/>
      <c r="I3" s="274"/>
      <c r="J3" s="274"/>
      <c r="K3" s="275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-9</v>
      </c>
      <c r="P5" s="108" t="s">
        <v>14</v>
      </c>
      <c r="Q5" s="201">
        <f>+Q2</f>
        <v>0</v>
      </c>
      <c r="R5" s="202">
        <f>+R2</f>
        <v>-9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6" hidden="1" customHeight="1" spans="1:255">
      <c r="A6" s="189"/>
      <c r="B6" s="190"/>
      <c r="C6" s="191" t="s">
        <v>15</v>
      </c>
      <c r="D6" s="192"/>
      <c r="E6" s="273">
        <f>E3</f>
        <v>0</v>
      </c>
      <c r="F6" s="274"/>
      <c r="G6" s="274"/>
      <c r="H6" s="274"/>
      <c r="I6" s="274"/>
      <c r="J6" s="274"/>
      <c r="K6" s="275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-9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-10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-10</v>
      </c>
      <c r="P5" s="108" t="s">
        <v>14</v>
      </c>
      <c r="Q5" s="201">
        <f>+Q2</f>
        <v>0</v>
      </c>
      <c r="R5" s="202">
        <f>+R2</f>
        <v>-10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15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ref="M9:M22" si="1">L16/100</f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1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1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1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1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1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1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2">SUM(H6:H22)</f>
        <v>0</v>
      </c>
      <c r="I24" s="220">
        <f t="shared" si="2"/>
        <v>0</v>
      </c>
      <c r="J24" s="220">
        <f t="shared" si="2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-10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-11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-11</v>
      </c>
      <c r="P5" s="108" t="s">
        <v>14</v>
      </c>
      <c r="Q5" s="201">
        <f>+Q2</f>
        <v>0</v>
      </c>
      <c r="R5" s="202">
        <f>+R2</f>
        <v>-11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-11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-12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-12</v>
      </c>
      <c r="P5" s="108" t="s">
        <v>14</v>
      </c>
      <c r="Q5" s="201">
        <f>+Q2</f>
        <v>0</v>
      </c>
      <c r="R5" s="202">
        <f>+R2</f>
        <v>-12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-12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-13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-13</v>
      </c>
      <c r="P5" s="108" t="s">
        <v>14</v>
      </c>
      <c r="Q5" s="201">
        <f>+Q2</f>
        <v>0</v>
      </c>
      <c r="R5" s="202">
        <f>+R2</f>
        <v>-13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-13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-14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-14</v>
      </c>
      <c r="P5" s="108" t="s">
        <v>14</v>
      </c>
      <c r="Q5" s="201">
        <f>+Q2</f>
        <v>0</v>
      </c>
      <c r="R5" s="202">
        <f>+R2</f>
        <v>-14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-14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-15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-15</v>
      </c>
      <c r="P5" s="108" t="s">
        <v>14</v>
      </c>
      <c r="Q5" s="201">
        <f>+Q2</f>
        <v>0</v>
      </c>
      <c r="R5" s="202">
        <f>+R2</f>
        <v>-15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-15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-16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-16</v>
      </c>
      <c r="P5" s="108" t="s">
        <v>14</v>
      </c>
      <c r="Q5" s="201">
        <f>+Q2</f>
        <v>0</v>
      </c>
      <c r="R5" s="202">
        <f>+R2</f>
        <v>-16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-16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-17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-17</v>
      </c>
      <c r="P5" s="108" t="s">
        <v>14</v>
      </c>
      <c r="Q5" s="201">
        <f>+Q2</f>
        <v>0</v>
      </c>
      <c r="R5" s="202">
        <f>+R2</f>
        <v>-17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-17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-18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-18</v>
      </c>
      <c r="P5" s="108" t="s">
        <v>14</v>
      </c>
      <c r="Q5" s="201">
        <f>+Q2</f>
        <v>0</v>
      </c>
      <c r="R5" s="202">
        <f>+R2</f>
        <v>-18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-18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-19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-19</v>
      </c>
      <c r="P5" s="108" t="s">
        <v>14</v>
      </c>
      <c r="Q5" s="201">
        <f>+Q2</f>
        <v>0</v>
      </c>
      <c r="R5" s="202">
        <f>+R2</f>
        <v>-19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-19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D28" sqref="D28:K2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-20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-20</v>
      </c>
      <c r="P5" s="108" t="s">
        <v>14</v>
      </c>
      <c r="Q5" s="201">
        <f>+Q2</f>
        <v>0</v>
      </c>
      <c r="R5" s="202">
        <f>+R2</f>
        <v>-20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>
        <f>'1'!D29</f>
        <v>0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-20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J8" sqref="J8:L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-21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-21</v>
      </c>
      <c r="P5" s="108" t="s">
        <v>14</v>
      </c>
      <c r="Q5" s="201">
        <f>+Q2</f>
        <v>0</v>
      </c>
      <c r="R5" s="202">
        <f>+R2</f>
        <v>-21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-21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J8" sqref="J8:L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-22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-22</v>
      </c>
      <c r="P5" s="108" t="s">
        <v>14</v>
      </c>
      <c r="Q5" s="201">
        <f>+Q2</f>
        <v>0</v>
      </c>
      <c r="R5" s="202">
        <f>+R2</f>
        <v>-22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-22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J8" sqref="J8:L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-23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-23</v>
      </c>
      <c r="P5" s="108" t="s">
        <v>14</v>
      </c>
      <c r="Q5" s="201">
        <f>+Q2</f>
        <v>0</v>
      </c>
      <c r="R5" s="202">
        <f>+R2</f>
        <v>-23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-23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J8" sqref="J8:L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-24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-24</v>
      </c>
      <c r="P5" s="108" t="s">
        <v>14</v>
      </c>
      <c r="Q5" s="201">
        <f>+Q2</f>
        <v>0</v>
      </c>
      <c r="R5" s="202">
        <f>+R2</f>
        <v>-24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-24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J8" sqref="J8:L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-25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-25</v>
      </c>
      <c r="P5" s="108" t="s">
        <v>14</v>
      </c>
      <c r="Q5" s="201">
        <f>+Q2</f>
        <v>0</v>
      </c>
      <c r="R5" s="202">
        <f>+R2</f>
        <v>-25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-25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J8" sqref="J8:L8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-26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-26</v>
      </c>
      <c r="P5" s="108" t="s">
        <v>14</v>
      </c>
      <c r="Q5" s="201">
        <f>+Q2</f>
        <v>0</v>
      </c>
      <c r="R5" s="202">
        <f>+R2</f>
        <v>-26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-26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L20" sqref="L20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-27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-27</v>
      </c>
      <c r="P5" s="108" t="s">
        <v>14</v>
      </c>
      <c r="Q5" s="201">
        <f>+Q2</f>
        <v>0</v>
      </c>
      <c r="R5" s="202">
        <f>+R2</f>
        <v>-27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>
        <f>E8/1000*F8/1000*H8</f>
        <v>0</v>
      </c>
      <c r="K8" s="203"/>
      <c r="L8" s="203">
        <f>J8*K8</f>
        <v>0</v>
      </c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-27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18" activePane="bottomLeft" state="frozen"/>
      <selection/>
      <selection pane="bottomLeft" activeCell="D25" sqref="D25:G25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-28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-28</v>
      </c>
      <c r="P5" s="108" t="s">
        <v>14</v>
      </c>
      <c r="Q5" s="201">
        <f>+Q2</f>
        <v>0</v>
      </c>
      <c r="R5" s="202">
        <f>+R2</f>
        <v>-28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/>
      <c r="K8" s="203"/>
      <c r="L8" s="203"/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-28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20" activePane="bottomLeft" state="frozen"/>
      <selection/>
      <selection pane="bottomLeft" activeCell="D25" sqref="D25:G25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-29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-29</v>
      </c>
      <c r="P5" s="108" t="s">
        <v>14</v>
      </c>
      <c r="Q5" s="201">
        <f>+Q2</f>
        <v>0</v>
      </c>
      <c r="R5" s="202">
        <f>+R2</f>
        <v>-29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/>
      <c r="K8" s="203"/>
      <c r="L8" s="203"/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4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-29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42"/>
  <sheetViews>
    <sheetView workbookViewId="0">
      <pane ySplit="7" topLeftCell="A8" activePane="bottomLeft" state="frozen"/>
      <selection/>
      <selection pane="bottomLeft" activeCell="E19" sqref="E19"/>
    </sheetView>
  </sheetViews>
  <sheetFormatPr defaultColWidth="9" defaultRowHeight="21.95" customHeight="1"/>
  <cols>
    <col min="1" max="1" width="4.125" style="172" customWidth="1"/>
    <col min="2" max="2" width="9.375" style="172" customWidth="1"/>
    <col min="3" max="3" width="14.125" style="172" customWidth="1"/>
    <col min="4" max="4" width="16" style="172" customWidth="1"/>
    <col min="5" max="5" width="10.625" style="172" customWidth="1"/>
    <col min="6" max="12" width="9.375" style="172" customWidth="1"/>
    <col min="13" max="13" width="9.375" style="172" hidden="1" customWidth="1"/>
    <col min="14" max="14" width="9.375" style="172" customWidth="1"/>
    <col min="15" max="15" width="7.125" style="172" customWidth="1"/>
    <col min="16" max="16" width="14.25" style="172" customWidth="1"/>
    <col min="17" max="17" width="14.5" style="172" customWidth="1"/>
    <col min="18" max="18" width="4.625" style="172" customWidth="1"/>
    <col min="19" max="19" width="12.625" style="172" customWidth="1"/>
    <col min="20" max="22" width="9" style="172"/>
    <col min="23" max="16384" width="9" style="2"/>
  </cols>
  <sheetData>
    <row r="1" s="165" customFormat="1" ht="27" customHeight="1" spans="1:255">
      <c r="A1" s="173" t="str">
        <f>+'1'!A1</f>
        <v>奢匠</v>
      </c>
      <c r="B1" s="174"/>
      <c r="C1" s="175" t="s">
        <v>9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08" t="s">
        <v>10</v>
      </c>
      <c r="Q1" s="176">
        <f>+'1'!Q1</f>
        <v>0</v>
      </c>
      <c r="R1" s="176"/>
      <c r="S1" s="177"/>
    </row>
    <row r="2" s="165" customFormat="1" ht="24" customHeight="1" spans="1:255">
      <c r="A2" s="178"/>
      <c r="B2" s="179"/>
      <c r="C2" s="180" t="s">
        <v>11</v>
      </c>
      <c r="D2" s="181">
        <f>+'1'!D2</f>
        <v>0</v>
      </c>
      <c r="E2" s="108" t="s">
        <v>12</v>
      </c>
      <c r="F2" s="176">
        <f>+'1'!F2</f>
        <v>0</v>
      </c>
      <c r="G2" s="176"/>
      <c r="H2" s="176"/>
      <c r="I2" s="176"/>
      <c r="J2" s="176"/>
      <c r="K2" s="176"/>
      <c r="L2" s="182" t="s">
        <v>13</v>
      </c>
      <c r="M2" s="183">
        <f>'1'!M2</f>
        <v>0</v>
      </c>
      <c r="N2" s="184"/>
      <c r="O2" s="185"/>
      <c r="P2" s="108" t="s">
        <v>14</v>
      </c>
      <c r="Q2" s="186">
        <f>+'1'!Q2</f>
        <v>0</v>
      </c>
      <c r="R2" s="187">
        <v>-10</v>
      </c>
      <c r="S2" s="188"/>
    </row>
    <row r="3" s="166" customFormat="1" ht="23" customHeight="1" spans="1:255">
      <c r="A3" s="189"/>
      <c r="B3" s="190"/>
      <c r="C3" s="191" t="s">
        <v>15</v>
      </c>
      <c r="D3" s="192"/>
      <c r="E3" s="193">
        <f>'1'!E3</f>
        <v>0</v>
      </c>
      <c r="F3" s="193"/>
      <c r="G3" s="193"/>
      <c r="H3" s="193"/>
      <c r="I3" s="193"/>
      <c r="J3" s="193"/>
      <c r="K3" s="194"/>
      <c r="L3" s="195"/>
      <c r="M3" s="195"/>
      <c r="N3" s="195"/>
      <c r="O3" s="196"/>
      <c r="P3" s="108"/>
      <c r="Q3" s="186"/>
      <c r="R3" s="187"/>
      <c r="S3" s="197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</row>
    <row r="4" s="166" customFormat="1" ht="23" hidden="1" customHeight="1" spans="1:255">
      <c r="A4" s="173" t="str">
        <f>+A1</f>
        <v>奢匠</v>
      </c>
      <c r="B4" s="174"/>
      <c r="C4" s="198" t="s">
        <v>16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08" t="s">
        <v>10</v>
      </c>
      <c r="Q4" s="199">
        <f>+Q1</f>
        <v>0</v>
      </c>
      <c r="R4" s="199"/>
      <c r="S4" s="197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</row>
    <row r="5" s="167" customFormat="1" ht="25" hidden="1" customHeight="1" spans="1:255">
      <c r="A5" s="178"/>
      <c r="B5" s="179"/>
      <c r="C5" s="180" t="s">
        <v>17</v>
      </c>
      <c r="D5" s="108">
        <f>+D2</f>
        <v>0</v>
      </c>
      <c r="E5" s="180" t="s">
        <v>18</v>
      </c>
      <c r="F5" s="108">
        <f>+F2</f>
        <v>0</v>
      </c>
      <c r="G5" s="108"/>
      <c r="H5" s="108"/>
      <c r="I5" s="108"/>
      <c r="J5" s="108" t="s">
        <v>19</v>
      </c>
      <c r="K5" s="108"/>
      <c r="L5" s="108"/>
      <c r="M5" s="108"/>
      <c r="N5" s="200">
        <f>+'1'!N5</f>
        <v>0</v>
      </c>
      <c r="O5" s="200">
        <f>+R2</f>
        <v>-10</v>
      </c>
      <c r="P5" s="108" t="s">
        <v>14</v>
      </c>
      <c r="Q5" s="201">
        <f>+Q2</f>
        <v>0</v>
      </c>
      <c r="R5" s="202">
        <f>+R2</f>
        <v>-10</v>
      </c>
      <c r="S5" s="197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</row>
    <row r="6" s="165" customFormat="1" ht="27" hidden="1" customHeight="1" spans="1:255">
      <c r="A6" s="189"/>
      <c r="B6" s="190"/>
      <c r="C6" s="191" t="s">
        <v>15</v>
      </c>
      <c r="D6" s="192"/>
      <c r="E6" s="193">
        <f>E3</f>
        <v>0</v>
      </c>
      <c r="F6" s="193"/>
      <c r="G6" s="193"/>
      <c r="H6" s="193"/>
      <c r="I6" s="193"/>
      <c r="J6" s="193"/>
      <c r="K6" s="194"/>
      <c r="L6" s="203"/>
      <c r="M6" s="203"/>
      <c r="N6" s="108"/>
      <c r="O6" s="108"/>
      <c r="P6" s="108"/>
      <c r="Q6" s="204"/>
      <c r="R6" s="205"/>
      <c r="S6" s="206"/>
    </row>
    <row r="7" s="165" customFormat="1" ht="33" customHeight="1" spans="1:255">
      <c r="A7" s="108" t="s">
        <v>2</v>
      </c>
      <c r="B7" s="108" t="s">
        <v>20</v>
      </c>
      <c r="C7" s="108" t="s">
        <v>21</v>
      </c>
      <c r="D7" s="207" t="s">
        <v>22</v>
      </c>
      <c r="E7" s="108" t="s">
        <v>23</v>
      </c>
      <c r="F7" s="108" t="s">
        <v>24</v>
      </c>
      <c r="G7" s="108" t="s">
        <v>25</v>
      </c>
      <c r="H7" s="108" t="s">
        <v>26</v>
      </c>
      <c r="I7" s="208" t="s">
        <v>27</v>
      </c>
      <c r="J7" s="208" t="s">
        <v>28</v>
      </c>
      <c r="K7" s="203" t="s">
        <v>29</v>
      </c>
      <c r="L7" s="203" t="s">
        <v>30</v>
      </c>
      <c r="M7" s="203" t="s">
        <v>31</v>
      </c>
      <c r="N7" s="108" t="s">
        <v>32</v>
      </c>
      <c r="O7" s="108"/>
      <c r="P7" s="108" t="s">
        <v>33</v>
      </c>
      <c r="Q7" s="204" t="s">
        <v>34</v>
      </c>
      <c r="R7" s="205"/>
      <c r="S7" s="206"/>
    </row>
    <row r="8" s="165" customFormat="1" ht="20" customHeight="1" spans="1:255">
      <c r="A8" s="108">
        <v>1</v>
      </c>
      <c r="B8" s="108"/>
      <c r="C8" s="108"/>
      <c r="D8" s="207"/>
      <c r="E8" s="108"/>
      <c r="F8" s="108"/>
      <c r="G8" s="108"/>
      <c r="H8" s="108"/>
      <c r="I8" s="209"/>
      <c r="J8" s="208"/>
      <c r="K8" s="203"/>
      <c r="L8" s="203"/>
      <c r="M8" s="208">
        <f t="shared" ref="M8:M22" si="0">L8/100</f>
        <v>0</v>
      </c>
      <c r="N8" s="108" t="str">
        <f>'1'!N8</f>
        <v>（请车间多配一瓶油漆，随货一起）</v>
      </c>
      <c r="O8" s="108"/>
      <c r="P8" s="108"/>
      <c r="Q8" s="204"/>
      <c r="R8" s="205"/>
      <c r="S8" s="210"/>
    </row>
    <row r="9" s="165" customFormat="1" ht="20" customHeight="1" spans="1:255">
      <c r="A9" s="108">
        <v>2</v>
      </c>
      <c r="B9" s="108"/>
      <c r="C9" s="108"/>
      <c r="D9" s="207"/>
      <c r="E9" s="108"/>
      <c r="F9" s="108"/>
      <c r="G9" s="108"/>
      <c r="H9" s="108"/>
      <c r="I9" s="209"/>
      <c r="J9" s="208"/>
      <c r="K9" s="203"/>
      <c r="L9" s="203"/>
      <c r="M9" s="208">
        <f t="shared" si="0"/>
        <v>0</v>
      </c>
      <c r="N9" s="108"/>
      <c r="O9" s="108"/>
      <c r="P9" s="108"/>
      <c r="Q9" s="204"/>
      <c r="R9" s="205"/>
      <c r="S9" s="210"/>
    </row>
    <row r="10" s="165" customFormat="1" ht="20" customHeight="1" spans="1:255">
      <c r="A10" s="108">
        <v>3</v>
      </c>
      <c r="B10" s="108"/>
      <c r="C10" s="108"/>
      <c r="D10" s="207"/>
      <c r="E10" s="108"/>
      <c r="F10" s="108"/>
      <c r="G10" s="108"/>
      <c r="H10" s="108"/>
      <c r="I10" s="209"/>
      <c r="J10" s="208"/>
      <c r="K10" s="203"/>
      <c r="L10" s="203"/>
      <c r="M10" s="208">
        <f t="shared" si="0"/>
        <v>0</v>
      </c>
      <c r="N10" s="108"/>
      <c r="O10" s="108"/>
      <c r="P10" s="108"/>
      <c r="Q10" s="204"/>
      <c r="R10" s="205"/>
      <c r="S10" s="210"/>
    </row>
    <row r="11" s="165" customFormat="1" ht="20" customHeight="1" spans="1:255">
      <c r="A11" s="108">
        <v>4</v>
      </c>
      <c r="B11" s="108"/>
      <c r="C11" s="108"/>
      <c r="D11" s="207"/>
      <c r="E11" s="108"/>
      <c r="F11" s="108"/>
      <c r="G11" s="108"/>
      <c r="H11" s="108"/>
      <c r="I11" s="209"/>
      <c r="J11" s="208"/>
      <c r="K11" s="203"/>
      <c r="L11" s="203"/>
      <c r="M11" s="208">
        <f t="shared" si="0"/>
        <v>0</v>
      </c>
      <c r="N11" s="108"/>
      <c r="O11" s="108"/>
      <c r="P11" s="108"/>
      <c r="Q11" s="204"/>
      <c r="R11" s="205"/>
      <c r="S11" s="210"/>
    </row>
    <row r="12" s="165" customFormat="1" ht="20" customHeight="1" spans="1:255">
      <c r="A12" s="108">
        <v>5</v>
      </c>
      <c r="B12" s="108"/>
      <c r="C12" s="108"/>
      <c r="D12" s="207"/>
      <c r="E12" s="108"/>
      <c r="F12" s="108"/>
      <c r="G12" s="108"/>
      <c r="H12" s="108"/>
      <c r="I12" s="209"/>
      <c r="J12" s="208"/>
      <c r="K12" s="203"/>
      <c r="L12" s="203"/>
      <c r="M12" s="208">
        <f t="shared" si="0"/>
        <v>0</v>
      </c>
      <c r="N12" s="108"/>
      <c r="O12" s="108"/>
      <c r="P12" s="108"/>
      <c r="Q12" s="204"/>
      <c r="R12" s="205"/>
      <c r="S12" s="210"/>
    </row>
    <row r="13" s="165" customFormat="1" ht="20" customHeight="1" spans="1:255">
      <c r="A13" s="108">
        <v>6</v>
      </c>
      <c r="B13" s="108"/>
      <c r="C13" s="108"/>
      <c r="D13" s="207"/>
      <c r="E13" s="108"/>
      <c r="F13" s="108"/>
      <c r="G13" s="108"/>
      <c r="H13" s="108"/>
      <c r="I13" s="209"/>
      <c r="J13" s="208"/>
      <c r="K13" s="203"/>
      <c r="L13" s="203"/>
      <c r="M13" s="208">
        <f t="shared" si="0"/>
        <v>0</v>
      </c>
      <c r="N13" s="108"/>
      <c r="O13" s="108"/>
      <c r="P13" s="108"/>
      <c r="Q13" s="204"/>
      <c r="R13" s="205"/>
      <c r="S13" s="210"/>
    </row>
    <row r="14" s="165" customFormat="1" ht="20" customHeight="1" spans="1:255">
      <c r="A14" s="108">
        <v>7</v>
      </c>
      <c r="B14" s="108"/>
      <c r="C14" s="108"/>
      <c r="D14" s="207"/>
      <c r="E14" s="108"/>
      <c r="F14" s="108"/>
      <c r="G14" s="108"/>
      <c r="H14" s="108"/>
      <c r="I14" s="209"/>
      <c r="J14" s="208"/>
      <c r="K14" s="203"/>
      <c r="L14" s="203"/>
      <c r="M14" s="208">
        <f t="shared" si="0"/>
        <v>0</v>
      </c>
      <c r="N14" s="108"/>
      <c r="O14" s="108"/>
      <c r="P14" s="108"/>
      <c r="Q14" s="204"/>
      <c r="R14" s="205"/>
      <c r="S14" s="210"/>
    </row>
    <row r="15" s="165" customFormat="1" ht="20" customHeight="1" spans="1:255">
      <c r="A15" s="108">
        <v>8</v>
      </c>
      <c r="B15" s="108"/>
      <c r="C15" s="108"/>
      <c r="D15" s="207"/>
      <c r="E15" s="108"/>
      <c r="F15" s="108"/>
      <c r="G15" s="108"/>
      <c r="H15" s="108"/>
      <c r="I15" s="209"/>
      <c r="J15" s="208"/>
      <c r="K15" s="203"/>
      <c r="L15" s="203"/>
      <c r="M15" s="208">
        <f t="shared" si="0"/>
        <v>0</v>
      </c>
      <c r="N15" s="108"/>
      <c r="O15" s="108"/>
      <c r="P15" s="108"/>
      <c r="Q15" s="204"/>
      <c r="R15" s="205"/>
      <c r="S15" s="210"/>
    </row>
    <row r="16" s="165" customFormat="1" ht="20" customHeight="1" spans="1:255">
      <c r="A16" s="108">
        <v>9</v>
      </c>
      <c r="B16" s="108"/>
      <c r="C16" s="108"/>
      <c r="D16" s="207"/>
      <c r="E16" s="108"/>
      <c r="F16" s="108"/>
      <c r="G16" s="108"/>
      <c r="H16" s="108"/>
      <c r="I16" s="209"/>
      <c r="J16" s="208"/>
      <c r="K16" s="203"/>
      <c r="L16" s="203"/>
      <c r="M16" s="208">
        <f t="shared" si="0"/>
        <v>0</v>
      </c>
      <c r="N16" s="108"/>
      <c r="O16" s="108"/>
      <c r="P16" s="108"/>
      <c r="Q16" s="204"/>
      <c r="R16" s="205"/>
      <c r="S16" s="210"/>
    </row>
    <row r="17" s="165" customFormat="1" ht="20" customHeight="1" spans="1:255">
      <c r="A17" s="108">
        <v>10</v>
      </c>
      <c r="B17" s="108"/>
      <c r="C17" s="108"/>
      <c r="D17" s="207"/>
      <c r="E17" s="108"/>
      <c r="F17" s="108"/>
      <c r="G17" s="108"/>
      <c r="H17" s="108"/>
      <c r="I17" s="209"/>
      <c r="J17" s="208"/>
      <c r="K17" s="203"/>
      <c r="L17" s="203"/>
      <c r="M17" s="208">
        <f t="shared" si="0"/>
        <v>0</v>
      </c>
      <c r="N17" s="204"/>
      <c r="O17" s="205"/>
      <c r="P17" s="108"/>
      <c r="Q17" s="204"/>
      <c r="R17" s="205"/>
      <c r="S17" s="210"/>
    </row>
    <row r="18" s="165" customFormat="1" ht="20" customHeight="1" spans="1:255">
      <c r="A18" s="108">
        <v>11</v>
      </c>
      <c r="B18" s="108"/>
      <c r="C18" s="108"/>
      <c r="D18" s="207"/>
      <c r="E18" s="108"/>
      <c r="F18" s="108"/>
      <c r="G18" s="108"/>
      <c r="H18" s="108"/>
      <c r="I18" s="209"/>
      <c r="J18" s="208"/>
      <c r="K18" s="203"/>
      <c r="L18" s="203"/>
      <c r="M18" s="208">
        <f t="shared" si="0"/>
        <v>0</v>
      </c>
      <c r="N18" s="204"/>
      <c r="O18" s="205"/>
      <c r="P18" s="108"/>
      <c r="Q18" s="204"/>
      <c r="R18" s="205"/>
      <c r="S18" s="210"/>
    </row>
    <row r="19" s="165" customFormat="1" ht="20" customHeight="1" spans="1:255">
      <c r="A19" s="108">
        <v>12</v>
      </c>
      <c r="B19" s="108"/>
      <c r="C19" s="108"/>
      <c r="D19" s="207"/>
      <c r="E19" s="108"/>
      <c r="F19" s="108"/>
      <c r="G19" s="108"/>
      <c r="H19" s="108"/>
      <c r="I19" s="209"/>
      <c r="J19" s="208"/>
      <c r="K19" s="203"/>
      <c r="L19" s="203"/>
      <c r="M19" s="208">
        <f t="shared" si="0"/>
        <v>0</v>
      </c>
      <c r="N19" s="204"/>
      <c r="O19" s="205"/>
      <c r="P19" s="108"/>
      <c r="Q19" s="204"/>
      <c r="R19" s="205"/>
      <c r="S19" s="210"/>
    </row>
    <row r="20" s="165" customFormat="1" ht="20" customHeight="1" spans="1:255">
      <c r="A20" s="108">
        <v>13</v>
      </c>
      <c r="B20" s="108"/>
      <c r="C20" s="108"/>
      <c r="D20" s="207"/>
      <c r="E20" s="108"/>
      <c r="F20" s="108"/>
      <c r="G20" s="108"/>
      <c r="H20" s="108"/>
      <c r="I20" s="209"/>
      <c r="J20" s="208"/>
      <c r="K20" s="203"/>
      <c r="L20" s="203"/>
      <c r="M20" s="208">
        <f t="shared" si="0"/>
        <v>0</v>
      </c>
      <c r="N20" s="204"/>
      <c r="O20" s="205"/>
      <c r="P20" s="108"/>
      <c r="Q20" s="204"/>
      <c r="R20" s="205"/>
      <c r="S20" s="210"/>
    </row>
    <row r="21" s="165" customFormat="1" ht="20" customHeight="1" spans="1:255">
      <c r="A21" s="108">
        <v>14</v>
      </c>
      <c r="B21" s="108"/>
      <c r="C21" s="108"/>
      <c r="D21" s="207"/>
      <c r="E21" s="108"/>
      <c r="F21" s="108"/>
      <c r="G21" s="108"/>
      <c r="H21" s="108"/>
      <c r="I21" s="209"/>
      <c r="J21" s="208"/>
      <c r="K21" s="203"/>
      <c r="L21" s="203"/>
      <c r="M21" s="208">
        <f t="shared" si="0"/>
        <v>0</v>
      </c>
      <c r="N21" s="204"/>
      <c r="O21" s="205"/>
      <c r="P21" s="108"/>
      <c r="Q21" s="204"/>
      <c r="R21" s="205"/>
      <c r="S21" s="210"/>
    </row>
    <row r="22" s="165" customFormat="1" ht="20" customHeight="1" spans="1:255">
      <c r="A22" s="108">
        <v>15</v>
      </c>
      <c r="B22" s="108"/>
      <c r="C22" s="108"/>
      <c r="D22" s="207"/>
      <c r="E22" s="108"/>
      <c r="F22" s="108"/>
      <c r="G22" s="108"/>
      <c r="H22" s="108"/>
      <c r="I22" s="209"/>
      <c r="J22" s="208"/>
      <c r="K22" s="203"/>
      <c r="L22" s="203"/>
      <c r="M22" s="208">
        <f t="shared" si="0"/>
        <v>0</v>
      </c>
      <c r="N22" s="204"/>
      <c r="O22" s="205"/>
      <c r="P22" s="108"/>
      <c r="Q22" s="204"/>
      <c r="R22" s="205"/>
      <c r="S22" s="210"/>
    </row>
    <row r="23" s="168" customFormat="1" ht="19" customHeight="1" spans="1:255">
      <c r="A23" s="108">
        <v>16</v>
      </c>
      <c r="B23" s="211"/>
      <c r="C23" s="211" t="s">
        <v>36</v>
      </c>
      <c r="D23" s="212" t="s">
        <v>37</v>
      </c>
      <c r="E23" s="213"/>
      <c r="F23" s="213"/>
      <c r="G23" s="213"/>
      <c r="H23" s="213"/>
      <c r="I23" s="213"/>
      <c r="J23" s="213"/>
      <c r="K23" s="214"/>
      <c r="L23" s="215"/>
      <c r="M23" s="216"/>
      <c r="N23" s="204"/>
      <c r="O23" s="205"/>
      <c r="P23" s="217"/>
      <c r="Q23" s="204"/>
      <c r="R23" s="205"/>
      <c r="S23" s="218"/>
    </row>
    <row r="24" s="168" customFormat="1" ht="19" customHeight="1" spans="1:255">
      <c r="A24" s="108" t="s">
        <v>38</v>
      </c>
      <c r="B24" s="108"/>
      <c r="C24" s="108"/>
      <c r="D24" s="108"/>
      <c r="E24" s="108"/>
      <c r="F24" s="108"/>
      <c r="G24" s="108"/>
      <c r="H24" s="219">
        <f t="shared" ref="H24:J24" si="1">SUM(H6:H22)</f>
        <v>0</v>
      </c>
      <c r="I24" s="220">
        <f t="shared" si="1"/>
        <v>0</v>
      </c>
      <c r="J24" s="220">
        <f t="shared" si="1"/>
        <v>0</v>
      </c>
      <c r="K24" s="219"/>
      <c r="L24" s="221"/>
      <c r="M24" s="220">
        <f>SUM(M6:M22)</f>
        <v>0</v>
      </c>
      <c r="N24" s="108"/>
      <c r="O24" s="108"/>
      <c r="P24" s="108"/>
      <c r="Q24" s="108"/>
      <c r="R24" s="222"/>
      <c r="S24" s="218"/>
    </row>
    <row r="25" s="1" customFormat="1" ht="28" customHeight="1" spans="1:255">
      <c r="A25" s="223" t="str">
        <f>'1'!A27</f>
        <v>图文说明:</v>
      </c>
      <c r="B25" s="224"/>
      <c r="C25" s="225"/>
      <c r="D25" s="191"/>
      <c r="E25" s="192"/>
      <c r="F25" s="175"/>
      <c r="G25" s="175"/>
      <c r="H25" s="226"/>
      <c r="I25" s="226"/>
      <c r="J25" s="227"/>
      <c r="K25" s="226"/>
      <c r="L25" s="228">
        <f>+SUM(L8:L23)</f>
        <v>0</v>
      </c>
      <c r="M25" s="228"/>
      <c r="N25" s="175" t="s">
        <v>40</v>
      </c>
      <c r="O25" s="229"/>
      <c r="P25" s="229"/>
      <c r="Q25" s="204"/>
      <c r="R25" s="205"/>
      <c r="S25" s="218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="1" customFormat="1" ht="28" customHeight="1" spans="1:255">
      <c r="A26" s="232"/>
      <c r="B26" s="218"/>
      <c r="C26" s="233"/>
      <c r="D26" s="180"/>
      <c r="E26" s="175"/>
      <c r="F26" s="234"/>
      <c r="G26" s="235"/>
      <c r="H26" s="236"/>
      <c r="I26" s="226"/>
      <c r="J26" s="227"/>
      <c r="K26" s="175"/>
      <c r="L26" s="237"/>
      <c r="M26" s="237"/>
      <c r="N26" s="175"/>
      <c r="O26" s="229"/>
      <c r="P26" s="238"/>
      <c r="Q26" s="204"/>
      <c r="R26" s="205"/>
      <c r="S26" s="218"/>
      <c r="T26" s="230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="1" customFormat="1" ht="24" customHeight="1" spans="1:255">
      <c r="A27" s="232"/>
      <c r="B27" s="218"/>
      <c r="C27" s="233"/>
      <c r="D27" s="239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1"/>
      <c r="T27" s="230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="1" customFormat="1" ht="30" customHeight="1" spans="1:255">
      <c r="A28" s="212"/>
      <c r="B28" s="213"/>
      <c r="C28" s="213"/>
      <c r="D28" s="242"/>
      <c r="E28" s="242"/>
      <c r="F28" s="242"/>
      <c r="G28" s="242"/>
      <c r="H28" s="242"/>
      <c r="I28" s="242"/>
      <c r="J28" s="242"/>
      <c r="K28" s="242"/>
      <c r="L28" s="243" t="s">
        <v>44</v>
      </c>
      <c r="M28" s="243"/>
      <c r="N28" s="243"/>
      <c r="O28" s="244"/>
      <c r="P28" s="244"/>
      <c r="Q28" s="244"/>
      <c r="R28" s="244"/>
      <c r="S28" s="245"/>
      <c r="T28" s="168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="165" customFormat="1" ht="24" customHeight="1" spans="1:255">
      <c r="A29" s="246" t="s">
        <v>45</v>
      </c>
      <c r="B29" s="246"/>
      <c r="C29" s="207" t="str">
        <f>'1'!C31</f>
        <v>陈昌容</v>
      </c>
      <c r="D29" s="108" t="s">
        <v>47</v>
      </c>
      <c r="E29" s="108"/>
      <c r="F29" s="108">
        <f>'1'!F31</f>
        <v>0</v>
      </c>
      <c r="G29" s="108"/>
      <c r="H29" s="108" t="s">
        <v>48</v>
      </c>
      <c r="I29" s="108"/>
      <c r="J29" s="203">
        <f>'1'!J31</f>
        <v>0</v>
      </c>
      <c r="K29" s="203"/>
      <c r="L29" s="203" t="s">
        <v>49</v>
      </c>
      <c r="M29" s="247"/>
      <c r="N29" s="219">
        <f>'1'!N31</f>
        <v>0</v>
      </c>
      <c r="O29" s="219"/>
      <c r="P29" s="219"/>
      <c r="Q29" s="108"/>
      <c r="R29" s="222"/>
      <c r="S29" s="168"/>
      <c r="T29" s="168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="167" customFormat="1" ht="30" hidden="1" customHeight="1" spans="1:255">
      <c r="A30" s="248" t="str">
        <f>+A25</f>
        <v>图文说明:</v>
      </c>
      <c r="B30" s="248"/>
      <c r="C30" s="248"/>
      <c r="D30" s="248"/>
      <c r="E30" s="248"/>
      <c r="F30" s="248"/>
      <c r="G30" s="248"/>
      <c r="H30" s="248"/>
      <c r="I30" s="249" t="s">
        <v>50</v>
      </c>
      <c r="J30" s="249"/>
      <c r="K30" s="249"/>
      <c r="L30" s="250"/>
      <c r="M30" s="250"/>
      <c r="N30" s="108"/>
      <c r="O30" s="108"/>
      <c r="P30" s="251" t="s">
        <v>51</v>
      </c>
      <c r="Q30" s="204"/>
      <c r="R30" s="205"/>
      <c r="S30" s="210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6"/>
      <c r="IR30" s="166"/>
      <c r="IS30" s="166"/>
      <c r="IT30" s="166"/>
      <c r="IU30" s="166"/>
    </row>
    <row r="31" s="169" customFormat="1" ht="30" hidden="1" customHeight="1" spans="1:255">
      <c r="A31" s="252"/>
      <c r="B31" s="252"/>
      <c r="C31" s="252"/>
      <c r="D31" s="252"/>
      <c r="E31" s="252"/>
      <c r="F31" s="252"/>
      <c r="G31" s="252"/>
      <c r="H31" s="252"/>
      <c r="I31" s="249" t="s">
        <v>52</v>
      </c>
      <c r="J31" s="249"/>
      <c r="K31" s="249"/>
      <c r="L31" s="253"/>
      <c r="M31" s="253"/>
      <c r="N31" s="249">
        <f>+'1'!N33</f>
        <v>0</v>
      </c>
      <c r="O31" s="249"/>
      <c r="P31" s="251" t="s">
        <v>53</v>
      </c>
      <c r="Q31" s="204"/>
      <c r="R31" s="205"/>
      <c r="S31" s="254"/>
    </row>
    <row r="32" s="170" customFormat="1" ht="21" hidden="1" customHeight="1" spans="1:255">
      <c r="A32" s="255" t="s">
        <v>54</v>
      </c>
      <c r="B32" s="256"/>
      <c r="C32" s="255" t="s">
        <v>55</v>
      </c>
      <c r="D32" s="256"/>
      <c r="E32" s="255" t="s">
        <v>56</v>
      </c>
      <c r="F32" s="256"/>
      <c r="G32" s="255" t="s">
        <v>57</v>
      </c>
      <c r="H32" s="256"/>
      <c r="I32" s="257" t="s">
        <v>58</v>
      </c>
      <c r="J32" s="258"/>
      <c r="K32" s="257"/>
      <c r="L32" s="258"/>
      <c r="M32" s="259"/>
      <c r="N32" s="257" t="s">
        <v>59</v>
      </c>
      <c r="O32" s="258"/>
      <c r="P32" s="257" t="s">
        <v>60</v>
      </c>
      <c r="Q32" s="259"/>
      <c r="R32" s="260"/>
      <c r="S32" s="261"/>
    </row>
    <row r="33" s="170" customFormat="1" ht="21" hidden="1" customHeight="1" spans="1:36">
      <c r="A33" s="262" t="s">
        <v>61</v>
      </c>
      <c r="B33" s="262" t="s">
        <v>62</v>
      </c>
      <c r="C33" s="263" t="s">
        <v>61</v>
      </c>
      <c r="D33" s="263" t="s">
        <v>62</v>
      </c>
      <c r="E33" s="263" t="s">
        <v>61</v>
      </c>
      <c r="F33" s="262" t="s">
        <v>62</v>
      </c>
      <c r="G33" s="263" t="s">
        <v>61</v>
      </c>
      <c r="H33" s="264" t="s">
        <v>62</v>
      </c>
      <c r="I33" s="263" t="s">
        <v>61</v>
      </c>
      <c r="J33" s="263" t="s">
        <v>62</v>
      </c>
      <c r="K33" s="263"/>
      <c r="L33" s="263"/>
      <c r="M33" s="263"/>
      <c r="N33" s="263" t="s">
        <v>61</v>
      </c>
      <c r="O33" s="263" t="s">
        <v>62</v>
      </c>
      <c r="P33" s="263" t="s">
        <v>61</v>
      </c>
      <c r="Q33" s="255" t="s">
        <v>62</v>
      </c>
      <c r="R33" s="260"/>
      <c r="S33" s="261"/>
    </row>
    <row r="34" s="170" customFormat="1" ht="21" hidden="1" customHeight="1" spans="1:36">
      <c r="A34" s="263"/>
      <c r="B34" s="263"/>
      <c r="C34" s="263"/>
      <c r="D34" s="263"/>
      <c r="E34" s="263"/>
      <c r="F34" s="263"/>
      <c r="G34" s="265"/>
      <c r="H34" s="265"/>
      <c r="I34" s="263"/>
      <c r="J34" s="263"/>
      <c r="K34" s="263"/>
      <c r="L34" s="263"/>
      <c r="M34" s="263"/>
      <c r="N34" s="263"/>
      <c r="O34" s="263"/>
      <c r="P34" s="263"/>
      <c r="Q34" s="255"/>
      <c r="R34" s="260"/>
      <c r="S34" s="261"/>
    </row>
    <row r="35" s="170" customFormat="1" ht="21" hidden="1" customHeight="1" spans="1:36">
      <c r="A35" s="255" t="s">
        <v>63</v>
      </c>
      <c r="B35" s="256"/>
      <c r="C35" s="255" t="s">
        <v>64</v>
      </c>
      <c r="D35" s="256"/>
      <c r="E35" s="255" t="s">
        <v>65</v>
      </c>
      <c r="F35" s="256"/>
      <c r="G35" s="257" t="s">
        <v>66</v>
      </c>
      <c r="H35" s="258"/>
      <c r="I35" s="255" t="s">
        <v>67</v>
      </c>
      <c r="J35" s="256"/>
      <c r="K35" s="255"/>
      <c r="L35" s="256"/>
      <c r="M35" s="266"/>
      <c r="N35" s="255" t="s">
        <v>68</v>
      </c>
      <c r="O35" s="256"/>
      <c r="P35" s="255" t="s">
        <v>69</v>
      </c>
      <c r="Q35" s="266"/>
      <c r="R35" s="260"/>
      <c r="S35" s="218"/>
    </row>
    <row r="36" s="170" customFormat="1" ht="21" hidden="1" customHeight="1" spans="1:36">
      <c r="A36" s="262" t="s">
        <v>61</v>
      </c>
      <c r="B36" s="262" t="s">
        <v>62</v>
      </c>
      <c r="C36" s="263" t="s">
        <v>61</v>
      </c>
      <c r="D36" s="263" t="s">
        <v>62</v>
      </c>
      <c r="E36" s="263" t="s">
        <v>61</v>
      </c>
      <c r="F36" s="262" t="s">
        <v>62</v>
      </c>
      <c r="G36" s="263" t="s">
        <v>61</v>
      </c>
      <c r="H36" s="264" t="s">
        <v>62</v>
      </c>
      <c r="I36" s="263" t="s">
        <v>61</v>
      </c>
      <c r="J36" s="263" t="s">
        <v>62</v>
      </c>
      <c r="K36" s="263"/>
      <c r="L36" s="263"/>
      <c r="M36" s="263"/>
      <c r="N36" s="263" t="s">
        <v>61</v>
      </c>
      <c r="O36" s="263" t="s">
        <v>62</v>
      </c>
      <c r="P36" s="263" t="s">
        <v>61</v>
      </c>
      <c r="Q36" s="255" t="s">
        <v>62</v>
      </c>
      <c r="R36" s="260"/>
      <c r="S36" s="218"/>
    </row>
    <row r="37" s="170" customFormat="1" ht="21" hidden="1" customHeight="1" spans="1:36">
      <c r="A37" s="263"/>
      <c r="B37" s="263"/>
      <c r="C37" s="263"/>
      <c r="D37" s="263"/>
      <c r="E37" s="263"/>
      <c r="F37" s="263"/>
      <c r="G37" s="265"/>
      <c r="H37" s="265"/>
      <c r="I37" s="263"/>
      <c r="J37" s="263"/>
      <c r="K37" s="263"/>
      <c r="L37" s="263"/>
      <c r="M37" s="263"/>
      <c r="N37" s="263"/>
      <c r="O37" s="263"/>
      <c r="P37" s="263"/>
      <c r="Q37" s="263"/>
      <c r="R37" s="260"/>
      <c r="S37" s="218"/>
    </row>
    <row r="38" s="171" customFormat="1" ht="24" hidden="1" customHeight="1" spans="1:36">
      <c r="A38" s="257" t="s">
        <v>70</v>
      </c>
      <c r="B38" s="258"/>
      <c r="C38" s="257" t="s">
        <v>71</v>
      </c>
      <c r="D38" s="258"/>
      <c r="E38" s="255" t="s">
        <v>72</v>
      </c>
      <c r="F38" s="256"/>
      <c r="G38" s="255" t="s">
        <v>73</v>
      </c>
      <c r="H38" s="256"/>
      <c r="I38" s="255" t="s">
        <v>74</v>
      </c>
      <c r="J38" s="256"/>
      <c r="K38" s="255"/>
      <c r="L38" s="256"/>
      <c r="M38" s="266"/>
      <c r="N38" s="255"/>
      <c r="O38" s="256"/>
      <c r="P38" s="255"/>
      <c r="Q38" s="266"/>
      <c r="R38" s="260"/>
      <c r="S38" s="267"/>
    </row>
    <row r="39" s="165" customFormat="1" ht="24" hidden="1" customHeight="1" spans="1:36">
      <c r="A39" s="262" t="s">
        <v>61</v>
      </c>
      <c r="B39" s="262" t="s">
        <v>62</v>
      </c>
      <c r="C39" s="262" t="s">
        <v>61</v>
      </c>
      <c r="D39" s="262" t="s">
        <v>62</v>
      </c>
      <c r="E39" s="263" t="s">
        <v>61</v>
      </c>
      <c r="F39" s="263" t="s">
        <v>62</v>
      </c>
      <c r="G39" s="263" t="s">
        <v>61</v>
      </c>
      <c r="H39" s="262" t="s">
        <v>62</v>
      </c>
      <c r="I39" s="263" t="s">
        <v>61</v>
      </c>
      <c r="J39" s="263" t="s">
        <v>62</v>
      </c>
      <c r="K39" s="263"/>
      <c r="L39" s="263"/>
      <c r="M39" s="263"/>
      <c r="N39" s="263"/>
      <c r="O39" s="263"/>
      <c r="P39" s="263"/>
      <c r="Q39" s="255"/>
      <c r="R39" s="260"/>
      <c r="S39" s="168"/>
      <c r="T39" s="168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</row>
    <row r="40" s="165" customFormat="1" hidden="1" customHeight="1" spans="1:36">
      <c r="A40" s="263"/>
      <c r="B40" s="263"/>
      <c r="C40" s="199"/>
      <c r="D40" s="199"/>
      <c r="E40" s="268"/>
      <c r="F40" s="268"/>
      <c r="G40" s="268"/>
      <c r="H40" s="268"/>
      <c r="I40" s="268"/>
      <c r="J40" s="268"/>
      <c r="K40" s="199"/>
      <c r="L40" s="199"/>
      <c r="M40" s="199"/>
      <c r="N40" s="269"/>
      <c r="O40" s="270"/>
      <c r="P40" s="260"/>
      <c r="Q40" s="260"/>
      <c r="R40" s="260"/>
      <c r="S40" s="172"/>
    </row>
    <row r="41" s="165" customFormat="1" hidden="1" customHeight="1" spans="1:36">
      <c r="A41" s="271" t="s">
        <v>75</v>
      </c>
      <c r="B41" s="250"/>
      <c r="C41" s="199">
        <f>N31</f>
        <v>0</v>
      </c>
      <c r="D41" s="199"/>
      <c r="E41" s="268" t="s">
        <v>76</v>
      </c>
      <c r="F41" s="268"/>
      <c r="G41" s="268"/>
      <c r="H41" s="272"/>
      <c r="I41" s="268"/>
      <c r="J41" s="268"/>
      <c r="K41" s="199"/>
      <c r="L41" s="199"/>
      <c r="M41" s="199"/>
      <c r="N41" s="199" t="s">
        <v>19</v>
      </c>
      <c r="O41" s="199"/>
      <c r="P41" s="186">
        <f>Q2</f>
        <v>0</v>
      </c>
      <c r="Q41" s="186"/>
      <c r="R41" s="199">
        <f>R2</f>
        <v>-10</v>
      </c>
      <c r="S41" s="172"/>
    </row>
    <row r="42" s="165" customFormat="1" hidden="1" customHeight="1" spans="1:36">
      <c r="A42" s="180" t="s">
        <v>45</v>
      </c>
      <c r="B42" s="180"/>
      <c r="C42" s="108" t="str">
        <f>C29</f>
        <v>陈昌容</v>
      </c>
      <c r="D42" s="108" t="s">
        <v>47</v>
      </c>
      <c r="E42" s="108"/>
      <c r="F42" s="108">
        <f>F29</f>
        <v>0</v>
      </c>
      <c r="G42" s="108"/>
      <c r="H42" s="108" t="s">
        <v>48</v>
      </c>
      <c r="I42" s="108"/>
      <c r="J42" s="203">
        <f>J29</f>
        <v>0</v>
      </c>
      <c r="K42" s="203"/>
      <c r="L42" s="203" t="s">
        <v>49</v>
      </c>
      <c r="M42" s="247"/>
      <c r="N42" s="219">
        <f>N29</f>
        <v>0</v>
      </c>
      <c r="O42" s="219"/>
      <c r="P42" s="219"/>
      <c r="Q42" s="108"/>
      <c r="R42" s="222"/>
      <c r="S42" s="172"/>
    </row>
  </sheetData>
  <mergeCells count="111">
    <mergeCell ref="C1:O1"/>
    <mergeCell ref="Q1:R1"/>
    <mergeCell ref="F2:K2"/>
    <mergeCell ref="M2:O2"/>
    <mergeCell ref="C3:D3"/>
    <mergeCell ref="E3:K3"/>
    <mergeCell ref="C4:O4"/>
    <mergeCell ref="Q4:R4"/>
    <mergeCell ref="F5:I5"/>
    <mergeCell ref="C6:D6"/>
    <mergeCell ref="E6:K6"/>
    <mergeCell ref="N7:O7"/>
    <mergeCell ref="Q7:R7"/>
    <mergeCell ref="N8:O8"/>
    <mergeCell ref="Q8:R8"/>
    <mergeCell ref="N9:O9"/>
    <mergeCell ref="Q9:R9"/>
    <mergeCell ref="N10:O10"/>
    <mergeCell ref="Q10:R10"/>
    <mergeCell ref="N11:O11"/>
    <mergeCell ref="Q11:R11"/>
    <mergeCell ref="N12:O12"/>
    <mergeCell ref="Q12:R12"/>
    <mergeCell ref="N13:O13"/>
    <mergeCell ref="Q13:R13"/>
    <mergeCell ref="N14:O14"/>
    <mergeCell ref="Q14:R14"/>
    <mergeCell ref="N15:O15"/>
    <mergeCell ref="Q15:R15"/>
    <mergeCell ref="N16:O16"/>
    <mergeCell ref="Q16:R16"/>
    <mergeCell ref="N17:O17"/>
    <mergeCell ref="Q17:R17"/>
    <mergeCell ref="N18:O18"/>
    <mergeCell ref="Q18:R18"/>
    <mergeCell ref="N19:O19"/>
    <mergeCell ref="Q19:R19"/>
    <mergeCell ref="N20:O20"/>
    <mergeCell ref="Q20:R20"/>
    <mergeCell ref="N21:O21"/>
    <mergeCell ref="Q21:R21"/>
    <mergeCell ref="N22:O22"/>
    <mergeCell ref="Q22:R22"/>
    <mergeCell ref="D23:K23"/>
    <mergeCell ref="N23:O23"/>
    <mergeCell ref="Q23:R23"/>
    <mergeCell ref="A24:G24"/>
    <mergeCell ref="N24:O24"/>
    <mergeCell ref="Q24:R24"/>
    <mergeCell ref="D25:E25"/>
    <mergeCell ref="F25:G25"/>
    <mergeCell ref="N25:P25"/>
    <mergeCell ref="Q25:R25"/>
    <mergeCell ref="F26:G26"/>
    <mergeCell ref="O26:P26"/>
    <mergeCell ref="Q26:R26"/>
    <mergeCell ref="D27:R27"/>
    <mergeCell ref="D28:K28"/>
    <mergeCell ref="L28:N28"/>
    <mergeCell ref="O28:R28"/>
    <mergeCell ref="A29:B29"/>
    <mergeCell ref="D29:E29"/>
    <mergeCell ref="F29:G29"/>
    <mergeCell ref="H29:I29"/>
    <mergeCell ref="J29:K29"/>
    <mergeCell ref="N29:O29"/>
    <mergeCell ref="Q29:R29"/>
    <mergeCell ref="I30:K30"/>
    <mergeCell ref="Q30:R30"/>
    <mergeCell ref="I31:K31"/>
    <mergeCell ref="Q31:R31"/>
    <mergeCell ref="A32:B32"/>
    <mergeCell ref="C32:D32"/>
    <mergeCell ref="E32:F32"/>
    <mergeCell ref="G32:H32"/>
    <mergeCell ref="I32:J32"/>
    <mergeCell ref="K32:L32"/>
    <mergeCell ref="N32:O32"/>
    <mergeCell ref="P32:Q32"/>
    <mergeCell ref="A35:B35"/>
    <mergeCell ref="C35:D35"/>
    <mergeCell ref="E35:F35"/>
    <mergeCell ref="G35:H35"/>
    <mergeCell ref="I35:J35"/>
    <mergeCell ref="P35:Q35"/>
    <mergeCell ref="A38:B38"/>
    <mergeCell ref="C38:D38"/>
    <mergeCell ref="E38:F38"/>
    <mergeCell ref="G38:H38"/>
    <mergeCell ref="I38:J38"/>
    <mergeCell ref="K38:L38"/>
    <mergeCell ref="N38:O38"/>
    <mergeCell ref="P38:Q38"/>
    <mergeCell ref="A41:B41"/>
    <mergeCell ref="C41:D41"/>
    <mergeCell ref="E41:G41"/>
    <mergeCell ref="H41:J41"/>
    <mergeCell ref="K41:L41"/>
    <mergeCell ref="N41:O41"/>
    <mergeCell ref="P41:Q41"/>
    <mergeCell ref="A42:B42"/>
    <mergeCell ref="D42:E42"/>
    <mergeCell ref="F42:G42"/>
    <mergeCell ref="H42:I42"/>
    <mergeCell ref="J42:K42"/>
    <mergeCell ref="N42:O42"/>
    <mergeCell ref="Q42:R42"/>
    <mergeCell ref="A1:B3"/>
    <mergeCell ref="A4:B6"/>
    <mergeCell ref="A25:C28"/>
    <mergeCell ref="A30:H31"/>
  </mergeCells>
  <printOptions horizontalCentered="1"/>
  <pageMargins left="0.200694444444444" right="0.200694444444444" top="0.200694444444444" bottom="0.279166666666667" header="0.310416666666667" footer="0.118055555555556"/>
  <pageSetup paperSize="9" scale="81" orientation="landscape" horizontalDpi="600" verticalDpi="600"/>
  <headerFooter alignWithMargins="0" scaleWithDoc="0">
    <oddFooter>&amp;C第 &amp;P 页，共 &amp;N 页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workbookViewId="0">
      <pane xSplit="1" ySplit="5" topLeftCell="B8" activePane="bottomRight" state="frozen"/>
      <selection/>
      <selection pane="topRight"/>
      <selection pane="bottomLeft"/>
      <selection pane="bottomRight" activeCell="V20" sqref="V20"/>
    </sheetView>
  </sheetViews>
  <sheetFormatPr defaultColWidth="8" defaultRowHeight="12.75"/>
  <cols>
    <col min="1" max="1" width="4.375" style="90" customWidth="1"/>
    <col min="2" max="2" width="1.75" style="90" customWidth="1"/>
    <col min="3" max="3" width="8.875" style="90" customWidth="1"/>
    <col min="4" max="4" width="1.75" style="90" customWidth="1"/>
    <col min="5" max="5" width="3.625" style="90" customWidth="1"/>
    <col min="6" max="6" width="3.875" style="90" customWidth="1"/>
    <col min="7" max="7" width="2.5" style="90" customWidth="1"/>
    <col min="8" max="8" width="4.5" style="90" customWidth="1"/>
    <col min="9" max="9" width="9.5" style="91" customWidth="1"/>
    <col min="10" max="11" width="4.5" style="90" customWidth="1"/>
    <col min="12" max="12" width="4.375" style="90" customWidth="1"/>
    <col min="13" max="13" width="0.875" style="90" customWidth="1"/>
    <col min="14" max="14" width="4.625" style="90" customWidth="1"/>
    <col min="15" max="15" width="1.75" style="90" customWidth="1"/>
    <col min="16" max="16" width="8.25" style="90" customWidth="1"/>
    <col min="17" max="17" width="7.25" style="91" customWidth="1"/>
    <col min="18" max="18" width="9.625" style="91" customWidth="1"/>
    <col min="19" max="19" width="15.875" style="90" customWidth="1"/>
    <col min="20" max="20" width="4" style="90" customWidth="1"/>
    <col min="21" max="21" width="18.625" style="90" customWidth="1"/>
    <col min="22" max="16384" width="8" style="87"/>
  </cols>
  <sheetData>
    <row r="1" s="87" customFormat="1" ht="21" customHeight="1" spans="1:21">
      <c r="A1" s="92" t="s">
        <v>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</row>
    <row r="2" s="87" customFormat="1" ht="11.85" customHeight="1" spans="1:21">
      <c r="A2" s="92"/>
      <c r="B2" s="92"/>
      <c r="C2" s="92"/>
      <c r="D2" s="94"/>
      <c r="E2" s="94"/>
      <c r="F2" s="94"/>
      <c r="G2" s="94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3"/>
    </row>
    <row r="3" s="87" customFormat="1" ht="30" customHeight="1" spans="1:21">
      <c r="A3" s="95" t="s">
        <v>78</v>
      </c>
      <c r="B3" s="95"/>
      <c r="C3" s="96" t="str">
        <f>+'1'!A1</f>
        <v>奢匠</v>
      </c>
      <c r="D3" s="97" t="s">
        <v>11</v>
      </c>
      <c r="E3" s="97"/>
      <c r="F3" s="97"/>
      <c r="G3" s="97"/>
      <c r="H3" s="98">
        <f>+'1'!D2</f>
        <v>0</v>
      </c>
      <c r="I3" s="99"/>
      <c r="J3" s="100" t="s">
        <v>13</v>
      </c>
      <c r="K3" s="100"/>
      <c r="L3" s="101">
        <f>+'1'!N2</f>
        <v>0</v>
      </c>
      <c r="M3" s="102"/>
      <c r="N3" s="102"/>
      <c r="O3" s="103"/>
      <c r="P3" s="104" t="s">
        <v>14</v>
      </c>
      <c r="Q3" s="105"/>
      <c r="R3" s="106"/>
      <c r="S3" s="96">
        <f>+'1'!Q2</f>
        <v>0</v>
      </c>
      <c r="T3" s="107">
        <v>-1</v>
      </c>
      <c r="U3" s="93"/>
    </row>
    <row r="4" s="87" customFormat="1" ht="30" customHeight="1" spans="1:21">
      <c r="A4" s="100"/>
      <c r="B4" s="100"/>
      <c r="C4" s="101"/>
      <c r="D4" s="108" t="s">
        <v>79</v>
      </c>
      <c r="E4" s="108"/>
      <c r="F4" s="108"/>
      <c r="G4" s="108"/>
      <c r="H4" s="109">
        <f>+'1'!F2</f>
        <v>0</v>
      </c>
      <c r="I4" s="110"/>
      <c r="J4" s="112" t="s">
        <v>80</v>
      </c>
      <c r="K4" s="112"/>
      <c r="L4" s="109">
        <f>'1'!E3</f>
        <v>0</v>
      </c>
      <c r="M4" s="113"/>
      <c r="N4" s="113"/>
      <c r="O4" s="110"/>
      <c r="P4" s="114" t="s">
        <v>81</v>
      </c>
      <c r="Q4" s="114"/>
      <c r="R4" s="114"/>
      <c r="S4" s="102">
        <f>+'1'!N5</f>
        <v>0</v>
      </c>
      <c r="T4" s="103">
        <f>+T3</f>
        <v>-1</v>
      </c>
      <c r="U4" s="93"/>
    </row>
    <row r="5" s="87" customFormat="1" ht="22" customHeight="1" spans="1:21">
      <c r="A5" s="39" t="s">
        <v>2</v>
      </c>
      <c r="B5" s="39" t="s">
        <v>82</v>
      </c>
      <c r="C5" s="39"/>
      <c r="D5" s="115"/>
      <c r="E5" s="115"/>
      <c r="F5" s="115"/>
      <c r="G5" s="115"/>
      <c r="H5" s="115"/>
      <c r="I5" s="116" t="s">
        <v>26</v>
      </c>
      <c r="J5" s="117" t="s">
        <v>83</v>
      </c>
      <c r="K5" s="118"/>
      <c r="L5" s="115" t="s">
        <v>84</v>
      </c>
      <c r="M5" s="115"/>
      <c r="N5" s="115"/>
      <c r="O5" s="115" t="s">
        <v>85</v>
      </c>
      <c r="P5" s="115"/>
      <c r="Q5" s="119" t="s">
        <v>86</v>
      </c>
      <c r="R5" s="119" t="s">
        <v>87</v>
      </c>
      <c r="S5" s="39" t="s">
        <v>34</v>
      </c>
      <c r="T5" s="39"/>
      <c r="U5" s="120"/>
    </row>
    <row r="6" s="88" customFormat="1" ht="21" customHeight="1" spans="1:21">
      <c r="A6" s="121">
        <v>1</v>
      </c>
      <c r="B6" s="121"/>
      <c r="C6" s="121"/>
      <c r="D6" s="121"/>
      <c r="E6" s="121"/>
      <c r="F6" s="121"/>
      <c r="G6" s="121"/>
      <c r="H6" s="121"/>
      <c r="I6" s="122"/>
      <c r="J6" s="123"/>
      <c r="K6" s="124"/>
      <c r="L6" s="125"/>
      <c r="M6" s="125"/>
      <c r="N6" s="125"/>
      <c r="O6" s="125"/>
      <c r="P6" s="125"/>
      <c r="Q6" s="126"/>
      <c r="R6" s="127">
        <f t="shared" ref="R6:R25" si="0">Q6*I6</f>
        <v>0</v>
      </c>
      <c r="S6" s="39"/>
      <c r="T6" s="39"/>
      <c r="U6" s="128"/>
    </row>
    <row r="7" s="88" customFormat="1" ht="21" customHeight="1" spans="1:21">
      <c r="A7" s="121">
        <v>2</v>
      </c>
      <c r="B7" s="43"/>
      <c r="C7" s="43"/>
      <c r="D7" s="43"/>
      <c r="E7" s="43"/>
      <c r="F7" s="43"/>
      <c r="G7" s="43"/>
      <c r="H7" s="43"/>
      <c r="I7" s="129"/>
      <c r="J7" s="123"/>
      <c r="K7" s="124"/>
      <c r="L7" s="46"/>
      <c r="M7" s="46"/>
      <c r="N7" s="46"/>
      <c r="O7" s="46"/>
      <c r="P7" s="46"/>
      <c r="Q7" s="130"/>
      <c r="R7" s="131">
        <f t="shared" si="0"/>
        <v>0</v>
      </c>
      <c r="S7" s="39"/>
      <c r="T7" s="39"/>
      <c r="U7" s="128"/>
    </row>
    <row r="8" s="88" customFormat="1" ht="21" customHeight="1" spans="1:21">
      <c r="A8" s="121">
        <v>3</v>
      </c>
      <c r="B8" s="43"/>
      <c r="C8" s="43"/>
      <c r="D8" s="43"/>
      <c r="E8" s="43"/>
      <c r="F8" s="43"/>
      <c r="G8" s="43"/>
      <c r="H8" s="43"/>
      <c r="I8" s="129"/>
      <c r="J8" s="123"/>
      <c r="K8" s="124"/>
      <c r="L8" s="46"/>
      <c r="M8" s="46"/>
      <c r="N8" s="46"/>
      <c r="O8" s="46"/>
      <c r="P8" s="46"/>
      <c r="Q8" s="130"/>
      <c r="R8" s="131">
        <f t="shared" si="0"/>
        <v>0</v>
      </c>
      <c r="S8" s="39"/>
      <c r="T8" s="39"/>
      <c r="U8" s="128"/>
    </row>
    <row r="9" s="88" customFormat="1" ht="21" customHeight="1" spans="1:21">
      <c r="A9" s="121">
        <v>4</v>
      </c>
      <c r="B9" s="43"/>
      <c r="C9" s="43"/>
      <c r="D9" s="43"/>
      <c r="E9" s="43"/>
      <c r="F9" s="43"/>
      <c r="G9" s="43"/>
      <c r="H9" s="43"/>
      <c r="I9" s="129"/>
      <c r="J9" s="123"/>
      <c r="K9" s="124"/>
      <c r="L9" s="46"/>
      <c r="M9" s="46"/>
      <c r="N9" s="46"/>
      <c r="O9" s="46"/>
      <c r="P9" s="46"/>
      <c r="Q9" s="130"/>
      <c r="R9" s="131">
        <f t="shared" si="0"/>
        <v>0</v>
      </c>
      <c r="S9" s="39"/>
      <c r="T9" s="39"/>
      <c r="U9" s="128"/>
    </row>
    <row r="10" s="88" customFormat="1" ht="21" customHeight="1" spans="1:21">
      <c r="A10" s="121">
        <v>5</v>
      </c>
      <c r="B10" s="43"/>
      <c r="C10" s="43"/>
      <c r="D10" s="43"/>
      <c r="E10" s="43"/>
      <c r="F10" s="43"/>
      <c r="G10" s="43"/>
      <c r="H10" s="43"/>
      <c r="I10" s="129"/>
      <c r="J10" s="123"/>
      <c r="K10" s="124"/>
      <c r="L10" s="46"/>
      <c r="M10" s="46"/>
      <c r="N10" s="46"/>
      <c r="O10" s="46"/>
      <c r="P10" s="46"/>
      <c r="Q10" s="130"/>
      <c r="R10" s="131">
        <f t="shared" si="0"/>
        <v>0</v>
      </c>
      <c r="S10" s="39"/>
      <c r="T10" s="39"/>
      <c r="U10" s="128"/>
    </row>
    <row r="11" s="88" customFormat="1" ht="21" customHeight="1" spans="1:21">
      <c r="A11" s="121">
        <v>6</v>
      </c>
      <c r="B11" s="43"/>
      <c r="C11" s="43"/>
      <c r="D11" s="43"/>
      <c r="E11" s="43"/>
      <c r="F11" s="43"/>
      <c r="G11" s="43"/>
      <c r="H11" s="43"/>
      <c r="I11" s="129"/>
      <c r="J11" s="123"/>
      <c r="K11" s="124"/>
      <c r="L11" s="46"/>
      <c r="M11" s="46"/>
      <c r="N11" s="46"/>
      <c r="O11" s="46"/>
      <c r="P11" s="46"/>
      <c r="Q11" s="130"/>
      <c r="R11" s="131">
        <f t="shared" si="0"/>
        <v>0</v>
      </c>
      <c r="S11" s="39"/>
      <c r="T11" s="39"/>
      <c r="U11" s="128"/>
    </row>
    <row r="12" s="88" customFormat="1" ht="21" customHeight="1" spans="1:21">
      <c r="A12" s="121">
        <v>7</v>
      </c>
      <c r="B12" s="43"/>
      <c r="C12" s="43"/>
      <c r="D12" s="43"/>
      <c r="E12" s="43"/>
      <c r="F12" s="43"/>
      <c r="G12" s="43"/>
      <c r="H12" s="43"/>
      <c r="I12" s="129"/>
      <c r="J12" s="123"/>
      <c r="K12" s="124"/>
      <c r="L12" s="46"/>
      <c r="M12" s="46"/>
      <c r="N12" s="46"/>
      <c r="O12" s="46"/>
      <c r="P12" s="46"/>
      <c r="Q12" s="130"/>
      <c r="R12" s="131">
        <f t="shared" si="0"/>
        <v>0</v>
      </c>
      <c r="S12" s="39"/>
      <c r="T12" s="39"/>
      <c r="U12" s="128"/>
    </row>
    <row r="13" s="88" customFormat="1" ht="21" customHeight="1" spans="1:21">
      <c r="A13" s="121">
        <v>8</v>
      </c>
      <c r="B13" s="43"/>
      <c r="C13" s="43"/>
      <c r="D13" s="43"/>
      <c r="E13" s="43"/>
      <c r="F13" s="43"/>
      <c r="G13" s="43"/>
      <c r="H13" s="43"/>
      <c r="I13" s="129"/>
      <c r="J13" s="123"/>
      <c r="K13" s="124"/>
      <c r="L13" s="46"/>
      <c r="M13" s="46"/>
      <c r="N13" s="46"/>
      <c r="O13" s="46"/>
      <c r="P13" s="46"/>
      <c r="Q13" s="130"/>
      <c r="R13" s="131">
        <f t="shared" si="0"/>
        <v>0</v>
      </c>
      <c r="S13" s="39"/>
      <c r="T13" s="39"/>
      <c r="U13" s="128"/>
    </row>
    <row r="14" s="88" customFormat="1" ht="21" customHeight="1" spans="1:21">
      <c r="A14" s="121">
        <v>9</v>
      </c>
      <c r="B14" s="43"/>
      <c r="C14" s="43"/>
      <c r="D14" s="43"/>
      <c r="E14" s="43"/>
      <c r="F14" s="43"/>
      <c r="G14" s="43"/>
      <c r="H14" s="43"/>
      <c r="I14" s="132"/>
      <c r="J14" s="123"/>
      <c r="K14" s="124"/>
      <c r="L14" s="133"/>
      <c r="M14" s="133"/>
      <c r="N14" s="133"/>
      <c r="O14" s="133"/>
      <c r="P14" s="133"/>
      <c r="Q14" s="130"/>
      <c r="R14" s="131">
        <f t="shared" si="0"/>
        <v>0</v>
      </c>
      <c r="S14" s="39"/>
      <c r="T14" s="39"/>
      <c r="U14" s="128"/>
    </row>
    <row r="15" s="88" customFormat="1" ht="21" customHeight="1" spans="1:21">
      <c r="A15" s="121">
        <v>10</v>
      </c>
      <c r="B15" s="43"/>
      <c r="C15" s="43"/>
      <c r="D15" s="43"/>
      <c r="E15" s="43"/>
      <c r="F15" s="43"/>
      <c r="G15" s="43"/>
      <c r="H15" s="43"/>
      <c r="I15" s="132"/>
      <c r="J15" s="123"/>
      <c r="K15" s="124"/>
      <c r="L15" s="133"/>
      <c r="M15" s="133"/>
      <c r="N15" s="133"/>
      <c r="O15" s="133"/>
      <c r="P15" s="133"/>
      <c r="Q15" s="130"/>
      <c r="R15" s="131">
        <f t="shared" si="0"/>
        <v>0</v>
      </c>
      <c r="S15" s="39"/>
      <c r="T15" s="39"/>
      <c r="U15" s="128"/>
    </row>
    <row r="16" s="88" customFormat="1" ht="21" customHeight="1" spans="1:21">
      <c r="A16" s="121">
        <v>11</v>
      </c>
      <c r="B16" s="43"/>
      <c r="C16" s="43"/>
      <c r="D16" s="43"/>
      <c r="E16" s="43"/>
      <c r="F16" s="43"/>
      <c r="G16" s="43"/>
      <c r="H16" s="43"/>
      <c r="I16" s="132"/>
      <c r="J16" s="123"/>
      <c r="K16" s="124"/>
      <c r="L16" s="133"/>
      <c r="M16" s="133"/>
      <c r="N16" s="133"/>
      <c r="O16" s="133"/>
      <c r="P16" s="133"/>
      <c r="Q16" s="130"/>
      <c r="R16" s="131">
        <f t="shared" si="0"/>
        <v>0</v>
      </c>
      <c r="S16" s="39"/>
      <c r="T16" s="39"/>
      <c r="U16" s="128"/>
    </row>
    <row r="17" s="88" customFormat="1" ht="21" customHeight="1" spans="1:21">
      <c r="A17" s="121">
        <v>12</v>
      </c>
      <c r="B17" s="43"/>
      <c r="C17" s="43"/>
      <c r="D17" s="43"/>
      <c r="E17" s="43"/>
      <c r="F17" s="43"/>
      <c r="G17" s="43"/>
      <c r="H17" s="43"/>
      <c r="I17" s="132"/>
      <c r="J17" s="123"/>
      <c r="K17" s="124"/>
      <c r="L17" s="133"/>
      <c r="M17" s="133"/>
      <c r="N17" s="133"/>
      <c r="O17" s="133"/>
      <c r="P17" s="133"/>
      <c r="Q17" s="130"/>
      <c r="R17" s="131">
        <f t="shared" si="0"/>
        <v>0</v>
      </c>
      <c r="S17" s="39"/>
      <c r="T17" s="39"/>
      <c r="U17" s="128"/>
    </row>
    <row r="18" s="88" customFormat="1" ht="21" customHeight="1" spans="1:21">
      <c r="A18" s="121">
        <v>13</v>
      </c>
      <c r="B18" s="43"/>
      <c r="C18" s="43"/>
      <c r="D18" s="43"/>
      <c r="E18" s="43"/>
      <c r="F18" s="43"/>
      <c r="G18" s="43"/>
      <c r="H18" s="43"/>
      <c r="I18" s="132"/>
      <c r="J18" s="123"/>
      <c r="K18" s="124"/>
      <c r="L18" s="133"/>
      <c r="M18" s="133"/>
      <c r="N18" s="133"/>
      <c r="O18" s="133"/>
      <c r="P18" s="133"/>
      <c r="Q18" s="130"/>
      <c r="R18" s="131">
        <f t="shared" si="0"/>
        <v>0</v>
      </c>
      <c r="S18" s="39"/>
      <c r="T18" s="39"/>
      <c r="U18" s="128"/>
    </row>
    <row r="19" s="88" customFormat="1" ht="21" customHeight="1" spans="1:21">
      <c r="A19" s="121">
        <v>14</v>
      </c>
      <c r="B19" s="43"/>
      <c r="C19" s="43"/>
      <c r="D19" s="43"/>
      <c r="E19" s="43"/>
      <c r="F19" s="43"/>
      <c r="G19" s="43"/>
      <c r="H19" s="43"/>
      <c r="I19" s="132"/>
      <c r="J19" s="123"/>
      <c r="K19" s="124"/>
      <c r="L19" s="133"/>
      <c r="M19" s="133"/>
      <c r="N19" s="133"/>
      <c r="O19" s="133"/>
      <c r="P19" s="133"/>
      <c r="Q19" s="130"/>
      <c r="R19" s="131">
        <f t="shared" si="0"/>
        <v>0</v>
      </c>
      <c r="S19" s="39"/>
      <c r="T19" s="39"/>
      <c r="U19" s="128"/>
    </row>
    <row r="20" s="88" customFormat="1" ht="21" customHeight="1" spans="1:21">
      <c r="A20" s="121">
        <v>15</v>
      </c>
      <c r="B20" s="43"/>
      <c r="C20" s="43"/>
      <c r="D20" s="43"/>
      <c r="E20" s="43"/>
      <c r="F20" s="43"/>
      <c r="G20" s="43"/>
      <c r="H20" s="43"/>
      <c r="I20" s="132"/>
      <c r="J20" s="123"/>
      <c r="K20" s="124"/>
      <c r="L20" s="133"/>
      <c r="M20" s="133"/>
      <c r="N20" s="133"/>
      <c r="O20" s="133"/>
      <c r="P20" s="133"/>
      <c r="Q20" s="130"/>
      <c r="R20" s="131">
        <f t="shared" si="0"/>
        <v>0</v>
      </c>
      <c r="S20" s="39"/>
      <c r="T20" s="39"/>
      <c r="U20" s="128"/>
    </row>
    <row r="21" s="88" customFormat="1" ht="21" customHeight="1" spans="1:21">
      <c r="A21" s="121">
        <v>16</v>
      </c>
      <c r="B21" s="43"/>
      <c r="C21" s="43"/>
      <c r="D21" s="43"/>
      <c r="E21" s="43"/>
      <c r="F21" s="43"/>
      <c r="G21" s="43"/>
      <c r="H21" s="43"/>
      <c r="I21" s="132"/>
      <c r="J21" s="123"/>
      <c r="K21" s="124"/>
      <c r="L21" s="133"/>
      <c r="M21" s="133"/>
      <c r="N21" s="133"/>
      <c r="O21" s="133"/>
      <c r="P21" s="133"/>
      <c r="Q21" s="130"/>
      <c r="R21" s="131">
        <f t="shared" si="0"/>
        <v>0</v>
      </c>
      <c r="S21" s="39"/>
      <c r="T21" s="39"/>
      <c r="U21" s="128"/>
    </row>
    <row r="22" s="88" customFormat="1" ht="21" customHeight="1" spans="1:21">
      <c r="A22" s="121">
        <v>17</v>
      </c>
      <c r="B22" s="43"/>
      <c r="C22" s="43"/>
      <c r="D22" s="43"/>
      <c r="E22" s="43"/>
      <c r="F22" s="43"/>
      <c r="G22" s="43"/>
      <c r="H22" s="43"/>
      <c r="I22" s="132"/>
      <c r="J22" s="123"/>
      <c r="K22" s="124"/>
      <c r="L22" s="133"/>
      <c r="M22" s="133"/>
      <c r="N22" s="133"/>
      <c r="O22" s="133"/>
      <c r="P22" s="133"/>
      <c r="Q22" s="130"/>
      <c r="R22" s="131">
        <f t="shared" si="0"/>
        <v>0</v>
      </c>
      <c r="S22" s="39"/>
      <c r="T22" s="39"/>
      <c r="U22" s="128"/>
    </row>
    <row r="23" s="88" customFormat="1" ht="21" customHeight="1" spans="1:21">
      <c r="A23" s="121">
        <v>18</v>
      </c>
      <c r="B23" s="43"/>
      <c r="C23" s="43"/>
      <c r="D23" s="43"/>
      <c r="E23" s="43"/>
      <c r="F23" s="43"/>
      <c r="G23" s="43"/>
      <c r="H23" s="43"/>
      <c r="I23" s="132"/>
      <c r="J23" s="123"/>
      <c r="K23" s="124"/>
      <c r="L23" s="133"/>
      <c r="M23" s="133"/>
      <c r="N23" s="133"/>
      <c r="O23" s="133"/>
      <c r="P23" s="133"/>
      <c r="Q23" s="130"/>
      <c r="R23" s="131">
        <f t="shared" si="0"/>
        <v>0</v>
      </c>
      <c r="S23" s="39"/>
      <c r="T23" s="39"/>
      <c r="U23" s="128"/>
    </row>
    <row r="24" s="88" customFormat="1" ht="21" customHeight="1" spans="1:21">
      <c r="A24" s="121">
        <v>19</v>
      </c>
      <c r="B24" s="53"/>
      <c r="C24" s="53"/>
      <c r="D24" s="53"/>
      <c r="E24" s="53"/>
      <c r="F24" s="53"/>
      <c r="G24" s="53"/>
      <c r="H24" s="53"/>
      <c r="I24" s="135"/>
      <c r="J24" s="136"/>
      <c r="K24" s="137"/>
      <c r="L24" s="138"/>
      <c r="M24" s="138"/>
      <c r="N24" s="138"/>
      <c r="O24" s="138"/>
      <c r="P24" s="138"/>
      <c r="Q24" s="139"/>
      <c r="R24" s="140">
        <f t="shared" si="0"/>
        <v>0</v>
      </c>
      <c r="S24" s="39"/>
      <c r="T24" s="39"/>
      <c r="U24" s="128"/>
    </row>
    <row r="25" s="88" customFormat="1" ht="21" customHeight="1" spans="1:21">
      <c r="A25" s="121">
        <v>20</v>
      </c>
      <c r="B25" s="58"/>
      <c r="C25" s="58"/>
      <c r="D25" s="58"/>
      <c r="E25" s="58"/>
      <c r="F25" s="58"/>
      <c r="G25" s="58"/>
      <c r="H25" s="58"/>
      <c r="I25" s="141"/>
      <c r="J25" s="39"/>
      <c r="K25" s="39"/>
      <c r="L25" s="142"/>
      <c r="M25" s="142"/>
      <c r="N25" s="142"/>
      <c r="O25" s="142"/>
      <c r="P25" s="142"/>
      <c r="Q25" s="143"/>
      <c r="R25" s="144">
        <f t="shared" si="0"/>
        <v>0</v>
      </c>
      <c r="S25" s="39"/>
      <c r="T25" s="39"/>
      <c r="U25" s="128"/>
    </row>
    <row r="26" ht="22.9" customHeight="1" spans="1:21">
      <c r="A26" s="145"/>
      <c r="B26" s="145"/>
      <c r="C26" s="145"/>
      <c r="D26" s="145"/>
      <c r="E26" s="145"/>
      <c r="F26" s="114" t="s">
        <v>88</v>
      </c>
      <c r="G26" s="114"/>
      <c r="H26" s="114"/>
      <c r="I26" s="146">
        <f>SUM(I6:I25)</f>
        <v>0</v>
      </c>
      <c r="J26" s="145"/>
      <c r="K26" s="145"/>
      <c r="L26" s="145"/>
      <c r="M26" s="145"/>
      <c r="N26" s="145"/>
      <c r="O26" s="145"/>
      <c r="P26" s="145"/>
      <c r="Q26" s="114" t="s">
        <v>89</v>
      </c>
      <c r="R26" s="147">
        <f>SUM(R6:R25)</f>
        <v>0</v>
      </c>
      <c r="S26" s="39"/>
      <c r="T26" s="39"/>
    </row>
    <row r="27" s="89" customFormat="1" ht="27" customHeight="1" spans="1:21">
      <c r="A27" s="148"/>
      <c r="B27" s="148"/>
      <c r="C27" s="148"/>
      <c r="D27" s="148"/>
      <c r="E27" s="148"/>
      <c r="F27" s="148"/>
      <c r="G27" s="148"/>
      <c r="H27" s="148"/>
      <c r="I27" s="149"/>
      <c r="J27" s="149"/>
      <c r="K27" s="149"/>
      <c r="L27" s="149"/>
      <c r="M27" s="149"/>
      <c r="N27" s="149"/>
      <c r="O27" s="149"/>
      <c r="P27" s="149"/>
      <c r="Q27" s="150"/>
      <c r="R27" s="150"/>
      <c r="S27" s="151"/>
      <c r="T27" s="152"/>
      <c r="U27" s="153"/>
    </row>
    <row r="28" s="87" customFormat="1" ht="40.5" customHeight="1" spans="1:21">
      <c r="A28" s="154"/>
      <c r="B28" s="155"/>
      <c r="C28" s="155"/>
      <c r="D28" s="155"/>
      <c r="E28" s="155"/>
      <c r="F28" s="155"/>
      <c r="G28" s="155"/>
      <c r="H28" s="155"/>
      <c r="I28" s="156"/>
      <c r="J28" s="155"/>
      <c r="K28" s="155"/>
      <c r="L28" s="155"/>
      <c r="M28" s="155"/>
      <c r="N28" s="155"/>
      <c r="O28" s="155"/>
      <c r="P28" s="155"/>
      <c r="Q28" s="157"/>
      <c r="R28" s="157"/>
      <c r="S28" s="158"/>
      <c r="T28" s="159"/>
      <c r="U28" s="120"/>
    </row>
    <row r="29" s="87" customFormat="1" ht="23.45" customHeight="1" spans="1:21">
      <c r="A29" s="114" t="s">
        <v>90</v>
      </c>
      <c r="B29" s="114"/>
      <c r="C29" s="114"/>
      <c r="D29" s="114"/>
      <c r="E29" s="160" t="str">
        <f>+'1'!C31</f>
        <v>陈昌容</v>
      </c>
      <c r="F29" s="160"/>
      <c r="G29" s="160"/>
      <c r="H29" s="160"/>
      <c r="I29" s="114" t="s">
        <v>91</v>
      </c>
      <c r="J29" s="114"/>
      <c r="K29" s="114"/>
      <c r="L29" s="114"/>
      <c r="M29" s="114"/>
      <c r="N29" s="160" t="str">
        <f>+'1'!H31</f>
        <v>绘图员：</v>
      </c>
      <c r="O29" s="160"/>
      <c r="P29" s="160"/>
      <c r="Q29" s="161" t="s">
        <v>92</v>
      </c>
      <c r="R29" s="161"/>
      <c r="S29" s="162"/>
      <c r="T29" s="163"/>
      <c r="U29" s="120"/>
    </row>
    <row r="30" s="87" customFormat="1" ht="22.9" customHeight="1" spans="1:21">
      <c r="A30" s="114" t="s">
        <v>93</v>
      </c>
      <c r="B30" s="114"/>
      <c r="C30" s="114"/>
      <c r="D30" s="114"/>
      <c r="E30" s="160">
        <f>+'1'!H40</f>
        <v>0</v>
      </c>
      <c r="F30" s="160"/>
      <c r="G30" s="160"/>
      <c r="H30" s="160"/>
      <c r="I30" s="114" t="s">
        <v>52</v>
      </c>
      <c r="J30" s="114"/>
      <c r="K30" s="114"/>
      <c r="L30" s="114"/>
      <c r="M30" s="114"/>
      <c r="N30" s="160">
        <f>+'1'!N33</f>
        <v>0</v>
      </c>
      <c r="O30" s="160"/>
      <c r="P30" s="160"/>
      <c r="Q30" s="161"/>
      <c r="R30" s="161"/>
      <c r="S30" s="154"/>
      <c r="T30" s="164"/>
      <c r="U30" s="120"/>
    </row>
  </sheetData>
  <mergeCells count="133">
    <mergeCell ref="D3:G3"/>
    <mergeCell ref="H3:I3"/>
    <mergeCell ref="L3:O3"/>
    <mergeCell ref="P3:R3"/>
    <mergeCell ref="D4:G4"/>
    <mergeCell ref="H4:I4"/>
    <mergeCell ref="L4:O4"/>
    <mergeCell ref="P4:R4"/>
    <mergeCell ref="B5:H5"/>
    <mergeCell ref="J5:K5"/>
    <mergeCell ref="L5:N5"/>
    <mergeCell ref="O5:P5"/>
    <mergeCell ref="S5:T5"/>
    <mergeCell ref="B6:H6"/>
    <mergeCell ref="J6:K6"/>
    <mergeCell ref="L6:N6"/>
    <mergeCell ref="O6:P6"/>
    <mergeCell ref="S6:T6"/>
    <mergeCell ref="B7:H7"/>
    <mergeCell ref="J7:K7"/>
    <mergeCell ref="L7:N7"/>
    <mergeCell ref="O7:P7"/>
    <mergeCell ref="S7:T7"/>
    <mergeCell ref="B8:H8"/>
    <mergeCell ref="J8:K8"/>
    <mergeCell ref="L8:N8"/>
    <mergeCell ref="O8:P8"/>
    <mergeCell ref="S8:T8"/>
    <mergeCell ref="B9:H9"/>
    <mergeCell ref="J9:K9"/>
    <mergeCell ref="L9:N9"/>
    <mergeCell ref="O9:P9"/>
    <mergeCell ref="S9:T9"/>
    <mergeCell ref="B10:H10"/>
    <mergeCell ref="J10:K10"/>
    <mergeCell ref="L10:N10"/>
    <mergeCell ref="O10:P10"/>
    <mergeCell ref="S10:T10"/>
    <mergeCell ref="B11:H11"/>
    <mergeCell ref="J11:K11"/>
    <mergeCell ref="L11:N11"/>
    <mergeCell ref="O11:P11"/>
    <mergeCell ref="S11:T11"/>
    <mergeCell ref="B12:H12"/>
    <mergeCell ref="J12:K12"/>
    <mergeCell ref="L12:N12"/>
    <mergeCell ref="O12:P12"/>
    <mergeCell ref="S12:T12"/>
    <mergeCell ref="B13:H13"/>
    <mergeCell ref="J13:K13"/>
    <mergeCell ref="L13:N13"/>
    <mergeCell ref="O13:P13"/>
    <mergeCell ref="S13:T13"/>
    <mergeCell ref="B14:H14"/>
    <mergeCell ref="J14:K14"/>
    <mergeCell ref="L14:N14"/>
    <mergeCell ref="O14:P14"/>
    <mergeCell ref="S14:T14"/>
    <mergeCell ref="B15:H15"/>
    <mergeCell ref="J15:K15"/>
    <mergeCell ref="L15:N15"/>
    <mergeCell ref="O15:P15"/>
    <mergeCell ref="S15:T15"/>
    <mergeCell ref="B16:H16"/>
    <mergeCell ref="J16:K16"/>
    <mergeCell ref="L16:N16"/>
    <mergeCell ref="O16:P16"/>
    <mergeCell ref="S16:T16"/>
    <mergeCell ref="B17:H17"/>
    <mergeCell ref="J17:K17"/>
    <mergeCell ref="L17:N17"/>
    <mergeCell ref="O17:P17"/>
    <mergeCell ref="S17:T17"/>
    <mergeCell ref="B18:H18"/>
    <mergeCell ref="J18:K18"/>
    <mergeCell ref="L18:N18"/>
    <mergeCell ref="O18:P18"/>
    <mergeCell ref="S18:T18"/>
    <mergeCell ref="B19:H19"/>
    <mergeCell ref="J19:K19"/>
    <mergeCell ref="L19:N19"/>
    <mergeCell ref="O19:P19"/>
    <mergeCell ref="S19:T19"/>
    <mergeCell ref="B20:H20"/>
    <mergeCell ref="J20:K20"/>
    <mergeCell ref="L20:N20"/>
    <mergeCell ref="O20:P20"/>
    <mergeCell ref="S20:T20"/>
    <mergeCell ref="B21:H21"/>
    <mergeCell ref="J21:K21"/>
    <mergeCell ref="L21:N21"/>
    <mergeCell ref="O21:P21"/>
    <mergeCell ref="S21:T21"/>
    <mergeCell ref="B22:H22"/>
    <mergeCell ref="J22:K22"/>
    <mergeCell ref="L22:N22"/>
    <mergeCell ref="O22:P22"/>
    <mergeCell ref="S22:T22"/>
    <mergeCell ref="B23:H23"/>
    <mergeCell ref="J23:K23"/>
    <mergeCell ref="L23:N23"/>
    <mergeCell ref="O23:P23"/>
    <mergeCell ref="S23:T23"/>
    <mergeCell ref="B24:H24"/>
    <mergeCell ref="J24:K24"/>
    <mergeCell ref="L24:N24"/>
    <mergeCell ref="O24:P24"/>
    <mergeCell ref="S24:T24"/>
    <mergeCell ref="B25:H25"/>
    <mergeCell ref="J25:K25"/>
    <mergeCell ref="L25:N25"/>
    <mergeCell ref="O25:P25"/>
    <mergeCell ref="S25:T25"/>
    <mergeCell ref="A26:E26"/>
    <mergeCell ref="F26:H26"/>
    <mergeCell ref="J26:P26"/>
    <mergeCell ref="S26:T26"/>
    <mergeCell ref="A27:H27"/>
    <mergeCell ref="I27:K27"/>
    <mergeCell ref="A28:T28"/>
    <mergeCell ref="A29:D29"/>
    <mergeCell ref="E29:H29"/>
    <mergeCell ref="I29:M29"/>
    <mergeCell ref="N29:P29"/>
    <mergeCell ref="A30:D30"/>
    <mergeCell ref="E30:H30"/>
    <mergeCell ref="I30:M30"/>
    <mergeCell ref="N30:P30"/>
    <mergeCell ref="C3:C4"/>
    <mergeCell ref="A1:T2"/>
    <mergeCell ref="A3:B4"/>
    <mergeCell ref="Q29:R30"/>
    <mergeCell ref="S29:T30"/>
  </mergeCells>
  <printOptions horizontalCentered="1"/>
  <pageMargins left="0" right="0" top="0.393055555555556" bottom="0.393055555555556" header="0.5" footer="0.5"/>
  <pageSetup paperSize="9" scale="90" orientation="portrait" horizontalDpi="60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V19" sqref="V19"/>
    </sheetView>
  </sheetViews>
  <sheetFormatPr defaultColWidth="8" defaultRowHeight="12.75"/>
  <cols>
    <col min="1" max="1" width="4.375" style="90" customWidth="1"/>
    <col min="2" max="2" width="1.75" style="90" customWidth="1"/>
    <col min="3" max="3" width="8.875" style="90" customWidth="1"/>
    <col min="4" max="4" width="1.75" style="90" customWidth="1"/>
    <col min="5" max="5" width="3.625" style="90" customWidth="1"/>
    <col min="6" max="6" width="3.875" style="90" customWidth="1"/>
    <col min="7" max="7" width="2.25" style="90" customWidth="1"/>
    <col min="8" max="8" width="6.5" style="90" customWidth="1"/>
    <col min="9" max="9" width="6.5" style="91" customWidth="1"/>
    <col min="10" max="11" width="4.5" style="90" customWidth="1"/>
    <col min="12" max="12" width="4.375" style="90" customWidth="1"/>
    <col min="13" max="13" width="0.875" style="90" customWidth="1"/>
    <col min="14" max="14" width="4.625" style="90" customWidth="1"/>
    <col min="15" max="15" width="1.75" style="90" customWidth="1"/>
    <col min="16" max="16" width="8.25" style="90" customWidth="1"/>
    <col min="17" max="17" width="7.25" style="91" customWidth="1"/>
    <col min="18" max="18" width="9.625" style="91" customWidth="1"/>
    <col min="19" max="19" width="15.5" style="90" customWidth="1"/>
    <col min="20" max="20" width="4" style="90" customWidth="1"/>
    <col min="21" max="21" width="18.625" style="90" customWidth="1"/>
    <col min="22" max="16384" width="8" style="87"/>
  </cols>
  <sheetData>
    <row r="1" s="87" customFormat="1" ht="21" customHeight="1" spans="1:21">
      <c r="A1" s="92" t="s">
        <v>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</row>
    <row r="2" s="87" customFormat="1" ht="11.85" customHeight="1" spans="1:21">
      <c r="A2" s="92"/>
      <c r="B2" s="92"/>
      <c r="C2" s="92"/>
      <c r="D2" s="94"/>
      <c r="E2" s="94"/>
      <c r="F2" s="94"/>
      <c r="G2" s="94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3"/>
    </row>
    <row r="3" s="87" customFormat="1" ht="32" customHeight="1" spans="1:21">
      <c r="A3" s="95" t="s">
        <v>78</v>
      </c>
      <c r="B3" s="95"/>
      <c r="C3" s="96" t="str">
        <f>+'1'!A1</f>
        <v>奢匠</v>
      </c>
      <c r="D3" s="97" t="s">
        <v>11</v>
      </c>
      <c r="E3" s="97"/>
      <c r="F3" s="97"/>
      <c r="G3" s="97"/>
      <c r="H3" s="98">
        <f>+'1'!D2</f>
        <v>0</v>
      </c>
      <c r="I3" s="99"/>
      <c r="J3" s="100" t="s">
        <v>13</v>
      </c>
      <c r="K3" s="100"/>
      <c r="L3" s="101">
        <f>+'1'!N2</f>
        <v>0</v>
      </c>
      <c r="M3" s="102"/>
      <c r="N3" s="102"/>
      <c r="O3" s="103"/>
      <c r="P3" s="104" t="s">
        <v>14</v>
      </c>
      <c r="Q3" s="105"/>
      <c r="R3" s="106"/>
      <c r="S3" s="96">
        <f>+'1'!Q2</f>
        <v>0</v>
      </c>
      <c r="T3" s="107">
        <v>-2</v>
      </c>
      <c r="U3" s="93"/>
    </row>
    <row r="4" s="87" customFormat="1" ht="32" customHeight="1" spans="1:21">
      <c r="A4" s="100"/>
      <c r="B4" s="100"/>
      <c r="C4" s="101"/>
      <c r="D4" s="108" t="s">
        <v>79</v>
      </c>
      <c r="E4" s="108"/>
      <c r="F4" s="108"/>
      <c r="G4" s="108"/>
      <c r="H4" s="109">
        <f>+'1'!F2</f>
        <v>0</v>
      </c>
      <c r="I4" s="110"/>
      <c r="J4" s="111" t="s">
        <v>80</v>
      </c>
      <c r="K4" s="112"/>
      <c r="L4" s="109">
        <f>'1'!E3</f>
        <v>0</v>
      </c>
      <c r="M4" s="113"/>
      <c r="N4" s="113"/>
      <c r="O4" s="110"/>
      <c r="P4" s="114" t="s">
        <v>81</v>
      </c>
      <c r="Q4" s="114"/>
      <c r="R4" s="114"/>
      <c r="S4" s="102">
        <f>+'1'!N5</f>
        <v>0</v>
      </c>
      <c r="T4" s="103">
        <f>+T3</f>
        <v>-2</v>
      </c>
      <c r="U4" s="93"/>
    </row>
    <row r="5" s="87" customFormat="1" ht="22" customHeight="1" spans="1:21">
      <c r="A5" s="39" t="s">
        <v>2</v>
      </c>
      <c r="B5" s="39" t="s">
        <v>82</v>
      </c>
      <c r="C5" s="39"/>
      <c r="D5" s="115"/>
      <c r="E5" s="115"/>
      <c r="F5" s="115"/>
      <c r="G5" s="115"/>
      <c r="H5" s="115"/>
      <c r="I5" s="116" t="s">
        <v>26</v>
      </c>
      <c r="J5" s="117" t="s">
        <v>83</v>
      </c>
      <c r="K5" s="118"/>
      <c r="L5" s="115" t="s">
        <v>84</v>
      </c>
      <c r="M5" s="115"/>
      <c r="N5" s="115"/>
      <c r="O5" s="115" t="s">
        <v>85</v>
      </c>
      <c r="P5" s="115"/>
      <c r="Q5" s="119" t="s">
        <v>86</v>
      </c>
      <c r="R5" s="119" t="s">
        <v>87</v>
      </c>
      <c r="S5" s="39" t="s">
        <v>34</v>
      </c>
      <c r="T5" s="39"/>
      <c r="U5" s="120"/>
    </row>
    <row r="6" s="88" customFormat="1" ht="21" customHeight="1" spans="1:21">
      <c r="A6" s="121">
        <v>1</v>
      </c>
      <c r="B6" s="121"/>
      <c r="C6" s="121"/>
      <c r="D6" s="121"/>
      <c r="E6" s="121"/>
      <c r="F6" s="121"/>
      <c r="G6" s="121"/>
      <c r="H6" s="121"/>
      <c r="I6" s="122"/>
      <c r="J6" s="123"/>
      <c r="K6" s="124"/>
      <c r="L6" s="125"/>
      <c r="M6" s="125"/>
      <c r="N6" s="125"/>
      <c r="O6" s="125"/>
      <c r="P6" s="125"/>
      <c r="Q6" s="126"/>
      <c r="R6" s="127">
        <f t="shared" ref="R6:R25" si="0">Q6*I6</f>
        <v>0</v>
      </c>
      <c r="S6" s="39"/>
      <c r="T6" s="39"/>
      <c r="U6" s="128"/>
    </row>
    <row r="7" s="88" customFormat="1" ht="21" customHeight="1" spans="1:21">
      <c r="A7" s="121">
        <v>2</v>
      </c>
      <c r="B7" s="43"/>
      <c r="C7" s="43"/>
      <c r="D7" s="43"/>
      <c r="E7" s="43"/>
      <c r="F7" s="43"/>
      <c r="G7" s="43"/>
      <c r="H7" s="43"/>
      <c r="I7" s="129"/>
      <c r="J7" s="123"/>
      <c r="K7" s="124"/>
      <c r="L7" s="46"/>
      <c r="M7" s="46"/>
      <c r="N7" s="46"/>
      <c r="O7" s="46"/>
      <c r="P7" s="46"/>
      <c r="Q7" s="130"/>
      <c r="R7" s="131">
        <f t="shared" si="0"/>
        <v>0</v>
      </c>
      <c r="S7" s="39"/>
      <c r="T7" s="39"/>
      <c r="U7" s="128"/>
    </row>
    <row r="8" s="88" customFormat="1" ht="21" customHeight="1" spans="1:21">
      <c r="A8" s="121">
        <v>3</v>
      </c>
      <c r="B8" s="43"/>
      <c r="C8" s="43"/>
      <c r="D8" s="43"/>
      <c r="E8" s="43"/>
      <c r="F8" s="43"/>
      <c r="G8" s="43"/>
      <c r="H8" s="43"/>
      <c r="I8" s="129"/>
      <c r="J8" s="123"/>
      <c r="K8" s="124"/>
      <c r="L8" s="46"/>
      <c r="M8" s="46"/>
      <c r="N8" s="46"/>
      <c r="O8" s="46"/>
      <c r="P8" s="46"/>
      <c r="Q8" s="130"/>
      <c r="R8" s="131">
        <f t="shared" si="0"/>
        <v>0</v>
      </c>
      <c r="S8" s="39"/>
      <c r="T8" s="39"/>
      <c r="U8" s="128"/>
    </row>
    <row r="9" s="88" customFormat="1" ht="21" customHeight="1" spans="1:21">
      <c r="A9" s="121">
        <v>4</v>
      </c>
      <c r="B9" s="43"/>
      <c r="C9" s="43"/>
      <c r="D9" s="43"/>
      <c r="E9" s="43"/>
      <c r="F9" s="43"/>
      <c r="G9" s="43"/>
      <c r="H9" s="43"/>
      <c r="I9" s="129"/>
      <c r="J9" s="123"/>
      <c r="K9" s="124"/>
      <c r="L9" s="46"/>
      <c r="M9" s="46"/>
      <c r="N9" s="46"/>
      <c r="O9" s="46"/>
      <c r="P9" s="46"/>
      <c r="Q9" s="130"/>
      <c r="R9" s="131">
        <f t="shared" si="0"/>
        <v>0</v>
      </c>
      <c r="S9" s="39"/>
      <c r="T9" s="39"/>
      <c r="U9" s="128"/>
    </row>
    <row r="10" s="88" customFormat="1" ht="21" customHeight="1" spans="1:21">
      <c r="A10" s="121">
        <v>5</v>
      </c>
      <c r="B10" s="43"/>
      <c r="C10" s="43"/>
      <c r="D10" s="43"/>
      <c r="E10" s="43"/>
      <c r="F10" s="43"/>
      <c r="G10" s="43"/>
      <c r="H10" s="43"/>
      <c r="I10" s="129"/>
      <c r="J10" s="123"/>
      <c r="K10" s="124"/>
      <c r="L10" s="46"/>
      <c r="M10" s="46"/>
      <c r="N10" s="46"/>
      <c r="O10" s="46"/>
      <c r="P10" s="46"/>
      <c r="Q10" s="130"/>
      <c r="R10" s="131">
        <f t="shared" si="0"/>
        <v>0</v>
      </c>
      <c r="S10" s="39"/>
      <c r="T10" s="39"/>
      <c r="U10" s="128"/>
    </row>
    <row r="11" s="88" customFormat="1" ht="21" customHeight="1" spans="1:21">
      <c r="A11" s="121">
        <v>6</v>
      </c>
      <c r="B11" s="43"/>
      <c r="C11" s="43"/>
      <c r="D11" s="43"/>
      <c r="E11" s="43"/>
      <c r="F11" s="43"/>
      <c r="G11" s="43"/>
      <c r="H11" s="43"/>
      <c r="I11" s="129"/>
      <c r="J11" s="123"/>
      <c r="K11" s="124"/>
      <c r="L11" s="46"/>
      <c r="M11" s="46"/>
      <c r="N11" s="46"/>
      <c r="O11" s="46"/>
      <c r="P11" s="46"/>
      <c r="Q11" s="130"/>
      <c r="R11" s="131">
        <f t="shared" si="0"/>
        <v>0</v>
      </c>
      <c r="S11" s="39"/>
      <c r="T11" s="39"/>
      <c r="U11" s="128"/>
    </row>
    <row r="12" s="88" customFormat="1" ht="21" customHeight="1" spans="1:21">
      <c r="A12" s="121">
        <v>7</v>
      </c>
      <c r="B12" s="43"/>
      <c r="C12" s="43"/>
      <c r="D12" s="43"/>
      <c r="E12" s="43"/>
      <c r="F12" s="43"/>
      <c r="G12" s="43"/>
      <c r="H12" s="43"/>
      <c r="I12" s="129"/>
      <c r="J12" s="123"/>
      <c r="K12" s="124"/>
      <c r="L12" s="46"/>
      <c r="M12" s="46"/>
      <c r="N12" s="46"/>
      <c r="O12" s="46"/>
      <c r="P12" s="46"/>
      <c r="Q12" s="130"/>
      <c r="R12" s="131">
        <f t="shared" si="0"/>
        <v>0</v>
      </c>
      <c r="S12" s="39"/>
      <c r="T12" s="39"/>
      <c r="U12" s="128"/>
    </row>
    <row r="13" s="88" customFormat="1" ht="21" customHeight="1" spans="1:21">
      <c r="A13" s="121">
        <v>8</v>
      </c>
      <c r="B13" s="43"/>
      <c r="C13" s="43"/>
      <c r="D13" s="43"/>
      <c r="E13" s="43"/>
      <c r="F13" s="43"/>
      <c r="G13" s="43"/>
      <c r="H13" s="43"/>
      <c r="I13" s="129"/>
      <c r="J13" s="123"/>
      <c r="K13" s="124"/>
      <c r="L13" s="46"/>
      <c r="M13" s="46"/>
      <c r="N13" s="46"/>
      <c r="O13" s="46"/>
      <c r="P13" s="46"/>
      <c r="Q13" s="130"/>
      <c r="R13" s="131">
        <f t="shared" si="0"/>
        <v>0</v>
      </c>
      <c r="S13" s="39"/>
      <c r="T13" s="39"/>
      <c r="U13" s="128"/>
    </row>
    <row r="14" s="88" customFormat="1" ht="21" customHeight="1" spans="1:21">
      <c r="A14" s="121">
        <v>9</v>
      </c>
      <c r="B14" s="43"/>
      <c r="C14" s="43"/>
      <c r="D14" s="43"/>
      <c r="E14" s="43"/>
      <c r="F14" s="43"/>
      <c r="G14" s="43"/>
      <c r="H14" s="43"/>
      <c r="I14" s="132"/>
      <c r="J14" s="123"/>
      <c r="K14" s="124"/>
      <c r="L14" s="133"/>
      <c r="M14" s="133"/>
      <c r="N14" s="133"/>
      <c r="O14" s="133"/>
      <c r="P14" s="133"/>
      <c r="Q14" s="130"/>
      <c r="R14" s="131">
        <f t="shared" si="0"/>
        <v>0</v>
      </c>
      <c r="S14" s="39"/>
      <c r="T14" s="39"/>
      <c r="U14" s="128"/>
    </row>
    <row r="15" s="88" customFormat="1" ht="21" customHeight="1" spans="1:21">
      <c r="A15" s="121">
        <v>10</v>
      </c>
      <c r="B15" s="43"/>
      <c r="C15" s="43"/>
      <c r="D15" s="43"/>
      <c r="E15" s="43"/>
      <c r="F15" s="43"/>
      <c r="G15" s="43"/>
      <c r="H15" s="43"/>
      <c r="I15" s="132"/>
      <c r="J15" s="123"/>
      <c r="K15" s="124"/>
      <c r="L15" s="133"/>
      <c r="M15" s="133"/>
      <c r="N15" s="133"/>
      <c r="O15" s="133"/>
      <c r="P15" s="133"/>
      <c r="Q15" s="130"/>
      <c r="R15" s="131">
        <f t="shared" si="0"/>
        <v>0</v>
      </c>
      <c r="S15" s="39"/>
      <c r="T15" s="39"/>
      <c r="U15" s="128"/>
    </row>
    <row r="16" s="88" customFormat="1" ht="21" customHeight="1" spans="1:21">
      <c r="A16" s="121">
        <v>11</v>
      </c>
      <c r="B16" s="43"/>
      <c r="C16" s="43"/>
      <c r="D16" s="43"/>
      <c r="E16" s="43"/>
      <c r="F16" s="43"/>
      <c r="G16" s="43"/>
      <c r="H16" s="43"/>
      <c r="I16" s="132"/>
      <c r="J16" s="123"/>
      <c r="K16" s="124"/>
      <c r="L16" s="133"/>
      <c r="M16" s="133"/>
      <c r="N16" s="133"/>
      <c r="O16" s="133"/>
      <c r="P16" s="133"/>
      <c r="Q16" s="130"/>
      <c r="R16" s="131">
        <f t="shared" si="0"/>
        <v>0</v>
      </c>
      <c r="S16" s="39"/>
      <c r="T16" s="39"/>
      <c r="U16" s="128"/>
    </row>
    <row r="17" s="88" customFormat="1" ht="21" customHeight="1" spans="1:21">
      <c r="A17" s="121">
        <v>12</v>
      </c>
      <c r="B17" s="43"/>
      <c r="C17" s="43"/>
      <c r="D17" s="43"/>
      <c r="E17" s="43"/>
      <c r="F17" s="43"/>
      <c r="G17" s="43"/>
      <c r="H17" s="43"/>
      <c r="I17" s="132"/>
      <c r="J17" s="123"/>
      <c r="K17" s="124"/>
      <c r="L17" s="133"/>
      <c r="M17" s="133"/>
      <c r="N17" s="133"/>
      <c r="O17" s="133"/>
      <c r="P17" s="133"/>
      <c r="Q17" s="130"/>
      <c r="R17" s="131">
        <f t="shared" si="0"/>
        <v>0</v>
      </c>
      <c r="S17" s="39"/>
      <c r="T17" s="39"/>
      <c r="U17" s="128"/>
    </row>
    <row r="18" s="88" customFormat="1" ht="21" customHeight="1" spans="1:21">
      <c r="A18" s="121">
        <v>13</v>
      </c>
      <c r="B18" s="43"/>
      <c r="C18" s="43"/>
      <c r="D18" s="43"/>
      <c r="E18" s="43"/>
      <c r="F18" s="43"/>
      <c r="G18" s="43"/>
      <c r="H18" s="43"/>
      <c r="I18" s="132"/>
      <c r="J18" s="123"/>
      <c r="K18" s="124"/>
      <c r="L18" s="133"/>
      <c r="M18" s="133"/>
      <c r="N18" s="133"/>
      <c r="O18" s="133"/>
      <c r="P18" s="133"/>
      <c r="Q18" s="130"/>
      <c r="R18" s="131">
        <f t="shared" si="0"/>
        <v>0</v>
      </c>
      <c r="S18" s="39"/>
      <c r="T18" s="39"/>
      <c r="U18" s="128"/>
    </row>
    <row r="19" s="88" customFormat="1" ht="21" customHeight="1" spans="1:21">
      <c r="A19" s="121">
        <v>14</v>
      </c>
      <c r="B19" s="43"/>
      <c r="C19" s="43"/>
      <c r="D19" s="43"/>
      <c r="E19" s="43"/>
      <c r="F19" s="43"/>
      <c r="G19" s="43"/>
      <c r="H19" s="43"/>
      <c r="I19" s="132"/>
      <c r="J19" s="123"/>
      <c r="K19" s="124"/>
      <c r="L19" s="133"/>
      <c r="M19" s="133"/>
      <c r="N19" s="133"/>
      <c r="O19" s="133"/>
      <c r="P19" s="133"/>
      <c r="Q19" s="130"/>
      <c r="R19" s="131">
        <f t="shared" si="0"/>
        <v>0</v>
      </c>
      <c r="S19" s="39"/>
      <c r="T19" s="39"/>
      <c r="U19" s="128"/>
    </row>
    <row r="20" s="88" customFormat="1" ht="21" customHeight="1" spans="1:21">
      <c r="A20" s="121">
        <v>15</v>
      </c>
      <c r="B20" s="43"/>
      <c r="C20" s="43"/>
      <c r="D20" s="43"/>
      <c r="E20" s="43"/>
      <c r="F20" s="43"/>
      <c r="G20" s="43"/>
      <c r="H20" s="43"/>
      <c r="I20" s="132"/>
      <c r="J20" s="123"/>
      <c r="K20" s="124"/>
      <c r="L20" s="133"/>
      <c r="M20" s="133"/>
      <c r="N20" s="133"/>
      <c r="O20" s="133"/>
      <c r="P20" s="133"/>
      <c r="Q20" s="130"/>
      <c r="R20" s="131">
        <f t="shared" si="0"/>
        <v>0</v>
      </c>
      <c r="S20" s="39"/>
      <c r="T20" s="39"/>
      <c r="U20" s="128"/>
    </row>
    <row r="21" s="88" customFormat="1" ht="21" customHeight="1" spans="1:21">
      <c r="A21" s="121">
        <v>16</v>
      </c>
      <c r="B21" s="43"/>
      <c r="C21" s="43"/>
      <c r="D21" s="43"/>
      <c r="E21" s="43"/>
      <c r="F21" s="43"/>
      <c r="G21" s="43"/>
      <c r="H21" s="43"/>
      <c r="I21" s="132"/>
      <c r="J21" s="123"/>
      <c r="K21" s="124"/>
      <c r="L21" s="133"/>
      <c r="M21" s="133"/>
      <c r="N21" s="133"/>
      <c r="O21" s="133"/>
      <c r="P21" s="133"/>
      <c r="Q21" s="130"/>
      <c r="R21" s="131">
        <f t="shared" si="0"/>
        <v>0</v>
      </c>
      <c r="S21" s="39"/>
      <c r="T21" s="39"/>
      <c r="U21" s="128"/>
    </row>
    <row r="22" s="88" customFormat="1" ht="21" customHeight="1" spans="1:21">
      <c r="A22" s="121">
        <v>17</v>
      </c>
      <c r="B22" s="43"/>
      <c r="C22" s="43"/>
      <c r="D22" s="43"/>
      <c r="E22" s="43"/>
      <c r="F22" s="43"/>
      <c r="G22" s="43"/>
      <c r="H22" s="43"/>
      <c r="I22" s="132"/>
      <c r="J22" s="123"/>
      <c r="K22" s="124"/>
      <c r="L22" s="133"/>
      <c r="M22" s="133"/>
      <c r="N22" s="133"/>
      <c r="O22" s="133"/>
      <c r="P22" s="133"/>
      <c r="Q22" s="130"/>
      <c r="R22" s="131">
        <f t="shared" si="0"/>
        <v>0</v>
      </c>
      <c r="S22" s="39"/>
      <c r="T22" s="39"/>
      <c r="U22" s="128"/>
    </row>
    <row r="23" s="88" customFormat="1" ht="21" customHeight="1" spans="1:21">
      <c r="A23" s="121">
        <v>18</v>
      </c>
      <c r="B23" s="43"/>
      <c r="C23" s="43"/>
      <c r="D23" s="43"/>
      <c r="E23" s="43"/>
      <c r="F23" s="43"/>
      <c r="G23" s="43"/>
      <c r="H23" s="43"/>
      <c r="I23" s="132"/>
      <c r="J23" s="123"/>
      <c r="K23" s="124"/>
      <c r="L23" s="133"/>
      <c r="M23" s="133"/>
      <c r="N23" s="133"/>
      <c r="O23" s="133"/>
      <c r="P23" s="133"/>
      <c r="Q23" s="130"/>
      <c r="R23" s="131">
        <f t="shared" si="0"/>
        <v>0</v>
      </c>
      <c r="S23" s="39"/>
      <c r="T23" s="39"/>
      <c r="U23" s="128"/>
    </row>
    <row r="24" s="88" customFormat="1" ht="21" customHeight="1" spans="1:21">
      <c r="A24" s="134">
        <v>19</v>
      </c>
      <c r="B24" s="53"/>
      <c r="C24" s="53"/>
      <c r="D24" s="53"/>
      <c r="E24" s="53"/>
      <c r="F24" s="53"/>
      <c r="G24" s="53"/>
      <c r="H24" s="53"/>
      <c r="I24" s="135"/>
      <c r="J24" s="136"/>
      <c r="K24" s="137"/>
      <c r="L24" s="138"/>
      <c r="M24" s="138"/>
      <c r="N24" s="138"/>
      <c r="O24" s="138"/>
      <c r="P24" s="138"/>
      <c r="Q24" s="139"/>
      <c r="R24" s="140">
        <f t="shared" si="0"/>
        <v>0</v>
      </c>
      <c r="S24" s="39"/>
      <c r="T24" s="39"/>
      <c r="U24" s="128"/>
    </row>
    <row r="25" s="88" customFormat="1" ht="21" customHeight="1" spans="1:21">
      <c r="A25" s="58">
        <v>20</v>
      </c>
      <c r="B25" s="58"/>
      <c r="C25" s="58"/>
      <c r="D25" s="58"/>
      <c r="E25" s="58"/>
      <c r="F25" s="58"/>
      <c r="G25" s="58"/>
      <c r="H25" s="58"/>
      <c r="I25" s="141"/>
      <c r="J25" s="39"/>
      <c r="K25" s="39"/>
      <c r="L25" s="142"/>
      <c r="M25" s="142"/>
      <c r="N25" s="142"/>
      <c r="O25" s="142"/>
      <c r="P25" s="142"/>
      <c r="Q25" s="143"/>
      <c r="R25" s="144">
        <f t="shared" si="0"/>
        <v>0</v>
      </c>
      <c r="S25" s="39"/>
      <c r="T25" s="39"/>
      <c r="U25" s="128"/>
    </row>
    <row r="26" ht="22.9" customHeight="1" spans="1:21">
      <c r="A26" s="145"/>
      <c r="B26" s="145"/>
      <c r="C26" s="145"/>
      <c r="D26" s="145"/>
      <c r="E26" s="145"/>
      <c r="F26" s="114" t="s">
        <v>88</v>
      </c>
      <c r="G26" s="114"/>
      <c r="H26" s="114"/>
      <c r="I26" s="146">
        <f>SUM(I6:I25)</f>
        <v>0</v>
      </c>
      <c r="J26" s="145"/>
      <c r="K26" s="145"/>
      <c r="L26" s="145"/>
      <c r="M26" s="145"/>
      <c r="N26" s="145"/>
      <c r="O26" s="145"/>
      <c r="P26" s="145"/>
      <c r="Q26" s="114" t="s">
        <v>89</v>
      </c>
      <c r="R26" s="147">
        <f>SUM(R6:R25)</f>
        <v>0</v>
      </c>
      <c r="S26" s="39"/>
      <c r="T26" s="39"/>
    </row>
    <row r="27" s="89" customFormat="1" ht="27" customHeight="1" spans="1:21">
      <c r="A27" s="148"/>
      <c r="B27" s="148"/>
      <c r="C27" s="148"/>
      <c r="D27" s="148"/>
      <c r="E27" s="148"/>
      <c r="F27" s="148"/>
      <c r="G27" s="148"/>
      <c r="H27" s="148"/>
      <c r="I27" s="149"/>
      <c r="J27" s="149"/>
      <c r="K27" s="149"/>
      <c r="L27" s="149"/>
      <c r="M27" s="149"/>
      <c r="N27" s="149"/>
      <c r="O27" s="149"/>
      <c r="P27" s="149"/>
      <c r="Q27" s="150"/>
      <c r="R27" s="150"/>
      <c r="S27" s="151"/>
      <c r="T27" s="152"/>
      <c r="U27" s="153"/>
    </row>
    <row r="28" s="87" customFormat="1" ht="40.5" customHeight="1" spans="1:21">
      <c r="A28" s="154"/>
      <c r="B28" s="155"/>
      <c r="C28" s="155"/>
      <c r="D28" s="155"/>
      <c r="E28" s="155"/>
      <c r="F28" s="155"/>
      <c r="G28" s="155"/>
      <c r="H28" s="155"/>
      <c r="I28" s="156"/>
      <c r="J28" s="155"/>
      <c r="K28" s="155"/>
      <c r="L28" s="155"/>
      <c r="M28" s="155"/>
      <c r="N28" s="155"/>
      <c r="O28" s="155"/>
      <c r="P28" s="155"/>
      <c r="Q28" s="157"/>
      <c r="R28" s="157"/>
      <c r="S28" s="158"/>
      <c r="T28" s="159"/>
      <c r="U28" s="120"/>
    </row>
    <row r="29" s="87" customFormat="1" ht="23.45" customHeight="1" spans="1:21">
      <c r="A29" s="114" t="s">
        <v>90</v>
      </c>
      <c r="B29" s="114"/>
      <c r="C29" s="114"/>
      <c r="D29" s="114"/>
      <c r="E29" s="160" t="str">
        <f>+'1'!C31</f>
        <v>陈昌容</v>
      </c>
      <c r="F29" s="160"/>
      <c r="G29" s="160"/>
      <c r="H29" s="160"/>
      <c r="I29" s="114" t="s">
        <v>91</v>
      </c>
      <c r="J29" s="114"/>
      <c r="K29" s="114"/>
      <c r="L29" s="114"/>
      <c r="M29" s="114"/>
      <c r="N29" s="160" t="str">
        <f>+'1'!H31</f>
        <v>绘图员：</v>
      </c>
      <c r="O29" s="160"/>
      <c r="P29" s="160"/>
      <c r="Q29" s="161" t="s">
        <v>92</v>
      </c>
      <c r="R29" s="161"/>
      <c r="S29" s="162"/>
      <c r="T29" s="163"/>
      <c r="U29" s="120"/>
    </row>
    <row r="30" s="87" customFormat="1" ht="22.9" customHeight="1" spans="1:21">
      <c r="A30" s="114" t="s">
        <v>93</v>
      </c>
      <c r="B30" s="114"/>
      <c r="C30" s="114"/>
      <c r="D30" s="114"/>
      <c r="E30" s="160">
        <f>+'1'!H40</f>
        <v>0</v>
      </c>
      <c r="F30" s="160"/>
      <c r="G30" s="160"/>
      <c r="H30" s="160"/>
      <c r="I30" s="114" t="s">
        <v>52</v>
      </c>
      <c r="J30" s="114"/>
      <c r="K30" s="114"/>
      <c r="L30" s="114"/>
      <c r="M30" s="114"/>
      <c r="N30" s="160">
        <f>+'1'!N33</f>
        <v>0</v>
      </c>
      <c r="O30" s="160"/>
      <c r="P30" s="160"/>
      <c r="Q30" s="161"/>
      <c r="R30" s="161"/>
      <c r="S30" s="154"/>
      <c r="T30" s="164"/>
      <c r="U30" s="120"/>
    </row>
  </sheetData>
  <mergeCells count="133">
    <mergeCell ref="D3:G3"/>
    <mergeCell ref="H3:I3"/>
    <mergeCell ref="L3:O3"/>
    <mergeCell ref="P3:R3"/>
    <mergeCell ref="D4:G4"/>
    <mergeCell ref="H4:I4"/>
    <mergeCell ref="L4:O4"/>
    <mergeCell ref="P4:R4"/>
    <mergeCell ref="B5:H5"/>
    <mergeCell ref="J5:K5"/>
    <mergeCell ref="L5:N5"/>
    <mergeCell ref="O5:P5"/>
    <mergeCell ref="S5:T5"/>
    <mergeCell ref="B6:H6"/>
    <mergeCell ref="J6:K6"/>
    <mergeCell ref="L6:N6"/>
    <mergeCell ref="O6:P6"/>
    <mergeCell ref="S6:T6"/>
    <mergeCell ref="B7:H7"/>
    <mergeCell ref="J7:K7"/>
    <mergeCell ref="L7:N7"/>
    <mergeCell ref="O7:P7"/>
    <mergeCell ref="S7:T7"/>
    <mergeCell ref="B8:H8"/>
    <mergeCell ref="J8:K8"/>
    <mergeCell ref="L8:N8"/>
    <mergeCell ref="O8:P8"/>
    <mergeCell ref="S8:T8"/>
    <mergeCell ref="B9:H9"/>
    <mergeCell ref="J9:K9"/>
    <mergeCell ref="L9:N9"/>
    <mergeCell ref="O9:P9"/>
    <mergeCell ref="S9:T9"/>
    <mergeCell ref="B10:H10"/>
    <mergeCell ref="J10:K10"/>
    <mergeCell ref="L10:N10"/>
    <mergeCell ref="O10:P10"/>
    <mergeCell ref="S10:T10"/>
    <mergeCell ref="B11:H11"/>
    <mergeCell ref="J11:K11"/>
    <mergeCell ref="L11:N11"/>
    <mergeCell ref="O11:P11"/>
    <mergeCell ref="S11:T11"/>
    <mergeCell ref="B12:H12"/>
    <mergeCell ref="J12:K12"/>
    <mergeCell ref="L12:N12"/>
    <mergeCell ref="O12:P12"/>
    <mergeCell ref="S12:T12"/>
    <mergeCell ref="B13:H13"/>
    <mergeCell ref="J13:K13"/>
    <mergeCell ref="L13:N13"/>
    <mergeCell ref="O13:P13"/>
    <mergeCell ref="S13:T13"/>
    <mergeCell ref="B14:H14"/>
    <mergeCell ref="J14:K14"/>
    <mergeCell ref="L14:N14"/>
    <mergeCell ref="O14:P14"/>
    <mergeCell ref="S14:T14"/>
    <mergeCell ref="B15:H15"/>
    <mergeCell ref="J15:K15"/>
    <mergeCell ref="L15:N15"/>
    <mergeCell ref="O15:P15"/>
    <mergeCell ref="S15:T15"/>
    <mergeCell ref="B16:H16"/>
    <mergeCell ref="J16:K16"/>
    <mergeCell ref="L16:N16"/>
    <mergeCell ref="O16:P16"/>
    <mergeCell ref="S16:T16"/>
    <mergeCell ref="B17:H17"/>
    <mergeCell ref="J17:K17"/>
    <mergeCell ref="L17:N17"/>
    <mergeCell ref="O17:P17"/>
    <mergeCell ref="S17:T17"/>
    <mergeCell ref="B18:H18"/>
    <mergeCell ref="J18:K18"/>
    <mergeCell ref="L18:N18"/>
    <mergeCell ref="O18:P18"/>
    <mergeCell ref="S18:T18"/>
    <mergeCell ref="B19:H19"/>
    <mergeCell ref="J19:K19"/>
    <mergeCell ref="L19:N19"/>
    <mergeCell ref="O19:P19"/>
    <mergeCell ref="S19:T19"/>
    <mergeCell ref="B20:H20"/>
    <mergeCell ref="J20:K20"/>
    <mergeCell ref="L20:N20"/>
    <mergeCell ref="O20:P20"/>
    <mergeCell ref="S20:T20"/>
    <mergeCell ref="B21:H21"/>
    <mergeCell ref="J21:K21"/>
    <mergeCell ref="L21:N21"/>
    <mergeCell ref="O21:P21"/>
    <mergeCell ref="S21:T21"/>
    <mergeCell ref="B22:H22"/>
    <mergeCell ref="J22:K22"/>
    <mergeCell ref="L22:N22"/>
    <mergeCell ref="O22:P22"/>
    <mergeCell ref="S22:T22"/>
    <mergeCell ref="B23:H23"/>
    <mergeCell ref="J23:K23"/>
    <mergeCell ref="L23:N23"/>
    <mergeCell ref="O23:P23"/>
    <mergeCell ref="S23:T23"/>
    <mergeCell ref="B24:H24"/>
    <mergeCell ref="J24:K24"/>
    <mergeCell ref="L24:N24"/>
    <mergeCell ref="O24:P24"/>
    <mergeCell ref="S24:T24"/>
    <mergeCell ref="B25:H25"/>
    <mergeCell ref="J25:K25"/>
    <mergeCell ref="L25:N25"/>
    <mergeCell ref="O25:P25"/>
    <mergeCell ref="S25:T25"/>
    <mergeCell ref="A26:E26"/>
    <mergeCell ref="F26:H26"/>
    <mergeCell ref="J26:P26"/>
    <mergeCell ref="S26:T26"/>
    <mergeCell ref="A27:H27"/>
    <mergeCell ref="I27:K27"/>
    <mergeCell ref="A28:T28"/>
    <mergeCell ref="A29:D29"/>
    <mergeCell ref="E29:H29"/>
    <mergeCell ref="I29:M29"/>
    <mergeCell ref="N29:P29"/>
    <mergeCell ref="A30:D30"/>
    <mergeCell ref="E30:H30"/>
    <mergeCell ref="I30:M30"/>
    <mergeCell ref="N30:P30"/>
    <mergeCell ref="C3:C4"/>
    <mergeCell ref="A1:T2"/>
    <mergeCell ref="A3:B4"/>
    <mergeCell ref="Q29:R30"/>
    <mergeCell ref="S29:T30"/>
  </mergeCells>
  <printOptions horizontalCentered="1"/>
  <pageMargins left="0" right="0" top="0.393055555555556" bottom="0.393055555555556" header="0.5" footer="0.5"/>
  <pageSetup paperSize="9" scale="90" orientation="portrait" horizontalDpi="6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6"/>
  <sheetViews>
    <sheetView workbookViewId="0">
      <selection activeCell="S28" sqref="S28"/>
    </sheetView>
  </sheetViews>
  <sheetFormatPr defaultColWidth="8" defaultRowHeight="12.75"/>
  <cols>
    <col min="1" max="1" width="4.375" style="24" customWidth="1"/>
    <col min="2" max="2" width="1.75" style="25" customWidth="1"/>
    <col min="3" max="3" width="8" style="24" customWidth="1"/>
    <col min="4" max="4" width="2.625" style="24" customWidth="1"/>
    <col min="5" max="5" width="3.125" style="24" customWidth="1"/>
    <col min="6" max="6" width="3.25" style="24" customWidth="1"/>
    <col min="7" max="7" width="14.75" style="24" customWidth="1"/>
    <col min="8" max="8" width="8.25" style="24" customWidth="1"/>
    <col min="9" max="9" width="8.5" style="24" customWidth="1"/>
    <col min="10" max="10" width="12.625" style="24" customWidth="1"/>
    <col min="11" max="11" width="7" style="24" customWidth="1"/>
    <col min="12" max="12" width="8.375" style="26" customWidth="1"/>
    <col min="13" max="13" width="9.875" style="27" customWidth="1"/>
    <col min="14" max="14" width="18" style="24" customWidth="1"/>
    <col min="15" max="15" width="7.375" style="24" customWidth="1"/>
    <col min="16" max="16384" width="8" style="19"/>
  </cols>
  <sheetData>
    <row r="1" s="19" customFormat="1" ht="21" customHeight="1" spans="1:15">
      <c r="A1" s="28" t="s">
        <v>77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29"/>
      <c r="O1" s="29"/>
    </row>
    <row r="2" s="19" customFormat="1" ht="11.85" customHeight="1" spans="1:1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29"/>
      <c r="O2" s="29"/>
    </row>
    <row r="3" s="19" customFormat="1" ht="30" customHeight="1" spans="1:15">
      <c r="A3" s="31" t="s">
        <v>78</v>
      </c>
      <c r="B3" s="32"/>
      <c r="C3" s="33" t="str">
        <f>'1'!A1</f>
        <v>奢匠</v>
      </c>
      <c r="D3" s="32" t="s">
        <v>79</v>
      </c>
      <c r="E3" s="32"/>
      <c r="F3" s="32"/>
      <c r="G3" s="34">
        <f>'1'!F2</f>
        <v>0</v>
      </c>
      <c r="H3" s="35" t="s">
        <v>13</v>
      </c>
      <c r="I3" s="36"/>
      <c r="J3" s="33">
        <f>'1'!N2</f>
        <v>0</v>
      </c>
      <c r="K3" s="31" t="s">
        <v>14</v>
      </c>
      <c r="L3" s="31"/>
      <c r="M3" s="32"/>
      <c r="N3" s="33">
        <f>'1'!Q2</f>
        <v>0</v>
      </c>
      <c r="O3" s="37"/>
    </row>
    <row r="4" s="19" customFormat="1" ht="30" customHeight="1" spans="1:15">
      <c r="A4" s="31"/>
      <c r="B4" s="32"/>
      <c r="C4" s="33"/>
      <c r="D4" s="38" t="s">
        <v>11</v>
      </c>
      <c r="E4" s="38"/>
      <c r="F4" s="38"/>
      <c r="G4" s="34">
        <f>'1'!D2</f>
        <v>0</v>
      </c>
      <c r="H4" s="35" t="s">
        <v>94</v>
      </c>
      <c r="I4" s="36"/>
      <c r="J4" s="34">
        <f>'1'!E3</f>
        <v>0</v>
      </c>
      <c r="K4" s="31" t="s">
        <v>81</v>
      </c>
      <c r="L4" s="31"/>
      <c r="M4" s="32"/>
      <c r="N4" s="33"/>
      <c r="O4" s="33"/>
    </row>
    <row r="5" s="19" customFormat="1" ht="22" customHeight="1" spans="1:15">
      <c r="A5" s="33" t="s">
        <v>2</v>
      </c>
      <c r="B5" s="39" t="s">
        <v>82</v>
      </c>
      <c r="C5" s="39"/>
      <c r="D5" s="39"/>
      <c r="E5" s="39"/>
      <c r="F5" s="39"/>
      <c r="G5" s="39" t="s">
        <v>26</v>
      </c>
      <c r="H5" s="39" t="s">
        <v>83</v>
      </c>
      <c r="I5" s="33" t="s">
        <v>84</v>
      </c>
      <c r="J5" s="33" t="s">
        <v>85</v>
      </c>
      <c r="K5" s="39" t="s">
        <v>95</v>
      </c>
      <c r="L5" s="40" t="s">
        <v>86</v>
      </c>
      <c r="M5" s="41" t="s">
        <v>87</v>
      </c>
      <c r="N5" s="33" t="s">
        <v>96</v>
      </c>
      <c r="O5" s="33" t="s">
        <v>97</v>
      </c>
    </row>
    <row r="6" s="20" customFormat="1" ht="18" customHeight="1" spans="1:15">
      <c r="A6" s="42" t="s">
        <v>98</v>
      </c>
      <c r="B6" s="43"/>
      <c r="C6" s="43"/>
      <c r="D6" s="43"/>
      <c r="E6" s="43"/>
      <c r="F6" s="43"/>
      <c r="G6" s="44"/>
      <c r="H6" s="45"/>
      <c r="I6" s="46"/>
      <c r="J6" s="46"/>
      <c r="K6" s="44"/>
      <c r="L6" s="47"/>
      <c r="M6" s="48">
        <f t="shared" ref="M6:M25" si="0">I6/1000*J6/1000*G6*L6</f>
        <v>0</v>
      </c>
      <c r="N6" s="49"/>
      <c r="O6" s="49"/>
    </row>
    <row r="7" s="20" customFormat="1" ht="18" customHeight="1" spans="1:15">
      <c r="A7" s="42" t="s">
        <v>99</v>
      </c>
      <c r="B7" s="43"/>
      <c r="C7" s="43"/>
      <c r="D7" s="43"/>
      <c r="E7" s="43"/>
      <c r="F7" s="43"/>
      <c r="G7" s="44"/>
      <c r="H7" s="45"/>
      <c r="I7" s="46"/>
      <c r="J7" s="46"/>
      <c r="K7" s="44"/>
      <c r="L7" s="47"/>
      <c r="M7" s="48">
        <f t="shared" si="0"/>
        <v>0</v>
      </c>
      <c r="N7" s="49"/>
      <c r="O7" s="49"/>
    </row>
    <row r="8" s="20" customFormat="1" ht="18" customHeight="1" spans="1:15">
      <c r="A8" s="42" t="s">
        <v>100</v>
      </c>
      <c r="B8" s="43"/>
      <c r="C8" s="43"/>
      <c r="D8" s="43"/>
      <c r="E8" s="43"/>
      <c r="F8" s="43"/>
      <c r="G8" s="44"/>
      <c r="H8" s="45"/>
      <c r="I8" s="46"/>
      <c r="J8" s="46"/>
      <c r="K8" s="44"/>
      <c r="L8" s="50"/>
      <c r="M8" s="48">
        <f t="shared" si="0"/>
        <v>0</v>
      </c>
      <c r="N8" s="51"/>
      <c r="O8" s="52"/>
    </row>
    <row r="9" s="20" customFormat="1" ht="18" customHeight="1" spans="1:15">
      <c r="A9" s="42" t="s">
        <v>101</v>
      </c>
      <c r="B9" s="43"/>
      <c r="C9" s="43"/>
      <c r="D9" s="43"/>
      <c r="E9" s="43"/>
      <c r="F9" s="43"/>
      <c r="G9" s="44"/>
      <c r="H9" s="45"/>
      <c r="I9" s="46"/>
      <c r="J9" s="46"/>
      <c r="K9" s="44"/>
      <c r="L9" s="50"/>
      <c r="M9" s="48">
        <f t="shared" si="0"/>
        <v>0</v>
      </c>
      <c r="N9" s="51"/>
      <c r="O9" s="52"/>
    </row>
    <row r="10" s="20" customFormat="1" ht="18" customHeight="1" spans="1:15">
      <c r="A10" s="42" t="s">
        <v>102</v>
      </c>
      <c r="B10" s="43"/>
      <c r="C10" s="43"/>
      <c r="D10" s="43"/>
      <c r="E10" s="43"/>
      <c r="F10" s="43"/>
      <c r="G10" s="44"/>
      <c r="H10" s="45"/>
      <c r="I10" s="46"/>
      <c r="J10" s="46"/>
      <c r="K10" s="44"/>
      <c r="L10" s="47"/>
      <c r="M10" s="48">
        <f t="shared" si="0"/>
        <v>0</v>
      </c>
      <c r="N10" s="51"/>
      <c r="O10" s="52"/>
    </row>
    <row r="11" s="20" customFormat="1" ht="18" customHeight="1" spans="1:15">
      <c r="A11" s="42" t="s">
        <v>103</v>
      </c>
      <c r="B11" s="43"/>
      <c r="C11" s="43"/>
      <c r="D11" s="43"/>
      <c r="E11" s="43"/>
      <c r="F11" s="43"/>
      <c r="G11" s="44"/>
      <c r="H11" s="45"/>
      <c r="I11" s="46"/>
      <c r="J11" s="46"/>
      <c r="K11" s="44"/>
      <c r="L11" s="47"/>
      <c r="M11" s="48">
        <f t="shared" si="0"/>
        <v>0</v>
      </c>
      <c r="N11" s="51"/>
      <c r="O11" s="52"/>
    </row>
    <row r="12" s="20" customFormat="1" ht="18" customHeight="1" spans="1:15">
      <c r="A12" s="42" t="s">
        <v>104</v>
      </c>
      <c r="B12" s="43"/>
      <c r="C12" s="43"/>
      <c r="D12" s="43"/>
      <c r="E12" s="43"/>
      <c r="F12" s="43"/>
      <c r="G12" s="44"/>
      <c r="H12" s="45"/>
      <c r="I12" s="46"/>
      <c r="J12" s="46"/>
      <c r="K12" s="44"/>
      <c r="L12" s="47"/>
      <c r="M12" s="48">
        <f t="shared" si="0"/>
        <v>0</v>
      </c>
      <c r="N12" s="51"/>
      <c r="O12" s="52"/>
    </row>
    <row r="13" s="20" customFormat="1" ht="18" customHeight="1" spans="1:15">
      <c r="A13" s="42" t="s">
        <v>105</v>
      </c>
      <c r="B13" s="43"/>
      <c r="C13" s="43"/>
      <c r="D13" s="43"/>
      <c r="E13" s="43"/>
      <c r="F13" s="43"/>
      <c r="G13" s="44"/>
      <c r="H13" s="45"/>
      <c r="I13" s="46"/>
      <c r="J13" s="46"/>
      <c r="K13" s="44"/>
      <c r="L13" s="47"/>
      <c r="M13" s="48">
        <f t="shared" si="0"/>
        <v>0</v>
      </c>
      <c r="N13" s="51"/>
      <c r="O13" s="52"/>
    </row>
    <row r="14" s="20" customFormat="1" ht="18" customHeight="1" spans="1:15">
      <c r="A14" s="42" t="s">
        <v>106</v>
      </c>
      <c r="B14" s="43"/>
      <c r="C14" s="43"/>
      <c r="D14" s="43"/>
      <c r="E14" s="43"/>
      <c r="F14" s="43"/>
      <c r="G14" s="44"/>
      <c r="H14" s="45"/>
      <c r="I14" s="46"/>
      <c r="J14" s="46"/>
      <c r="K14" s="44"/>
      <c r="L14" s="47"/>
      <c r="M14" s="48">
        <f t="shared" si="0"/>
        <v>0</v>
      </c>
      <c r="N14" s="51"/>
      <c r="O14" s="52"/>
    </row>
    <row r="15" s="20" customFormat="1" ht="18" customHeight="1" spans="1:15">
      <c r="A15" s="42" t="s">
        <v>107</v>
      </c>
      <c r="B15" s="43"/>
      <c r="C15" s="43"/>
      <c r="D15" s="43"/>
      <c r="E15" s="43"/>
      <c r="F15" s="43"/>
      <c r="G15" s="44"/>
      <c r="H15" s="45"/>
      <c r="I15" s="46"/>
      <c r="J15" s="46"/>
      <c r="K15" s="44"/>
      <c r="L15" s="47"/>
      <c r="M15" s="48">
        <f t="shared" si="0"/>
        <v>0</v>
      </c>
      <c r="N15" s="51"/>
      <c r="O15" s="52"/>
    </row>
    <row r="16" s="20" customFormat="1" ht="18" customHeight="1" spans="1:15">
      <c r="A16" s="42" t="s">
        <v>108</v>
      </c>
      <c r="B16" s="43"/>
      <c r="C16" s="43"/>
      <c r="D16" s="43"/>
      <c r="E16" s="43"/>
      <c r="F16" s="43"/>
      <c r="G16" s="44"/>
      <c r="H16" s="45"/>
      <c r="I16" s="46"/>
      <c r="J16" s="46"/>
      <c r="K16" s="44"/>
      <c r="L16" s="47"/>
      <c r="M16" s="48">
        <f t="shared" si="0"/>
        <v>0</v>
      </c>
      <c r="N16" s="51"/>
      <c r="O16" s="52"/>
    </row>
    <row r="17" s="20" customFormat="1" ht="18" customHeight="1" spans="1:15">
      <c r="A17" s="42" t="s">
        <v>109</v>
      </c>
      <c r="B17" s="43"/>
      <c r="C17" s="43"/>
      <c r="D17" s="43"/>
      <c r="E17" s="43"/>
      <c r="F17" s="43"/>
      <c r="G17" s="44"/>
      <c r="H17" s="45"/>
      <c r="I17" s="46"/>
      <c r="J17" s="46"/>
      <c r="K17" s="44"/>
      <c r="L17" s="47"/>
      <c r="M17" s="48">
        <f t="shared" si="0"/>
        <v>0</v>
      </c>
      <c r="N17" s="51"/>
      <c r="O17" s="52"/>
    </row>
    <row r="18" s="20" customFormat="1" ht="18" customHeight="1" spans="1:15">
      <c r="A18" s="42" t="s">
        <v>110</v>
      </c>
      <c r="B18" s="43"/>
      <c r="C18" s="43"/>
      <c r="D18" s="43"/>
      <c r="E18" s="43"/>
      <c r="F18" s="43"/>
      <c r="G18" s="44"/>
      <c r="H18" s="45"/>
      <c r="I18" s="46"/>
      <c r="J18" s="46"/>
      <c r="K18" s="44"/>
      <c r="L18" s="47"/>
      <c r="M18" s="48">
        <f t="shared" si="0"/>
        <v>0</v>
      </c>
      <c r="N18" s="51"/>
      <c r="O18" s="52"/>
    </row>
    <row r="19" s="20" customFormat="1" ht="18" customHeight="1" spans="1:15">
      <c r="A19" s="42" t="s">
        <v>111</v>
      </c>
      <c r="B19" s="43"/>
      <c r="C19" s="43"/>
      <c r="D19" s="43"/>
      <c r="E19" s="43"/>
      <c r="F19" s="43"/>
      <c r="G19" s="44"/>
      <c r="H19" s="45"/>
      <c r="I19" s="46"/>
      <c r="J19" s="46"/>
      <c r="K19" s="44"/>
      <c r="L19" s="47"/>
      <c r="M19" s="48">
        <f t="shared" si="0"/>
        <v>0</v>
      </c>
      <c r="N19" s="51"/>
      <c r="O19" s="52"/>
    </row>
    <row r="20" s="20" customFormat="1" ht="18" customHeight="1" spans="1:15">
      <c r="A20" s="42" t="s">
        <v>112</v>
      </c>
      <c r="B20" s="43"/>
      <c r="C20" s="43"/>
      <c r="D20" s="43"/>
      <c r="E20" s="43"/>
      <c r="F20" s="43"/>
      <c r="G20" s="44"/>
      <c r="H20" s="45"/>
      <c r="I20" s="46"/>
      <c r="J20" s="46"/>
      <c r="K20" s="44"/>
      <c r="L20" s="47"/>
      <c r="M20" s="48">
        <f t="shared" si="0"/>
        <v>0</v>
      </c>
      <c r="N20" s="51"/>
      <c r="O20" s="52"/>
    </row>
    <row r="21" s="20" customFormat="1" ht="18" customHeight="1" spans="1:15">
      <c r="A21" s="42" t="s">
        <v>113</v>
      </c>
      <c r="B21" s="53"/>
      <c r="C21" s="53"/>
      <c r="D21" s="53"/>
      <c r="E21" s="53"/>
      <c r="F21" s="53"/>
      <c r="G21" s="54"/>
      <c r="H21" s="55"/>
      <c r="I21" s="56"/>
      <c r="J21" s="56"/>
      <c r="K21" s="54"/>
      <c r="L21" s="57"/>
      <c r="M21" s="48">
        <f t="shared" si="0"/>
        <v>0</v>
      </c>
      <c r="N21" s="51"/>
      <c r="O21" s="52"/>
    </row>
    <row r="22" s="20" customFormat="1" ht="18" customHeight="1" spans="1:15">
      <c r="A22" s="42" t="s">
        <v>114</v>
      </c>
      <c r="B22" s="58"/>
      <c r="C22" s="58"/>
      <c r="D22" s="58"/>
      <c r="E22" s="58"/>
      <c r="F22" s="58"/>
      <c r="G22" s="59"/>
      <c r="H22" s="39"/>
      <c r="I22" s="60"/>
      <c r="J22" s="60"/>
      <c r="K22" s="59"/>
      <c r="L22" s="47"/>
      <c r="M22" s="48">
        <f t="shared" si="0"/>
        <v>0</v>
      </c>
      <c r="N22" s="51"/>
      <c r="O22" s="52"/>
    </row>
    <row r="23" s="20" customFormat="1" ht="18" customHeight="1" spans="1:15">
      <c r="A23" s="42" t="s">
        <v>115</v>
      </c>
      <c r="B23" s="43"/>
      <c r="C23" s="43"/>
      <c r="D23" s="43"/>
      <c r="E23" s="43"/>
      <c r="F23" s="43"/>
      <c r="G23" s="44"/>
      <c r="H23" s="45"/>
      <c r="I23" s="46"/>
      <c r="J23" s="46"/>
      <c r="K23" s="44"/>
      <c r="L23" s="47"/>
      <c r="M23" s="48">
        <f t="shared" si="0"/>
        <v>0</v>
      </c>
      <c r="N23" s="51"/>
      <c r="O23" s="52"/>
    </row>
    <row r="24" s="20" customFormat="1" ht="18" customHeight="1" spans="1:15">
      <c r="A24" s="42" t="s">
        <v>116</v>
      </c>
      <c r="B24" s="43"/>
      <c r="C24" s="43"/>
      <c r="D24" s="43"/>
      <c r="E24" s="43"/>
      <c r="F24" s="43"/>
      <c r="G24" s="44"/>
      <c r="H24" s="45"/>
      <c r="I24" s="46"/>
      <c r="J24" s="46"/>
      <c r="K24" s="44"/>
      <c r="L24" s="47"/>
      <c r="M24" s="48">
        <f t="shared" si="0"/>
        <v>0</v>
      </c>
      <c r="N24" s="51"/>
      <c r="O24" s="52"/>
    </row>
    <row r="25" s="20" customFormat="1" ht="18" customHeight="1" spans="1:15">
      <c r="A25" s="42" t="s">
        <v>117</v>
      </c>
      <c r="B25" s="43"/>
      <c r="C25" s="43"/>
      <c r="D25" s="43"/>
      <c r="E25" s="43"/>
      <c r="F25" s="43"/>
      <c r="G25" s="44"/>
      <c r="H25" s="45"/>
      <c r="I25" s="46"/>
      <c r="J25" s="46"/>
      <c r="K25" s="44"/>
      <c r="L25" s="47"/>
      <c r="M25" s="48">
        <f t="shared" si="0"/>
        <v>0</v>
      </c>
      <c r="N25" s="51"/>
      <c r="O25" s="52"/>
    </row>
    <row r="26" s="21" customFormat="1" ht="18" customHeight="1" spans="1:15">
      <c r="A26" s="61"/>
      <c r="B26" s="62" t="s">
        <v>88</v>
      </c>
      <c r="C26" s="62"/>
      <c r="D26" s="62"/>
      <c r="E26" s="62"/>
      <c r="F26" s="62"/>
      <c r="G26" s="63">
        <f>SUM(G6:G25)</f>
        <v>0</v>
      </c>
      <c r="H26" s="61"/>
      <c r="I26" s="64"/>
      <c r="J26" s="64"/>
      <c r="K26" s="65" t="s">
        <v>89</v>
      </c>
      <c r="L26" s="66"/>
      <c r="M26" s="67">
        <f>SUM(M6:M25)</f>
        <v>0</v>
      </c>
      <c r="N26" s="61"/>
      <c r="O26" s="61"/>
    </row>
    <row r="27" s="22" customFormat="1" ht="18" customHeight="1" spans="1:15">
      <c r="A27" s="68" t="str">
        <f>'[1]1'!D23</f>
        <v>此单共页,合计金额</v>
      </c>
      <c r="B27" s="69"/>
      <c r="C27" s="68"/>
      <c r="D27" s="68"/>
      <c r="E27" s="68"/>
      <c r="F27" s="68"/>
      <c r="G27" s="68"/>
      <c r="H27" s="70">
        <f>M26</f>
        <v>0</v>
      </c>
      <c r="I27" s="70"/>
      <c r="J27" s="71"/>
      <c r="K27" s="72"/>
      <c r="L27" s="72"/>
      <c r="M27" s="72"/>
      <c r="N27" s="73"/>
      <c r="O27" s="74"/>
    </row>
    <row r="28" s="20" customFormat="1" ht="18" customHeight="1" spans="1:15">
      <c r="A28" s="75"/>
      <c r="B28" s="76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6"/>
      <c r="N28" s="75"/>
      <c r="O28" s="75"/>
    </row>
    <row r="29" s="23" customFormat="1" ht="23.45" customHeight="1" spans="1:15">
      <c r="A29" s="31" t="s">
        <v>90</v>
      </c>
      <c r="B29" s="32"/>
      <c r="C29" s="31"/>
      <c r="D29" s="31"/>
      <c r="E29" s="77" t="s">
        <v>118</v>
      </c>
      <c r="F29" s="77"/>
      <c r="G29" s="77"/>
      <c r="H29" s="31" t="str">
        <f>'[1]1五'!I29</f>
        <v>设计师</v>
      </c>
      <c r="I29" s="31"/>
      <c r="J29" s="78" t="str">
        <f>'1'!H31</f>
        <v>绘图员：</v>
      </c>
      <c r="K29" s="36"/>
      <c r="L29" s="79"/>
      <c r="M29" s="80"/>
      <c r="N29" s="81" t="s">
        <v>92</v>
      </c>
      <c r="O29" s="81"/>
    </row>
    <row r="30" s="23" customFormat="1" ht="22.9" customHeight="1" spans="1:15">
      <c r="A30" s="31" t="s">
        <v>93</v>
      </c>
      <c r="B30" s="32"/>
      <c r="C30" s="31"/>
      <c r="D30" s="31"/>
      <c r="E30" s="77">
        <f>'1'!H43</f>
        <v>0</v>
      </c>
      <c r="F30" s="77"/>
      <c r="G30" s="77"/>
      <c r="H30" s="31" t="str">
        <f>'[1]1五'!I30</f>
        <v>包装预计交货日期：</v>
      </c>
      <c r="I30" s="31"/>
      <c r="J30" s="78"/>
      <c r="K30" s="36"/>
      <c r="L30" s="79"/>
      <c r="M30" s="80"/>
      <c r="N30" s="82"/>
      <c r="O30" s="82"/>
    </row>
    <row r="31" s="20" customFormat="1" ht="15" spans="1:15">
      <c r="A31" s="83"/>
      <c r="B31" s="84"/>
      <c r="C31" s="83"/>
      <c r="D31" s="83"/>
      <c r="E31" s="83"/>
      <c r="F31" s="83"/>
      <c r="G31" s="83"/>
      <c r="H31" s="83"/>
      <c r="I31" s="83"/>
      <c r="J31" s="83"/>
      <c r="K31" s="83"/>
      <c r="L31" s="85"/>
      <c r="M31" s="86"/>
      <c r="N31" s="83"/>
      <c r="O31" s="83"/>
    </row>
    <row r="32" s="20" customFormat="1" ht="15" spans="1:15">
      <c r="A32" s="83"/>
      <c r="B32" s="84"/>
      <c r="C32" s="83"/>
      <c r="D32" s="83"/>
      <c r="E32" s="83"/>
      <c r="F32" s="83"/>
      <c r="G32" s="83"/>
      <c r="H32" s="83"/>
      <c r="I32" s="83"/>
      <c r="J32" s="83"/>
      <c r="K32" s="83"/>
      <c r="L32" s="85"/>
      <c r="M32" s="86"/>
      <c r="N32" s="83"/>
      <c r="O32" s="83"/>
    </row>
    <row r="33" s="20" customFormat="1" ht="15" spans="1:15">
      <c r="A33" s="83"/>
      <c r="B33" s="84"/>
      <c r="C33" s="83"/>
      <c r="D33" s="83"/>
      <c r="E33" s="83"/>
      <c r="F33" s="83"/>
      <c r="G33" s="83"/>
      <c r="H33" s="83"/>
      <c r="I33" s="83"/>
      <c r="J33" s="83"/>
      <c r="K33" s="83"/>
      <c r="L33" s="85"/>
      <c r="M33" s="86"/>
      <c r="N33" s="83"/>
      <c r="O33" s="83"/>
    </row>
    <row r="34" s="20" customFormat="1" ht="15" spans="1:15">
      <c r="A34" s="83"/>
      <c r="B34" s="84"/>
      <c r="C34" s="83"/>
      <c r="D34" s="83"/>
      <c r="E34" s="83"/>
      <c r="F34" s="83"/>
      <c r="G34" s="83"/>
      <c r="H34" s="83"/>
      <c r="I34" s="83"/>
      <c r="J34" s="83"/>
      <c r="K34" s="83"/>
      <c r="L34" s="85"/>
      <c r="M34" s="86"/>
      <c r="N34" s="83"/>
      <c r="O34" s="83"/>
    </row>
    <row r="35" s="20" customFormat="1" ht="15" spans="1:15">
      <c r="A35" s="83"/>
      <c r="B35" s="84"/>
      <c r="C35" s="83"/>
      <c r="D35" s="83"/>
      <c r="E35" s="83"/>
      <c r="F35" s="83"/>
      <c r="G35" s="83"/>
      <c r="H35" s="83"/>
      <c r="I35" s="83"/>
      <c r="J35" s="83"/>
      <c r="K35" s="83"/>
      <c r="L35" s="85"/>
      <c r="M35" s="86"/>
      <c r="N35" s="83"/>
      <c r="O35" s="83"/>
    </row>
    <row r="36" s="20" customFormat="1" ht="15" spans="1:15">
      <c r="A36" s="83"/>
      <c r="B36" s="84"/>
      <c r="C36" s="83"/>
      <c r="D36" s="83"/>
      <c r="E36" s="83"/>
      <c r="F36" s="83"/>
      <c r="G36" s="83"/>
      <c r="H36" s="83"/>
      <c r="I36" s="83"/>
      <c r="J36" s="83"/>
      <c r="K36" s="83"/>
      <c r="L36" s="85"/>
      <c r="M36" s="86"/>
      <c r="N36" s="83"/>
      <c r="O36" s="83"/>
    </row>
    <row r="37" s="20" customFormat="1" ht="15" spans="1:15">
      <c r="A37" s="83"/>
      <c r="B37" s="84"/>
      <c r="C37" s="83"/>
      <c r="D37" s="83"/>
      <c r="E37" s="83"/>
      <c r="F37" s="83"/>
      <c r="G37" s="83"/>
      <c r="H37" s="83"/>
      <c r="I37" s="83"/>
      <c r="J37" s="83"/>
      <c r="K37" s="83"/>
      <c r="L37" s="85"/>
      <c r="M37" s="86"/>
      <c r="N37" s="83"/>
      <c r="O37" s="83"/>
    </row>
    <row r="38" s="20" customFormat="1" ht="15" spans="1:15">
      <c r="A38" s="83"/>
      <c r="B38" s="84"/>
      <c r="C38" s="83"/>
      <c r="D38" s="83"/>
      <c r="E38" s="83"/>
      <c r="F38" s="83"/>
      <c r="G38" s="83"/>
      <c r="H38" s="83"/>
      <c r="I38" s="83"/>
      <c r="J38" s="83"/>
      <c r="K38" s="83"/>
      <c r="L38" s="85"/>
      <c r="M38" s="86"/>
      <c r="N38" s="83"/>
      <c r="O38" s="83"/>
    </row>
    <row r="39" s="20" customFormat="1" ht="15" spans="1:15">
      <c r="A39" s="83"/>
      <c r="B39" s="84"/>
      <c r="C39" s="83"/>
      <c r="D39" s="83"/>
      <c r="E39" s="83"/>
      <c r="F39" s="83"/>
      <c r="G39" s="83"/>
      <c r="H39" s="83"/>
      <c r="I39" s="83"/>
      <c r="J39" s="83"/>
      <c r="K39" s="83"/>
      <c r="L39" s="85"/>
      <c r="M39" s="86"/>
      <c r="N39" s="83"/>
      <c r="O39" s="83"/>
    </row>
    <row r="40" s="20" customFormat="1" ht="15" spans="1:15">
      <c r="A40" s="83"/>
      <c r="B40" s="84"/>
      <c r="C40" s="83"/>
      <c r="D40" s="83"/>
      <c r="E40" s="83"/>
      <c r="F40" s="83"/>
      <c r="G40" s="83"/>
      <c r="H40" s="83"/>
      <c r="I40" s="83"/>
      <c r="J40" s="83"/>
      <c r="K40" s="83"/>
      <c r="L40" s="85"/>
      <c r="M40" s="86"/>
      <c r="N40" s="83"/>
      <c r="O40" s="83"/>
    </row>
    <row r="41" s="20" customFormat="1" ht="15" spans="1:15">
      <c r="A41" s="83"/>
      <c r="B41" s="84"/>
      <c r="C41" s="83"/>
      <c r="D41" s="83"/>
      <c r="E41" s="83"/>
      <c r="F41" s="83"/>
      <c r="G41" s="83"/>
      <c r="H41" s="83"/>
      <c r="I41" s="83"/>
      <c r="J41" s="83"/>
      <c r="K41" s="83"/>
      <c r="L41" s="85"/>
      <c r="M41" s="86"/>
      <c r="N41" s="83"/>
      <c r="O41" s="83"/>
    </row>
    <row r="42" s="20" customFormat="1" ht="15" spans="1:15">
      <c r="A42" s="83"/>
      <c r="B42" s="84"/>
      <c r="C42" s="83"/>
      <c r="D42" s="83"/>
      <c r="E42" s="83"/>
      <c r="F42" s="83"/>
      <c r="G42" s="83"/>
      <c r="H42" s="83"/>
      <c r="I42" s="83"/>
      <c r="J42" s="83"/>
      <c r="K42" s="83"/>
      <c r="L42" s="85"/>
      <c r="M42" s="86"/>
      <c r="N42" s="83"/>
      <c r="O42" s="83"/>
    </row>
    <row r="43" s="20" customFormat="1" ht="15" spans="1:15">
      <c r="A43" s="83"/>
      <c r="B43" s="84"/>
      <c r="C43" s="83"/>
      <c r="D43" s="83"/>
      <c r="E43" s="83"/>
      <c r="F43" s="83"/>
      <c r="G43" s="83"/>
      <c r="H43" s="83"/>
      <c r="I43" s="83"/>
      <c r="J43" s="83"/>
      <c r="K43" s="83"/>
      <c r="L43" s="85"/>
      <c r="M43" s="86"/>
      <c r="N43" s="83"/>
      <c r="O43" s="83"/>
    </row>
    <row r="44" s="20" customFormat="1" ht="15" spans="1:15">
      <c r="A44" s="83"/>
      <c r="B44" s="84"/>
      <c r="C44" s="83"/>
      <c r="D44" s="83"/>
      <c r="E44" s="83"/>
      <c r="F44" s="83"/>
      <c r="G44" s="83"/>
      <c r="H44" s="83"/>
      <c r="I44" s="83"/>
      <c r="J44" s="83"/>
      <c r="K44" s="83"/>
      <c r="L44" s="85"/>
      <c r="M44" s="86"/>
      <c r="N44" s="83"/>
      <c r="O44" s="83"/>
    </row>
    <row r="45" s="20" customFormat="1" ht="15" spans="1:15">
      <c r="A45" s="83"/>
      <c r="B45" s="84"/>
      <c r="C45" s="83"/>
      <c r="D45" s="83"/>
      <c r="E45" s="83"/>
      <c r="F45" s="83"/>
      <c r="G45" s="83"/>
      <c r="H45" s="83"/>
      <c r="I45" s="83"/>
      <c r="J45" s="83"/>
      <c r="K45" s="83"/>
      <c r="L45" s="85"/>
      <c r="M45" s="86"/>
      <c r="N45" s="83"/>
      <c r="O45" s="83"/>
    </row>
    <row r="46" s="20" customFormat="1" ht="15" spans="1:15">
      <c r="A46" s="83"/>
      <c r="B46" s="84"/>
      <c r="C46" s="83"/>
      <c r="D46" s="83"/>
      <c r="E46" s="83"/>
      <c r="F46" s="83"/>
      <c r="G46" s="83"/>
      <c r="H46" s="83"/>
      <c r="I46" s="83"/>
      <c r="J46" s="83"/>
      <c r="K46" s="83"/>
      <c r="L46" s="85"/>
      <c r="M46" s="86"/>
      <c r="N46" s="83"/>
      <c r="O46" s="83"/>
    </row>
    <row r="47" s="20" customFormat="1" ht="15" spans="1:15">
      <c r="A47" s="83"/>
      <c r="B47" s="84"/>
      <c r="C47" s="83"/>
      <c r="D47" s="83"/>
      <c r="E47" s="83"/>
      <c r="F47" s="83"/>
      <c r="G47" s="83"/>
      <c r="H47" s="83"/>
      <c r="I47" s="83"/>
      <c r="J47" s="83"/>
      <c r="K47" s="83"/>
      <c r="L47" s="85"/>
      <c r="M47" s="86"/>
      <c r="N47" s="83"/>
      <c r="O47" s="83"/>
    </row>
    <row r="48" s="20" customFormat="1" ht="15" spans="1:15">
      <c r="A48" s="83"/>
      <c r="B48" s="84"/>
      <c r="C48" s="83"/>
      <c r="D48" s="83"/>
      <c r="E48" s="83"/>
      <c r="F48" s="83"/>
      <c r="G48" s="83"/>
      <c r="H48" s="83"/>
      <c r="I48" s="83"/>
      <c r="J48" s="83"/>
      <c r="K48" s="83"/>
      <c r="L48" s="85"/>
      <c r="M48" s="86"/>
      <c r="N48" s="83"/>
      <c r="O48" s="83"/>
    </row>
    <row r="49" s="20" customFormat="1" ht="15" spans="1:15">
      <c r="A49" s="83"/>
      <c r="B49" s="84"/>
      <c r="C49" s="83"/>
      <c r="D49" s="83"/>
      <c r="E49" s="83"/>
      <c r="F49" s="83"/>
      <c r="G49" s="83"/>
      <c r="H49" s="83"/>
      <c r="I49" s="83"/>
      <c r="J49" s="83"/>
      <c r="K49" s="83"/>
      <c r="L49" s="85"/>
      <c r="M49" s="86"/>
      <c r="N49" s="83"/>
      <c r="O49" s="83"/>
    </row>
    <row r="50" s="20" customFormat="1" ht="15" spans="1:15">
      <c r="A50" s="83"/>
      <c r="B50" s="84"/>
      <c r="C50" s="83"/>
      <c r="D50" s="83"/>
      <c r="E50" s="83"/>
      <c r="F50" s="83"/>
      <c r="G50" s="83"/>
      <c r="H50" s="83"/>
      <c r="I50" s="83"/>
      <c r="J50" s="83"/>
      <c r="K50" s="83"/>
      <c r="L50" s="85"/>
      <c r="M50" s="86"/>
      <c r="N50" s="83"/>
      <c r="O50" s="83"/>
    </row>
    <row r="51" s="20" customFormat="1" ht="15" spans="1:15">
      <c r="A51" s="83"/>
      <c r="B51" s="84"/>
      <c r="C51" s="83"/>
      <c r="D51" s="83"/>
      <c r="E51" s="83"/>
      <c r="F51" s="83"/>
      <c r="G51" s="83"/>
      <c r="H51" s="83"/>
      <c r="I51" s="83"/>
      <c r="J51" s="83"/>
      <c r="K51" s="83"/>
      <c r="L51" s="85"/>
      <c r="M51" s="86"/>
      <c r="N51" s="83"/>
      <c r="O51" s="83"/>
    </row>
    <row r="52" s="20" customFormat="1" ht="15" spans="1:15">
      <c r="A52" s="83"/>
      <c r="B52" s="84"/>
      <c r="C52" s="83"/>
      <c r="D52" s="83"/>
      <c r="E52" s="83"/>
      <c r="F52" s="83"/>
      <c r="G52" s="83"/>
      <c r="H52" s="83"/>
      <c r="I52" s="83"/>
      <c r="J52" s="83"/>
      <c r="K52" s="83"/>
      <c r="L52" s="85"/>
      <c r="M52" s="86"/>
      <c r="N52" s="83"/>
      <c r="O52" s="83"/>
    </row>
    <row r="53" s="20" customFormat="1" ht="15" spans="1:15">
      <c r="A53" s="83"/>
      <c r="B53" s="84"/>
      <c r="C53" s="83"/>
      <c r="D53" s="83"/>
      <c r="E53" s="83"/>
      <c r="F53" s="83"/>
      <c r="G53" s="83"/>
      <c r="H53" s="83"/>
      <c r="I53" s="83"/>
      <c r="J53" s="83"/>
      <c r="K53" s="83"/>
      <c r="L53" s="85"/>
      <c r="M53" s="86"/>
      <c r="N53" s="83"/>
      <c r="O53" s="83"/>
    </row>
    <row r="54" s="20" customFormat="1" ht="15" spans="1:15">
      <c r="A54" s="83"/>
      <c r="B54" s="84"/>
      <c r="C54" s="83"/>
      <c r="D54" s="83"/>
      <c r="E54" s="83"/>
      <c r="F54" s="83"/>
      <c r="G54" s="83"/>
      <c r="H54" s="83"/>
      <c r="I54" s="83"/>
      <c r="J54" s="83"/>
      <c r="K54" s="83"/>
      <c r="L54" s="85"/>
      <c r="M54" s="86"/>
      <c r="N54" s="83"/>
      <c r="O54" s="83"/>
    </row>
    <row r="55" s="20" customFormat="1" ht="15" spans="1:15">
      <c r="A55" s="83"/>
      <c r="B55" s="84"/>
      <c r="C55" s="83"/>
      <c r="D55" s="83"/>
      <c r="E55" s="83"/>
      <c r="F55" s="83"/>
      <c r="G55" s="83"/>
      <c r="H55" s="83"/>
      <c r="I55" s="83"/>
      <c r="J55" s="83"/>
      <c r="K55" s="83"/>
      <c r="L55" s="85"/>
      <c r="M55" s="86"/>
      <c r="N55" s="83"/>
      <c r="O55" s="83"/>
    </row>
    <row r="56" s="20" customFormat="1" ht="15" spans="1:15">
      <c r="A56" s="83"/>
      <c r="B56" s="84"/>
      <c r="C56" s="83"/>
      <c r="D56" s="83"/>
      <c r="E56" s="83"/>
      <c r="F56" s="83"/>
      <c r="G56" s="83"/>
      <c r="H56" s="83"/>
      <c r="I56" s="83"/>
      <c r="J56" s="83"/>
      <c r="K56" s="83"/>
      <c r="L56" s="85"/>
      <c r="M56" s="86"/>
      <c r="N56" s="83"/>
      <c r="O56" s="83"/>
    </row>
    <row r="57" s="20" customFormat="1" ht="15" spans="1:15">
      <c r="A57" s="83"/>
      <c r="B57" s="84"/>
      <c r="C57" s="83"/>
      <c r="D57" s="83"/>
      <c r="E57" s="83"/>
      <c r="F57" s="83"/>
      <c r="G57" s="83"/>
      <c r="H57" s="83"/>
      <c r="I57" s="83"/>
      <c r="J57" s="83"/>
      <c r="K57" s="83"/>
      <c r="L57" s="85"/>
      <c r="M57" s="86"/>
      <c r="N57" s="83"/>
      <c r="O57" s="83"/>
    </row>
    <row r="58" s="20" customFormat="1" ht="15" spans="1:15">
      <c r="A58" s="83"/>
      <c r="B58" s="84"/>
      <c r="C58" s="83"/>
      <c r="D58" s="83"/>
      <c r="E58" s="83"/>
      <c r="F58" s="83"/>
      <c r="G58" s="83"/>
      <c r="H58" s="83"/>
      <c r="I58" s="83"/>
      <c r="J58" s="83"/>
      <c r="K58" s="83"/>
      <c r="L58" s="85"/>
      <c r="M58" s="86"/>
      <c r="N58" s="83"/>
      <c r="O58" s="83"/>
    </row>
    <row r="59" s="20" customFormat="1" ht="15" spans="1:15">
      <c r="A59" s="83"/>
      <c r="B59" s="84"/>
      <c r="C59" s="83"/>
      <c r="D59" s="83"/>
      <c r="E59" s="83"/>
      <c r="F59" s="83"/>
      <c r="G59" s="83"/>
      <c r="H59" s="83"/>
      <c r="I59" s="83"/>
      <c r="J59" s="83"/>
      <c r="K59" s="83"/>
      <c r="L59" s="85"/>
      <c r="M59" s="86"/>
      <c r="N59" s="83"/>
      <c r="O59" s="83"/>
    </row>
    <row r="60" s="20" customFormat="1" ht="15" spans="1:15">
      <c r="A60" s="83"/>
      <c r="B60" s="84"/>
      <c r="C60" s="83"/>
      <c r="D60" s="83"/>
      <c r="E60" s="83"/>
      <c r="F60" s="83"/>
      <c r="G60" s="83"/>
      <c r="H60" s="83"/>
      <c r="I60" s="83"/>
      <c r="J60" s="83"/>
      <c r="K60" s="83"/>
      <c r="L60" s="85"/>
      <c r="M60" s="86"/>
      <c r="N60" s="83"/>
      <c r="O60" s="83"/>
    </row>
    <row r="61" s="20" customFormat="1" ht="15" spans="1:15">
      <c r="A61" s="83"/>
      <c r="B61" s="84"/>
      <c r="C61" s="83"/>
      <c r="D61" s="83"/>
      <c r="E61" s="83"/>
      <c r="F61" s="83"/>
      <c r="G61" s="83"/>
      <c r="H61" s="83"/>
      <c r="I61" s="83"/>
      <c r="J61" s="83"/>
      <c r="K61" s="83"/>
      <c r="L61" s="85"/>
      <c r="M61" s="86"/>
      <c r="N61" s="83"/>
      <c r="O61" s="83"/>
    </row>
    <row r="62" s="20" customFormat="1" ht="15" spans="1:15">
      <c r="A62" s="83"/>
      <c r="B62" s="84"/>
      <c r="C62" s="83"/>
      <c r="D62" s="83"/>
      <c r="E62" s="83"/>
      <c r="F62" s="83"/>
      <c r="G62" s="83"/>
      <c r="H62" s="83"/>
      <c r="I62" s="83"/>
      <c r="J62" s="83"/>
      <c r="K62" s="83"/>
      <c r="L62" s="85"/>
      <c r="M62" s="86"/>
      <c r="N62" s="83"/>
      <c r="O62" s="83"/>
    </row>
    <row r="63" s="20" customFormat="1" ht="15" spans="1:15">
      <c r="A63" s="83"/>
      <c r="B63" s="84"/>
      <c r="C63" s="83"/>
      <c r="D63" s="83"/>
      <c r="E63" s="83"/>
      <c r="F63" s="83"/>
      <c r="G63" s="83"/>
      <c r="H63" s="83"/>
      <c r="I63" s="83"/>
      <c r="J63" s="83"/>
      <c r="K63" s="83"/>
      <c r="L63" s="85"/>
      <c r="M63" s="86"/>
      <c r="N63" s="83"/>
      <c r="O63" s="83"/>
    </row>
    <row r="64" s="20" customFormat="1" ht="15" spans="1:15">
      <c r="A64" s="83"/>
      <c r="B64" s="84"/>
      <c r="C64" s="83"/>
      <c r="D64" s="83"/>
      <c r="E64" s="83"/>
      <c r="F64" s="83"/>
      <c r="G64" s="83"/>
      <c r="H64" s="83"/>
      <c r="I64" s="83"/>
      <c r="J64" s="83"/>
      <c r="K64" s="83"/>
      <c r="L64" s="85"/>
      <c r="M64" s="86"/>
      <c r="N64" s="83"/>
      <c r="O64" s="83"/>
    </row>
    <row r="65" s="20" customFormat="1" ht="15" spans="1:15">
      <c r="A65" s="83"/>
      <c r="B65" s="84"/>
      <c r="C65" s="83"/>
      <c r="D65" s="83"/>
      <c r="E65" s="83"/>
      <c r="F65" s="83"/>
      <c r="G65" s="83"/>
      <c r="H65" s="83"/>
      <c r="I65" s="83"/>
      <c r="J65" s="83"/>
      <c r="K65" s="83"/>
      <c r="L65" s="85"/>
      <c r="M65" s="86"/>
      <c r="N65" s="83"/>
      <c r="O65" s="83"/>
    </row>
    <row r="66" s="20" customFormat="1" ht="15" spans="1:15">
      <c r="A66" s="83"/>
      <c r="B66" s="84"/>
      <c r="C66" s="83"/>
      <c r="D66" s="83"/>
      <c r="E66" s="83"/>
      <c r="F66" s="83"/>
      <c r="G66" s="83"/>
      <c r="H66" s="83"/>
      <c r="I66" s="83"/>
      <c r="J66" s="83"/>
      <c r="K66" s="83"/>
      <c r="L66" s="85"/>
      <c r="M66" s="86"/>
      <c r="N66" s="83"/>
      <c r="O66" s="83"/>
    </row>
    <row r="67" s="20" customFormat="1" ht="15" spans="1:15">
      <c r="A67" s="83"/>
      <c r="B67" s="84"/>
      <c r="C67" s="83"/>
      <c r="D67" s="83"/>
      <c r="E67" s="83"/>
      <c r="F67" s="83"/>
      <c r="G67" s="83"/>
      <c r="H67" s="83"/>
      <c r="I67" s="83"/>
      <c r="J67" s="83"/>
      <c r="K67" s="83"/>
      <c r="L67" s="85"/>
      <c r="M67" s="86"/>
      <c r="N67" s="83"/>
      <c r="O67" s="83"/>
    </row>
    <row r="68" s="20" customFormat="1" ht="15" spans="1:15">
      <c r="A68" s="83"/>
      <c r="B68" s="84"/>
      <c r="C68" s="83"/>
      <c r="D68" s="83"/>
      <c r="E68" s="83"/>
      <c r="F68" s="83"/>
      <c r="G68" s="83"/>
      <c r="H68" s="83"/>
      <c r="I68" s="83"/>
      <c r="J68" s="83"/>
      <c r="K68" s="83"/>
      <c r="L68" s="85"/>
      <c r="M68" s="86"/>
      <c r="N68" s="83"/>
      <c r="O68" s="83"/>
    </row>
    <row r="69" s="20" customFormat="1" ht="15" spans="1:15">
      <c r="A69" s="83"/>
      <c r="B69" s="84"/>
      <c r="C69" s="83"/>
      <c r="D69" s="83"/>
      <c r="E69" s="83"/>
      <c r="F69" s="83"/>
      <c r="G69" s="83"/>
      <c r="H69" s="83"/>
      <c r="I69" s="83"/>
      <c r="J69" s="83"/>
      <c r="K69" s="83"/>
      <c r="L69" s="85"/>
      <c r="M69" s="86"/>
      <c r="N69" s="83"/>
      <c r="O69" s="83"/>
    </row>
    <row r="70" s="20" customFormat="1" ht="15" spans="1:15">
      <c r="A70" s="83"/>
      <c r="B70" s="84"/>
      <c r="C70" s="83"/>
      <c r="D70" s="83"/>
      <c r="E70" s="83"/>
      <c r="F70" s="83"/>
      <c r="G70" s="83"/>
      <c r="H70" s="83"/>
      <c r="I70" s="83"/>
      <c r="J70" s="83"/>
      <c r="K70" s="83"/>
      <c r="L70" s="85"/>
      <c r="M70" s="86"/>
      <c r="N70" s="83"/>
      <c r="O70" s="83"/>
    </row>
    <row r="71" s="20" customFormat="1" ht="15" spans="1:15">
      <c r="A71" s="83"/>
      <c r="B71" s="84"/>
      <c r="C71" s="83"/>
      <c r="D71" s="83"/>
      <c r="E71" s="83"/>
      <c r="F71" s="83"/>
      <c r="G71" s="83"/>
      <c r="H71" s="83"/>
      <c r="I71" s="83"/>
      <c r="J71" s="83"/>
      <c r="K71" s="83"/>
      <c r="L71" s="85"/>
      <c r="M71" s="86"/>
      <c r="N71" s="83"/>
      <c r="O71" s="83"/>
    </row>
    <row r="72" s="20" customFormat="1" ht="15" spans="1:15">
      <c r="A72" s="83"/>
      <c r="B72" s="84"/>
      <c r="C72" s="83"/>
      <c r="D72" s="83"/>
      <c r="E72" s="83"/>
      <c r="F72" s="83"/>
      <c r="G72" s="83"/>
      <c r="H72" s="83"/>
      <c r="I72" s="83"/>
      <c r="J72" s="83"/>
      <c r="K72" s="83"/>
      <c r="L72" s="85"/>
      <c r="M72" s="86"/>
      <c r="N72" s="83"/>
      <c r="O72" s="83"/>
    </row>
    <row r="73" s="20" customFormat="1" ht="15" spans="1:15">
      <c r="A73" s="83"/>
      <c r="B73" s="84"/>
      <c r="C73" s="83"/>
      <c r="D73" s="83"/>
      <c r="E73" s="83"/>
      <c r="F73" s="83"/>
      <c r="G73" s="83"/>
      <c r="H73" s="83"/>
      <c r="I73" s="83"/>
      <c r="J73" s="83"/>
      <c r="K73" s="83"/>
      <c r="L73" s="85"/>
      <c r="M73" s="86"/>
      <c r="N73" s="83"/>
      <c r="O73" s="83"/>
    </row>
    <row r="74" s="20" customFormat="1" ht="15" spans="1:15">
      <c r="A74" s="83"/>
      <c r="B74" s="84"/>
      <c r="C74" s="83"/>
      <c r="D74" s="83"/>
      <c r="E74" s="83"/>
      <c r="F74" s="83"/>
      <c r="G74" s="83"/>
      <c r="H74" s="83"/>
      <c r="I74" s="83"/>
      <c r="J74" s="83"/>
      <c r="K74" s="83"/>
      <c r="L74" s="85"/>
      <c r="M74" s="86"/>
      <c r="N74" s="83"/>
      <c r="O74" s="83"/>
    </row>
    <row r="75" s="20" customFormat="1" ht="15" spans="1:15">
      <c r="A75" s="83"/>
      <c r="B75" s="84"/>
      <c r="C75" s="83"/>
      <c r="D75" s="83"/>
      <c r="E75" s="83"/>
      <c r="F75" s="83"/>
      <c r="G75" s="83"/>
      <c r="H75" s="83"/>
      <c r="I75" s="83"/>
      <c r="J75" s="83"/>
      <c r="K75" s="83"/>
      <c r="L75" s="85"/>
      <c r="M75" s="86"/>
      <c r="N75" s="83"/>
      <c r="O75" s="83"/>
    </row>
    <row r="76" s="20" customFormat="1" ht="15" spans="1:15">
      <c r="A76" s="83"/>
      <c r="B76" s="84"/>
      <c r="C76" s="83"/>
      <c r="D76" s="83"/>
      <c r="E76" s="83"/>
      <c r="F76" s="83"/>
      <c r="G76" s="83"/>
      <c r="H76" s="83"/>
      <c r="I76" s="83"/>
      <c r="J76" s="83"/>
      <c r="K76" s="83"/>
      <c r="L76" s="85"/>
      <c r="M76" s="86"/>
      <c r="N76" s="83"/>
      <c r="O76" s="83"/>
    </row>
    <row r="77" s="20" customFormat="1" ht="15" spans="1:15">
      <c r="A77" s="83"/>
      <c r="B77" s="84"/>
      <c r="C77" s="83"/>
      <c r="D77" s="83"/>
      <c r="E77" s="83"/>
      <c r="F77" s="83"/>
      <c r="G77" s="83"/>
      <c r="H77" s="83"/>
      <c r="I77" s="83"/>
      <c r="J77" s="83"/>
      <c r="K77" s="83"/>
      <c r="L77" s="85"/>
      <c r="M77" s="86"/>
      <c r="N77" s="83"/>
      <c r="O77" s="83"/>
    </row>
    <row r="78" s="20" customFormat="1" ht="15" spans="1:15">
      <c r="A78" s="83"/>
      <c r="B78" s="84"/>
      <c r="C78" s="83"/>
      <c r="D78" s="83"/>
      <c r="E78" s="83"/>
      <c r="F78" s="83"/>
      <c r="G78" s="83"/>
      <c r="H78" s="83"/>
      <c r="I78" s="83"/>
      <c r="J78" s="83"/>
      <c r="K78" s="83"/>
      <c r="L78" s="85"/>
      <c r="M78" s="86"/>
      <c r="N78" s="83"/>
      <c r="O78" s="83"/>
    </row>
    <row r="79" s="20" customFormat="1" ht="15" spans="1:15">
      <c r="A79" s="83"/>
      <c r="B79" s="84"/>
      <c r="C79" s="83"/>
      <c r="D79" s="83"/>
      <c r="E79" s="83"/>
      <c r="F79" s="83"/>
      <c r="G79" s="83"/>
      <c r="H79" s="83"/>
      <c r="I79" s="83"/>
      <c r="J79" s="83"/>
      <c r="K79" s="83"/>
      <c r="L79" s="85"/>
      <c r="M79" s="86"/>
      <c r="N79" s="83"/>
      <c r="O79" s="83"/>
    </row>
    <row r="80" s="20" customFormat="1" ht="15" spans="1:15">
      <c r="A80" s="83"/>
      <c r="B80" s="84"/>
      <c r="C80" s="83"/>
      <c r="D80" s="83"/>
      <c r="E80" s="83"/>
      <c r="F80" s="83"/>
      <c r="G80" s="83"/>
      <c r="H80" s="83"/>
      <c r="I80" s="83"/>
      <c r="J80" s="83"/>
      <c r="K80" s="83"/>
      <c r="L80" s="85"/>
      <c r="M80" s="86"/>
      <c r="N80" s="83"/>
      <c r="O80" s="83"/>
    </row>
    <row r="81" s="20" customFormat="1" ht="15" spans="1:15">
      <c r="A81" s="83"/>
      <c r="B81" s="84"/>
      <c r="C81" s="83"/>
      <c r="D81" s="83"/>
      <c r="E81" s="83"/>
      <c r="F81" s="83"/>
      <c r="G81" s="83"/>
      <c r="H81" s="83"/>
      <c r="I81" s="83"/>
      <c r="J81" s="83"/>
      <c r="K81" s="83"/>
      <c r="L81" s="85"/>
      <c r="M81" s="86"/>
      <c r="N81" s="83"/>
      <c r="O81" s="83"/>
    </row>
    <row r="82" s="20" customFormat="1" ht="15" spans="1:15">
      <c r="A82" s="83"/>
      <c r="B82" s="84"/>
      <c r="C82" s="83"/>
      <c r="D82" s="83"/>
      <c r="E82" s="83"/>
      <c r="F82" s="83"/>
      <c r="G82" s="83"/>
      <c r="H82" s="83"/>
      <c r="I82" s="83"/>
      <c r="J82" s="83"/>
      <c r="K82" s="83"/>
      <c r="L82" s="85"/>
      <c r="M82" s="86"/>
      <c r="N82" s="83"/>
      <c r="O82" s="83"/>
    </row>
    <row r="83" s="20" customFormat="1" ht="15" spans="1:15">
      <c r="A83" s="83"/>
      <c r="B83" s="84"/>
      <c r="C83" s="83"/>
      <c r="D83" s="83"/>
      <c r="E83" s="83"/>
      <c r="F83" s="83"/>
      <c r="G83" s="83"/>
      <c r="H83" s="83"/>
      <c r="I83" s="83"/>
      <c r="J83" s="83"/>
      <c r="K83" s="83"/>
      <c r="L83" s="85"/>
      <c r="M83" s="86"/>
      <c r="N83" s="83"/>
      <c r="O83" s="83"/>
    </row>
    <row r="84" s="20" customFormat="1" ht="15" spans="1:15">
      <c r="A84" s="83"/>
      <c r="B84" s="84"/>
      <c r="C84" s="83"/>
      <c r="D84" s="83"/>
      <c r="E84" s="83"/>
      <c r="F84" s="83"/>
      <c r="G84" s="83"/>
      <c r="H84" s="83"/>
      <c r="I84" s="83"/>
      <c r="J84" s="83"/>
      <c r="K84" s="83"/>
      <c r="L84" s="85"/>
      <c r="M84" s="86"/>
      <c r="N84" s="83"/>
      <c r="O84" s="83"/>
    </row>
    <row r="85" s="20" customFormat="1" ht="15" spans="1:15">
      <c r="A85" s="83"/>
      <c r="B85" s="84"/>
      <c r="C85" s="83"/>
      <c r="D85" s="83"/>
      <c r="E85" s="83"/>
      <c r="F85" s="83"/>
      <c r="G85" s="83"/>
      <c r="H85" s="83"/>
      <c r="I85" s="83"/>
      <c r="J85" s="83"/>
      <c r="K85" s="83"/>
      <c r="L85" s="85"/>
      <c r="M85" s="86"/>
      <c r="N85" s="83"/>
      <c r="O85" s="83"/>
    </row>
    <row r="86" s="20" customFormat="1" ht="15" spans="1:15">
      <c r="A86" s="83"/>
      <c r="B86" s="84"/>
      <c r="C86" s="83"/>
      <c r="D86" s="83"/>
      <c r="E86" s="83"/>
      <c r="F86" s="83"/>
      <c r="G86" s="83"/>
      <c r="H86" s="83"/>
      <c r="I86" s="83"/>
      <c r="J86" s="83"/>
      <c r="K86" s="83"/>
      <c r="L86" s="85"/>
      <c r="M86" s="86"/>
      <c r="N86" s="83"/>
      <c r="O86" s="83"/>
    </row>
    <row r="87" s="20" customFormat="1" ht="15" spans="1:15">
      <c r="A87" s="83"/>
      <c r="B87" s="84"/>
      <c r="C87" s="83"/>
      <c r="D87" s="83"/>
      <c r="E87" s="83"/>
      <c r="F87" s="83"/>
      <c r="G87" s="83"/>
      <c r="H87" s="83"/>
      <c r="I87" s="83"/>
      <c r="J87" s="83"/>
      <c r="K87" s="83"/>
      <c r="L87" s="85"/>
      <c r="M87" s="86"/>
      <c r="N87" s="83"/>
      <c r="O87" s="83"/>
    </row>
    <row r="88" s="20" customFormat="1" ht="15" spans="1:15">
      <c r="A88" s="83"/>
      <c r="B88" s="84"/>
      <c r="C88" s="83"/>
      <c r="D88" s="83"/>
      <c r="E88" s="83"/>
      <c r="F88" s="83"/>
      <c r="G88" s="83"/>
      <c r="H88" s="83"/>
      <c r="I88" s="83"/>
      <c r="J88" s="83"/>
      <c r="K88" s="83"/>
      <c r="L88" s="85"/>
      <c r="M88" s="86"/>
      <c r="N88" s="83"/>
      <c r="O88" s="83"/>
    </row>
    <row r="89" s="20" customFormat="1" ht="15" spans="1:15">
      <c r="A89" s="83"/>
      <c r="B89" s="84"/>
      <c r="C89" s="83"/>
      <c r="D89" s="83"/>
      <c r="E89" s="83"/>
      <c r="F89" s="83"/>
      <c r="G89" s="83"/>
      <c r="H89" s="83"/>
      <c r="I89" s="83"/>
      <c r="J89" s="83"/>
      <c r="K89" s="83"/>
      <c r="L89" s="85"/>
      <c r="M89" s="86"/>
      <c r="N89" s="83"/>
      <c r="O89" s="83"/>
    </row>
    <row r="90" s="20" customFormat="1" ht="15" spans="1:15">
      <c r="A90" s="83"/>
      <c r="B90" s="84"/>
      <c r="C90" s="83"/>
      <c r="D90" s="83"/>
      <c r="E90" s="83"/>
      <c r="F90" s="83"/>
      <c r="G90" s="83"/>
      <c r="H90" s="83"/>
      <c r="I90" s="83"/>
      <c r="J90" s="83"/>
      <c r="K90" s="83"/>
      <c r="L90" s="85"/>
      <c r="M90" s="86"/>
      <c r="N90" s="83"/>
      <c r="O90" s="83"/>
    </row>
    <row r="91" s="20" customFormat="1" ht="15" spans="1:15">
      <c r="A91" s="83"/>
      <c r="B91" s="84"/>
      <c r="C91" s="83"/>
      <c r="D91" s="83"/>
      <c r="E91" s="83"/>
      <c r="F91" s="83"/>
      <c r="G91" s="83"/>
      <c r="H91" s="83"/>
      <c r="I91" s="83"/>
      <c r="J91" s="83"/>
      <c r="K91" s="83"/>
      <c r="L91" s="85"/>
      <c r="M91" s="86"/>
      <c r="N91" s="83"/>
      <c r="O91" s="83"/>
    </row>
    <row r="92" s="20" customFormat="1" ht="15" spans="1:15">
      <c r="A92" s="83"/>
      <c r="B92" s="84"/>
      <c r="C92" s="83"/>
      <c r="D92" s="83"/>
      <c r="E92" s="83"/>
      <c r="F92" s="83"/>
      <c r="G92" s="83"/>
      <c r="H92" s="83"/>
      <c r="I92" s="83"/>
      <c r="J92" s="83"/>
      <c r="K92" s="83"/>
      <c r="L92" s="85"/>
      <c r="M92" s="86"/>
      <c r="N92" s="83"/>
      <c r="O92" s="83"/>
    </row>
    <row r="93" s="20" customFormat="1" ht="15" spans="1:15">
      <c r="A93" s="83"/>
      <c r="B93" s="84"/>
      <c r="C93" s="83"/>
      <c r="D93" s="83"/>
      <c r="E93" s="83"/>
      <c r="F93" s="83"/>
      <c r="G93" s="83"/>
      <c r="H93" s="83"/>
      <c r="I93" s="83"/>
      <c r="J93" s="83"/>
      <c r="K93" s="83"/>
      <c r="L93" s="85"/>
      <c r="M93" s="86"/>
      <c r="N93" s="83"/>
      <c r="O93" s="83"/>
    </row>
    <row r="94" s="20" customFormat="1" ht="15" spans="1:15">
      <c r="A94" s="83"/>
      <c r="B94" s="84"/>
      <c r="C94" s="83"/>
      <c r="D94" s="83"/>
      <c r="E94" s="83"/>
      <c r="F94" s="83"/>
      <c r="G94" s="83"/>
      <c r="H94" s="83"/>
      <c r="I94" s="83"/>
      <c r="J94" s="83"/>
      <c r="K94" s="83"/>
      <c r="L94" s="85"/>
      <c r="M94" s="86"/>
      <c r="N94" s="83"/>
      <c r="O94" s="83"/>
    </row>
    <row r="95" s="20" customFormat="1" ht="15" spans="1:15">
      <c r="A95" s="83"/>
      <c r="B95" s="84"/>
      <c r="C95" s="83"/>
      <c r="D95" s="83"/>
      <c r="E95" s="83"/>
      <c r="F95" s="83"/>
      <c r="G95" s="83"/>
      <c r="H95" s="83"/>
      <c r="I95" s="83"/>
      <c r="J95" s="83"/>
      <c r="K95" s="83"/>
      <c r="L95" s="85"/>
      <c r="M95" s="86"/>
      <c r="N95" s="83"/>
      <c r="O95" s="83"/>
    </row>
    <row r="96" s="20" customFormat="1" ht="15" spans="1:15">
      <c r="A96" s="83"/>
      <c r="B96" s="84"/>
      <c r="C96" s="83"/>
      <c r="D96" s="83"/>
      <c r="E96" s="83"/>
      <c r="F96" s="83"/>
      <c r="G96" s="83"/>
      <c r="H96" s="83"/>
      <c r="I96" s="83"/>
      <c r="J96" s="83"/>
      <c r="K96" s="83"/>
      <c r="L96" s="85"/>
      <c r="M96" s="86"/>
      <c r="N96" s="83"/>
      <c r="O96" s="83"/>
    </row>
    <row r="97" s="20" customFormat="1" ht="15" spans="1:15">
      <c r="A97" s="83"/>
      <c r="B97" s="84"/>
      <c r="C97" s="83"/>
      <c r="D97" s="83"/>
      <c r="E97" s="83"/>
      <c r="F97" s="83"/>
      <c r="G97" s="83"/>
      <c r="H97" s="83"/>
      <c r="I97" s="83"/>
      <c r="J97" s="83"/>
      <c r="K97" s="83"/>
      <c r="L97" s="85"/>
      <c r="M97" s="86"/>
      <c r="N97" s="83"/>
      <c r="O97" s="83"/>
    </row>
    <row r="98" s="20" customFormat="1" ht="15" spans="1:15">
      <c r="A98" s="83"/>
      <c r="B98" s="84"/>
      <c r="C98" s="83"/>
      <c r="D98" s="83"/>
      <c r="E98" s="83"/>
      <c r="F98" s="83"/>
      <c r="G98" s="83"/>
      <c r="H98" s="83"/>
      <c r="I98" s="83"/>
      <c r="J98" s="83"/>
      <c r="K98" s="83"/>
      <c r="L98" s="85"/>
      <c r="M98" s="86"/>
      <c r="N98" s="83"/>
      <c r="O98" s="83"/>
    </row>
    <row r="99" s="20" customFormat="1" ht="15" spans="1:15">
      <c r="A99" s="83"/>
      <c r="B99" s="84"/>
      <c r="C99" s="83"/>
      <c r="D99" s="83"/>
      <c r="E99" s="83"/>
      <c r="F99" s="83"/>
      <c r="G99" s="83"/>
      <c r="H99" s="83"/>
      <c r="I99" s="83"/>
      <c r="J99" s="83"/>
      <c r="K99" s="83"/>
      <c r="L99" s="85"/>
      <c r="M99" s="86"/>
      <c r="N99" s="83"/>
      <c r="O99" s="83"/>
    </row>
    <row r="100" s="20" customFormat="1" ht="15" spans="1:15">
      <c r="A100" s="83"/>
      <c r="B100" s="84"/>
      <c r="C100" s="83"/>
      <c r="D100" s="83"/>
      <c r="E100" s="83"/>
      <c r="F100" s="83"/>
      <c r="G100" s="83"/>
      <c r="H100" s="83"/>
      <c r="I100" s="83"/>
      <c r="J100" s="83"/>
      <c r="K100" s="83"/>
      <c r="L100" s="85"/>
      <c r="M100" s="86"/>
      <c r="N100" s="83"/>
      <c r="O100" s="83"/>
    </row>
    <row r="101" s="20" customFormat="1" ht="15" spans="1:15">
      <c r="A101" s="83"/>
      <c r="B101" s="84"/>
      <c r="C101" s="83"/>
      <c r="D101" s="83"/>
      <c r="E101" s="83"/>
      <c r="F101" s="83"/>
      <c r="G101" s="83"/>
      <c r="H101" s="83"/>
      <c r="I101" s="83"/>
      <c r="J101" s="83"/>
      <c r="K101" s="83"/>
      <c r="L101" s="85"/>
      <c r="M101" s="86"/>
      <c r="N101" s="83"/>
      <c r="O101" s="83"/>
    </row>
    <row r="102" s="20" customFormat="1" ht="15" spans="1:15">
      <c r="A102" s="83"/>
      <c r="B102" s="84"/>
      <c r="C102" s="83"/>
      <c r="D102" s="83"/>
      <c r="E102" s="83"/>
      <c r="F102" s="83"/>
      <c r="G102" s="83"/>
      <c r="H102" s="83"/>
      <c r="I102" s="83"/>
      <c r="J102" s="83"/>
      <c r="K102" s="83"/>
      <c r="L102" s="85"/>
      <c r="M102" s="86"/>
      <c r="N102" s="83"/>
      <c r="O102" s="83"/>
    </row>
    <row r="103" s="20" customFormat="1" ht="15" spans="1:15">
      <c r="A103" s="83"/>
      <c r="B103" s="84"/>
      <c r="C103" s="83"/>
      <c r="D103" s="83"/>
      <c r="E103" s="83"/>
      <c r="F103" s="83"/>
      <c r="G103" s="83"/>
      <c r="H103" s="83"/>
      <c r="I103" s="83"/>
      <c r="J103" s="83"/>
      <c r="K103" s="83"/>
      <c r="L103" s="85"/>
      <c r="M103" s="86"/>
      <c r="N103" s="83"/>
      <c r="O103" s="83"/>
    </row>
    <row r="104" s="20" customFormat="1" ht="15" spans="1:15">
      <c r="A104" s="83"/>
      <c r="B104" s="84"/>
      <c r="C104" s="83"/>
      <c r="D104" s="83"/>
      <c r="E104" s="83"/>
      <c r="F104" s="83"/>
      <c r="G104" s="83"/>
      <c r="H104" s="83"/>
      <c r="I104" s="83"/>
      <c r="J104" s="83"/>
      <c r="K104" s="83"/>
      <c r="L104" s="85"/>
      <c r="M104" s="86"/>
      <c r="N104" s="83"/>
      <c r="O104" s="83"/>
    </row>
    <row r="105" s="20" customFormat="1" ht="15" spans="1:15">
      <c r="A105" s="83"/>
      <c r="B105" s="84"/>
      <c r="C105" s="83"/>
      <c r="D105" s="83"/>
      <c r="E105" s="83"/>
      <c r="F105" s="83"/>
      <c r="G105" s="83"/>
      <c r="H105" s="83"/>
      <c r="I105" s="83"/>
      <c r="J105" s="83"/>
      <c r="K105" s="83"/>
      <c r="L105" s="85"/>
      <c r="M105" s="86"/>
      <c r="N105" s="83"/>
      <c r="O105" s="83"/>
    </row>
    <row r="106" s="20" customFormat="1" ht="15" spans="1:15">
      <c r="A106" s="83"/>
      <c r="B106" s="84"/>
      <c r="C106" s="83"/>
      <c r="D106" s="83"/>
      <c r="E106" s="83"/>
      <c r="F106" s="83"/>
      <c r="G106" s="83"/>
      <c r="H106" s="83"/>
      <c r="I106" s="83"/>
      <c r="J106" s="83"/>
      <c r="K106" s="83"/>
      <c r="L106" s="85"/>
      <c r="M106" s="86"/>
      <c r="N106" s="83"/>
      <c r="O106" s="83"/>
    </row>
    <row r="107" s="20" customFormat="1" ht="15" spans="1:15">
      <c r="A107" s="83"/>
      <c r="B107" s="84"/>
      <c r="C107" s="83"/>
      <c r="D107" s="83"/>
      <c r="E107" s="83"/>
      <c r="F107" s="83"/>
      <c r="G107" s="83"/>
      <c r="H107" s="83"/>
      <c r="I107" s="83"/>
      <c r="J107" s="83"/>
      <c r="K107" s="83"/>
      <c r="L107" s="85"/>
      <c r="M107" s="86"/>
      <c r="N107" s="83"/>
      <c r="O107" s="83"/>
    </row>
    <row r="108" s="20" customFormat="1" ht="15" spans="1:15">
      <c r="A108" s="83"/>
      <c r="B108" s="84"/>
      <c r="C108" s="83"/>
      <c r="D108" s="83"/>
      <c r="E108" s="83"/>
      <c r="F108" s="83"/>
      <c r="G108" s="83"/>
      <c r="H108" s="83"/>
      <c r="I108" s="83"/>
      <c r="J108" s="83"/>
      <c r="K108" s="83"/>
      <c r="L108" s="85"/>
      <c r="M108" s="86"/>
      <c r="N108" s="83"/>
      <c r="O108" s="83"/>
    </row>
    <row r="109" s="20" customFormat="1" ht="15" spans="1:15">
      <c r="A109" s="83"/>
      <c r="B109" s="84"/>
      <c r="C109" s="83"/>
      <c r="D109" s="83"/>
      <c r="E109" s="83"/>
      <c r="F109" s="83"/>
      <c r="G109" s="83"/>
      <c r="H109" s="83"/>
      <c r="I109" s="83"/>
      <c r="J109" s="83"/>
      <c r="K109" s="83"/>
      <c r="L109" s="85"/>
      <c r="M109" s="86"/>
      <c r="N109" s="83"/>
      <c r="O109" s="83"/>
    </row>
    <row r="110" s="20" customFormat="1" ht="15" spans="1:15">
      <c r="A110" s="83"/>
      <c r="B110" s="84"/>
      <c r="C110" s="83"/>
      <c r="D110" s="83"/>
      <c r="E110" s="83"/>
      <c r="F110" s="83"/>
      <c r="G110" s="83"/>
      <c r="H110" s="83"/>
      <c r="I110" s="83"/>
      <c r="J110" s="83"/>
      <c r="K110" s="83"/>
      <c r="L110" s="85"/>
      <c r="M110" s="86"/>
      <c r="N110" s="83"/>
      <c r="O110" s="83"/>
    </row>
    <row r="111" s="20" customFormat="1" ht="15" spans="1:15">
      <c r="A111" s="83"/>
      <c r="B111" s="84"/>
      <c r="C111" s="83"/>
      <c r="D111" s="83"/>
      <c r="E111" s="83"/>
      <c r="F111" s="83"/>
      <c r="G111" s="83"/>
      <c r="H111" s="83"/>
      <c r="I111" s="83"/>
      <c r="J111" s="83"/>
      <c r="K111" s="83"/>
      <c r="L111" s="85"/>
      <c r="M111" s="86"/>
      <c r="N111" s="83"/>
      <c r="O111" s="83"/>
    </row>
    <row r="112" s="20" customFormat="1" ht="15" spans="1:15">
      <c r="A112" s="83"/>
      <c r="B112" s="84"/>
      <c r="C112" s="83"/>
      <c r="D112" s="83"/>
      <c r="E112" s="83"/>
      <c r="F112" s="83"/>
      <c r="G112" s="83"/>
      <c r="H112" s="83"/>
      <c r="I112" s="83"/>
      <c r="J112" s="83"/>
      <c r="K112" s="83"/>
      <c r="L112" s="85"/>
      <c r="M112" s="86"/>
      <c r="N112" s="83"/>
      <c r="O112" s="83"/>
    </row>
    <row r="113" s="20" customFormat="1" ht="15" spans="1:15">
      <c r="A113" s="83"/>
      <c r="B113" s="84"/>
      <c r="C113" s="83"/>
      <c r="D113" s="83"/>
      <c r="E113" s="83"/>
      <c r="F113" s="83"/>
      <c r="G113" s="83"/>
      <c r="H113" s="83"/>
      <c r="I113" s="83"/>
      <c r="J113" s="83"/>
      <c r="K113" s="83"/>
      <c r="L113" s="85"/>
      <c r="M113" s="86"/>
      <c r="N113" s="83"/>
      <c r="O113" s="83"/>
    </row>
    <row r="114" s="20" customFormat="1" ht="15" spans="1:15">
      <c r="A114" s="83"/>
      <c r="B114" s="84"/>
      <c r="C114" s="83"/>
      <c r="D114" s="83"/>
      <c r="E114" s="83"/>
      <c r="F114" s="83"/>
      <c r="G114" s="83"/>
      <c r="H114" s="83"/>
      <c r="I114" s="83"/>
      <c r="J114" s="83"/>
      <c r="K114" s="83"/>
      <c r="L114" s="85"/>
      <c r="M114" s="86"/>
      <c r="N114" s="83"/>
      <c r="O114" s="83"/>
    </row>
    <row r="115" s="20" customFormat="1" ht="15" spans="1:15">
      <c r="A115" s="83"/>
      <c r="B115" s="84"/>
      <c r="C115" s="83"/>
      <c r="D115" s="83"/>
      <c r="E115" s="83"/>
      <c r="F115" s="83"/>
      <c r="G115" s="83"/>
      <c r="H115" s="83"/>
      <c r="I115" s="83"/>
      <c r="J115" s="83"/>
      <c r="K115" s="83"/>
      <c r="L115" s="85"/>
      <c r="M115" s="86"/>
      <c r="N115" s="83"/>
      <c r="O115" s="83"/>
    </row>
    <row r="116" s="20" customFormat="1" ht="15" spans="1:15">
      <c r="A116" s="83"/>
      <c r="B116" s="84"/>
      <c r="C116" s="83"/>
      <c r="D116" s="83"/>
      <c r="E116" s="83"/>
      <c r="F116" s="83"/>
      <c r="G116" s="83"/>
      <c r="H116" s="83"/>
      <c r="I116" s="83"/>
      <c r="J116" s="83"/>
      <c r="K116" s="83"/>
      <c r="L116" s="85"/>
      <c r="M116" s="86"/>
      <c r="N116" s="83"/>
      <c r="O116" s="83"/>
    </row>
    <row r="117" s="20" customFormat="1" ht="15" spans="1:15">
      <c r="A117" s="83"/>
      <c r="B117" s="84"/>
      <c r="C117" s="83"/>
      <c r="D117" s="83"/>
      <c r="E117" s="83"/>
      <c r="F117" s="83"/>
      <c r="G117" s="83"/>
      <c r="H117" s="83"/>
      <c r="I117" s="83"/>
      <c r="J117" s="83"/>
      <c r="K117" s="83"/>
      <c r="L117" s="85"/>
      <c r="M117" s="86"/>
      <c r="N117" s="83"/>
      <c r="O117" s="83"/>
    </row>
    <row r="118" s="20" customFormat="1" ht="15" spans="1:15">
      <c r="A118" s="83"/>
      <c r="B118" s="84"/>
      <c r="C118" s="83"/>
      <c r="D118" s="83"/>
      <c r="E118" s="83"/>
      <c r="F118" s="83"/>
      <c r="G118" s="83"/>
      <c r="H118" s="83"/>
      <c r="I118" s="83"/>
      <c r="J118" s="83"/>
      <c r="K118" s="83"/>
      <c r="L118" s="85"/>
      <c r="M118" s="86"/>
      <c r="N118" s="83"/>
      <c r="O118" s="83"/>
    </row>
    <row r="119" s="20" customFormat="1" ht="15" spans="1:15">
      <c r="A119" s="83"/>
      <c r="B119" s="84"/>
      <c r="C119" s="83"/>
      <c r="D119" s="83"/>
      <c r="E119" s="83"/>
      <c r="F119" s="83"/>
      <c r="G119" s="83"/>
      <c r="H119" s="83"/>
      <c r="I119" s="83"/>
      <c r="J119" s="83"/>
      <c r="K119" s="83"/>
      <c r="L119" s="85"/>
      <c r="M119" s="86"/>
      <c r="N119" s="83"/>
      <c r="O119" s="83"/>
    </row>
    <row r="120" s="20" customFormat="1" ht="15" spans="1:15">
      <c r="A120" s="83"/>
      <c r="B120" s="84"/>
      <c r="C120" s="83"/>
      <c r="D120" s="83"/>
      <c r="E120" s="83"/>
      <c r="F120" s="83"/>
      <c r="G120" s="83"/>
      <c r="H120" s="83"/>
      <c r="I120" s="83"/>
      <c r="J120" s="83"/>
      <c r="K120" s="83"/>
      <c r="L120" s="85"/>
      <c r="M120" s="86"/>
      <c r="N120" s="83"/>
      <c r="O120" s="83"/>
    </row>
    <row r="121" s="20" customFormat="1" ht="15" spans="1:15">
      <c r="A121" s="83"/>
      <c r="B121" s="84"/>
      <c r="C121" s="83"/>
      <c r="D121" s="83"/>
      <c r="E121" s="83"/>
      <c r="F121" s="83"/>
      <c r="G121" s="83"/>
      <c r="H121" s="83"/>
      <c r="I121" s="83"/>
      <c r="J121" s="83"/>
      <c r="K121" s="83"/>
      <c r="L121" s="85"/>
      <c r="M121" s="86"/>
      <c r="N121" s="83"/>
      <c r="O121" s="83"/>
    </row>
    <row r="122" s="20" customFormat="1" ht="15" spans="1:15">
      <c r="A122" s="83"/>
      <c r="B122" s="84"/>
      <c r="C122" s="83"/>
      <c r="D122" s="83"/>
      <c r="E122" s="83"/>
      <c r="F122" s="83"/>
      <c r="G122" s="83"/>
      <c r="H122" s="83"/>
      <c r="I122" s="83"/>
      <c r="J122" s="83"/>
      <c r="K122" s="83"/>
      <c r="L122" s="85"/>
      <c r="M122" s="86"/>
      <c r="N122" s="83"/>
      <c r="O122" s="83"/>
    </row>
    <row r="123" s="20" customFormat="1" ht="15" spans="1:15">
      <c r="A123" s="83"/>
      <c r="B123" s="84"/>
      <c r="C123" s="83"/>
      <c r="D123" s="83"/>
      <c r="E123" s="83"/>
      <c r="F123" s="83"/>
      <c r="G123" s="83"/>
      <c r="H123" s="83"/>
      <c r="I123" s="83"/>
      <c r="J123" s="83"/>
      <c r="K123" s="83"/>
      <c r="L123" s="85"/>
      <c r="M123" s="86"/>
      <c r="N123" s="83"/>
      <c r="O123" s="83"/>
    </row>
    <row r="124" s="20" customFormat="1" ht="15" spans="1:15">
      <c r="A124" s="83"/>
      <c r="B124" s="84"/>
      <c r="C124" s="83"/>
      <c r="D124" s="83"/>
      <c r="E124" s="83"/>
      <c r="F124" s="83"/>
      <c r="G124" s="83"/>
      <c r="H124" s="83"/>
      <c r="I124" s="83"/>
      <c r="J124" s="83"/>
      <c r="K124" s="83"/>
      <c r="L124" s="85"/>
      <c r="M124" s="86"/>
      <c r="N124" s="83"/>
      <c r="O124" s="83"/>
    </row>
    <row r="125" s="20" customFormat="1" ht="15" spans="1:15">
      <c r="A125" s="83"/>
      <c r="B125" s="84"/>
      <c r="C125" s="83"/>
      <c r="D125" s="83"/>
      <c r="E125" s="83"/>
      <c r="F125" s="83"/>
      <c r="G125" s="83"/>
      <c r="H125" s="83"/>
      <c r="I125" s="83"/>
      <c r="J125" s="83"/>
      <c r="K125" s="83"/>
      <c r="L125" s="85"/>
      <c r="M125" s="86"/>
      <c r="N125" s="83"/>
      <c r="O125" s="83"/>
    </row>
    <row r="126" s="20" customFormat="1" ht="15" spans="1:15">
      <c r="A126" s="83"/>
      <c r="B126" s="84"/>
      <c r="C126" s="83"/>
      <c r="D126" s="83"/>
      <c r="E126" s="83"/>
      <c r="F126" s="83"/>
      <c r="G126" s="83"/>
      <c r="H126" s="83"/>
      <c r="I126" s="83"/>
      <c r="J126" s="83"/>
      <c r="K126" s="83"/>
      <c r="L126" s="85"/>
      <c r="M126" s="86"/>
      <c r="N126" s="83"/>
      <c r="O126" s="83"/>
    </row>
    <row r="127" s="20" customFormat="1" ht="15" spans="1:15">
      <c r="A127" s="83"/>
      <c r="B127" s="84"/>
      <c r="C127" s="83"/>
      <c r="D127" s="83"/>
      <c r="E127" s="83"/>
      <c r="F127" s="83"/>
      <c r="G127" s="83"/>
      <c r="H127" s="83"/>
      <c r="I127" s="83"/>
      <c r="J127" s="83"/>
      <c r="K127" s="83"/>
      <c r="L127" s="85"/>
      <c r="M127" s="86"/>
      <c r="N127" s="83"/>
      <c r="O127" s="83"/>
    </row>
    <row r="128" s="20" customFormat="1" ht="15" spans="1:15">
      <c r="A128" s="83"/>
      <c r="B128" s="84"/>
      <c r="C128" s="83"/>
      <c r="D128" s="83"/>
      <c r="E128" s="83"/>
      <c r="F128" s="83"/>
      <c r="G128" s="83"/>
      <c r="H128" s="83"/>
      <c r="I128" s="83"/>
      <c r="J128" s="83"/>
      <c r="K128" s="83"/>
      <c r="L128" s="85"/>
      <c r="M128" s="86"/>
      <c r="N128" s="83"/>
      <c r="O128" s="83"/>
    </row>
    <row r="129" s="20" customFormat="1" ht="15" spans="1:15">
      <c r="A129" s="83"/>
      <c r="B129" s="84"/>
      <c r="C129" s="83"/>
      <c r="D129" s="83"/>
      <c r="E129" s="83"/>
      <c r="F129" s="83"/>
      <c r="G129" s="83"/>
      <c r="H129" s="83"/>
      <c r="I129" s="83"/>
      <c r="J129" s="83"/>
      <c r="K129" s="83"/>
      <c r="L129" s="85"/>
      <c r="M129" s="86"/>
      <c r="N129" s="83"/>
      <c r="O129" s="83"/>
    </row>
    <row r="130" s="20" customFormat="1" ht="15" spans="1:15">
      <c r="A130" s="83"/>
      <c r="B130" s="84"/>
      <c r="C130" s="83"/>
      <c r="D130" s="83"/>
      <c r="E130" s="83"/>
      <c r="F130" s="83"/>
      <c r="G130" s="83"/>
      <c r="H130" s="83"/>
      <c r="I130" s="83"/>
      <c r="J130" s="83"/>
      <c r="K130" s="83"/>
      <c r="L130" s="85"/>
      <c r="M130" s="86"/>
      <c r="N130" s="83"/>
      <c r="O130" s="83"/>
    </row>
    <row r="131" s="20" customFormat="1" ht="15" spans="1:15">
      <c r="A131" s="83"/>
      <c r="B131" s="84"/>
      <c r="C131" s="83"/>
      <c r="D131" s="83"/>
      <c r="E131" s="83"/>
      <c r="F131" s="83"/>
      <c r="G131" s="83"/>
      <c r="H131" s="83"/>
      <c r="I131" s="83"/>
      <c r="J131" s="83"/>
      <c r="K131" s="83"/>
      <c r="L131" s="85"/>
      <c r="M131" s="86"/>
      <c r="N131" s="83"/>
      <c r="O131" s="83"/>
    </row>
    <row r="132" s="20" customFormat="1" ht="15" spans="1:15">
      <c r="A132" s="83"/>
      <c r="B132" s="84"/>
      <c r="C132" s="83"/>
      <c r="D132" s="83"/>
      <c r="E132" s="83"/>
      <c r="F132" s="83"/>
      <c r="G132" s="83"/>
      <c r="H132" s="83"/>
      <c r="I132" s="83"/>
      <c r="J132" s="83"/>
      <c r="K132" s="83"/>
      <c r="L132" s="85"/>
      <c r="M132" s="86"/>
      <c r="N132" s="83"/>
      <c r="O132" s="83"/>
    </row>
    <row r="133" s="20" customFormat="1" ht="15" spans="1:15">
      <c r="A133" s="83"/>
      <c r="B133" s="84"/>
      <c r="C133" s="83"/>
      <c r="D133" s="83"/>
      <c r="E133" s="83"/>
      <c r="F133" s="83"/>
      <c r="G133" s="83"/>
      <c r="H133" s="83"/>
      <c r="I133" s="83"/>
      <c r="J133" s="83"/>
      <c r="K133" s="83"/>
      <c r="L133" s="85"/>
      <c r="M133" s="86"/>
      <c r="N133" s="83"/>
      <c r="O133" s="83"/>
    </row>
    <row r="134" s="20" customFormat="1" ht="15" spans="1:15">
      <c r="A134" s="83"/>
      <c r="B134" s="84"/>
      <c r="C134" s="83"/>
      <c r="D134" s="83"/>
      <c r="E134" s="83"/>
      <c r="F134" s="83"/>
      <c r="G134" s="83"/>
      <c r="H134" s="83"/>
      <c r="I134" s="83"/>
      <c r="J134" s="83"/>
      <c r="K134" s="83"/>
      <c r="L134" s="85"/>
      <c r="M134" s="86"/>
      <c r="N134" s="83"/>
      <c r="O134" s="83"/>
    </row>
    <row r="135" s="20" customFormat="1" ht="15" spans="1:15">
      <c r="A135" s="83"/>
      <c r="B135" s="84"/>
      <c r="C135" s="83"/>
      <c r="D135" s="83"/>
      <c r="E135" s="83"/>
      <c r="F135" s="83"/>
      <c r="G135" s="83"/>
      <c r="H135" s="83"/>
      <c r="I135" s="83"/>
      <c r="J135" s="83"/>
      <c r="K135" s="83"/>
      <c r="L135" s="85"/>
      <c r="M135" s="86"/>
      <c r="N135" s="83"/>
      <c r="O135" s="83"/>
    </row>
    <row r="136" s="20" customFormat="1" ht="15" spans="1:15">
      <c r="A136" s="83"/>
      <c r="B136" s="84"/>
      <c r="C136" s="83"/>
      <c r="D136" s="83"/>
      <c r="E136" s="83"/>
      <c r="F136" s="83"/>
      <c r="G136" s="83"/>
      <c r="H136" s="83"/>
      <c r="I136" s="83"/>
      <c r="J136" s="83"/>
      <c r="K136" s="83"/>
      <c r="L136" s="85"/>
      <c r="M136" s="86"/>
      <c r="N136" s="83"/>
      <c r="O136" s="83"/>
    </row>
    <row r="137" s="20" customFormat="1" ht="15" spans="1:15">
      <c r="A137" s="83"/>
      <c r="B137" s="84"/>
      <c r="C137" s="83"/>
      <c r="D137" s="83"/>
      <c r="E137" s="83"/>
      <c r="F137" s="83"/>
      <c r="G137" s="83"/>
      <c r="H137" s="83"/>
      <c r="I137" s="83"/>
      <c r="J137" s="83"/>
      <c r="K137" s="83"/>
      <c r="L137" s="85"/>
      <c r="M137" s="86"/>
      <c r="N137" s="83"/>
      <c r="O137" s="83"/>
    </row>
    <row r="138" s="20" customFormat="1" ht="15" spans="1:15">
      <c r="A138" s="83"/>
      <c r="B138" s="84"/>
      <c r="C138" s="83"/>
      <c r="D138" s="83"/>
      <c r="E138" s="83"/>
      <c r="F138" s="83"/>
      <c r="G138" s="83"/>
      <c r="H138" s="83"/>
      <c r="I138" s="83"/>
      <c r="J138" s="83"/>
      <c r="K138" s="83"/>
      <c r="L138" s="85"/>
      <c r="M138" s="86"/>
      <c r="N138" s="83"/>
      <c r="O138" s="83"/>
    </row>
    <row r="139" s="20" customFormat="1" ht="15" spans="1:15">
      <c r="A139" s="83"/>
      <c r="B139" s="84"/>
      <c r="C139" s="83"/>
      <c r="D139" s="83"/>
      <c r="E139" s="83"/>
      <c r="F139" s="83"/>
      <c r="G139" s="83"/>
      <c r="H139" s="83"/>
      <c r="I139" s="83"/>
      <c r="J139" s="83"/>
      <c r="K139" s="83"/>
      <c r="L139" s="85"/>
      <c r="M139" s="86"/>
      <c r="N139" s="83"/>
      <c r="O139" s="83"/>
    </row>
    <row r="140" s="20" customFormat="1" ht="15" spans="1:15">
      <c r="A140" s="83"/>
      <c r="B140" s="84"/>
      <c r="C140" s="83"/>
      <c r="D140" s="83"/>
      <c r="E140" s="83"/>
      <c r="F140" s="83"/>
      <c r="G140" s="83"/>
      <c r="H140" s="83"/>
      <c r="I140" s="83"/>
      <c r="J140" s="83"/>
      <c r="K140" s="83"/>
      <c r="L140" s="85"/>
      <c r="M140" s="86"/>
      <c r="N140" s="83"/>
      <c r="O140" s="83"/>
    </row>
    <row r="141" s="20" customFormat="1" ht="15" spans="1:15">
      <c r="A141" s="83"/>
      <c r="B141" s="84"/>
      <c r="C141" s="83"/>
      <c r="D141" s="83"/>
      <c r="E141" s="83"/>
      <c r="F141" s="83"/>
      <c r="G141" s="83"/>
      <c r="H141" s="83"/>
      <c r="I141" s="83"/>
      <c r="J141" s="83"/>
      <c r="K141" s="83"/>
      <c r="L141" s="85"/>
      <c r="M141" s="86"/>
      <c r="N141" s="83"/>
      <c r="O141" s="83"/>
    </row>
    <row r="142" s="20" customFormat="1" ht="15" spans="1:15">
      <c r="A142" s="83"/>
      <c r="B142" s="84"/>
      <c r="C142" s="83"/>
      <c r="D142" s="83"/>
      <c r="E142" s="83"/>
      <c r="F142" s="83"/>
      <c r="G142" s="83"/>
      <c r="H142" s="83"/>
      <c r="I142" s="83"/>
      <c r="J142" s="83"/>
      <c r="K142" s="83"/>
      <c r="L142" s="85"/>
      <c r="M142" s="86"/>
      <c r="N142" s="83"/>
      <c r="O142" s="83"/>
    </row>
    <row r="143" s="20" customFormat="1" ht="15" spans="1:15">
      <c r="A143" s="83"/>
      <c r="B143" s="84"/>
      <c r="C143" s="83"/>
      <c r="D143" s="83"/>
      <c r="E143" s="83"/>
      <c r="F143" s="83"/>
      <c r="G143" s="83"/>
      <c r="H143" s="83"/>
      <c r="I143" s="83"/>
      <c r="J143" s="83"/>
      <c r="K143" s="83"/>
      <c r="L143" s="85"/>
      <c r="M143" s="86"/>
      <c r="N143" s="83"/>
      <c r="O143" s="83"/>
    </row>
    <row r="144" s="20" customFormat="1" ht="15" spans="1:15">
      <c r="A144" s="83"/>
      <c r="B144" s="84"/>
      <c r="C144" s="83"/>
      <c r="D144" s="83"/>
      <c r="E144" s="83"/>
      <c r="F144" s="83"/>
      <c r="G144" s="83"/>
      <c r="H144" s="83"/>
      <c r="I144" s="83"/>
      <c r="J144" s="83"/>
      <c r="K144" s="83"/>
      <c r="L144" s="85"/>
      <c r="M144" s="86"/>
      <c r="N144" s="83"/>
      <c r="O144" s="83"/>
    </row>
    <row r="145" s="20" customFormat="1" ht="15" spans="1:15">
      <c r="A145" s="83"/>
      <c r="B145" s="84"/>
      <c r="C145" s="83"/>
      <c r="D145" s="83"/>
      <c r="E145" s="83"/>
      <c r="F145" s="83"/>
      <c r="G145" s="83"/>
      <c r="H145" s="83"/>
      <c r="I145" s="83"/>
      <c r="J145" s="83"/>
      <c r="K145" s="83"/>
      <c r="L145" s="85"/>
      <c r="M145" s="86"/>
      <c r="N145" s="83"/>
      <c r="O145" s="83"/>
    </row>
    <row r="146" s="20" customFormat="1" ht="15" spans="1:15">
      <c r="A146" s="83"/>
      <c r="B146" s="84"/>
      <c r="C146" s="83"/>
      <c r="D146" s="83"/>
      <c r="E146" s="83"/>
      <c r="F146" s="83"/>
      <c r="G146" s="83"/>
      <c r="H146" s="83"/>
      <c r="I146" s="83"/>
      <c r="J146" s="83"/>
      <c r="K146" s="83"/>
      <c r="L146" s="85"/>
      <c r="M146" s="86"/>
      <c r="N146" s="83"/>
      <c r="O146" s="83"/>
    </row>
    <row r="147" s="20" customFormat="1" ht="15" spans="1:15">
      <c r="A147" s="83"/>
      <c r="B147" s="84"/>
      <c r="C147" s="83"/>
      <c r="D147" s="83"/>
      <c r="E147" s="83"/>
      <c r="F147" s="83"/>
      <c r="G147" s="83"/>
      <c r="H147" s="83"/>
      <c r="I147" s="83"/>
      <c r="J147" s="83"/>
      <c r="K147" s="83"/>
      <c r="L147" s="85"/>
      <c r="M147" s="86"/>
      <c r="N147" s="83"/>
      <c r="O147" s="83"/>
    </row>
    <row r="148" s="20" customFormat="1" ht="15" spans="1:15">
      <c r="A148" s="83"/>
      <c r="B148" s="84"/>
      <c r="C148" s="83"/>
      <c r="D148" s="83"/>
      <c r="E148" s="83"/>
      <c r="F148" s="83"/>
      <c r="G148" s="83"/>
      <c r="H148" s="83"/>
      <c r="I148" s="83"/>
      <c r="J148" s="83"/>
      <c r="K148" s="83"/>
      <c r="L148" s="85"/>
      <c r="M148" s="86"/>
      <c r="N148" s="83"/>
      <c r="O148" s="83"/>
    </row>
    <row r="149" s="20" customFormat="1" ht="15" spans="1:15">
      <c r="A149" s="83"/>
      <c r="B149" s="84"/>
      <c r="C149" s="83"/>
      <c r="D149" s="83"/>
      <c r="E149" s="83"/>
      <c r="F149" s="83"/>
      <c r="G149" s="83"/>
      <c r="H149" s="83"/>
      <c r="I149" s="83"/>
      <c r="J149" s="83"/>
      <c r="K149" s="83"/>
      <c r="L149" s="85"/>
      <c r="M149" s="86"/>
      <c r="N149" s="83"/>
      <c r="O149" s="83"/>
    </row>
    <row r="150" s="20" customFormat="1" ht="15" spans="1:15">
      <c r="A150" s="83"/>
      <c r="B150" s="84"/>
      <c r="C150" s="83"/>
      <c r="D150" s="83"/>
      <c r="E150" s="83"/>
      <c r="F150" s="83"/>
      <c r="G150" s="83"/>
      <c r="H150" s="83"/>
      <c r="I150" s="83"/>
      <c r="J150" s="83"/>
      <c r="K150" s="83"/>
      <c r="L150" s="85"/>
      <c r="M150" s="86"/>
      <c r="N150" s="83"/>
      <c r="O150" s="83"/>
    </row>
    <row r="151" s="20" customFormat="1" ht="15" spans="1:15">
      <c r="A151" s="83"/>
      <c r="B151" s="84"/>
      <c r="C151" s="83"/>
      <c r="D151" s="83"/>
      <c r="E151" s="83"/>
      <c r="F151" s="83"/>
      <c r="G151" s="83"/>
      <c r="H151" s="83"/>
      <c r="I151" s="83"/>
      <c r="J151" s="83"/>
      <c r="K151" s="83"/>
      <c r="L151" s="85"/>
      <c r="M151" s="86"/>
      <c r="N151" s="83"/>
      <c r="O151" s="83"/>
    </row>
    <row r="152" s="20" customFormat="1" ht="15" spans="1:15">
      <c r="A152" s="83"/>
      <c r="B152" s="84"/>
      <c r="C152" s="83"/>
      <c r="D152" s="83"/>
      <c r="E152" s="83"/>
      <c r="F152" s="83"/>
      <c r="G152" s="83"/>
      <c r="H152" s="83"/>
      <c r="I152" s="83"/>
      <c r="J152" s="83"/>
      <c r="K152" s="83"/>
      <c r="L152" s="85"/>
      <c r="M152" s="86"/>
      <c r="N152" s="83"/>
      <c r="O152" s="83"/>
    </row>
    <row r="153" s="20" customFormat="1" ht="15" spans="1:15">
      <c r="A153" s="83"/>
      <c r="B153" s="84"/>
      <c r="C153" s="83"/>
      <c r="D153" s="83"/>
      <c r="E153" s="83"/>
      <c r="F153" s="83"/>
      <c r="G153" s="83"/>
      <c r="H153" s="83"/>
      <c r="I153" s="83"/>
      <c r="J153" s="83"/>
      <c r="K153" s="83"/>
      <c r="L153" s="85"/>
      <c r="M153" s="86"/>
      <c r="N153" s="83"/>
      <c r="O153" s="83"/>
    </row>
    <row r="154" s="20" customFormat="1" ht="15" spans="1:15">
      <c r="A154" s="83"/>
      <c r="B154" s="84"/>
      <c r="C154" s="83"/>
      <c r="D154" s="83"/>
      <c r="E154" s="83"/>
      <c r="F154" s="83"/>
      <c r="G154" s="83"/>
      <c r="H154" s="83"/>
      <c r="I154" s="83"/>
      <c r="J154" s="83"/>
      <c r="K154" s="83"/>
      <c r="L154" s="85"/>
      <c r="M154" s="86"/>
      <c r="N154" s="83"/>
      <c r="O154" s="83"/>
    </row>
    <row r="155" s="20" customFormat="1" ht="15" spans="1:15">
      <c r="A155" s="83"/>
      <c r="B155" s="84"/>
      <c r="C155" s="83"/>
      <c r="D155" s="83"/>
      <c r="E155" s="83"/>
      <c r="F155" s="83"/>
      <c r="G155" s="83"/>
      <c r="H155" s="83"/>
      <c r="I155" s="83"/>
      <c r="J155" s="83"/>
      <c r="K155" s="83"/>
      <c r="L155" s="85"/>
      <c r="M155" s="86"/>
      <c r="N155" s="83"/>
      <c r="O155" s="83"/>
    </row>
    <row r="156" s="20" customFormat="1" ht="15" spans="1:15">
      <c r="A156" s="83"/>
      <c r="B156" s="84"/>
      <c r="C156" s="83"/>
      <c r="D156" s="83"/>
      <c r="E156" s="83"/>
      <c r="F156" s="83"/>
      <c r="G156" s="83"/>
      <c r="H156" s="83"/>
      <c r="I156" s="83"/>
      <c r="J156" s="83"/>
      <c r="K156" s="83"/>
      <c r="L156" s="85"/>
      <c r="M156" s="86"/>
      <c r="N156" s="83"/>
      <c r="O156" s="83"/>
    </row>
    <row r="157" s="20" customFormat="1" ht="15" spans="1:15">
      <c r="A157" s="83"/>
      <c r="B157" s="84"/>
      <c r="C157" s="83"/>
      <c r="D157" s="83"/>
      <c r="E157" s="83"/>
      <c r="F157" s="83"/>
      <c r="G157" s="83"/>
      <c r="H157" s="83"/>
      <c r="I157" s="83"/>
      <c r="J157" s="83"/>
      <c r="K157" s="83"/>
      <c r="L157" s="85"/>
      <c r="M157" s="86"/>
      <c r="N157" s="83"/>
      <c r="O157" s="83"/>
    </row>
    <row r="158" s="20" customFormat="1" ht="15" spans="1:15">
      <c r="A158" s="83"/>
      <c r="B158" s="84"/>
      <c r="C158" s="83"/>
      <c r="D158" s="83"/>
      <c r="E158" s="83"/>
      <c r="F158" s="83"/>
      <c r="G158" s="83"/>
      <c r="H158" s="83"/>
      <c r="I158" s="83"/>
      <c r="J158" s="83"/>
      <c r="K158" s="83"/>
      <c r="L158" s="85"/>
      <c r="M158" s="86"/>
      <c r="N158" s="83"/>
      <c r="O158" s="83"/>
    </row>
    <row r="159" s="20" customFormat="1" ht="15" spans="1:15">
      <c r="A159" s="83"/>
      <c r="B159" s="84"/>
      <c r="C159" s="83"/>
      <c r="D159" s="83"/>
      <c r="E159" s="83"/>
      <c r="F159" s="83"/>
      <c r="G159" s="83"/>
      <c r="H159" s="83"/>
      <c r="I159" s="83"/>
      <c r="J159" s="83"/>
      <c r="K159" s="83"/>
      <c r="L159" s="85"/>
      <c r="M159" s="86"/>
      <c r="N159" s="83"/>
      <c r="O159" s="83"/>
    </row>
    <row r="160" s="20" customFormat="1" ht="15" spans="1:15">
      <c r="A160" s="83"/>
      <c r="B160" s="84"/>
      <c r="C160" s="83"/>
      <c r="D160" s="83"/>
      <c r="E160" s="83"/>
      <c r="F160" s="83"/>
      <c r="G160" s="83"/>
      <c r="H160" s="83"/>
      <c r="I160" s="83"/>
      <c r="J160" s="83"/>
      <c r="K160" s="83"/>
      <c r="L160" s="85"/>
      <c r="M160" s="86"/>
      <c r="N160" s="83"/>
      <c r="O160" s="83"/>
    </row>
    <row r="161" s="20" customFormat="1" ht="15" spans="1:15">
      <c r="A161" s="83"/>
      <c r="B161" s="84"/>
      <c r="C161" s="83"/>
      <c r="D161" s="83"/>
      <c r="E161" s="83"/>
      <c r="F161" s="83"/>
      <c r="G161" s="83"/>
      <c r="H161" s="83"/>
      <c r="I161" s="83"/>
      <c r="J161" s="83"/>
      <c r="K161" s="83"/>
      <c r="L161" s="85"/>
      <c r="M161" s="86"/>
      <c r="N161" s="83"/>
      <c r="O161" s="83"/>
    </row>
    <row r="162" s="20" customFormat="1" ht="15" spans="1:15">
      <c r="A162" s="83"/>
      <c r="B162" s="84"/>
      <c r="C162" s="83"/>
      <c r="D162" s="83"/>
      <c r="E162" s="83"/>
      <c r="F162" s="83"/>
      <c r="G162" s="83"/>
      <c r="H162" s="83"/>
      <c r="I162" s="83"/>
      <c r="J162" s="83"/>
      <c r="K162" s="83"/>
      <c r="L162" s="85"/>
      <c r="M162" s="86"/>
      <c r="N162" s="83"/>
      <c r="O162" s="83"/>
    </row>
    <row r="163" s="20" customFormat="1" ht="15" spans="1:15">
      <c r="A163" s="83"/>
      <c r="B163" s="84"/>
      <c r="C163" s="83"/>
      <c r="D163" s="83"/>
      <c r="E163" s="83"/>
      <c r="F163" s="83"/>
      <c r="G163" s="83"/>
      <c r="H163" s="83"/>
      <c r="I163" s="83"/>
      <c r="J163" s="83"/>
      <c r="K163" s="83"/>
      <c r="L163" s="85"/>
      <c r="M163" s="86"/>
      <c r="N163" s="83"/>
      <c r="O163" s="83"/>
    </row>
    <row r="164" s="20" customFormat="1" ht="15" spans="1:15">
      <c r="A164" s="83"/>
      <c r="B164" s="84"/>
      <c r="C164" s="83"/>
      <c r="D164" s="83"/>
      <c r="E164" s="83"/>
      <c r="F164" s="83"/>
      <c r="G164" s="83"/>
      <c r="H164" s="83"/>
      <c r="I164" s="83"/>
      <c r="J164" s="83"/>
      <c r="K164" s="83"/>
      <c r="L164" s="85"/>
      <c r="M164" s="86"/>
      <c r="N164" s="83"/>
      <c r="O164" s="83"/>
    </row>
    <row r="165" s="20" customFormat="1" ht="15" spans="1:15">
      <c r="A165" s="83"/>
      <c r="B165" s="84"/>
      <c r="C165" s="83"/>
      <c r="D165" s="83"/>
      <c r="E165" s="83"/>
      <c r="F165" s="83"/>
      <c r="G165" s="83"/>
      <c r="H165" s="83"/>
      <c r="I165" s="83"/>
      <c r="J165" s="83"/>
      <c r="K165" s="83"/>
      <c r="L165" s="85"/>
      <c r="M165" s="86"/>
      <c r="N165" s="83"/>
      <c r="O165" s="83"/>
    </row>
    <row r="166" s="20" customFormat="1" ht="15" spans="1:15">
      <c r="A166" s="83"/>
      <c r="B166" s="84"/>
      <c r="C166" s="83"/>
      <c r="D166" s="83"/>
      <c r="E166" s="83"/>
      <c r="F166" s="83"/>
      <c r="G166" s="83"/>
      <c r="H166" s="83"/>
      <c r="I166" s="83"/>
      <c r="J166" s="83"/>
      <c r="K166" s="83"/>
      <c r="L166" s="85"/>
      <c r="M166" s="86"/>
      <c r="N166" s="83"/>
      <c r="O166" s="83"/>
    </row>
    <row r="167" s="20" customFormat="1" ht="15" spans="1:15">
      <c r="A167" s="83"/>
      <c r="B167" s="84"/>
      <c r="C167" s="83"/>
      <c r="D167" s="83"/>
      <c r="E167" s="83"/>
      <c r="F167" s="83"/>
      <c r="G167" s="83"/>
      <c r="H167" s="83"/>
      <c r="I167" s="83"/>
      <c r="J167" s="83"/>
      <c r="K167" s="83"/>
      <c r="L167" s="85"/>
      <c r="M167" s="86"/>
      <c r="N167" s="83"/>
      <c r="O167" s="83"/>
    </row>
    <row r="168" s="20" customFormat="1" ht="15" spans="1:15">
      <c r="A168" s="83"/>
      <c r="B168" s="84"/>
      <c r="C168" s="83"/>
      <c r="D168" s="83"/>
      <c r="E168" s="83"/>
      <c r="F168" s="83"/>
      <c r="G168" s="83"/>
      <c r="H168" s="83"/>
      <c r="I168" s="83"/>
      <c r="J168" s="83"/>
      <c r="K168" s="83"/>
      <c r="L168" s="85"/>
      <c r="M168" s="86"/>
      <c r="N168" s="83"/>
      <c r="O168" s="83"/>
    </row>
    <row r="169" s="20" customFormat="1" ht="15" spans="1:15">
      <c r="A169" s="83"/>
      <c r="B169" s="84"/>
      <c r="C169" s="83"/>
      <c r="D169" s="83"/>
      <c r="E169" s="83"/>
      <c r="F169" s="83"/>
      <c r="G169" s="83"/>
      <c r="H169" s="83"/>
      <c r="I169" s="83"/>
      <c r="J169" s="83"/>
      <c r="K169" s="83"/>
      <c r="L169" s="85"/>
      <c r="M169" s="86"/>
      <c r="N169" s="83"/>
      <c r="O169" s="83"/>
    </row>
    <row r="170" s="20" customFormat="1" ht="15" spans="1:15">
      <c r="A170" s="83"/>
      <c r="B170" s="84"/>
      <c r="C170" s="83"/>
      <c r="D170" s="83"/>
      <c r="E170" s="83"/>
      <c r="F170" s="83"/>
      <c r="G170" s="83"/>
      <c r="H170" s="83"/>
      <c r="I170" s="83"/>
      <c r="J170" s="83"/>
      <c r="K170" s="83"/>
      <c r="L170" s="85"/>
      <c r="M170" s="86"/>
      <c r="N170" s="83"/>
      <c r="O170" s="83"/>
    </row>
    <row r="171" s="20" customFormat="1" ht="15" spans="1:15">
      <c r="A171" s="83"/>
      <c r="B171" s="84"/>
      <c r="C171" s="83"/>
      <c r="D171" s="83"/>
      <c r="E171" s="83"/>
      <c r="F171" s="83"/>
      <c r="G171" s="83"/>
      <c r="H171" s="83"/>
      <c r="I171" s="83"/>
      <c r="J171" s="83"/>
      <c r="K171" s="83"/>
      <c r="L171" s="85"/>
      <c r="M171" s="86"/>
      <c r="N171" s="83"/>
      <c r="O171" s="83"/>
    </row>
    <row r="172" s="20" customFormat="1" ht="15" spans="1:15">
      <c r="A172" s="83"/>
      <c r="B172" s="84"/>
      <c r="C172" s="83"/>
      <c r="D172" s="83"/>
      <c r="E172" s="83"/>
      <c r="F172" s="83"/>
      <c r="G172" s="83"/>
      <c r="H172" s="83"/>
      <c r="I172" s="83"/>
      <c r="J172" s="83"/>
      <c r="K172" s="83"/>
      <c r="L172" s="85"/>
      <c r="M172" s="86"/>
      <c r="N172" s="83"/>
      <c r="O172" s="83"/>
    </row>
    <row r="173" s="20" customFormat="1" ht="15" spans="1:15">
      <c r="A173" s="83"/>
      <c r="B173" s="84"/>
      <c r="C173" s="83"/>
      <c r="D173" s="83"/>
      <c r="E173" s="83"/>
      <c r="F173" s="83"/>
      <c r="G173" s="83"/>
      <c r="H173" s="83"/>
      <c r="I173" s="83"/>
      <c r="J173" s="83"/>
      <c r="K173" s="83"/>
      <c r="L173" s="85"/>
      <c r="M173" s="86"/>
      <c r="N173" s="83"/>
      <c r="O173" s="83"/>
    </row>
    <row r="174" s="20" customFormat="1" ht="15" spans="1:15">
      <c r="A174" s="83"/>
      <c r="B174" s="84"/>
      <c r="C174" s="83"/>
      <c r="D174" s="83"/>
      <c r="E174" s="83"/>
      <c r="F174" s="83"/>
      <c r="G174" s="83"/>
      <c r="H174" s="83"/>
      <c r="I174" s="83"/>
      <c r="J174" s="83"/>
      <c r="K174" s="83"/>
      <c r="L174" s="85"/>
      <c r="M174" s="86"/>
      <c r="N174" s="83"/>
      <c r="O174" s="83"/>
    </row>
    <row r="175" s="20" customFormat="1" ht="15" spans="1:15">
      <c r="A175" s="83"/>
      <c r="B175" s="84"/>
      <c r="C175" s="83"/>
      <c r="D175" s="83"/>
      <c r="E175" s="83"/>
      <c r="F175" s="83"/>
      <c r="G175" s="83"/>
      <c r="H175" s="83"/>
      <c r="I175" s="83"/>
      <c r="J175" s="83"/>
      <c r="K175" s="83"/>
      <c r="L175" s="85"/>
      <c r="M175" s="86"/>
      <c r="N175" s="83"/>
      <c r="O175" s="83"/>
    </row>
    <row r="176" s="20" customFormat="1" ht="15" spans="1:15">
      <c r="A176" s="83"/>
      <c r="B176" s="84"/>
      <c r="C176" s="83"/>
      <c r="D176" s="83"/>
      <c r="E176" s="83"/>
      <c r="F176" s="83"/>
      <c r="G176" s="83"/>
      <c r="H176" s="83"/>
      <c r="I176" s="83"/>
      <c r="J176" s="83"/>
      <c r="K176" s="83"/>
      <c r="L176" s="85"/>
      <c r="M176" s="86"/>
      <c r="N176" s="83"/>
      <c r="O176" s="83"/>
    </row>
    <row r="177" s="20" customFormat="1" ht="15" spans="1:15">
      <c r="A177" s="83"/>
      <c r="B177" s="84"/>
      <c r="C177" s="83"/>
      <c r="D177" s="83"/>
      <c r="E177" s="83"/>
      <c r="F177" s="83"/>
      <c r="G177" s="83"/>
      <c r="H177" s="83"/>
      <c r="I177" s="83"/>
      <c r="J177" s="83"/>
      <c r="K177" s="83"/>
      <c r="L177" s="85"/>
      <c r="M177" s="86"/>
      <c r="N177" s="83"/>
      <c r="O177" s="83"/>
    </row>
    <row r="178" s="20" customFormat="1" ht="15" spans="1:15">
      <c r="A178" s="83"/>
      <c r="B178" s="84"/>
      <c r="C178" s="83"/>
      <c r="D178" s="83"/>
      <c r="E178" s="83"/>
      <c r="F178" s="83"/>
      <c r="G178" s="83"/>
      <c r="H178" s="83"/>
      <c r="I178" s="83"/>
      <c r="J178" s="83"/>
      <c r="K178" s="83"/>
      <c r="L178" s="85"/>
      <c r="M178" s="86"/>
      <c r="N178" s="83"/>
      <c r="O178" s="83"/>
    </row>
    <row r="179" s="20" customFormat="1" ht="15" spans="1:15">
      <c r="A179" s="83"/>
      <c r="B179" s="84"/>
      <c r="C179" s="83"/>
      <c r="D179" s="83"/>
      <c r="E179" s="83"/>
      <c r="F179" s="83"/>
      <c r="G179" s="83"/>
      <c r="H179" s="83"/>
      <c r="I179" s="83"/>
      <c r="J179" s="83"/>
      <c r="K179" s="83"/>
      <c r="L179" s="85"/>
      <c r="M179" s="86"/>
      <c r="N179" s="83"/>
      <c r="O179" s="83"/>
    </row>
    <row r="180" s="20" customFormat="1" ht="15" spans="1:15">
      <c r="A180" s="83"/>
      <c r="B180" s="84"/>
      <c r="C180" s="83"/>
      <c r="D180" s="83"/>
      <c r="E180" s="83"/>
      <c r="F180" s="83"/>
      <c r="G180" s="83"/>
      <c r="H180" s="83"/>
      <c r="I180" s="83"/>
      <c r="J180" s="83"/>
      <c r="K180" s="83"/>
      <c r="L180" s="85"/>
      <c r="M180" s="86"/>
      <c r="N180" s="83"/>
      <c r="O180" s="83"/>
    </row>
    <row r="181" s="20" customFormat="1" ht="15" spans="1:15">
      <c r="A181" s="83"/>
      <c r="B181" s="84"/>
      <c r="C181" s="83"/>
      <c r="D181" s="83"/>
      <c r="E181" s="83"/>
      <c r="F181" s="83"/>
      <c r="G181" s="83"/>
      <c r="H181" s="83"/>
      <c r="I181" s="83"/>
      <c r="J181" s="83"/>
      <c r="K181" s="83"/>
      <c r="L181" s="85"/>
      <c r="M181" s="86"/>
      <c r="N181" s="83"/>
      <c r="O181" s="83"/>
    </row>
    <row r="182" s="20" customFormat="1" ht="15" spans="1:15">
      <c r="A182" s="83"/>
      <c r="B182" s="84"/>
      <c r="C182" s="83"/>
      <c r="D182" s="83"/>
      <c r="E182" s="83"/>
      <c r="F182" s="83"/>
      <c r="G182" s="83"/>
      <c r="H182" s="83"/>
      <c r="I182" s="83"/>
      <c r="J182" s="83"/>
      <c r="K182" s="83"/>
      <c r="L182" s="85"/>
      <c r="M182" s="86"/>
      <c r="N182" s="83"/>
      <c r="O182" s="83"/>
    </row>
    <row r="183" s="20" customFormat="1" ht="15" spans="1:15">
      <c r="A183" s="83"/>
      <c r="B183" s="84"/>
      <c r="C183" s="83"/>
      <c r="D183" s="83"/>
      <c r="E183" s="83"/>
      <c r="F183" s="83"/>
      <c r="G183" s="83"/>
      <c r="H183" s="83"/>
      <c r="I183" s="83"/>
      <c r="J183" s="83"/>
      <c r="K183" s="83"/>
      <c r="L183" s="85"/>
      <c r="M183" s="86"/>
      <c r="N183" s="83"/>
      <c r="O183" s="83"/>
    </row>
    <row r="184" s="20" customFormat="1" ht="15" spans="1:15">
      <c r="A184" s="83"/>
      <c r="B184" s="84"/>
      <c r="C184" s="83"/>
      <c r="D184" s="83"/>
      <c r="E184" s="83"/>
      <c r="F184" s="83"/>
      <c r="G184" s="83"/>
      <c r="H184" s="83"/>
      <c r="I184" s="83"/>
      <c r="J184" s="83"/>
      <c r="K184" s="83"/>
      <c r="L184" s="85"/>
      <c r="M184" s="86"/>
      <c r="N184" s="83"/>
      <c r="O184" s="83"/>
    </row>
    <row r="185" s="20" customFormat="1" ht="15" spans="1:15">
      <c r="A185" s="83"/>
      <c r="B185" s="84"/>
      <c r="C185" s="83"/>
      <c r="D185" s="83"/>
      <c r="E185" s="83"/>
      <c r="F185" s="83"/>
      <c r="G185" s="83"/>
      <c r="H185" s="83"/>
      <c r="I185" s="83"/>
      <c r="J185" s="83"/>
      <c r="K185" s="83"/>
      <c r="L185" s="85"/>
      <c r="M185" s="86"/>
      <c r="N185" s="83"/>
      <c r="O185" s="83"/>
    </row>
    <row r="186" s="20" customFormat="1" ht="15" spans="1:15">
      <c r="A186" s="83"/>
      <c r="B186" s="84"/>
      <c r="C186" s="83"/>
      <c r="D186" s="83"/>
      <c r="E186" s="83"/>
      <c r="F186" s="83"/>
      <c r="G186" s="83"/>
      <c r="H186" s="83"/>
      <c r="I186" s="83"/>
      <c r="J186" s="83"/>
      <c r="K186" s="83"/>
      <c r="L186" s="85"/>
      <c r="M186" s="86"/>
      <c r="N186" s="83"/>
      <c r="O186" s="83"/>
    </row>
    <row r="187" s="20" customFormat="1" ht="15" spans="1:15">
      <c r="A187" s="83"/>
      <c r="B187" s="84"/>
      <c r="C187" s="83"/>
      <c r="D187" s="83"/>
      <c r="E187" s="83"/>
      <c r="F187" s="83"/>
      <c r="G187" s="83"/>
      <c r="H187" s="83"/>
      <c r="I187" s="83"/>
      <c r="J187" s="83"/>
      <c r="K187" s="83"/>
      <c r="L187" s="85"/>
      <c r="M187" s="86"/>
      <c r="N187" s="83"/>
      <c r="O187" s="83"/>
    </row>
    <row r="188" s="20" customFormat="1" ht="15" spans="1:15">
      <c r="A188" s="83"/>
      <c r="B188" s="84"/>
      <c r="C188" s="83"/>
      <c r="D188" s="83"/>
      <c r="E188" s="83"/>
      <c r="F188" s="83"/>
      <c r="G188" s="83"/>
      <c r="H188" s="83"/>
      <c r="I188" s="83"/>
      <c r="J188" s="83"/>
      <c r="K188" s="83"/>
      <c r="L188" s="85"/>
      <c r="M188" s="86"/>
      <c r="N188" s="83"/>
      <c r="O188" s="83"/>
    </row>
    <row r="189" s="20" customFormat="1" ht="15" spans="1:15">
      <c r="A189" s="83"/>
      <c r="B189" s="84"/>
      <c r="C189" s="83"/>
      <c r="D189" s="83"/>
      <c r="E189" s="83"/>
      <c r="F189" s="83"/>
      <c r="G189" s="83"/>
      <c r="H189" s="83"/>
      <c r="I189" s="83"/>
      <c r="J189" s="83"/>
      <c r="K189" s="83"/>
      <c r="L189" s="85"/>
      <c r="M189" s="86"/>
      <c r="N189" s="83"/>
      <c r="O189" s="83"/>
    </row>
    <row r="190" s="20" customFormat="1" ht="15" spans="1:15">
      <c r="A190" s="83"/>
      <c r="B190" s="84"/>
      <c r="C190" s="83"/>
      <c r="D190" s="83"/>
      <c r="E190" s="83"/>
      <c r="F190" s="83"/>
      <c r="G190" s="83"/>
      <c r="H190" s="83"/>
      <c r="I190" s="83"/>
      <c r="J190" s="83"/>
      <c r="K190" s="83"/>
      <c r="L190" s="85"/>
      <c r="M190" s="86"/>
      <c r="N190" s="83"/>
      <c r="O190" s="83"/>
    </row>
    <row r="191" s="20" customFormat="1" ht="15" spans="1:15">
      <c r="A191" s="83"/>
      <c r="B191" s="84"/>
      <c r="C191" s="83"/>
      <c r="D191" s="83"/>
      <c r="E191" s="83"/>
      <c r="F191" s="83"/>
      <c r="G191" s="83"/>
      <c r="H191" s="83"/>
      <c r="I191" s="83"/>
      <c r="J191" s="83"/>
      <c r="K191" s="83"/>
      <c r="L191" s="85"/>
      <c r="M191" s="86"/>
      <c r="N191" s="83"/>
      <c r="O191" s="83"/>
    </row>
    <row r="192" s="20" customFormat="1" ht="15" spans="1:15">
      <c r="A192" s="83"/>
      <c r="B192" s="84"/>
      <c r="C192" s="83"/>
      <c r="D192" s="83"/>
      <c r="E192" s="83"/>
      <c r="F192" s="83"/>
      <c r="G192" s="83"/>
      <c r="H192" s="83"/>
      <c r="I192" s="83"/>
      <c r="J192" s="83"/>
      <c r="K192" s="83"/>
      <c r="L192" s="85"/>
      <c r="M192" s="86"/>
      <c r="N192" s="83"/>
      <c r="O192" s="83"/>
    </row>
    <row r="193" s="20" customFormat="1" ht="15" spans="1:15">
      <c r="A193" s="83"/>
      <c r="B193" s="84"/>
      <c r="C193" s="83"/>
      <c r="D193" s="83"/>
      <c r="E193" s="83"/>
      <c r="F193" s="83"/>
      <c r="G193" s="83"/>
      <c r="H193" s="83"/>
      <c r="I193" s="83"/>
      <c r="J193" s="83"/>
      <c r="K193" s="83"/>
      <c r="L193" s="85"/>
      <c r="M193" s="86"/>
      <c r="N193" s="83"/>
      <c r="O193" s="83"/>
    </row>
    <row r="194" s="20" customFormat="1" ht="15" spans="1:15">
      <c r="A194" s="83"/>
      <c r="B194" s="84"/>
      <c r="C194" s="83"/>
      <c r="D194" s="83"/>
      <c r="E194" s="83"/>
      <c r="F194" s="83"/>
      <c r="G194" s="83"/>
      <c r="H194" s="83"/>
      <c r="I194" s="83"/>
      <c r="J194" s="83"/>
      <c r="K194" s="83"/>
      <c r="L194" s="85"/>
      <c r="M194" s="86"/>
      <c r="N194" s="83"/>
      <c r="O194" s="83"/>
    </row>
    <row r="195" s="20" customFormat="1" ht="15" spans="1:15">
      <c r="A195" s="83"/>
      <c r="B195" s="84"/>
      <c r="C195" s="83"/>
      <c r="D195" s="83"/>
      <c r="E195" s="83"/>
      <c r="F195" s="83"/>
      <c r="G195" s="83"/>
      <c r="H195" s="83"/>
      <c r="I195" s="83"/>
      <c r="J195" s="83"/>
      <c r="K195" s="83"/>
      <c r="L195" s="85"/>
      <c r="M195" s="86"/>
      <c r="N195" s="83"/>
      <c r="O195" s="83"/>
    </row>
    <row r="196" s="20" customFormat="1" ht="15" spans="1:15">
      <c r="A196" s="83"/>
      <c r="B196" s="84"/>
      <c r="C196" s="83"/>
      <c r="D196" s="83"/>
      <c r="E196" s="83"/>
      <c r="F196" s="83"/>
      <c r="G196" s="83"/>
      <c r="H196" s="83"/>
      <c r="I196" s="83"/>
      <c r="J196" s="83"/>
      <c r="K196" s="83"/>
      <c r="L196" s="85"/>
      <c r="M196" s="86"/>
      <c r="N196" s="83"/>
      <c r="O196" s="83"/>
    </row>
    <row r="197" s="20" customFormat="1" ht="15" spans="1:15">
      <c r="A197" s="83"/>
      <c r="B197" s="84"/>
      <c r="C197" s="83"/>
      <c r="D197" s="83"/>
      <c r="E197" s="83"/>
      <c r="F197" s="83"/>
      <c r="G197" s="83"/>
      <c r="H197" s="83"/>
      <c r="I197" s="83"/>
      <c r="J197" s="83"/>
      <c r="K197" s="83"/>
      <c r="L197" s="85"/>
      <c r="M197" s="86"/>
      <c r="N197" s="83"/>
      <c r="O197" s="83"/>
    </row>
    <row r="198" s="20" customFormat="1" ht="15" spans="1:15">
      <c r="A198" s="83"/>
      <c r="B198" s="84"/>
      <c r="C198" s="83"/>
      <c r="D198" s="83"/>
      <c r="E198" s="83"/>
      <c r="F198" s="83"/>
      <c r="G198" s="83"/>
      <c r="H198" s="83"/>
      <c r="I198" s="83"/>
      <c r="J198" s="83"/>
      <c r="K198" s="83"/>
      <c r="L198" s="85"/>
      <c r="M198" s="86"/>
      <c r="N198" s="83"/>
      <c r="O198" s="83"/>
    </row>
    <row r="199" s="20" customFormat="1" ht="15" spans="1:15">
      <c r="A199" s="83"/>
      <c r="B199" s="84"/>
      <c r="C199" s="83"/>
      <c r="D199" s="83"/>
      <c r="E199" s="83"/>
      <c r="F199" s="83"/>
      <c r="G199" s="83"/>
      <c r="H199" s="83"/>
      <c r="I199" s="83"/>
      <c r="J199" s="83"/>
      <c r="K199" s="83"/>
      <c r="L199" s="85"/>
      <c r="M199" s="86"/>
      <c r="N199" s="83"/>
      <c r="O199" s="83"/>
    </row>
    <row r="200" s="20" customFormat="1" ht="15" spans="1:15">
      <c r="A200" s="83"/>
      <c r="B200" s="84"/>
      <c r="C200" s="83"/>
      <c r="D200" s="83"/>
      <c r="E200" s="83"/>
      <c r="F200" s="83"/>
      <c r="G200" s="83"/>
      <c r="H200" s="83"/>
      <c r="I200" s="83"/>
      <c r="J200" s="83"/>
      <c r="K200" s="83"/>
      <c r="L200" s="85"/>
      <c r="M200" s="86"/>
      <c r="N200" s="83"/>
      <c r="O200" s="83"/>
    </row>
    <row r="201" s="20" customFormat="1" ht="15" spans="1:15">
      <c r="A201" s="83"/>
      <c r="B201" s="84"/>
      <c r="C201" s="83"/>
      <c r="D201" s="83"/>
      <c r="E201" s="83"/>
      <c r="F201" s="83"/>
      <c r="G201" s="83"/>
      <c r="H201" s="83"/>
      <c r="I201" s="83"/>
      <c r="J201" s="83"/>
      <c r="K201" s="83"/>
      <c r="L201" s="85"/>
      <c r="M201" s="86"/>
      <c r="N201" s="83"/>
      <c r="O201" s="83"/>
    </row>
    <row r="202" s="20" customFormat="1" ht="15" spans="1:15">
      <c r="A202" s="83"/>
      <c r="B202" s="84"/>
      <c r="C202" s="83"/>
      <c r="D202" s="83"/>
      <c r="E202" s="83"/>
      <c r="F202" s="83"/>
      <c r="G202" s="83"/>
      <c r="H202" s="83"/>
      <c r="I202" s="83"/>
      <c r="J202" s="83"/>
      <c r="K202" s="83"/>
      <c r="L202" s="85"/>
      <c r="M202" s="86"/>
      <c r="N202" s="83"/>
      <c r="O202" s="83"/>
    </row>
    <row r="203" s="20" customFormat="1" ht="15" spans="1:15">
      <c r="A203" s="83"/>
      <c r="B203" s="84"/>
      <c r="C203" s="83"/>
      <c r="D203" s="83"/>
      <c r="E203" s="83"/>
      <c r="F203" s="83"/>
      <c r="G203" s="83"/>
      <c r="H203" s="83"/>
      <c r="I203" s="83"/>
      <c r="J203" s="83"/>
      <c r="K203" s="83"/>
      <c r="L203" s="85"/>
      <c r="M203" s="86"/>
      <c r="N203" s="83"/>
      <c r="O203" s="83"/>
    </row>
    <row r="204" s="20" customFormat="1" ht="15" spans="1:15">
      <c r="A204" s="83"/>
      <c r="B204" s="84"/>
      <c r="C204" s="83"/>
      <c r="D204" s="83"/>
      <c r="E204" s="83"/>
      <c r="F204" s="83"/>
      <c r="G204" s="83"/>
      <c r="H204" s="83"/>
      <c r="I204" s="83"/>
      <c r="J204" s="83"/>
      <c r="K204" s="83"/>
      <c r="L204" s="85"/>
      <c r="M204" s="86"/>
      <c r="N204" s="83"/>
      <c r="O204" s="83"/>
    </row>
    <row r="205" s="20" customFormat="1" ht="15" spans="1:15">
      <c r="A205" s="83"/>
      <c r="B205" s="84"/>
      <c r="C205" s="83"/>
      <c r="D205" s="83"/>
      <c r="E205" s="83"/>
      <c r="F205" s="83"/>
      <c r="G205" s="83"/>
      <c r="H205" s="83"/>
      <c r="I205" s="83"/>
      <c r="J205" s="83"/>
      <c r="K205" s="83"/>
      <c r="L205" s="85"/>
      <c r="M205" s="86"/>
      <c r="N205" s="83"/>
      <c r="O205" s="83"/>
    </row>
    <row r="206" s="20" customFormat="1" ht="15" spans="1:15">
      <c r="A206" s="83"/>
      <c r="B206" s="84"/>
      <c r="C206" s="83"/>
      <c r="D206" s="83"/>
      <c r="E206" s="83"/>
      <c r="F206" s="83"/>
      <c r="G206" s="83"/>
      <c r="H206" s="83"/>
      <c r="I206" s="83"/>
      <c r="J206" s="83"/>
      <c r="K206" s="83"/>
      <c r="L206" s="85"/>
      <c r="M206" s="86"/>
      <c r="N206" s="83"/>
      <c r="O206" s="83"/>
    </row>
    <row r="207" s="20" customFormat="1" ht="15" spans="1:15">
      <c r="A207" s="83"/>
      <c r="B207" s="84"/>
      <c r="C207" s="83"/>
      <c r="D207" s="83"/>
      <c r="E207" s="83"/>
      <c r="F207" s="83"/>
      <c r="G207" s="83"/>
      <c r="H207" s="83"/>
      <c r="I207" s="83"/>
      <c r="J207" s="83"/>
      <c r="K207" s="83"/>
      <c r="L207" s="85"/>
      <c r="M207" s="86"/>
      <c r="N207" s="83"/>
      <c r="O207" s="83"/>
    </row>
    <row r="208" s="20" customFormat="1" ht="15" spans="1:15">
      <c r="A208" s="83"/>
      <c r="B208" s="84"/>
      <c r="C208" s="83"/>
      <c r="D208" s="83"/>
      <c r="E208" s="83"/>
      <c r="F208" s="83"/>
      <c r="G208" s="83"/>
      <c r="H208" s="83"/>
      <c r="I208" s="83"/>
      <c r="J208" s="83"/>
      <c r="K208" s="83"/>
      <c r="L208" s="85"/>
      <c r="M208" s="86"/>
      <c r="N208" s="83"/>
      <c r="O208" s="83"/>
    </row>
    <row r="209" s="20" customFormat="1" ht="15" spans="1:15">
      <c r="A209" s="83"/>
      <c r="B209" s="84"/>
      <c r="C209" s="83"/>
      <c r="D209" s="83"/>
      <c r="E209" s="83"/>
      <c r="F209" s="83"/>
      <c r="G209" s="83"/>
      <c r="H209" s="83"/>
      <c r="I209" s="83"/>
      <c r="J209" s="83"/>
      <c r="K209" s="83"/>
      <c r="L209" s="85"/>
      <c r="M209" s="86"/>
      <c r="N209" s="83"/>
      <c r="O209" s="83"/>
    </row>
    <row r="210" s="20" customFormat="1" ht="15" spans="1:15">
      <c r="A210" s="83"/>
      <c r="B210" s="84"/>
      <c r="C210" s="83"/>
      <c r="D210" s="83"/>
      <c r="E210" s="83"/>
      <c r="F210" s="83"/>
      <c r="G210" s="83"/>
      <c r="H210" s="83"/>
      <c r="I210" s="83"/>
      <c r="J210" s="83"/>
      <c r="K210" s="83"/>
      <c r="L210" s="85"/>
      <c r="M210" s="86"/>
      <c r="N210" s="83"/>
      <c r="O210" s="83"/>
    </row>
    <row r="211" s="20" customFormat="1" ht="15" spans="1:15">
      <c r="A211" s="83"/>
      <c r="B211" s="84"/>
      <c r="C211" s="83"/>
      <c r="D211" s="83"/>
      <c r="E211" s="83"/>
      <c r="F211" s="83"/>
      <c r="G211" s="83"/>
      <c r="H211" s="83"/>
      <c r="I211" s="83"/>
      <c r="J211" s="83"/>
      <c r="K211" s="83"/>
      <c r="L211" s="85"/>
      <c r="M211" s="86"/>
      <c r="N211" s="83"/>
      <c r="O211" s="83"/>
    </row>
    <row r="212" s="20" customFormat="1" ht="15" spans="1:15">
      <c r="A212" s="83"/>
      <c r="B212" s="84"/>
      <c r="C212" s="83"/>
      <c r="D212" s="83"/>
      <c r="E212" s="83"/>
      <c r="F212" s="83"/>
      <c r="G212" s="83"/>
      <c r="H212" s="83"/>
      <c r="I212" s="83"/>
      <c r="J212" s="83"/>
      <c r="K212" s="83"/>
      <c r="L212" s="85"/>
      <c r="M212" s="86"/>
      <c r="N212" s="83"/>
      <c r="O212" s="83"/>
    </row>
    <row r="213" s="20" customFormat="1" ht="15" spans="1:15">
      <c r="A213" s="83"/>
      <c r="B213" s="84"/>
      <c r="C213" s="83"/>
      <c r="D213" s="83"/>
      <c r="E213" s="83"/>
      <c r="F213" s="83"/>
      <c r="G213" s="83"/>
      <c r="H213" s="83"/>
      <c r="I213" s="83"/>
      <c r="J213" s="83"/>
      <c r="K213" s="83"/>
      <c r="L213" s="85"/>
      <c r="M213" s="86"/>
      <c r="N213" s="83"/>
      <c r="O213" s="83"/>
    </row>
    <row r="214" s="20" customFormat="1" ht="15" spans="1:15">
      <c r="A214" s="83"/>
      <c r="B214" s="84"/>
      <c r="C214" s="83"/>
      <c r="D214" s="83"/>
      <c r="E214" s="83"/>
      <c r="F214" s="83"/>
      <c r="G214" s="83"/>
      <c r="H214" s="83"/>
      <c r="I214" s="83"/>
      <c r="J214" s="83"/>
      <c r="K214" s="83"/>
      <c r="L214" s="85"/>
      <c r="M214" s="86"/>
      <c r="N214" s="83"/>
      <c r="O214" s="83"/>
    </row>
    <row r="215" s="20" customFormat="1" ht="15" spans="1:15">
      <c r="A215" s="83"/>
      <c r="B215" s="84"/>
      <c r="C215" s="83"/>
      <c r="D215" s="83"/>
      <c r="E215" s="83"/>
      <c r="F215" s="83"/>
      <c r="G215" s="83"/>
      <c r="H215" s="83"/>
      <c r="I215" s="83"/>
      <c r="J215" s="83"/>
      <c r="K215" s="83"/>
      <c r="L215" s="85"/>
      <c r="M215" s="86"/>
      <c r="N215" s="83"/>
      <c r="O215" s="83"/>
    </row>
    <row r="216" s="20" customFormat="1" ht="15" spans="1:15">
      <c r="A216" s="83"/>
      <c r="B216" s="84"/>
      <c r="C216" s="83"/>
      <c r="D216" s="83"/>
      <c r="E216" s="83"/>
      <c r="F216" s="83"/>
      <c r="G216" s="83"/>
      <c r="H216" s="83"/>
      <c r="I216" s="83"/>
      <c r="J216" s="83"/>
      <c r="K216" s="83"/>
      <c r="L216" s="85"/>
      <c r="M216" s="86"/>
      <c r="N216" s="83"/>
      <c r="O216" s="83"/>
    </row>
    <row r="217" s="20" customFormat="1" ht="15" spans="1:15">
      <c r="A217" s="83"/>
      <c r="B217" s="84"/>
      <c r="C217" s="83"/>
      <c r="D217" s="83"/>
      <c r="E217" s="83"/>
      <c r="F217" s="83"/>
      <c r="G217" s="83"/>
      <c r="H217" s="83"/>
      <c r="I217" s="83"/>
      <c r="J217" s="83"/>
      <c r="K217" s="83"/>
      <c r="L217" s="85"/>
      <c r="M217" s="86"/>
      <c r="N217" s="83"/>
      <c r="O217" s="83"/>
    </row>
    <row r="218" s="20" customFormat="1" ht="15" spans="1:15">
      <c r="A218" s="83"/>
      <c r="B218" s="84"/>
      <c r="C218" s="83"/>
      <c r="D218" s="83"/>
      <c r="E218" s="83"/>
      <c r="F218" s="83"/>
      <c r="G218" s="83"/>
      <c r="H218" s="83"/>
      <c r="I218" s="83"/>
      <c r="J218" s="83"/>
      <c r="K218" s="83"/>
      <c r="L218" s="85"/>
      <c r="M218" s="86"/>
      <c r="N218" s="83"/>
      <c r="O218" s="83"/>
    </row>
    <row r="219" s="20" customFormat="1" ht="15" spans="1:15">
      <c r="A219" s="83"/>
      <c r="B219" s="84"/>
      <c r="C219" s="83"/>
      <c r="D219" s="83"/>
      <c r="E219" s="83"/>
      <c r="F219" s="83"/>
      <c r="G219" s="83"/>
      <c r="H219" s="83"/>
      <c r="I219" s="83"/>
      <c r="J219" s="83"/>
      <c r="K219" s="83"/>
      <c r="L219" s="85"/>
      <c r="M219" s="86"/>
      <c r="N219" s="83"/>
      <c r="O219" s="83"/>
    </row>
    <row r="220" s="20" customFormat="1" ht="15" spans="1:15">
      <c r="A220" s="83"/>
      <c r="B220" s="84"/>
      <c r="C220" s="83"/>
      <c r="D220" s="83"/>
      <c r="E220" s="83"/>
      <c r="F220" s="83"/>
      <c r="G220" s="83"/>
      <c r="H220" s="83"/>
      <c r="I220" s="83"/>
      <c r="J220" s="83"/>
      <c r="K220" s="83"/>
      <c r="L220" s="85"/>
      <c r="M220" s="86"/>
      <c r="N220" s="83"/>
      <c r="O220" s="83"/>
    </row>
    <row r="221" s="20" customFormat="1" ht="15" spans="1:15">
      <c r="A221" s="83"/>
      <c r="B221" s="84"/>
      <c r="C221" s="83"/>
      <c r="D221" s="83"/>
      <c r="E221" s="83"/>
      <c r="F221" s="83"/>
      <c r="G221" s="83"/>
      <c r="H221" s="83"/>
      <c r="I221" s="83"/>
      <c r="J221" s="83"/>
      <c r="K221" s="83"/>
      <c r="L221" s="85"/>
      <c r="M221" s="86"/>
      <c r="N221" s="83"/>
      <c r="O221" s="83"/>
    </row>
    <row r="222" s="20" customFormat="1" ht="15" spans="1:15">
      <c r="A222" s="83"/>
      <c r="B222" s="84"/>
      <c r="C222" s="83"/>
      <c r="D222" s="83"/>
      <c r="E222" s="83"/>
      <c r="F222" s="83"/>
      <c r="G222" s="83"/>
      <c r="H222" s="83"/>
      <c r="I222" s="83"/>
      <c r="J222" s="83"/>
      <c r="K222" s="83"/>
      <c r="L222" s="85"/>
      <c r="M222" s="86"/>
      <c r="N222" s="83"/>
      <c r="O222" s="83"/>
    </row>
    <row r="223" s="20" customFormat="1" ht="15" spans="1:15">
      <c r="A223" s="83"/>
      <c r="B223" s="84"/>
      <c r="C223" s="83"/>
      <c r="D223" s="83"/>
      <c r="E223" s="83"/>
      <c r="F223" s="83"/>
      <c r="G223" s="83"/>
      <c r="H223" s="83"/>
      <c r="I223" s="83"/>
      <c r="J223" s="83"/>
      <c r="K223" s="83"/>
      <c r="L223" s="85"/>
      <c r="M223" s="86"/>
      <c r="N223" s="83"/>
      <c r="O223" s="83"/>
    </row>
    <row r="224" s="20" customFormat="1" ht="15" spans="1:15">
      <c r="A224" s="83"/>
      <c r="B224" s="84"/>
      <c r="C224" s="83"/>
      <c r="D224" s="83"/>
      <c r="E224" s="83"/>
      <c r="F224" s="83"/>
      <c r="G224" s="83"/>
      <c r="H224" s="83"/>
      <c r="I224" s="83"/>
      <c r="J224" s="83"/>
      <c r="K224" s="83"/>
      <c r="L224" s="85"/>
      <c r="M224" s="86"/>
      <c r="N224" s="83"/>
      <c r="O224" s="83"/>
    </row>
    <row r="225" s="20" customFormat="1" ht="15" spans="1:15">
      <c r="A225" s="83"/>
      <c r="B225" s="84"/>
      <c r="C225" s="83"/>
      <c r="D225" s="83"/>
      <c r="E225" s="83"/>
      <c r="F225" s="83"/>
      <c r="G225" s="83"/>
      <c r="H225" s="83"/>
      <c r="I225" s="83"/>
      <c r="J225" s="83"/>
      <c r="K225" s="83"/>
      <c r="L225" s="85"/>
      <c r="M225" s="86"/>
      <c r="N225" s="83"/>
      <c r="O225" s="83"/>
    </row>
    <row r="226" s="20" customFormat="1" ht="15" spans="1:15">
      <c r="A226" s="83"/>
      <c r="B226" s="84"/>
      <c r="C226" s="83"/>
      <c r="D226" s="83"/>
      <c r="E226" s="83"/>
      <c r="F226" s="83"/>
      <c r="G226" s="83"/>
      <c r="H226" s="83"/>
      <c r="I226" s="83"/>
      <c r="J226" s="83"/>
      <c r="K226" s="83"/>
      <c r="L226" s="85"/>
      <c r="M226" s="86"/>
      <c r="N226" s="83"/>
      <c r="O226" s="83"/>
    </row>
    <row r="227" s="20" customFormat="1" ht="15" spans="1:15">
      <c r="A227" s="83"/>
      <c r="B227" s="84"/>
      <c r="C227" s="83"/>
      <c r="D227" s="83"/>
      <c r="E227" s="83"/>
      <c r="F227" s="83"/>
      <c r="G227" s="83"/>
      <c r="H227" s="83"/>
      <c r="I227" s="83"/>
      <c r="J227" s="83"/>
      <c r="K227" s="83"/>
      <c r="L227" s="85"/>
      <c r="M227" s="86"/>
      <c r="N227" s="83"/>
      <c r="O227" s="83"/>
    </row>
    <row r="228" s="20" customFormat="1" ht="15" spans="1:15">
      <c r="A228" s="83"/>
      <c r="B228" s="84"/>
      <c r="C228" s="83"/>
      <c r="D228" s="83"/>
      <c r="E228" s="83"/>
      <c r="F228" s="83"/>
      <c r="G228" s="83"/>
      <c r="H228" s="83"/>
      <c r="I228" s="83"/>
      <c r="J228" s="83"/>
      <c r="K228" s="83"/>
      <c r="L228" s="85"/>
      <c r="M228" s="86"/>
      <c r="N228" s="83"/>
      <c r="O228" s="83"/>
    </row>
    <row r="229" s="20" customFormat="1" ht="15" spans="1:15">
      <c r="A229" s="83"/>
      <c r="B229" s="84"/>
      <c r="C229" s="83"/>
      <c r="D229" s="83"/>
      <c r="E229" s="83"/>
      <c r="F229" s="83"/>
      <c r="G229" s="83"/>
      <c r="H229" s="83"/>
      <c r="I229" s="83"/>
      <c r="J229" s="83"/>
      <c r="K229" s="83"/>
      <c r="L229" s="85"/>
      <c r="M229" s="86"/>
      <c r="N229" s="83"/>
      <c r="O229" s="83"/>
    </row>
    <row r="230" s="20" customFormat="1" ht="15" spans="1:15">
      <c r="A230" s="83"/>
      <c r="B230" s="84"/>
      <c r="C230" s="83"/>
      <c r="D230" s="83"/>
      <c r="E230" s="83"/>
      <c r="F230" s="83"/>
      <c r="G230" s="83"/>
      <c r="H230" s="83"/>
      <c r="I230" s="83"/>
      <c r="J230" s="83"/>
      <c r="K230" s="83"/>
      <c r="L230" s="85"/>
      <c r="M230" s="86"/>
      <c r="N230" s="83"/>
      <c r="O230" s="83"/>
    </row>
    <row r="231" s="20" customFormat="1" ht="15" spans="1:15">
      <c r="A231" s="83"/>
      <c r="B231" s="84"/>
      <c r="C231" s="83"/>
      <c r="D231" s="83"/>
      <c r="E231" s="83"/>
      <c r="F231" s="83"/>
      <c r="G231" s="83"/>
      <c r="H231" s="83"/>
      <c r="I231" s="83"/>
      <c r="J231" s="83"/>
      <c r="K231" s="83"/>
      <c r="L231" s="85"/>
      <c r="M231" s="86"/>
      <c r="N231" s="83"/>
      <c r="O231" s="83"/>
    </row>
    <row r="232" s="20" customFormat="1" ht="15" spans="1:15">
      <c r="A232" s="83"/>
      <c r="B232" s="84"/>
      <c r="C232" s="83"/>
      <c r="D232" s="83"/>
      <c r="E232" s="83"/>
      <c r="F232" s="83"/>
      <c r="G232" s="83"/>
      <c r="H232" s="83"/>
      <c r="I232" s="83"/>
      <c r="J232" s="83"/>
      <c r="K232" s="83"/>
      <c r="L232" s="85"/>
      <c r="M232" s="86"/>
      <c r="N232" s="83"/>
      <c r="O232" s="83"/>
    </row>
    <row r="233" s="20" customFormat="1" ht="15" spans="1:15">
      <c r="A233" s="83"/>
      <c r="B233" s="84"/>
      <c r="C233" s="83"/>
      <c r="D233" s="83"/>
      <c r="E233" s="83"/>
      <c r="F233" s="83"/>
      <c r="G233" s="83"/>
      <c r="H233" s="83"/>
      <c r="I233" s="83"/>
      <c r="J233" s="83"/>
      <c r="K233" s="83"/>
      <c r="L233" s="85"/>
      <c r="M233" s="86"/>
      <c r="N233" s="83"/>
      <c r="O233" s="83"/>
    </row>
    <row r="234" s="20" customFormat="1" ht="15" spans="1:15">
      <c r="A234" s="83"/>
      <c r="B234" s="84"/>
      <c r="C234" s="83"/>
      <c r="D234" s="83"/>
      <c r="E234" s="83"/>
      <c r="F234" s="83"/>
      <c r="G234" s="83"/>
      <c r="H234" s="83"/>
      <c r="I234" s="83"/>
      <c r="J234" s="83"/>
      <c r="K234" s="83"/>
      <c r="L234" s="85"/>
      <c r="M234" s="86"/>
      <c r="N234" s="83"/>
      <c r="O234" s="83"/>
    </row>
    <row r="235" s="20" customFormat="1" ht="15" spans="1:15">
      <c r="A235" s="83"/>
      <c r="B235" s="84"/>
      <c r="C235" s="83"/>
      <c r="D235" s="83"/>
      <c r="E235" s="83"/>
      <c r="F235" s="83"/>
      <c r="G235" s="83"/>
      <c r="H235" s="83"/>
      <c r="I235" s="83"/>
      <c r="J235" s="83"/>
      <c r="K235" s="83"/>
      <c r="L235" s="85"/>
      <c r="M235" s="86"/>
      <c r="N235" s="83"/>
      <c r="O235" s="83"/>
    </row>
    <row r="236" s="20" customFormat="1" ht="15" spans="1:15">
      <c r="A236" s="83"/>
      <c r="B236" s="84"/>
      <c r="C236" s="83"/>
      <c r="D236" s="83"/>
      <c r="E236" s="83"/>
      <c r="F236" s="83"/>
      <c r="G236" s="83"/>
      <c r="H236" s="83"/>
      <c r="I236" s="83"/>
      <c r="J236" s="83"/>
      <c r="K236" s="83"/>
      <c r="L236" s="85"/>
      <c r="M236" s="86"/>
      <c r="N236" s="83"/>
      <c r="O236" s="83"/>
    </row>
    <row r="237" s="20" customFormat="1" ht="15" spans="1:15">
      <c r="A237" s="83"/>
      <c r="B237" s="84"/>
      <c r="C237" s="83"/>
      <c r="D237" s="83"/>
      <c r="E237" s="83"/>
      <c r="F237" s="83"/>
      <c r="G237" s="83"/>
      <c r="H237" s="83"/>
      <c r="I237" s="83"/>
      <c r="J237" s="83"/>
      <c r="K237" s="83"/>
      <c r="L237" s="85"/>
      <c r="M237" s="86"/>
      <c r="N237" s="83"/>
      <c r="O237" s="83"/>
    </row>
    <row r="238" s="20" customFormat="1" ht="15" spans="1:15">
      <c r="A238" s="83"/>
      <c r="B238" s="84"/>
      <c r="C238" s="83"/>
      <c r="D238" s="83"/>
      <c r="E238" s="83"/>
      <c r="F238" s="83"/>
      <c r="G238" s="83"/>
      <c r="H238" s="83"/>
      <c r="I238" s="83"/>
      <c r="J238" s="83"/>
      <c r="K238" s="83"/>
      <c r="L238" s="85"/>
      <c r="M238" s="86"/>
      <c r="N238" s="83"/>
      <c r="O238" s="83"/>
    </row>
    <row r="239" s="20" customFormat="1" ht="15" spans="1:15">
      <c r="A239" s="83"/>
      <c r="B239" s="84"/>
      <c r="C239" s="83"/>
      <c r="D239" s="83"/>
      <c r="E239" s="83"/>
      <c r="F239" s="83"/>
      <c r="G239" s="83"/>
      <c r="H239" s="83"/>
      <c r="I239" s="83"/>
      <c r="J239" s="83"/>
      <c r="K239" s="83"/>
      <c r="L239" s="85"/>
      <c r="M239" s="86"/>
      <c r="N239" s="83"/>
      <c r="O239" s="83"/>
    </row>
    <row r="240" s="20" customFormat="1" ht="15" spans="1:15">
      <c r="A240" s="83"/>
      <c r="B240" s="84"/>
      <c r="C240" s="83"/>
      <c r="D240" s="83"/>
      <c r="E240" s="83"/>
      <c r="F240" s="83"/>
      <c r="G240" s="83"/>
      <c r="H240" s="83"/>
      <c r="I240" s="83"/>
      <c r="J240" s="83"/>
      <c r="K240" s="83"/>
      <c r="L240" s="85"/>
      <c r="M240" s="86"/>
      <c r="N240" s="83"/>
      <c r="O240" s="83"/>
    </row>
    <row r="241" s="20" customFormat="1" ht="15" spans="1:15">
      <c r="A241" s="83"/>
      <c r="B241" s="84"/>
      <c r="C241" s="83"/>
      <c r="D241" s="83"/>
      <c r="E241" s="83"/>
      <c r="F241" s="83"/>
      <c r="G241" s="83"/>
      <c r="H241" s="83"/>
      <c r="I241" s="83"/>
      <c r="J241" s="83"/>
      <c r="K241" s="83"/>
      <c r="L241" s="85"/>
      <c r="M241" s="86"/>
      <c r="N241" s="83"/>
      <c r="O241" s="83"/>
    </row>
    <row r="242" s="20" customFormat="1" ht="15" spans="1:15">
      <c r="A242" s="83"/>
      <c r="B242" s="84"/>
      <c r="C242" s="83"/>
      <c r="D242" s="83"/>
      <c r="E242" s="83"/>
      <c r="F242" s="83"/>
      <c r="G242" s="83"/>
      <c r="H242" s="83"/>
      <c r="I242" s="83"/>
      <c r="J242" s="83"/>
      <c r="K242" s="83"/>
      <c r="L242" s="85"/>
      <c r="M242" s="86"/>
      <c r="N242" s="83"/>
      <c r="O242" s="83"/>
    </row>
    <row r="243" s="20" customFormat="1" ht="15" spans="1:15">
      <c r="A243" s="83"/>
      <c r="B243" s="84"/>
      <c r="C243" s="83"/>
      <c r="D243" s="83"/>
      <c r="E243" s="83"/>
      <c r="F243" s="83"/>
      <c r="G243" s="83"/>
      <c r="H243" s="83"/>
      <c r="I243" s="83"/>
      <c r="J243" s="83"/>
      <c r="K243" s="83"/>
      <c r="L243" s="85"/>
      <c r="M243" s="86"/>
      <c r="N243" s="83"/>
      <c r="O243" s="83"/>
    </row>
    <row r="244" s="20" customFormat="1" ht="15" spans="1:15">
      <c r="A244" s="83"/>
      <c r="B244" s="84"/>
      <c r="C244" s="83"/>
      <c r="D244" s="83"/>
      <c r="E244" s="83"/>
      <c r="F244" s="83"/>
      <c r="G244" s="83"/>
      <c r="H244" s="83"/>
      <c r="I244" s="83"/>
      <c r="J244" s="83"/>
      <c r="K244" s="83"/>
      <c r="L244" s="85"/>
      <c r="M244" s="86"/>
      <c r="N244" s="83"/>
      <c r="O244" s="83"/>
    </row>
    <row r="245" s="20" customFormat="1" ht="15" spans="1:15">
      <c r="A245" s="83"/>
      <c r="B245" s="84"/>
      <c r="C245" s="83"/>
      <c r="D245" s="83"/>
      <c r="E245" s="83"/>
      <c r="F245" s="83"/>
      <c r="G245" s="83"/>
      <c r="H245" s="83"/>
      <c r="I245" s="83"/>
      <c r="J245" s="83"/>
      <c r="K245" s="83"/>
      <c r="L245" s="85"/>
      <c r="M245" s="86"/>
      <c r="N245" s="83"/>
      <c r="O245" s="83"/>
    </row>
    <row r="246" s="20" customFormat="1" ht="15" spans="1:15">
      <c r="A246" s="83"/>
      <c r="B246" s="84"/>
      <c r="C246" s="83"/>
      <c r="D246" s="83"/>
      <c r="E246" s="83"/>
      <c r="F246" s="83"/>
      <c r="G246" s="83"/>
      <c r="H246" s="83"/>
      <c r="I246" s="83"/>
      <c r="J246" s="83"/>
      <c r="K246" s="83"/>
      <c r="L246" s="85"/>
      <c r="M246" s="86"/>
      <c r="N246" s="83"/>
      <c r="O246" s="83"/>
    </row>
    <row r="247" s="20" customFormat="1" ht="15" spans="1:15">
      <c r="A247" s="83"/>
      <c r="B247" s="84"/>
      <c r="C247" s="83"/>
      <c r="D247" s="83"/>
      <c r="E247" s="83"/>
      <c r="F247" s="83"/>
      <c r="G247" s="83"/>
      <c r="H247" s="83"/>
      <c r="I247" s="83"/>
      <c r="J247" s="83"/>
      <c r="K247" s="83"/>
      <c r="L247" s="85"/>
      <c r="M247" s="86"/>
      <c r="N247" s="83"/>
      <c r="O247" s="83"/>
    </row>
    <row r="248" s="20" customFormat="1" ht="15" spans="1:15">
      <c r="A248" s="83"/>
      <c r="B248" s="84"/>
      <c r="C248" s="83"/>
      <c r="D248" s="83"/>
      <c r="E248" s="83"/>
      <c r="F248" s="83"/>
      <c r="G248" s="83"/>
      <c r="H248" s="83"/>
      <c r="I248" s="83"/>
      <c r="J248" s="83"/>
      <c r="K248" s="83"/>
      <c r="L248" s="85"/>
      <c r="M248" s="86"/>
      <c r="N248" s="83"/>
      <c r="O248" s="83"/>
    </row>
    <row r="249" s="20" customFormat="1" ht="15" spans="1:15">
      <c r="A249" s="83"/>
      <c r="B249" s="84"/>
      <c r="C249" s="83"/>
      <c r="D249" s="83"/>
      <c r="E249" s="83"/>
      <c r="F249" s="83"/>
      <c r="G249" s="83"/>
      <c r="H249" s="83"/>
      <c r="I249" s="83"/>
      <c r="J249" s="83"/>
      <c r="K249" s="83"/>
      <c r="L249" s="85"/>
      <c r="M249" s="86"/>
      <c r="N249" s="83"/>
      <c r="O249" s="83"/>
    </row>
    <row r="250" s="20" customFormat="1" ht="15" spans="1:15">
      <c r="A250" s="83"/>
      <c r="B250" s="84"/>
      <c r="C250" s="83"/>
      <c r="D250" s="83"/>
      <c r="E250" s="83"/>
      <c r="F250" s="83"/>
      <c r="G250" s="83"/>
      <c r="H250" s="83"/>
      <c r="I250" s="83"/>
      <c r="J250" s="83"/>
      <c r="K250" s="83"/>
      <c r="L250" s="85"/>
      <c r="M250" s="86"/>
      <c r="N250" s="83"/>
      <c r="O250" s="83"/>
    </row>
    <row r="251" s="20" customFormat="1" ht="15" spans="1:15">
      <c r="A251" s="83"/>
      <c r="B251" s="84"/>
      <c r="C251" s="83"/>
      <c r="D251" s="83"/>
      <c r="E251" s="83"/>
      <c r="F251" s="83"/>
      <c r="G251" s="83"/>
      <c r="H251" s="83"/>
      <c r="I251" s="83"/>
      <c r="J251" s="83"/>
      <c r="K251" s="83"/>
      <c r="L251" s="85"/>
      <c r="M251" s="86"/>
      <c r="N251" s="83"/>
      <c r="O251" s="83"/>
    </row>
    <row r="252" s="20" customFormat="1" ht="15" spans="1:15">
      <c r="A252" s="83"/>
      <c r="B252" s="84"/>
      <c r="C252" s="83"/>
      <c r="D252" s="83"/>
      <c r="E252" s="83"/>
      <c r="F252" s="83"/>
      <c r="G252" s="83"/>
      <c r="H252" s="83"/>
      <c r="I252" s="83"/>
      <c r="J252" s="83"/>
      <c r="K252" s="83"/>
      <c r="L252" s="85"/>
      <c r="M252" s="86"/>
      <c r="N252" s="83"/>
      <c r="O252" s="83"/>
    </row>
    <row r="253" s="20" customFormat="1" ht="15" spans="1:15">
      <c r="A253" s="83"/>
      <c r="B253" s="84"/>
      <c r="C253" s="83"/>
      <c r="D253" s="83"/>
      <c r="E253" s="83"/>
      <c r="F253" s="83"/>
      <c r="G253" s="83"/>
      <c r="H253" s="83"/>
      <c r="I253" s="83"/>
      <c r="J253" s="83"/>
      <c r="K253" s="83"/>
      <c r="L253" s="85"/>
      <c r="M253" s="86"/>
      <c r="N253" s="83"/>
      <c r="O253" s="83"/>
    </row>
    <row r="254" s="20" customFormat="1" ht="15" spans="1:15">
      <c r="A254" s="83"/>
      <c r="B254" s="84"/>
      <c r="C254" s="83"/>
      <c r="D254" s="83"/>
      <c r="E254" s="83"/>
      <c r="F254" s="83"/>
      <c r="G254" s="83"/>
      <c r="H254" s="83"/>
      <c r="I254" s="83"/>
      <c r="J254" s="83"/>
      <c r="K254" s="83"/>
      <c r="L254" s="85"/>
      <c r="M254" s="86"/>
      <c r="N254" s="83"/>
      <c r="O254" s="83"/>
    </row>
    <row r="255" s="20" customFormat="1" ht="15" spans="1:15">
      <c r="A255" s="83"/>
      <c r="B255" s="84"/>
      <c r="C255" s="83"/>
      <c r="D255" s="83"/>
      <c r="E255" s="83"/>
      <c r="F255" s="83"/>
      <c r="G255" s="83"/>
      <c r="H255" s="83"/>
      <c r="I255" s="83"/>
      <c r="J255" s="83"/>
      <c r="K255" s="83"/>
      <c r="L255" s="85"/>
      <c r="M255" s="86"/>
      <c r="N255" s="83"/>
      <c r="O255" s="83"/>
    </row>
    <row r="256" s="20" customFormat="1" ht="15" spans="1:15">
      <c r="A256" s="83"/>
      <c r="B256" s="84"/>
      <c r="C256" s="83"/>
      <c r="D256" s="83"/>
      <c r="E256" s="83"/>
      <c r="F256" s="83"/>
      <c r="G256" s="83"/>
      <c r="H256" s="83"/>
      <c r="I256" s="83"/>
      <c r="J256" s="83"/>
      <c r="K256" s="83"/>
      <c r="L256" s="85"/>
      <c r="M256" s="86"/>
      <c r="N256" s="83"/>
      <c r="O256" s="83"/>
    </row>
    <row r="257" s="20" customFormat="1" ht="15" spans="1:15">
      <c r="A257" s="83"/>
      <c r="B257" s="84"/>
      <c r="C257" s="83"/>
      <c r="D257" s="83"/>
      <c r="E257" s="83"/>
      <c r="F257" s="83"/>
      <c r="G257" s="83"/>
      <c r="H257" s="83"/>
      <c r="I257" s="83"/>
      <c r="J257" s="83"/>
      <c r="K257" s="83"/>
      <c r="L257" s="85"/>
      <c r="M257" s="86"/>
      <c r="N257" s="83"/>
      <c r="O257" s="83"/>
    </row>
    <row r="258" s="20" customFormat="1" ht="15" spans="1:15">
      <c r="A258" s="83"/>
      <c r="B258" s="84"/>
      <c r="C258" s="83"/>
      <c r="D258" s="83"/>
      <c r="E258" s="83"/>
      <c r="F258" s="83"/>
      <c r="G258" s="83"/>
      <c r="H258" s="83"/>
      <c r="I258" s="83"/>
      <c r="J258" s="83"/>
      <c r="K258" s="83"/>
      <c r="L258" s="85"/>
      <c r="M258" s="86"/>
      <c r="N258" s="83"/>
      <c r="O258" s="83"/>
    </row>
    <row r="259" s="20" customFormat="1" ht="15" spans="1:15">
      <c r="A259" s="83"/>
      <c r="B259" s="84"/>
      <c r="C259" s="83"/>
      <c r="D259" s="83"/>
      <c r="E259" s="83"/>
      <c r="F259" s="83"/>
      <c r="G259" s="83"/>
      <c r="H259" s="83"/>
      <c r="I259" s="83"/>
      <c r="J259" s="83"/>
      <c r="K259" s="83"/>
      <c r="L259" s="85"/>
      <c r="M259" s="86"/>
      <c r="N259" s="83"/>
      <c r="O259" s="83"/>
    </row>
    <row r="260" s="20" customFormat="1" ht="15" spans="1:15">
      <c r="A260" s="83"/>
      <c r="B260" s="84"/>
      <c r="C260" s="83"/>
      <c r="D260" s="83"/>
      <c r="E260" s="83"/>
      <c r="F260" s="83"/>
      <c r="G260" s="83"/>
      <c r="H260" s="83"/>
      <c r="I260" s="83"/>
      <c r="J260" s="83"/>
      <c r="K260" s="83"/>
      <c r="L260" s="85"/>
      <c r="M260" s="86"/>
      <c r="N260" s="83"/>
      <c r="O260" s="83"/>
    </row>
    <row r="261" s="20" customFormat="1" ht="15" spans="1:15">
      <c r="A261" s="83"/>
      <c r="B261" s="84"/>
      <c r="C261" s="83"/>
      <c r="D261" s="83"/>
      <c r="E261" s="83"/>
      <c r="F261" s="83"/>
      <c r="G261" s="83"/>
      <c r="H261" s="83"/>
      <c r="I261" s="83"/>
      <c r="J261" s="83"/>
      <c r="K261" s="83"/>
      <c r="L261" s="85"/>
      <c r="M261" s="86"/>
      <c r="N261" s="83"/>
      <c r="O261" s="83"/>
    </row>
    <row r="262" s="20" customFormat="1" ht="15" spans="1:15">
      <c r="A262" s="83"/>
      <c r="B262" s="84"/>
      <c r="C262" s="83"/>
      <c r="D262" s="83"/>
      <c r="E262" s="83"/>
      <c r="F262" s="83"/>
      <c r="G262" s="83"/>
      <c r="H262" s="83"/>
      <c r="I262" s="83"/>
      <c r="J262" s="83"/>
      <c r="K262" s="83"/>
      <c r="L262" s="85"/>
      <c r="M262" s="86"/>
      <c r="N262" s="83"/>
      <c r="O262" s="83"/>
    </row>
    <row r="263" s="20" customFormat="1" ht="15" spans="1:15">
      <c r="A263" s="83"/>
      <c r="B263" s="84"/>
      <c r="C263" s="83"/>
      <c r="D263" s="83"/>
      <c r="E263" s="83"/>
      <c r="F263" s="83"/>
      <c r="G263" s="83"/>
      <c r="H263" s="83"/>
      <c r="I263" s="83"/>
      <c r="J263" s="83"/>
      <c r="K263" s="83"/>
      <c r="L263" s="85"/>
      <c r="M263" s="86"/>
      <c r="N263" s="83"/>
      <c r="O263" s="83"/>
    </row>
    <row r="264" s="20" customFormat="1" ht="15" spans="1:15">
      <c r="A264" s="83"/>
      <c r="B264" s="84"/>
      <c r="C264" s="83"/>
      <c r="D264" s="83"/>
      <c r="E264" s="83"/>
      <c r="F264" s="83"/>
      <c r="G264" s="83"/>
      <c r="H264" s="83"/>
      <c r="I264" s="83"/>
      <c r="J264" s="83"/>
      <c r="K264" s="83"/>
      <c r="L264" s="85"/>
      <c r="M264" s="86"/>
      <c r="N264" s="83"/>
      <c r="O264" s="83"/>
    </row>
    <row r="265" s="20" customFormat="1" ht="15" spans="1:15">
      <c r="A265" s="83"/>
      <c r="B265" s="84"/>
      <c r="C265" s="83"/>
      <c r="D265" s="83"/>
      <c r="E265" s="83"/>
      <c r="F265" s="83"/>
      <c r="G265" s="83"/>
      <c r="H265" s="83"/>
      <c r="I265" s="83"/>
      <c r="J265" s="83"/>
      <c r="K265" s="83"/>
      <c r="L265" s="85"/>
      <c r="M265" s="86"/>
      <c r="N265" s="83"/>
      <c r="O265" s="83"/>
    </row>
    <row r="266" s="20" customFormat="1" ht="15" spans="1:15">
      <c r="A266" s="83"/>
      <c r="B266" s="84"/>
      <c r="C266" s="83"/>
      <c r="D266" s="83"/>
      <c r="E266" s="83"/>
      <c r="F266" s="83"/>
      <c r="G266" s="83"/>
      <c r="H266" s="83"/>
      <c r="I266" s="83"/>
      <c r="J266" s="83"/>
      <c r="K266" s="83"/>
      <c r="L266" s="85"/>
      <c r="M266" s="86"/>
      <c r="N266" s="83"/>
      <c r="O266" s="83"/>
    </row>
    <row r="267" s="20" customFormat="1" ht="15" spans="1:15">
      <c r="A267" s="83"/>
      <c r="B267" s="84"/>
      <c r="C267" s="83"/>
      <c r="D267" s="83"/>
      <c r="E267" s="83"/>
      <c r="F267" s="83"/>
      <c r="G267" s="83"/>
      <c r="H267" s="83"/>
      <c r="I267" s="83"/>
      <c r="J267" s="83"/>
      <c r="K267" s="83"/>
      <c r="L267" s="85"/>
      <c r="M267" s="86"/>
      <c r="N267" s="83"/>
      <c r="O267" s="83"/>
    </row>
    <row r="268" s="20" customFormat="1" ht="15" spans="1:15">
      <c r="A268" s="83"/>
      <c r="B268" s="84"/>
      <c r="C268" s="83"/>
      <c r="D268" s="83"/>
      <c r="E268" s="83"/>
      <c r="F268" s="83"/>
      <c r="G268" s="83"/>
      <c r="H268" s="83"/>
      <c r="I268" s="83"/>
      <c r="J268" s="83"/>
      <c r="K268" s="83"/>
      <c r="L268" s="85"/>
      <c r="M268" s="86"/>
      <c r="N268" s="83"/>
      <c r="O268" s="83"/>
    </row>
    <row r="269" s="20" customFormat="1" ht="15" spans="1:15">
      <c r="A269" s="83"/>
      <c r="B269" s="84"/>
      <c r="C269" s="83"/>
      <c r="D269" s="83"/>
      <c r="E269" s="83"/>
      <c r="F269" s="83"/>
      <c r="G269" s="83"/>
      <c r="H269" s="83"/>
      <c r="I269" s="83"/>
      <c r="J269" s="83"/>
      <c r="K269" s="83"/>
      <c r="L269" s="85"/>
      <c r="M269" s="86"/>
      <c r="N269" s="83"/>
      <c r="O269" s="83"/>
    </row>
    <row r="270" s="20" customFormat="1" ht="15" spans="1:15">
      <c r="A270" s="83"/>
      <c r="B270" s="84"/>
      <c r="C270" s="83"/>
      <c r="D270" s="83"/>
      <c r="E270" s="83"/>
      <c r="F270" s="83"/>
      <c r="G270" s="83"/>
      <c r="H270" s="83"/>
      <c r="I270" s="83"/>
      <c r="J270" s="83"/>
      <c r="K270" s="83"/>
      <c r="L270" s="85"/>
      <c r="M270" s="86"/>
      <c r="N270" s="83"/>
      <c r="O270" s="83"/>
    </row>
    <row r="271" s="20" customFormat="1" ht="15" spans="1:15">
      <c r="A271" s="83"/>
      <c r="B271" s="84"/>
      <c r="C271" s="83"/>
      <c r="D271" s="83"/>
      <c r="E271" s="83"/>
      <c r="F271" s="83"/>
      <c r="G271" s="83"/>
      <c r="H271" s="83"/>
      <c r="I271" s="83"/>
      <c r="J271" s="83"/>
      <c r="K271" s="83"/>
      <c r="L271" s="85"/>
      <c r="M271" s="86"/>
      <c r="N271" s="83"/>
      <c r="O271" s="83"/>
    </row>
    <row r="272" s="20" customFormat="1" ht="15" spans="1:15">
      <c r="A272" s="83"/>
      <c r="B272" s="84"/>
      <c r="C272" s="83"/>
      <c r="D272" s="83"/>
      <c r="E272" s="83"/>
      <c r="F272" s="83"/>
      <c r="G272" s="83"/>
      <c r="H272" s="83"/>
      <c r="I272" s="83"/>
      <c r="J272" s="83"/>
      <c r="K272" s="83"/>
      <c r="L272" s="85"/>
      <c r="M272" s="86"/>
      <c r="N272" s="83"/>
      <c r="O272" s="83"/>
    </row>
    <row r="273" s="20" customFormat="1" ht="15" spans="1:15">
      <c r="A273" s="83"/>
      <c r="B273" s="84"/>
      <c r="C273" s="83"/>
      <c r="D273" s="83"/>
      <c r="E273" s="83"/>
      <c r="F273" s="83"/>
      <c r="G273" s="83"/>
      <c r="H273" s="83"/>
      <c r="I273" s="83"/>
      <c r="J273" s="83"/>
      <c r="K273" s="83"/>
      <c r="L273" s="85"/>
      <c r="M273" s="86"/>
      <c r="N273" s="83"/>
      <c r="O273" s="83"/>
    </row>
    <row r="274" s="20" customFormat="1" ht="15" spans="1:15">
      <c r="A274" s="83"/>
      <c r="B274" s="84"/>
      <c r="C274" s="83"/>
      <c r="D274" s="83"/>
      <c r="E274" s="83"/>
      <c r="F274" s="83"/>
      <c r="G274" s="83"/>
      <c r="H274" s="83"/>
      <c r="I274" s="83"/>
      <c r="J274" s="83"/>
      <c r="K274" s="83"/>
      <c r="L274" s="85"/>
      <c r="M274" s="86"/>
      <c r="N274" s="83"/>
      <c r="O274" s="83"/>
    </row>
    <row r="275" s="20" customFormat="1" ht="15" spans="1:15">
      <c r="A275" s="83"/>
      <c r="B275" s="84"/>
      <c r="C275" s="83"/>
      <c r="D275" s="83"/>
      <c r="E275" s="83"/>
      <c r="F275" s="83"/>
      <c r="G275" s="83"/>
      <c r="H275" s="83"/>
      <c r="I275" s="83"/>
      <c r="J275" s="83"/>
      <c r="K275" s="83"/>
      <c r="L275" s="85"/>
      <c r="M275" s="86"/>
      <c r="N275" s="83"/>
      <c r="O275" s="83"/>
    </row>
    <row r="276" s="20" customFormat="1" ht="15" spans="1:15">
      <c r="A276" s="83"/>
      <c r="B276" s="84"/>
      <c r="C276" s="83"/>
      <c r="D276" s="83"/>
      <c r="E276" s="83"/>
      <c r="F276" s="83"/>
      <c r="G276" s="83"/>
      <c r="H276" s="83"/>
      <c r="I276" s="83"/>
      <c r="J276" s="83"/>
      <c r="K276" s="83"/>
      <c r="L276" s="85"/>
      <c r="M276" s="86"/>
      <c r="N276" s="83"/>
      <c r="O276" s="83"/>
    </row>
    <row r="277" s="20" customFormat="1" ht="15" spans="1:15">
      <c r="A277" s="83"/>
      <c r="B277" s="84"/>
      <c r="C277" s="83"/>
      <c r="D277" s="83"/>
      <c r="E277" s="83"/>
      <c r="F277" s="83"/>
      <c r="G277" s="83"/>
      <c r="H277" s="83"/>
      <c r="I277" s="83"/>
      <c r="J277" s="83"/>
      <c r="K277" s="83"/>
      <c r="L277" s="85"/>
      <c r="M277" s="86"/>
      <c r="N277" s="83"/>
      <c r="O277" s="83"/>
    </row>
    <row r="278" s="20" customFormat="1" ht="15" spans="1:15">
      <c r="A278" s="83"/>
      <c r="B278" s="84"/>
      <c r="C278" s="83"/>
      <c r="D278" s="83"/>
      <c r="E278" s="83"/>
      <c r="F278" s="83"/>
      <c r="G278" s="83"/>
      <c r="H278" s="83"/>
      <c r="I278" s="83"/>
      <c r="J278" s="83"/>
      <c r="K278" s="83"/>
      <c r="L278" s="85"/>
      <c r="M278" s="86"/>
      <c r="N278" s="83"/>
      <c r="O278" s="83"/>
    </row>
    <row r="279" s="20" customFormat="1" ht="15" spans="1:15">
      <c r="A279" s="83"/>
      <c r="B279" s="84"/>
      <c r="C279" s="83"/>
      <c r="D279" s="83"/>
      <c r="E279" s="83"/>
      <c r="F279" s="83"/>
      <c r="G279" s="83"/>
      <c r="H279" s="83"/>
      <c r="I279" s="83"/>
      <c r="J279" s="83"/>
      <c r="K279" s="83"/>
      <c r="L279" s="85"/>
      <c r="M279" s="86"/>
      <c r="N279" s="83"/>
      <c r="O279" s="83"/>
    </row>
    <row r="280" s="20" customFormat="1" ht="15" spans="1:15">
      <c r="A280" s="83"/>
      <c r="B280" s="84"/>
      <c r="C280" s="83"/>
      <c r="D280" s="83"/>
      <c r="E280" s="83"/>
      <c r="F280" s="83"/>
      <c r="G280" s="83"/>
      <c r="H280" s="83"/>
      <c r="I280" s="83"/>
      <c r="J280" s="83"/>
      <c r="K280" s="83"/>
      <c r="L280" s="85"/>
      <c r="M280" s="86"/>
      <c r="N280" s="83"/>
      <c r="O280" s="83"/>
    </row>
    <row r="281" s="20" customFormat="1" ht="15" spans="1:15">
      <c r="A281" s="83"/>
      <c r="B281" s="84"/>
      <c r="C281" s="83"/>
      <c r="D281" s="83"/>
      <c r="E281" s="83"/>
      <c r="F281" s="83"/>
      <c r="G281" s="83"/>
      <c r="H281" s="83"/>
      <c r="I281" s="83"/>
      <c r="J281" s="83"/>
      <c r="K281" s="83"/>
      <c r="L281" s="85"/>
      <c r="M281" s="86"/>
      <c r="N281" s="83"/>
      <c r="O281" s="83"/>
    </row>
    <row r="282" s="20" customFormat="1" ht="15" spans="1:15">
      <c r="A282" s="83"/>
      <c r="B282" s="84"/>
      <c r="C282" s="83"/>
      <c r="D282" s="83"/>
      <c r="E282" s="83"/>
      <c r="F282" s="83"/>
      <c r="G282" s="83"/>
      <c r="H282" s="83"/>
      <c r="I282" s="83"/>
      <c r="J282" s="83"/>
      <c r="K282" s="83"/>
      <c r="L282" s="85"/>
      <c r="M282" s="86"/>
      <c r="N282" s="83"/>
      <c r="O282" s="83"/>
    </row>
    <row r="283" s="20" customFormat="1" ht="15" spans="1:15">
      <c r="A283" s="83"/>
      <c r="B283" s="84"/>
      <c r="C283" s="83"/>
      <c r="D283" s="83"/>
      <c r="E283" s="83"/>
      <c r="F283" s="83"/>
      <c r="G283" s="83"/>
      <c r="H283" s="83"/>
      <c r="I283" s="83"/>
      <c r="J283" s="83"/>
      <c r="K283" s="83"/>
      <c r="L283" s="85"/>
      <c r="M283" s="86"/>
      <c r="N283" s="83"/>
      <c r="O283" s="83"/>
    </row>
    <row r="284" s="20" customFormat="1" ht="15" spans="1:15">
      <c r="A284" s="83"/>
      <c r="B284" s="84"/>
      <c r="C284" s="83"/>
      <c r="D284" s="83"/>
      <c r="E284" s="83"/>
      <c r="F284" s="83"/>
      <c r="G284" s="83"/>
      <c r="H284" s="83"/>
      <c r="I284" s="83"/>
      <c r="J284" s="83"/>
      <c r="K284" s="83"/>
      <c r="L284" s="85"/>
      <c r="M284" s="86"/>
      <c r="N284" s="83"/>
      <c r="O284" s="83"/>
    </row>
    <row r="285" s="20" customFormat="1" ht="15" spans="1:15">
      <c r="A285" s="83"/>
      <c r="B285" s="84"/>
      <c r="C285" s="83"/>
      <c r="D285" s="83"/>
      <c r="E285" s="83"/>
      <c r="F285" s="83"/>
      <c r="G285" s="83"/>
      <c r="H285" s="83"/>
      <c r="I285" s="83"/>
      <c r="J285" s="83"/>
      <c r="K285" s="83"/>
      <c r="L285" s="85"/>
      <c r="M285" s="86"/>
      <c r="N285" s="83"/>
      <c r="O285" s="83"/>
    </row>
    <row r="286" s="20" customFormat="1" ht="15" spans="1:15">
      <c r="A286" s="83"/>
      <c r="B286" s="84"/>
      <c r="C286" s="83"/>
      <c r="D286" s="83"/>
      <c r="E286" s="83"/>
      <c r="F286" s="83"/>
      <c r="G286" s="83"/>
      <c r="H286" s="83"/>
      <c r="I286" s="83"/>
      <c r="J286" s="83"/>
      <c r="K286" s="83"/>
      <c r="L286" s="85"/>
      <c r="M286" s="86"/>
      <c r="N286" s="83"/>
      <c r="O286" s="83"/>
    </row>
    <row r="287" s="20" customFormat="1" ht="15" spans="1:15">
      <c r="A287" s="83"/>
      <c r="B287" s="84"/>
      <c r="C287" s="83"/>
      <c r="D287" s="83"/>
      <c r="E287" s="83"/>
      <c r="F287" s="83"/>
      <c r="G287" s="83"/>
      <c r="H287" s="83"/>
      <c r="I287" s="83"/>
      <c r="J287" s="83"/>
      <c r="K287" s="83"/>
      <c r="L287" s="85"/>
      <c r="M287" s="86"/>
      <c r="N287" s="83"/>
      <c r="O287" s="83"/>
    </row>
    <row r="288" s="20" customFormat="1" ht="15" spans="1:15">
      <c r="A288" s="83"/>
      <c r="B288" s="84"/>
      <c r="C288" s="83"/>
      <c r="D288" s="83"/>
      <c r="E288" s="83"/>
      <c r="F288" s="83"/>
      <c r="G288" s="83"/>
      <c r="H288" s="83"/>
      <c r="I288" s="83"/>
      <c r="J288" s="83"/>
      <c r="K288" s="83"/>
      <c r="L288" s="85"/>
      <c r="M288" s="86"/>
      <c r="N288" s="83"/>
      <c r="O288" s="83"/>
    </row>
    <row r="289" s="20" customFormat="1" ht="15" spans="1:15">
      <c r="A289" s="83"/>
      <c r="B289" s="84"/>
      <c r="C289" s="83"/>
      <c r="D289" s="83"/>
      <c r="E289" s="83"/>
      <c r="F289" s="83"/>
      <c r="G289" s="83"/>
      <c r="H289" s="83"/>
      <c r="I289" s="83"/>
      <c r="J289" s="83"/>
      <c r="K289" s="83"/>
      <c r="L289" s="85"/>
      <c r="M289" s="86"/>
      <c r="N289" s="83"/>
      <c r="O289" s="83"/>
    </row>
    <row r="290" s="20" customFormat="1" ht="15" spans="1:15">
      <c r="A290" s="83"/>
      <c r="B290" s="84"/>
      <c r="C290" s="83"/>
      <c r="D290" s="83"/>
      <c r="E290" s="83"/>
      <c r="F290" s="83"/>
      <c r="G290" s="83"/>
      <c r="H290" s="83"/>
      <c r="I290" s="83"/>
      <c r="J290" s="83"/>
      <c r="K290" s="83"/>
      <c r="L290" s="85"/>
      <c r="M290" s="86"/>
      <c r="N290" s="83"/>
      <c r="O290" s="83"/>
    </row>
    <row r="291" s="20" customFormat="1" ht="15" spans="1:15">
      <c r="A291" s="83"/>
      <c r="B291" s="84"/>
      <c r="C291" s="83"/>
      <c r="D291" s="83"/>
      <c r="E291" s="83"/>
      <c r="F291" s="83"/>
      <c r="G291" s="83"/>
      <c r="H291" s="83"/>
      <c r="I291" s="83"/>
      <c r="J291" s="83"/>
      <c r="K291" s="83"/>
      <c r="L291" s="85"/>
      <c r="M291" s="86"/>
      <c r="N291" s="83"/>
      <c r="O291" s="83"/>
    </row>
    <row r="292" s="20" customFormat="1" ht="15" spans="1:15">
      <c r="A292" s="83"/>
      <c r="B292" s="84"/>
      <c r="C292" s="83"/>
      <c r="D292" s="83"/>
      <c r="E292" s="83"/>
      <c r="F292" s="83"/>
      <c r="G292" s="83"/>
      <c r="H292" s="83"/>
      <c r="I292" s="83"/>
      <c r="J292" s="83"/>
      <c r="K292" s="83"/>
      <c r="L292" s="85"/>
      <c r="M292" s="86"/>
      <c r="N292" s="83"/>
      <c r="O292" s="83"/>
    </row>
    <row r="293" s="20" customFormat="1" ht="15" spans="1:15">
      <c r="A293" s="83"/>
      <c r="B293" s="84"/>
      <c r="C293" s="83"/>
      <c r="D293" s="83"/>
      <c r="E293" s="83"/>
      <c r="F293" s="83"/>
      <c r="G293" s="83"/>
      <c r="H293" s="83"/>
      <c r="I293" s="83"/>
      <c r="J293" s="83"/>
      <c r="K293" s="83"/>
      <c r="L293" s="85"/>
      <c r="M293" s="86"/>
      <c r="N293" s="83"/>
      <c r="O293" s="83"/>
    </row>
    <row r="294" s="20" customFormat="1" ht="15" spans="1:15">
      <c r="A294" s="83"/>
      <c r="B294" s="84"/>
      <c r="C294" s="83"/>
      <c r="D294" s="83"/>
      <c r="E294" s="83"/>
      <c r="F294" s="83"/>
      <c r="G294" s="83"/>
      <c r="H294" s="83"/>
      <c r="I294" s="83"/>
      <c r="J294" s="83"/>
      <c r="K294" s="83"/>
      <c r="L294" s="85"/>
      <c r="M294" s="86"/>
      <c r="N294" s="83"/>
      <c r="O294" s="83"/>
    </row>
    <row r="295" s="20" customFormat="1" ht="15" spans="1:15">
      <c r="A295" s="83"/>
      <c r="B295" s="84"/>
      <c r="C295" s="83"/>
      <c r="D295" s="83"/>
      <c r="E295" s="83"/>
      <c r="F295" s="83"/>
      <c r="G295" s="83"/>
      <c r="H295" s="83"/>
      <c r="I295" s="83"/>
      <c r="J295" s="83"/>
      <c r="K295" s="83"/>
      <c r="L295" s="85"/>
      <c r="M295" s="86"/>
      <c r="N295" s="83"/>
      <c r="O295" s="83"/>
    </row>
    <row r="296" s="20" customFormat="1" ht="15" spans="1:15">
      <c r="A296" s="83"/>
      <c r="B296" s="84"/>
      <c r="C296" s="83"/>
      <c r="D296" s="83"/>
      <c r="E296" s="83"/>
      <c r="F296" s="83"/>
      <c r="G296" s="83"/>
      <c r="H296" s="83"/>
      <c r="I296" s="83"/>
      <c r="J296" s="83"/>
      <c r="K296" s="83"/>
      <c r="L296" s="85"/>
      <c r="M296" s="86"/>
      <c r="N296" s="83"/>
      <c r="O296" s="83"/>
    </row>
    <row r="297" s="20" customFormat="1" ht="15" spans="1:15">
      <c r="A297" s="83"/>
      <c r="B297" s="84"/>
      <c r="C297" s="83"/>
      <c r="D297" s="83"/>
      <c r="E297" s="83"/>
      <c r="F297" s="83"/>
      <c r="G297" s="83"/>
      <c r="H297" s="83"/>
      <c r="I297" s="83"/>
      <c r="J297" s="83"/>
      <c r="K297" s="83"/>
      <c r="L297" s="85"/>
      <c r="M297" s="86"/>
      <c r="N297" s="83"/>
      <c r="O297" s="83"/>
    </row>
    <row r="298" s="20" customFormat="1" ht="15" spans="1:15">
      <c r="A298" s="83"/>
      <c r="B298" s="84"/>
      <c r="C298" s="83"/>
      <c r="D298" s="83"/>
      <c r="E298" s="83"/>
      <c r="F298" s="83"/>
      <c r="G298" s="83"/>
      <c r="H298" s="83"/>
      <c r="I298" s="83"/>
      <c r="J298" s="83"/>
      <c r="K298" s="83"/>
      <c r="L298" s="85"/>
      <c r="M298" s="86"/>
      <c r="N298" s="83"/>
      <c r="O298" s="83"/>
    </row>
    <row r="299" s="20" customFormat="1" ht="15" spans="1:15">
      <c r="A299" s="83"/>
      <c r="B299" s="84"/>
      <c r="C299" s="83"/>
      <c r="D299" s="83"/>
      <c r="E299" s="83"/>
      <c r="F299" s="83"/>
      <c r="G299" s="83"/>
      <c r="H299" s="83"/>
      <c r="I299" s="83"/>
      <c r="J299" s="83"/>
      <c r="K299" s="83"/>
      <c r="L299" s="85"/>
      <c r="M299" s="86"/>
      <c r="N299" s="83"/>
      <c r="O299" s="83"/>
    </row>
    <row r="300" s="20" customFormat="1" ht="15" spans="1:15">
      <c r="A300" s="83"/>
      <c r="B300" s="84"/>
      <c r="C300" s="83"/>
      <c r="D300" s="83"/>
      <c r="E300" s="83"/>
      <c r="F300" s="83"/>
      <c r="G300" s="83"/>
      <c r="H300" s="83"/>
      <c r="I300" s="83"/>
      <c r="J300" s="83"/>
      <c r="K300" s="83"/>
      <c r="L300" s="85"/>
      <c r="M300" s="86"/>
      <c r="N300" s="83"/>
      <c r="O300" s="83"/>
    </row>
    <row r="301" s="20" customFormat="1" ht="15" spans="1:15">
      <c r="A301" s="83"/>
      <c r="B301" s="84"/>
      <c r="C301" s="83"/>
      <c r="D301" s="83"/>
      <c r="E301" s="83"/>
      <c r="F301" s="83"/>
      <c r="G301" s="83"/>
      <c r="H301" s="83"/>
      <c r="I301" s="83"/>
      <c r="J301" s="83"/>
      <c r="K301" s="83"/>
      <c r="L301" s="85"/>
      <c r="M301" s="86"/>
      <c r="N301" s="83"/>
      <c r="O301" s="83"/>
    </row>
    <row r="302" s="20" customFormat="1" ht="15" spans="1:15">
      <c r="A302" s="83"/>
      <c r="B302" s="84"/>
      <c r="C302" s="83"/>
      <c r="D302" s="83"/>
      <c r="E302" s="83"/>
      <c r="F302" s="83"/>
      <c r="G302" s="83"/>
      <c r="H302" s="83"/>
      <c r="I302" s="83"/>
      <c r="J302" s="83"/>
      <c r="K302" s="83"/>
      <c r="L302" s="85"/>
      <c r="M302" s="86"/>
      <c r="N302" s="83"/>
      <c r="O302" s="83"/>
    </row>
    <row r="303" s="20" customFormat="1" ht="15" spans="1:15">
      <c r="A303" s="83"/>
      <c r="B303" s="84"/>
      <c r="C303" s="83"/>
      <c r="D303" s="83"/>
      <c r="E303" s="83"/>
      <c r="F303" s="83"/>
      <c r="G303" s="83"/>
      <c r="H303" s="83"/>
      <c r="I303" s="83"/>
      <c r="J303" s="83"/>
      <c r="K303" s="83"/>
      <c r="L303" s="85"/>
      <c r="M303" s="86"/>
      <c r="N303" s="83"/>
      <c r="O303" s="83"/>
    </row>
    <row r="304" s="20" customFormat="1" ht="15" spans="1:15">
      <c r="A304" s="83"/>
      <c r="B304" s="84"/>
      <c r="C304" s="83"/>
      <c r="D304" s="83"/>
      <c r="E304" s="83"/>
      <c r="F304" s="83"/>
      <c r="G304" s="83"/>
      <c r="H304" s="83"/>
      <c r="I304" s="83"/>
      <c r="J304" s="83"/>
      <c r="K304" s="83"/>
      <c r="L304" s="85"/>
      <c r="M304" s="86"/>
      <c r="N304" s="83"/>
      <c r="O304" s="83"/>
    </row>
    <row r="305" s="20" customFormat="1" ht="15" spans="1:15">
      <c r="A305" s="83"/>
      <c r="B305" s="84"/>
      <c r="C305" s="83"/>
      <c r="D305" s="83"/>
      <c r="E305" s="83"/>
      <c r="F305" s="83"/>
      <c r="G305" s="83"/>
      <c r="H305" s="83"/>
      <c r="I305" s="83"/>
      <c r="J305" s="83"/>
      <c r="K305" s="83"/>
      <c r="L305" s="85"/>
      <c r="M305" s="86"/>
      <c r="N305" s="83"/>
      <c r="O305" s="83"/>
    </row>
    <row r="306" s="20" customFormat="1" ht="15" spans="1:15">
      <c r="A306" s="83"/>
      <c r="B306" s="84"/>
      <c r="C306" s="83"/>
      <c r="D306" s="83"/>
      <c r="E306" s="83"/>
      <c r="F306" s="83"/>
      <c r="G306" s="83"/>
      <c r="H306" s="83"/>
      <c r="I306" s="83"/>
      <c r="J306" s="83"/>
      <c r="K306" s="83"/>
      <c r="L306" s="85"/>
      <c r="M306" s="86"/>
      <c r="N306" s="83"/>
      <c r="O306" s="83"/>
    </row>
    <row r="307" s="20" customFormat="1" ht="15" spans="1:15">
      <c r="A307" s="83"/>
      <c r="B307" s="84"/>
      <c r="C307" s="83"/>
      <c r="D307" s="83"/>
      <c r="E307" s="83"/>
      <c r="F307" s="83"/>
      <c r="G307" s="83"/>
      <c r="H307" s="83"/>
      <c r="I307" s="83"/>
      <c r="J307" s="83"/>
      <c r="K307" s="83"/>
      <c r="L307" s="85"/>
      <c r="M307" s="86"/>
      <c r="N307" s="83"/>
      <c r="O307" s="83"/>
    </row>
    <row r="308" s="20" customFormat="1" ht="15" spans="1:15">
      <c r="A308" s="83"/>
      <c r="B308" s="84"/>
      <c r="C308" s="83"/>
      <c r="D308" s="83"/>
      <c r="E308" s="83"/>
      <c r="F308" s="83"/>
      <c r="G308" s="83"/>
      <c r="H308" s="83"/>
      <c r="I308" s="83"/>
      <c r="J308" s="83"/>
      <c r="K308" s="83"/>
      <c r="L308" s="85"/>
      <c r="M308" s="86"/>
      <c r="N308" s="83"/>
      <c r="O308" s="83"/>
    </row>
    <row r="309" s="20" customFormat="1" ht="15" spans="1:15">
      <c r="A309" s="83"/>
      <c r="B309" s="84"/>
      <c r="C309" s="83"/>
      <c r="D309" s="83"/>
      <c r="E309" s="83"/>
      <c r="F309" s="83"/>
      <c r="G309" s="83"/>
      <c r="H309" s="83"/>
      <c r="I309" s="83"/>
      <c r="J309" s="83"/>
      <c r="K309" s="83"/>
      <c r="L309" s="85"/>
      <c r="M309" s="86"/>
      <c r="N309" s="83"/>
      <c r="O309" s="83"/>
    </row>
    <row r="310" s="20" customFormat="1" ht="15" spans="1:15">
      <c r="A310" s="83"/>
      <c r="B310" s="84"/>
      <c r="C310" s="83"/>
      <c r="D310" s="83"/>
      <c r="E310" s="83"/>
      <c r="F310" s="83"/>
      <c r="G310" s="83"/>
      <c r="H310" s="83"/>
      <c r="I310" s="83"/>
      <c r="J310" s="83"/>
      <c r="K310" s="83"/>
      <c r="L310" s="85"/>
      <c r="M310" s="86"/>
      <c r="N310" s="83"/>
      <c r="O310" s="83"/>
    </row>
    <row r="311" s="20" customFormat="1" ht="15" spans="1:15">
      <c r="A311" s="83"/>
      <c r="B311" s="84"/>
      <c r="C311" s="83"/>
      <c r="D311" s="83"/>
      <c r="E311" s="83"/>
      <c r="F311" s="83"/>
      <c r="G311" s="83"/>
      <c r="H311" s="83"/>
      <c r="I311" s="83"/>
      <c r="J311" s="83"/>
      <c r="K311" s="83"/>
      <c r="L311" s="85"/>
      <c r="M311" s="86"/>
      <c r="N311" s="83"/>
      <c r="O311" s="83"/>
    </row>
    <row r="312" s="20" customFormat="1" ht="15" spans="1:15">
      <c r="A312" s="83"/>
      <c r="B312" s="84"/>
      <c r="C312" s="83"/>
      <c r="D312" s="83"/>
      <c r="E312" s="83"/>
      <c r="F312" s="83"/>
      <c r="G312" s="83"/>
      <c r="H312" s="83"/>
      <c r="I312" s="83"/>
      <c r="J312" s="83"/>
      <c r="K312" s="83"/>
      <c r="L312" s="85"/>
      <c r="M312" s="86"/>
      <c r="N312" s="83"/>
      <c r="O312" s="83"/>
    </row>
    <row r="313" s="20" customFormat="1" ht="15" spans="1:15">
      <c r="A313" s="83"/>
      <c r="B313" s="84"/>
      <c r="C313" s="83"/>
      <c r="D313" s="83"/>
      <c r="E313" s="83"/>
      <c r="F313" s="83"/>
      <c r="G313" s="83"/>
      <c r="H313" s="83"/>
      <c r="I313" s="83"/>
      <c r="J313" s="83"/>
      <c r="K313" s="83"/>
      <c r="L313" s="85"/>
      <c r="M313" s="86"/>
      <c r="N313" s="83"/>
      <c r="O313" s="83"/>
    </row>
    <row r="314" s="20" customFormat="1" ht="15" spans="1:15">
      <c r="A314" s="83"/>
      <c r="B314" s="84"/>
      <c r="C314" s="83"/>
      <c r="D314" s="83"/>
      <c r="E314" s="83"/>
      <c r="F314" s="83"/>
      <c r="G314" s="83"/>
      <c r="H314" s="83"/>
      <c r="I314" s="83"/>
      <c r="J314" s="83"/>
      <c r="K314" s="83"/>
      <c r="L314" s="85"/>
      <c r="M314" s="86"/>
      <c r="N314" s="83"/>
      <c r="O314" s="83"/>
    </row>
    <row r="315" s="20" customFormat="1" ht="15" spans="1:15">
      <c r="A315" s="83"/>
      <c r="B315" s="84"/>
      <c r="C315" s="83"/>
      <c r="D315" s="83"/>
      <c r="E315" s="83"/>
      <c r="F315" s="83"/>
      <c r="G315" s="83"/>
      <c r="H315" s="83"/>
      <c r="I315" s="83"/>
      <c r="J315" s="83"/>
      <c r="K315" s="83"/>
      <c r="L315" s="85"/>
      <c r="M315" s="86"/>
      <c r="N315" s="83"/>
      <c r="O315" s="83"/>
    </row>
    <row r="316" s="20" customFormat="1" ht="15" spans="1:15">
      <c r="A316" s="83"/>
      <c r="B316" s="84"/>
      <c r="C316" s="83"/>
      <c r="D316" s="83"/>
      <c r="E316" s="83"/>
      <c r="F316" s="83"/>
      <c r="G316" s="83"/>
      <c r="H316" s="83"/>
      <c r="I316" s="83"/>
      <c r="J316" s="83"/>
      <c r="K316" s="83"/>
      <c r="L316" s="85"/>
      <c r="M316" s="86"/>
      <c r="N316" s="83"/>
      <c r="O316" s="83"/>
    </row>
    <row r="317" s="20" customFormat="1" ht="15" spans="1:15">
      <c r="A317" s="83"/>
      <c r="B317" s="84"/>
      <c r="C317" s="83"/>
      <c r="D317" s="83"/>
      <c r="E317" s="83"/>
      <c r="F317" s="83"/>
      <c r="G317" s="83"/>
      <c r="H317" s="83"/>
      <c r="I317" s="83"/>
      <c r="J317" s="83"/>
      <c r="K317" s="83"/>
      <c r="L317" s="85"/>
      <c r="M317" s="86"/>
      <c r="N317" s="83"/>
      <c r="O317" s="83"/>
    </row>
    <row r="318" s="20" customFormat="1" ht="15" spans="1:15">
      <c r="A318" s="83"/>
      <c r="B318" s="84"/>
      <c r="C318" s="83"/>
      <c r="D318" s="83"/>
      <c r="E318" s="83"/>
      <c r="F318" s="83"/>
      <c r="G318" s="83"/>
      <c r="H318" s="83"/>
      <c r="I318" s="83"/>
      <c r="J318" s="83"/>
      <c r="K318" s="83"/>
      <c r="L318" s="85"/>
      <c r="M318" s="86"/>
      <c r="N318" s="83"/>
      <c r="O318" s="83"/>
    </row>
    <row r="319" s="20" customFormat="1" ht="15" spans="1:15">
      <c r="A319" s="83"/>
      <c r="B319" s="84"/>
      <c r="C319" s="83"/>
      <c r="D319" s="83"/>
      <c r="E319" s="83"/>
      <c r="F319" s="83"/>
      <c r="G319" s="83"/>
      <c r="H319" s="83"/>
      <c r="I319" s="83"/>
      <c r="J319" s="83"/>
      <c r="K319" s="83"/>
      <c r="L319" s="85"/>
      <c r="M319" s="86"/>
      <c r="N319" s="83"/>
      <c r="O319" s="83"/>
    </row>
    <row r="320" s="20" customFormat="1" ht="15" spans="1:15">
      <c r="A320" s="83"/>
      <c r="B320" s="84"/>
      <c r="C320" s="83"/>
      <c r="D320" s="83"/>
      <c r="E320" s="83"/>
      <c r="F320" s="83"/>
      <c r="G320" s="83"/>
      <c r="H320" s="83"/>
      <c r="I320" s="83"/>
      <c r="J320" s="83"/>
      <c r="K320" s="83"/>
      <c r="L320" s="85"/>
      <c r="M320" s="86"/>
      <c r="N320" s="83"/>
      <c r="O320" s="83"/>
    </row>
    <row r="321" s="20" customFormat="1" ht="15" spans="1:15">
      <c r="A321" s="83"/>
      <c r="B321" s="84"/>
      <c r="C321" s="83"/>
      <c r="D321" s="83"/>
      <c r="E321" s="83"/>
      <c r="F321" s="83"/>
      <c r="G321" s="83"/>
      <c r="H321" s="83"/>
      <c r="I321" s="83"/>
      <c r="J321" s="83"/>
      <c r="K321" s="83"/>
      <c r="L321" s="85"/>
      <c r="M321" s="86"/>
      <c r="N321" s="83"/>
      <c r="O321" s="83"/>
    </row>
    <row r="322" s="20" customFormat="1" ht="15" spans="1:15">
      <c r="A322" s="83"/>
      <c r="B322" s="84"/>
      <c r="C322" s="83"/>
      <c r="D322" s="83"/>
      <c r="E322" s="83"/>
      <c r="F322" s="83"/>
      <c r="G322" s="83"/>
      <c r="H322" s="83"/>
      <c r="I322" s="83"/>
      <c r="J322" s="83"/>
      <c r="K322" s="83"/>
      <c r="L322" s="85"/>
      <c r="M322" s="86"/>
      <c r="N322" s="83"/>
      <c r="O322" s="83"/>
    </row>
    <row r="323" s="20" customFormat="1" ht="15" spans="1:15">
      <c r="A323" s="83"/>
      <c r="B323" s="84"/>
      <c r="C323" s="83"/>
      <c r="D323" s="83"/>
      <c r="E323" s="83"/>
      <c r="F323" s="83"/>
      <c r="G323" s="83"/>
      <c r="H323" s="83"/>
      <c r="I323" s="83"/>
      <c r="J323" s="83"/>
      <c r="K323" s="83"/>
      <c r="L323" s="85"/>
      <c r="M323" s="86"/>
      <c r="N323" s="83"/>
      <c r="O323" s="83"/>
    </row>
    <row r="324" s="20" customFormat="1" ht="15" spans="1:15">
      <c r="A324" s="83"/>
      <c r="B324" s="84"/>
      <c r="C324" s="83"/>
      <c r="D324" s="83"/>
      <c r="E324" s="83"/>
      <c r="F324" s="83"/>
      <c r="G324" s="83"/>
      <c r="H324" s="83"/>
      <c r="I324" s="83"/>
      <c r="J324" s="83"/>
      <c r="K324" s="83"/>
      <c r="L324" s="85"/>
      <c r="M324" s="86"/>
      <c r="N324" s="83"/>
      <c r="O324" s="83"/>
    </row>
    <row r="325" s="20" customFormat="1" ht="15" spans="1:15">
      <c r="A325" s="83"/>
      <c r="B325" s="84"/>
      <c r="C325" s="83"/>
      <c r="D325" s="83"/>
      <c r="E325" s="83"/>
      <c r="F325" s="83"/>
      <c r="G325" s="83"/>
      <c r="H325" s="83"/>
      <c r="I325" s="83"/>
      <c r="J325" s="83"/>
      <c r="K325" s="83"/>
      <c r="L325" s="85"/>
      <c r="M325" s="86"/>
      <c r="N325" s="83"/>
      <c r="O325" s="83"/>
    </row>
    <row r="326" s="20" customFormat="1" ht="15" spans="1:15">
      <c r="A326" s="83"/>
      <c r="B326" s="84"/>
      <c r="C326" s="83"/>
      <c r="D326" s="83"/>
      <c r="E326" s="83"/>
      <c r="F326" s="83"/>
      <c r="G326" s="83"/>
      <c r="H326" s="83"/>
      <c r="I326" s="83"/>
      <c r="J326" s="83"/>
      <c r="K326" s="83"/>
      <c r="L326" s="85"/>
      <c r="M326" s="86"/>
      <c r="N326" s="83"/>
      <c r="O326" s="83"/>
    </row>
    <row r="327" s="20" customFormat="1" ht="15" spans="1:15">
      <c r="A327" s="83"/>
      <c r="B327" s="84"/>
      <c r="C327" s="83"/>
      <c r="D327" s="83"/>
      <c r="E327" s="83"/>
      <c r="F327" s="83"/>
      <c r="G327" s="83"/>
      <c r="H327" s="83"/>
      <c r="I327" s="83"/>
      <c r="J327" s="83"/>
      <c r="K327" s="83"/>
      <c r="L327" s="85"/>
      <c r="M327" s="86"/>
      <c r="N327" s="83"/>
      <c r="O327" s="83"/>
    </row>
    <row r="328" s="20" customFormat="1" ht="15" spans="1:15">
      <c r="A328" s="83"/>
      <c r="B328" s="84"/>
      <c r="C328" s="83"/>
      <c r="D328" s="83"/>
      <c r="E328" s="83"/>
      <c r="F328" s="83"/>
      <c r="G328" s="83"/>
      <c r="H328" s="83"/>
      <c r="I328" s="83"/>
      <c r="J328" s="83"/>
      <c r="K328" s="83"/>
      <c r="L328" s="85"/>
      <c r="M328" s="86"/>
      <c r="N328" s="83"/>
      <c r="O328" s="83"/>
    </row>
    <row r="329" s="20" customFormat="1" ht="15" spans="1:15">
      <c r="A329" s="83"/>
      <c r="B329" s="84"/>
      <c r="C329" s="83"/>
      <c r="D329" s="83"/>
      <c r="E329" s="83"/>
      <c r="F329" s="83"/>
      <c r="G329" s="83"/>
      <c r="H329" s="83"/>
      <c r="I329" s="83"/>
      <c r="J329" s="83"/>
      <c r="K329" s="83"/>
      <c r="L329" s="85"/>
      <c r="M329" s="86"/>
      <c r="N329" s="83"/>
      <c r="O329" s="83"/>
    </row>
    <row r="330" s="20" customFormat="1" ht="15" spans="1:15">
      <c r="A330" s="83"/>
      <c r="B330" s="84"/>
      <c r="C330" s="83"/>
      <c r="D330" s="83"/>
      <c r="E330" s="83"/>
      <c r="F330" s="83"/>
      <c r="G330" s="83"/>
      <c r="H330" s="83"/>
      <c r="I330" s="83"/>
      <c r="J330" s="83"/>
      <c r="K330" s="83"/>
      <c r="L330" s="85"/>
      <c r="M330" s="86"/>
      <c r="N330" s="83"/>
      <c r="O330" s="83"/>
    </row>
    <row r="331" s="20" customFormat="1" ht="15" spans="1:15">
      <c r="A331" s="83"/>
      <c r="B331" s="84"/>
      <c r="C331" s="83"/>
      <c r="D331" s="83"/>
      <c r="E331" s="83"/>
      <c r="F331" s="83"/>
      <c r="G331" s="83"/>
      <c r="H331" s="83"/>
      <c r="I331" s="83"/>
      <c r="J331" s="83"/>
      <c r="K331" s="83"/>
      <c r="L331" s="85"/>
      <c r="M331" s="86"/>
      <c r="N331" s="83"/>
      <c r="O331" s="83"/>
    </row>
    <row r="332" s="20" customFormat="1" ht="15" spans="1:15">
      <c r="A332" s="83"/>
      <c r="B332" s="84"/>
      <c r="C332" s="83"/>
      <c r="D332" s="83"/>
      <c r="E332" s="83"/>
      <c r="F332" s="83"/>
      <c r="G332" s="83"/>
      <c r="H332" s="83"/>
      <c r="I332" s="83"/>
      <c r="J332" s="83"/>
      <c r="K332" s="83"/>
      <c r="L332" s="85"/>
      <c r="M332" s="86"/>
      <c r="N332" s="83"/>
      <c r="O332" s="83"/>
    </row>
    <row r="333" s="20" customFormat="1" ht="15" spans="1:15">
      <c r="A333" s="83"/>
      <c r="B333" s="84"/>
      <c r="C333" s="83"/>
      <c r="D333" s="83"/>
      <c r="E333" s="83"/>
      <c r="F333" s="83"/>
      <c r="G333" s="83"/>
      <c r="H333" s="83"/>
      <c r="I333" s="83"/>
      <c r="J333" s="83"/>
      <c r="K333" s="83"/>
      <c r="L333" s="85"/>
      <c r="M333" s="86"/>
      <c r="N333" s="83"/>
      <c r="O333" s="83"/>
    </row>
    <row r="334" s="20" customFormat="1" ht="15" spans="1:15">
      <c r="A334" s="83"/>
      <c r="B334" s="84"/>
      <c r="C334" s="83"/>
      <c r="D334" s="83"/>
      <c r="E334" s="83"/>
      <c r="F334" s="83"/>
      <c r="G334" s="83"/>
      <c r="H334" s="83"/>
      <c r="I334" s="83"/>
      <c r="J334" s="83"/>
      <c r="K334" s="83"/>
      <c r="L334" s="85"/>
      <c r="M334" s="86"/>
      <c r="N334" s="83"/>
      <c r="O334" s="83"/>
    </row>
    <row r="335" s="20" customFormat="1" ht="15" spans="1:15">
      <c r="A335" s="83"/>
      <c r="B335" s="84"/>
      <c r="C335" s="83"/>
      <c r="D335" s="83"/>
      <c r="E335" s="83"/>
      <c r="F335" s="83"/>
      <c r="G335" s="83"/>
      <c r="H335" s="83"/>
      <c r="I335" s="83"/>
      <c r="J335" s="83"/>
      <c r="K335" s="83"/>
      <c r="L335" s="85"/>
      <c r="M335" s="86"/>
      <c r="N335" s="83"/>
      <c r="O335" s="83"/>
    </row>
    <row r="336" s="20" customFormat="1" ht="15" spans="1:15">
      <c r="A336" s="83"/>
      <c r="B336" s="84"/>
      <c r="C336" s="83"/>
      <c r="D336" s="83"/>
      <c r="E336" s="83"/>
      <c r="F336" s="83"/>
      <c r="G336" s="83"/>
      <c r="H336" s="83"/>
      <c r="I336" s="83"/>
      <c r="J336" s="83"/>
      <c r="K336" s="83"/>
      <c r="L336" s="85"/>
      <c r="M336" s="86"/>
      <c r="N336" s="83"/>
      <c r="O336" s="83"/>
    </row>
    <row r="337" s="20" customFormat="1" ht="15" spans="1:15">
      <c r="A337" s="83"/>
      <c r="B337" s="84"/>
      <c r="C337" s="83"/>
      <c r="D337" s="83"/>
      <c r="E337" s="83"/>
      <c r="F337" s="83"/>
      <c r="G337" s="83"/>
      <c r="H337" s="83"/>
      <c r="I337" s="83"/>
      <c r="J337" s="83"/>
      <c r="K337" s="83"/>
      <c r="L337" s="85"/>
      <c r="M337" s="86"/>
      <c r="N337" s="83"/>
      <c r="O337" s="83"/>
    </row>
    <row r="338" s="20" customFormat="1" ht="15" spans="1:15">
      <c r="A338" s="83"/>
      <c r="B338" s="84"/>
      <c r="C338" s="83"/>
      <c r="D338" s="83"/>
      <c r="E338" s="83"/>
      <c r="F338" s="83"/>
      <c r="G338" s="83"/>
      <c r="H338" s="83"/>
      <c r="I338" s="83"/>
      <c r="J338" s="83"/>
      <c r="K338" s="83"/>
      <c r="L338" s="85"/>
      <c r="M338" s="86"/>
      <c r="N338" s="83"/>
      <c r="O338" s="83"/>
    </row>
    <row r="339" s="20" customFormat="1" ht="15" spans="1:15">
      <c r="A339" s="83"/>
      <c r="B339" s="84"/>
      <c r="C339" s="83"/>
      <c r="D339" s="83"/>
      <c r="E339" s="83"/>
      <c r="F339" s="83"/>
      <c r="G339" s="83"/>
      <c r="H339" s="83"/>
      <c r="I339" s="83"/>
      <c r="J339" s="83"/>
      <c r="K339" s="83"/>
      <c r="L339" s="85"/>
      <c r="M339" s="86"/>
      <c r="N339" s="83"/>
      <c r="O339" s="83"/>
    </row>
    <row r="340" s="20" customFormat="1" ht="15" spans="1:15">
      <c r="A340" s="83"/>
      <c r="B340" s="84"/>
      <c r="C340" s="83"/>
      <c r="D340" s="83"/>
      <c r="E340" s="83"/>
      <c r="F340" s="83"/>
      <c r="G340" s="83"/>
      <c r="H340" s="83"/>
      <c r="I340" s="83"/>
      <c r="J340" s="83"/>
      <c r="K340" s="83"/>
      <c r="L340" s="85"/>
      <c r="M340" s="86"/>
      <c r="N340" s="83"/>
      <c r="O340" s="83"/>
    </row>
    <row r="341" s="20" customFormat="1" ht="15" spans="1:15">
      <c r="A341" s="83"/>
      <c r="B341" s="84"/>
      <c r="C341" s="83"/>
      <c r="D341" s="83"/>
      <c r="E341" s="83"/>
      <c r="F341" s="83"/>
      <c r="G341" s="83"/>
      <c r="H341" s="83"/>
      <c r="I341" s="83"/>
      <c r="J341" s="83"/>
      <c r="K341" s="83"/>
      <c r="L341" s="85"/>
      <c r="M341" s="86"/>
      <c r="N341" s="83"/>
      <c r="O341" s="83"/>
    </row>
    <row r="342" s="20" customFormat="1" ht="15" spans="1:15">
      <c r="A342" s="83"/>
      <c r="B342" s="84"/>
      <c r="C342" s="83"/>
      <c r="D342" s="83"/>
      <c r="E342" s="83"/>
      <c r="F342" s="83"/>
      <c r="G342" s="83"/>
      <c r="H342" s="83"/>
      <c r="I342" s="83"/>
      <c r="J342" s="83"/>
      <c r="K342" s="83"/>
      <c r="L342" s="85"/>
      <c r="M342" s="86"/>
      <c r="N342" s="83"/>
      <c r="O342" s="83"/>
    </row>
    <row r="343" s="20" customFormat="1" ht="15" spans="1:15">
      <c r="A343" s="83"/>
      <c r="B343" s="84"/>
      <c r="C343" s="83"/>
      <c r="D343" s="83"/>
      <c r="E343" s="83"/>
      <c r="F343" s="83"/>
      <c r="G343" s="83"/>
      <c r="H343" s="83"/>
      <c r="I343" s="83"/>
      <c r="J343" s="83"/>
      <c r="K343" s="83"/>
      <c r="L343" s="85"/>
      <c r="M343" s="86"/>
      <c r="N343" s="83"/>
      <c r="O343" s="83"/>
    </row>
    <row r="344" s="20" customFormat="1" ht="15" spans="1:15">
      <c r="A344" s="83"/>
      <c r="B344" s="84"/>
      <c r="C344" s="83"/>
      <c r="D344" s="83"/>
      <c r="E344" s="83"/>
      <c r="F344" s="83"/>
      <c r="G344" s="83"/>
      <c r="H344" s="83"/>
      <c r="I344" s="83"/>
      <c r="J344" s="83"/>
      <c r="K344" s="83"/>
      <c r="L344" s="85"/>
      <c r="M344" s="86"/>
      <c r="N344" s="83"/>
      <c r="O344" s="83"/>
    </row>
    <row r="345" s="20" customFormat="1" ht="15" spans="1:15">
      <c r="A345" s="83"/>
      <c r="B345" s="84"/>
      <c r="C345" s="83"/>
      <c r="D345" s="83"/>
      <c r="E345" s="83"/>
      <c r="F345" s="83"/>
      <c r="G345" s="83"/>
      <c r="H345" s="83"/>
      <c r="I345" s="83"/>
      <c r="J345" s="83"/>
      <c r="K345" s="83"/>
      <c r="L345" s="85"/>
      <c r="M345" s="86"/>
      <c r="N345" s="83"/>
      <c r="O345" s="83"/>
    </row>
    <row r="346" s="20" customFormat="1" ht="15" spans="1:15">
      <c r="A346" s="83"/>
      <c r="B346" s="84"/>
      <c r="C346" s="83"/>
      <c r="D346" s="83"/>
      <c r="E346" s="83"/>
      <c r="F346" s="83"/>
      <c r="G346" s="83"/>
      <c r="H346" s="83"/>
      <c r="I346" s="83"/>
      <c r="J346" s="83"/>
      <c r="K346" s="83"/>
      <c r="L346" s="85"/>
      <c r="M346" s="86"/>
      <c r="N346" s="83"/>
      <c r="O346" s="83"/>
    </row>
    <row r="347" s="20" customFormat="1" ht="15" spans="1:15">
      <c r="A347" s="83"/>
      <c r="B347" s="84"/>
      <c r="C347" s="83"/>
      <c r="D347" s="83"/>
      <c r="E347" s="83"/>
      <c r="F347" s="83"/>
      <c r="G347" s="83"/>
      <c r="H347" s="83"/>
      <c r="I347" s="83"/>
      <c r="J347" s="83"/>
      <c r="K347" s="83"/>
      <c r="L347" s="85"/>
      <c r="M347" s="86"/>
      <c r="N347" s="83"/>
      <c r="O347" s="83"/>
    </row>
    <row r="348" s="20" customFormat="1" ht="15" spans="1:15">
      <c r="A348" s="83"/>
      <c r="B348" s="84"/>
      <c r="C348" s="83"/>
      <c r="D348" s="83"/>
      <c r="E348" s="83"/>
      <c r="F348" s="83"/>
      <c r="G348" s="83"/>
      <c r="H348" s="83"/>
      <c r="I348" s="83"/>
      <c r="J348" s="83"/>
      <c r="K348" s="83"/>
      <c r="L348" s="85"/>
      <c r="M348" s="86"/>
      <c r="N348" s="83"/>
      <c r="O348" s="83"/>
    </row>
    <row r="349" s="20" customFormat="1" ht="15" spans="1:15">
      <c r="A349" s="83"/>
      <c r="B349" s="84"/>
      <c r="C349" s="83"/>
      <c r="D349" s="83"/>
      <c r="E349" s="83"/>
      <c r="F349" s="83"/>
      <c r="G349" s="83"/>
      <c r="H349" s="83"/>
      <c r="I349" s="83"/>
      <c r="J349" s="83"/>
      <c r="K349" s="83"/>
      <c r="L349" s="85"/>
      <c r="M349" s="86"/>
      <c r="N349" s="83"/>
      <c r="O349" s="83"/>
    </row>
    <row r="350" s="20" customFormat="1" ht="15" spans="1:15">
      <c r="A350" s="83"/>
      <c r="B350" s="84"/>
      <c r="C350" s="83"/>
      <c r="D350" s="83"/>
      <c r="E350" s="83"/>
      <c r="F350" s="83"/>
      <c r="G350" s="83"/>
      <c r="H350" s="83"/>
      <c r="I350" s="83"/>
      <c r="J350" s="83"/>
      <c r="K350" s="83"/>
      <c r="L350" s="85"/>
      <c r="M350" s="86"/>
      <c r="N350" s="83"/>
      <c r="O350" s="83"/>
    </row>
    <row r="351" s="20" customFormat="1" ht="15" spans="1:15">
      <c r="A351" s="83"/>
      <c r="B351" s="84"/>
      <c r="C351" s="83"/>
      <c r="D351" s="83"/>
      <c r="E351" s="83"/>
      <c r="F351" s="83"/>
      <c r="G351" s="83"/>
      <c r="H351" s="83"/>
      <c r="I351" s="83"/>
      <c r="J351" s="83"/>
      <c r="K351" s="83"/>
      <c r="L351" s="85"/>
      <c r="M351" s="86"/>
      <c r="N351" s="83"/>
      <c r="O351" s="83"/>
    </row>
    <row r="352" s="20" customFormat="1" ht="15" spans="1:15">
      <c r="A352" s="83"/>
      <c r="B352" s="84"/>
      <c r="C352" s="83"/>
      <c r="D352" s="83"/>
      <c r="E352" s="83"/>
      <c r="F352" s="83"/>
      <c r="G352" s="83"/>
      <c r="H352" s="83"/>
      <c r="I352" s="83"/>
      <c r="J352" s="83"/>
      <c r="K352" s="83"/>
      <c r="L352" s="85"/>
      <c r="M352" s="86"/>
      <c r="N352" s="83"/>
      <c r="O352" s="83"/>
    </row>
    <row r="353" s="20" customFormat="1" ht="15" spans="1:15">
      <c r="A353" s="83"/>
      <c r="B353" s="84"/>
      <c r="C353" s="83"/>
      <c r="D353" s="83"/>
      <c r="E353" s="83"/>
      <c r="F353" s="83"/>
      <c r="G353" s="83"/>
      <c r="H353" s="83"/>
      <c r="I353" s="83"/>
      <c r="J353" s="83"/>
      <c r="K353" s="83"/>
      <c r="L353" s="85"/>
      <c r="M353" s="86"/>
      <c r="N353" s="83"/>
      <c r="O353" s="83"/>
    </row>
    <row r="354" s="20" customFormat="1" ht="15" spans="1:15">
      <c r="A354" s="83"/>
      <c r="B354" s="84"/>
      <c r="C354" s="83"/>
      <c r="D354" s="83"/>
      <c r="E354" s="83"/>
      <c r="F354" s="83"/>
      <c r="G354" s="83"/>
      <c r="H354" s="83"/>
      <c r="I354" s="83"/>
      <c r="J354" s="83"/>
      <c r="K354" s="83"/>
      <c r="L354" s="85"/>
      <c r="M354" s="86"/>
      <c r="N354" s="83"/>
      <c r="O354" s="83"/>
    </row>
    <row r="355" s="20" customFormat="1" ht="15" spans="1:15">
      <c r="A355" s="83"/>
      <c r="B355" s="84"/>
      <c r="C355" s="83"/>
      <c r="D355" s="83"/>
      <c r="E355" s="83"/>
      <c r="F355" s="83"/>
      <c r="G355" s="83"/>
      <c r="H355" s="83"/>
      <c r="I355" s="83"/>
      <c r="J355" s="83"/>
      <c r="K355" s="83"/>
      <c r="L355" s="85"/>
      <c r="M355" s="86"/>
      <c r="N355" s="83"/>
      <c r="O355" s="83"/>
    </row>
    <row r="356" s="20" customFormat="1" ht="15" spans="1:15">
      <c r="A356" s="83"/>
      <c r="B356" s="84"/>
      <c r="C356" s="83"/>
      <c r="D356" s="83"/>
      <c r="E356" s="83"/>
      <c r="F356" s="83"/>
      <c r="G356" s="83"/>
      <c r="H356" s="83"/>
      <c r="I356" s="83"/>
      <c r="J356" s="83"/>
      <c r="K356" s="83"/>
      <c r="L356" s="85"/>
      <c r="M356" s="86"/>
      <c r="N356" s="83"/>
      <c r="O356" s="83"/>
    </row>
    <row r="357" s="20" customFormat="1" ht="15" spans="1:15">
      <c r="A357" s="83"/>
      <c r="B357" s="84"/>
      <c r="C357" s="83"/>
      <c r="D357" s="83"/>
      <c r="E357" s="83"/>
      <c r="F357" s="83"/>
      <c r="G357" s="83"/>
      <c r="H357" s="83"/>
      <c r="I357" s="83"/>
      <c r="J357" s="83"/>
      <c r="K357" s="83"/>
      <c r="L357" s="85"/>
      <c r="M357" s="86"/>
      <c r="N357" s="83"/>
      <c r="O357" s="83"/>
    </row>
    <row r="358" s="20" customFormat="1" ht="15" spans="1:15">
      <c r="A358" s="83"/>
      <c r="B358" s="84"/>
      <c r="C358" s="83"/>
      <c r="D358" s="83"/>
      <c r="E358" s="83"/>
      <c r="F358" s="83"/>
      <c r="G358" s="83"/>
      <c r="H358" s="83"/>
      <c r="I358" s="83"/>
      <c r="J358" s="83"/>
      <c r="K358" s="83"/>
      <c r="L358" s="85"/>
      <c r="M358" s="86"/>
      <c r="N358" s="83"/>
      <c r="O358" s="83"/>
    </row>
    <row r="359" s="20" customFormat="1" ht="15" spans="1:15">
      <c r="A359" s="83"/>
      <c r="B359" s="84"/>
      <c r="C359" s="83"/>
      <c r="D359" s="83"/>
      <c r="E359" s="83"/>
      <c r="F359" s="83"/>
      <c r="G359" s="83"/>
      <c r="H359" s="83"/>
      <c r="I359" s="83"/>
      <c r="J359" s="83"/>
      <c r="K359" s="83"/>
      <c r="L359" s="85"/>
      <c r="M359" s="86"/>
      <c r="N359" s="83"/>
      <c r="O359" s="83"/>
    </row>
    <row r="360" s="20" customFormat="1" ht="15" spans="1:15">
      <c r="A360" s="83"/>
      <c r="B360" s="84"/>
      <c r="C360" s="83"/>
      <c r="D360" s="83"/>
      <c r="E360" s="83"/>
      <c r="F360" s="83"/>
      <c r="G360" s="83"/>
      <c r="H360" s="83"/>
      <c r="I360" s="83"/>
      <c r="J360" s="83"/>
      <c r="K360" s="83"/>
      <c r="L360" s="85"/>
      <c r="M360" s="86"/>
      <c r="N360" s="83"/>
      <c r="O360" s="83"/>
    </row>
    <row r="361" s="20" customFormat="1" ht="15" spans="1:15">
      <c r="A361" s="83"/>
      <c r="B361" s="84"/>
      <c r="C361" s="83"/>
      <c r="D361" s="83"/>
      <c r="E361" s="83"/>
      <c r="F361" s="83"/>
      <c r="G361" s="83"/>
      <c r="H361" s="83"/>
      <c r="I361" s="83"/>
      <c r="J361" s="83"/>
      <c r="K361" s="83"/>
      <c r="L361" s="85"/>
      <c r="M361" s="86"/>
      <c r="N361" s="83"/>
      <c r="O361" s="83"/>
    </row>
    <row r="362" s="20" customFormat="1" ht="15" spans="1:15">
      <c r="A362" s="83"/>
      <c r="B362" s="84"/>
      <c r="C362" s="83"/>
      <c r="D362" s="83"/>
      <c r="E362" s="83"/>
      <c r="F362" s="83"/>
      <c r="G362" s="83"/>
      <c r="H362" s="83"/>
      <c r="I362" s="83"/>
      <c r="J362" s="83"/>
      <c r="K362" s="83"/>
      <c r="L362" s="85"/>
      <c r="M362" s="86"/>
      <c r="N362" s="83"/>
      <c r="O362" s="83"/>
    </row>
    <row r="363" s="20" customFormat="1" ht="15" spans="1:15">
      <c r="A363" s="83"/>
      <c r="B363" s="84"/>
      <c r="C363" s="83"/>
      <c r="D363" s="83"/>
      <c r="E363" s="83"/>
      <c r="F363" s="83"/>
      <c r="G363" s="83"/>
      <c r="H363" s="83"/>
      <c r="I363" s="83"/>
      <c r="J363" s="83"/>
      <c r="K363" s="83"/>
      <c r="L363" s="85"/>
      <c r="M363" s="86"/>
      <c r="N363" s="83"/>
      <c r="O363" s="83"/>
    </row>
    <row r="364" s="20" customFormat="1" ht="15" spans="1:15">
      <c r="A364" s="83"/>
      <c r="B364" s="84"/>
      <c r="C364" s="83"/>
      <c r="D364" s="83"/>
      <c r="E364" s="83"/>
      <c r="F364" s="83"/>
      <c r="G364" s="83"/>
      <c r="H364" s="83"/>
      <c r="I364" s="83"/>
      <c r="J364" s="83"/>
      <c r="K364" s="83"/>
      <c r="L364" s="85"/>
      <c r="M364" s="86"/>
      <c r="N364" s="83"/>
      <c r="O364" s="83"/>
    </row>
    <row r="365" s="20" customFormat="1" ht="15" spans="1:15">
      <c r="A365" s="83"/>
      <c r="B365" s="84"/>
      <c r="C365" s="83"/>
      <c r="D365" s="83"/>
      <c r="E365" s="83"/>
      <c r="F365" s="83"/>
      <c r="G365" s="83"/>
      <c r="H365" s="83"/>
      <c r="I365" s="83"/>
      <c r="J365" s="83"/>
      <c r="K365" s="83"/>
      <c r="L365" s="85"/>
      <c r="M365" s="86"/>
      <c r="N365" s="83"/>
      <c r="O365" s="83"/>
    </row>
    <row r="366" s="20" customFormat="1" ht="15" spans="1:15">
      <c r="A366" s="83"/>
      <c r="B366" s="84"/>
      <c r="C366" s="83"/>
      <c r="D366" s="83"/>
      <c r="E366" s="83"/>
      <c r="F366" s="83"/>
      <c r="G366" s="83"/>
      <c r="H366" s="83"/>
      <c r="I366" s="83"/>
      <c r="J366" s="83"/>
      <c r="K366" s="83"/>
      <c r="L366" s="85"/>
      <c r="M366" s="86"/>
      <c r="N366" s="83"/>
      <c r="O366" s="83"/>
    </row>
    <row r="367" s="20" customFormat="1" ht="15" spans="1:15">
      <c r="A367" s="83"/>
      <c r="B367" s="84"/>
      <c r="C367" s="83"/>
      <c r="D367" s="83"/>
      <c r="E367" s="83"/>
      <c r="F367" s="83"/>
      <c r="G367" s="83"/>
      <c r="H367" s="83"/>
      <c r="I367" s="83"/>
      <c r="J367" s="83"/>
      <c r="K367" s="83"/>
      <c r="L367" s="85"/>
      <c r="M367" s="86"/>
      <c r="N367" s="83"/>
      <c r="O367" s="83"/>
    </row>
    <row r="368" s="20" customFormat="1" ht="15" spans="1:15">
      <c r="A368" s="83"/>
      <c r="B368" s="84"/>
      <c r="C368" s="83"/>
      <c r="D368" s="83"/>
      <c r="E368" s="83"/>
      <c r="F368" s="83"/>
      <c r="G368" s="83"/>
      <c r="H368" s="83"/>
      <c r="I368" s="83"/>
      <c r="J368" s="83"/>
      <c r="K368" s="83"/>
      <c r="L368" s="85"/>
      <c r="M368" s="86"/>
      <c r="N368" s="83"/>
      <c r="O368" s="83"/>
    </row>
    <row r="369" s="20" customFormat="1" ht="15" spans="1:15">
      <c r="A369" s="83"/>
      <c r="B369" s="84"/>
      <c r="C369" s="83"/>
      <c r="D369" s="83"/>
      <c r="E369" s="83"/>
      <c r="F369" s="83"/>
      <c r="G369" s="83"/>
      <c r="H369" s="83"/>
      <c r="I369" s="83"/>
      <c r="J369" s="83"/>
      <c r="K369" s="83"/>
      <c r="L369" s="85"/>
      <c r="M369" s="86"/>
      <c r="N369" s="83"/>
      <c r="O369" s="83"/>
    </row>
    <row r="370" s="20" customFormat="1" ht="15" spans="1:15">
      <c r="A370" s="83"/>
      <c r="B370" s="84"/>
      <c r="C370" s="83"/>
      <c r="D370" s="83"/>
      <c r="E370" s="83"/>
      <c r="F370" s="83"/>
      <c r="G370" s="83"/>
      <c r="H370" s="83"/>
      <c r="I370" s="83"/>
      <c r="J370" s="83"/>
      <c r="K370" s="83"/>
      <c r="L370" s="85"/>
      <c r="M370" s="86"/>
      <c r="N370" s="83"/>
      <c r="O370" s="83"/>
    </row>
    <row r="371" s="20" customFormat="1" ht="15" spans="1:15">
      <c r="A371" s="83"/>
      <c r="B371" s="84"/>
      <c r="C371" s="83"/>
      <c r="D371" s="83"/>
      <c r="E371" s="83"/>
      <c r="F371" s="83"/>
      <c r="G371" s="83"/>
      <c r="H371" s="83"/>
      <c r="I371" s="83"/>
      <c r="J371" s="83"/>
      <c r="K371" s="83"/>
      <c r="L371" s="85"/>
      <c r="M371" s="86"/>
      <c r="N371" s="83"/>
      <c r="O371" s="83"/>
    </row>
    <row r="372" s="20" customFormat="1" ht="15" spans="1:15">
      <c r="A372" s="83"/>
      <c r="B372" s="84"/>
      <c r="C372" s="83"/>
      <c r="D372" s="83"/>
      <c r="E372" s="83"/>
      <c r="F372" s="83"/>
      <c r="G372" s="83"/>
      <c r="H372" s="83"/>
      <c r="I372" s="83"/>
      <c r="J372" s="83"/>
      <c r="K372" s="83"/>
      <c r="L372" s="85"/>
      <c r="M372" s="86"/>
      <c r="N372" s="83"/>
      <c r="O372" s="83"/>
    </row>
    <row r="373" s="20" customFormat="1" ht="15" spans="1:15">
      <c r="A373" s="83"/>
      <c r="B373" s="84"/>
      <c r="C373" s="83"/>
      <c r="D373" s="83"/>
      <c r="E373" s="83"/>
      <c r="F373" s="83"/>
      <c r="G373" s="83"/>
      <c r="H373" s="83"/>
      <c r="I373" s="83"/>
      <c r="J373" s="83"/>
      <c r="K373" s="83"/>
      <c r="L373" s="85"/>
      <c r="M373" s="86"/>
      <c r="N373" s="83"/>
      <c r="O373" s="83"/>
    </row>
    <row r="374" s="20" customFormat="1" ht="15" spans="1:15">
      <c r="A374" s="83"/>
      <c r="B374" s="84"/>
      <c r="C374" s="83"/>
      <c r="D374" s="83"/>
      <c r="E374" s="83"/>
      <c r="F374" s="83"/>
      <c r="G374" s="83"/>
      <c r="H374" s="83"/>
      <c r="I374" s="83"/>
      <c r="J374" s="83"/>
      <c r="K374" s="83"/>
      <c r="L374" s="85"/>
      <c r="M374" s="86"/>
      <c r="N374" s="83"/>
      <c r="O374" s="83"/>
    </row>
    <row r="375" s="20" customFormat="1" ht="15" spans="1:15">
      <c r="A375" s="83"/>
      <c r="B375" s="84"/>
      <c r="C375" s="83"/>
      <c r="D375" s="83"/>
      <c r="E375" s="83"/>
      <c r="F375" s="83"/>
      <c r="G375" s="83"/>
      <c r="H375" s="83"/>
      <c r="I375" s="83"/>
      <c r="J375" s="83"/>
      <c r="K375" s="83"/>
      <c r="L375" s="85"/>
      <c r="M375" s="86"/>
      <c r="N375" s="83"/>
      <c r="O375" s="83"/>
    </row>
    <row r="376" s="20" customFormat="1" ht="15" spans="1:15">
      <c r="A376" s="83"/>
      <c r="B376" s="84"/>
      <c r="C376" s="83"/>
      <c r="D376" s="83"/>
      <c r="E376" s="83"/>
      <c r="F376" s="83"/>
      <c r="G376" s="83"/>
      <c r="H376" s="83"/>
      <c r="I376" s="83"/>
      <c r="J376" s="83"/>
      <c r="K376" s="83"/>
      <c r="L376" s="85"/>
      <c r="M376" s="86"/>
      <c r="N376" s="83"/>
      <c r="O376" s="83"/>
    </row>
    <row r="377" s="20" customFormat="1" ht="15" spans="1:15">
      <c r="A377" s="83"/>
      <c r="B377" s="84"/>
      <c r="C377" s="83"/>
      <c r="D377" s="83"/>
      <c r="E377" s="83"/>
      <c r="F377" s="83"/>
      <c r="G377" s="83"/>
      <c r="H377" s="83"/>
      <c r="I377" s="83"/>
      <c r="J377" s="83"/>
      <c r="K377" s="83"/>
      <c r="L377" s="85"/>
      <c r="M377" s="86"/>
      <c r="N377" s="83"/>
      <c r="O377" s="83"/>
    </row>
    <row r="378" s="20" customFormat="1" ht="15" spans="1:15">
      <c r="A378" s="83"/>
      <c r="B378" s="84"/>
      <c r="C378" s="83"/>
      <c r="D378" s="83"/>
      <c r="E378" s="83"/>
      <c r="F378" s="83"/>
      <c r="G378" s="83"/>
      <c r="H378" s="83"/>
      <c r="I378" s="83"/>
      <c r="J378" s="83"/>
      <c r="K378" s="83"/>
      <c r="L378" s="85"/>
      <c r="M378" s="86"/>
      <c r="N378" s="83"/>
      <c r="O378" s="83"/>
    </row>
    <row r="379" s="20" customFormat="1" ht="15" spans="1:15">
      <c r="A379" s="83"/>
      <c r="B379" s="84"/>
      <c r="C379" s="83"/>
      <c r="D379" s="83"/>
      <c r="E379" s="83"/>
      <c r="F379" s="83"/>
      <c r="G379" s="83"/>
      <c r="H379" s="83"/>
      <c r="I379" s="83"/>
      <c r="J379" s="83"/>
      <c r="K379" s="83"/>
      <c r="L379" s="85"/>
      <c r="M379" s="86"/>
      <c r="N379" s="83"/>
      <c r="O379" s="83"/>
    </row>
    <row r="380" s="20" customFormat="1" ht="15" spans="1:15">
      <c r="A380" s="83"/>
      <c r="B380" s="84"/>
      <c r="C380" s="83"/>
      <c r="D380" s="83"/>
      <c r="E380" s="83"/>
      <c r="F380" s="83"/>
      <c r="G380" s="83"/>
      <c r="H380" s="83"/>
      <c r="I380" s="83"/>
      <c r="J380" s="83"/>
      <c r="K380" s="83"/>
      <c r="L380" s="85"/>
      <c r="M380" s="86"/>
      <c r="N380" s="83"/>
      <c r="O380" s="83"/>
    </row>
    <row r="381" s="20" customFormat="1" ht="15" spans="1:15">
      <c r="A381" s="83"/>
      <c r="B381" s="84"/>
      <c r="C381" s="83"/>
      <c r="D381" s="83"/>
      <c r="E381" s="83"/>
      <c r="F381" s="83"/>
      <c r="G381" s="83"/>
      <c r="H381" s="83"/>
      <c r="I381" s="83"/>
      <c r="J381" s="83"/>
      <c r="K381" s="83"/>
      <c r="L381" s="85"/>
      <c r="M381" s="86"/>
      <c r="N381" s="83"/>
      <c r="O381" s="83"/>
    </row>
    <row r="382" s="20" customFormat="1" ht="15" spans="1:15">
      <c r="A382" s="83"/>
      <c r="B382" s="84"/>
      <c r="C382" s="83"/>
      <c r="D382" s="83"/>
      <c r="E382" s="83"/>
      <c r="F382" s="83"/>
      <c r="G382" s="83"/>
      <c r="H382" s="83"/>
      <c r="I382" s="83"/>
      <c r="J382" s="83"/>
      <c r="K382" s="83"/>
      <c r="L382" s="85"/>
      <c r="M382" s="86"/>
      <c r="N382" s="83"/>
      <c r="O382" s="83"/>
    </row>
    <row r="383" s="20" customFormat="1" ht="15" spans="1:15">
      <c r="A383" s="83"/>
      <c r="B383" s="84"/>
      <c r="C383" s="83"/>
      <c r="D383" s="83"/>
      <c r="E383" s="83"/>
      <c r="F383" s="83"/>
      <c r="G383" s="83"/>
      <c r="H383" s="83"/>
      <c r="I383" s="83"/>
      <c r="J383" s="83"/>
      <c r="K383" s="83"/>
      <c r="L383" s="85"/>
      <c r="M383" s="86"/>
      <c r="N383" s="83"/>
      <c r="O383" s="83"/>
    </row>
    <row r="384" s="20" customFormat="1" ht="15" spans="1:15">
      <c r="A384" s="83"/>
      <c r="B384" s="84"/>
      <c r="C384" s="83"/>
      <c r="D384" s="83"/>
      <c r="E384" s="83"/>
      <c r="F384" s="83"/>
      <c r="G384" s="83"/>
      <c r="H384" s="83"/>
      <c r="I384" s="83"/>
      <c r="J384" s="83"/>
      <c r="K384" s="83"/>
      <c r="L384" s="85"/>
      <c r="M384" s="86"/>
      <c r="N384" s="83"/>
      <c r="O384" s="83"/>
    </row>
    <row r="385" s="20" customFormat="1" ht="15" spans="1:15">
      <c r="A385" s="83"/>
      <c r="B385" s="84"/>
      <c r="C385" s="83"/>
      <c r="D385" s="83"/>
      <c r="E385" s="83"/>
      <c r="F385" s="83"/>
      <c r="G385" s="83"/>
      <c r="H385" s="83"/>
      <c r="I385" s="83"/>
      <c r="J385" s="83"/>
      <c r="K385" s="83"/>
      <c r="L385" s="85"/>
      <c r="M385" s="86"/>
      <c r="N385" s="83"/>
      <c r="O385" s="83"/>
    </row>
    <row r="386" s="20" customFormat="1" ht="15" spans="1:15">
      <c r="A386" s="83"/>
      <c r="B386" s="84"/>
      <c r="C386" s="83"/>
      <c r="D386" s="83"/>
      <c r="E386" s="83"/>
      <c r="F386" s="83"/>
      <c r="G386" s="83"/>
      <c r="H386" s="83"/>
      <c r="I386" s="83"/>
      <c r="J386" s="83"/>
      <c r="K386" s="83"/>
      <c r="L386" s="85"/>
      <c r="M386" s="86"/>
      <c r="N386" s="83"/>
      <c r="O386" s="83"/>
    </row>
    <row r="387" s="20" customFormat="1" ht="15" spans="1:15">
      <c r="A387" s="83"/>
      <c r="B387" s="84"/>
      <c r="C387" s="83"/>
      <c r="D387" s="83"/>
      <c r="E387" s="83"/>
      <c r="F387" s="83"/>
      <c r="G387" s="83"/>
      <c r="H387" s="83"/>
      <c r="I387" s="83"/>
      <c r="J387" s="83"/>
      <c r="K387" s="83"/>
      <c r="L387" s="85"/>
      <c r="M387" s="86"/>
      <c r="N387" s="83"/>
      <c r="O387" s="83"/>
    </row>
    <row r="388" s="20" customFormat="1" ht="15" spans="1:15">
      <c r="A388" s="83"/>
      <c r="B388" s="84"/>
      <c r="C388" s="83"/>
      <c r="D388" s="83"/>
      <c r="E388" s="83"/>
      <c r="F388" s="83"/>
      <c r="G388" s="83"/>
      <c r="H388" s="83"/>
      <c r="I388" s="83"/>
      <c r="J388" s="83"/>
      <c r="K388" s="83"/>
      <c r="L388" s="85"/>
      <c r="M388" s="86"/>
      <c r="N388" s="83"/>
      <c r="O388" s="83"/>
    </row>
    <row r="389" s="20" customFormat="1" ht="15" spans="1:15">
      <c r="A389" s="83"/>
      <c r="B389" s="84"/>
      <c r="C389" s="83"/>
      <c r="D389" s="83"/>
      <c r="E389" s="83"/>
      <c r="F389" s="83"/>
      <c r="G389" s="83"/>
      <c r="H389" s="83"/>
      <c r="I389" s="83"/>
      <c r="J389" s="83"/>
      <c r="K389" s="83"/>
      <c r="L389" s="85"/>
      <c r="M389" s="86"/>
      <c r="N389" s="83"/>
      <c r="O389" s="83"/>
    </row>
    <row r="390" s="20" customFormat="1" ht="15" spans="1:15">
      <c r="A390" s="83"/>
      <c r="B390" s="84"/>
      <c r="C390" s="83"/>
      <c r="D390" s="83"/>
      <c r="E390" s="83"/>
      <c r="F390" s="83"/>
      <c r="G390" s="83"/>
      <c r="H390" s="83"/>
      <c r="I390" s="83"/>
      <c r="J390" s="83"/>
      <c r="K390" s="83"/>
      <c r="L390" s="85"/>
      <c r="M390" s="86"/>
      <c r="N390" s="83"/>
      <c r="O390" s="83"/>
    </row>
    <row r="391" s="20" customFormat="1" ht="15" spans="1:15">
      <c r="A391" s="83"/>
      <c r="B391" s="84"/>
      <c r="C391" s="83"/>
      <c r="D391" s="83"/>
      <c r="E391" s="83"/>
      <c r="F391" s="83"/>
      <c r="G391" s="83"/>
      <c r="H391" s="83"/>
      <c r="I391" s="83"/>
      <c r="J391" s="83"/>
      <c r="K391" s="83"/>
      <c r="L391" s="85"/>
      <c r="M391" s="86"/>
      <c r="N391" s="83"/>
      <c r="O391" s="83"/>
    </row>
    <row r="392" s="20" customFormat="1" ht="15" spans="1:15">
      <c r="A392" s="83"/>
      <c r="B392" s="84"/>
      <c r="C392" s="83"/>
      <c r="D392" s="83"/>
      <c r="E392" s="83"/>
      <c r="F392" s="83"/>
      <c r="G392" s="83"/>
      <c r="H392" s="83"/>
      <c r="I392" s="83"/>
      <c r="J392" s="83"/>
      <c r="K392" s="83"/>
      <c r="L392" s="85"/>
      <c r="M392" s="86"/>
      <c r="N392" s="83"/>
      <c r="O392" s="83"/>
    </row>
    <row r="393" s="20" customFormat="1" ht="15" spans="1:15">
      <c r="A393" s="83"/>
      <c r="B393" s="84"/>
      <c r="C393" s="83"/>
      <c r="D393" s="83"/>
      <c r="E393" s="83"/>
      <c r="F393" s="83"/>
      <c r="G393" s="83"/>
      <c r="H393" s="83"/>
      <c r="I393" s="83"/>
      <c r="J393" s="83"/>
      <c r="K393" s="83"/>
      <c r="L393" s="85"/>
      <c r="M393" s="86"/>
      <c r="N393" s="83"/>
      <c r="O393" s="83"/>
    </row>
    <row r="394" s="20" customFormat="1" ht="15" spans="1:15">
      <c r="A394" s="83"/>
      <c r="B394" s="84"/>
      <c r="C394" s="83"/>
      <c r="D394" s="83"/>
      <c r="E394" s="83"/>
      <c r="F394" s="83"/>
      <c r="G394" s="83"/>
      <c r="H394" s="83"/>
      <c r="I394" s="83"/>
      <c r="J394" s="83"/>
      <c r="K394" s="83"/>
      <c r="L394" s="85"/>
      <c r="M394" s="86"/>
      <c r="N394" s="83"/>
      <c r="O394" s="83"/>
    </row>
    <row r="395" s="20" customFormat="1" ht="15" spans="1:15">
      <c r="A395" s="83"/>
      <c r="B395" s="84"/>
      <c r="C395" s="83"/>
      <c r="D395" s="83"/>
      <c r="E395" s="83"/>
      <c r="F395" s="83"/>
      <c r="G395" s="83"/>
      <c r="H395" s="83"/>
      <c r="I395" s="83"/>
      <c r="J395" s="83"/>
      <c r="K395" s="83"/>
      <c r="L395" s="85"/>
      <c r="M395" s="86"/>
      <c r="N395" s="83"/>
      <c r="O395" s="83"/>
    </row>
    <row r="396" s="20" customFormat="1" ht="15" spans="1:15">
      <c r="A396" s="83"/>
      <c r="B396" s="84"/>
      <c r="C396" s="83"/>
      <c r="D396" s="83"/>
      <c r="E396" s="83"/>
      <c r="F396" s="83"/>
      <c r="G396" s="83"/>
      <c r="H396" s="83"/>
      <c r="I396" s="83"/>
      <c r="J396" s="83"/>
      <c r="K396" s="83"/>
      <c r="L396" s="85"/>
      <c r="M396" s="86"/>
      <c r="N396" s="83"/>
      <c r="O396" s="83"/>
    </row>
    <row r="397" s="20" customFormat="1" ht="15" spans="1:15">
      <c r="A397" s="83"/>
      <c r="B397" s="84"/>
      <c r="C397" s="83"/>
      <c r="D397" s="83"/>
      <c r="E397" s="83"/>
      <c r="F397" s="83"/>
      <c r="G397" s="83"/>
      <c r="H397" s="83"/>
      <c r="I397" s="83"/>
      <c r="J397" s="83"/>
      <c r="K397" s="83"/>
      <c r="L397" s="85"/>
      <c r="M397" s="86"/>
      <c r="N397" s="83"/>
      <c r="O397" s="83"/>
    </row>
    <row r="398" s="20" customFormat="1" ht="15" spans="1:15">
      <c r="A398" s="83"/>
      <c r="B398" s="84"/>
      <c r="C398" s="83"/>
      <c r="D398" s="83"/>
      <c r="E398" s="83"/>
      <c r="F398" s="83"/>
      <c r="G398" s="83"/>
      <c r="H398" s="83"/>
      <c r="I398" s="83"/>
      <c r="J398" s="83"/>
      <c r="K398" s="83"/>
      <c r="L398" s="85"/>
      <c r="M398" s="86"/>
      <c r="N398" s="83"/>
      <c r="O398" s="83"/>
    </row>
    <row r="399" s="20" customFormat="1" ht="15" spans="1:15">
      <c r="A399" s="83"/>
      <c r="B399" s="84"/>
      <c r="C399" s="83"/>
      <c r="D399" s="83"/>
      <c r="E399" s="83"/>
      <c r="F399" s="83"/>
      <c r="G399" s="83"/>
      <c r="H399" s="83"/>
      <c r="I399" s="83"/>
      <c r="J399" s="83"/>
      <c r="K399" s="83"/>
      <c r="L399" s="85"/>
      <c r="M399" s="86"/>
      <c r="N399" s="83"/>
      <c r="O399" s="83"/>
    </row>
    <row r="400" s="20" customFormat="1" ht="15" spans="1:15">
      <c r="A400" s="83"/>
      <c r="B400" s="84"/>
      <c r="C400" s="83"/>
      <c r="D400" s="83"/>
      <c r="E400" s="83"/>
      <c r="F400" s="83"/>
      <c r="G400" s="83"/>
      <c r="H400" s="83"/>
      <c r="I400" s="83"/>
      <c r="J400" s="83"/>
      <c r="K400" s="83"/>
      <c r="L400" s="85"/>
      <c r="M400" s="86"/>
      <c r="N400" s="83"/>
      <c r="O400" s="83"/>
    </row>
    <row r="401" s="20" customFormat="1" ht="15" spans="1:15">
      <c r="A401" s="83"/>
      <c r="B401" s="84"/>
      <c r="C401" s="83"/>
      <c r="D401" s="83"/>
      <c r="E401" s="83"/>
      <c r="F401" s="83"/>
      <c r="G401" s="83"/>
      <c r="H401" s="83"/>
      <c r="I401" s="83"/>
      <c r="J401" s="83"/>
      <c r="K401" s="83"/>
      <c r="L401" s="85"/>
      <c r="M401" s="86"/>
      <c r="N401" s="83"/>
      <c r="O401" s="83"/>
    </row>
    <row r="402" s="20" customFormat="1" ht="15" spans="1:15">
      <c r="A402" s="83"/>
      <c r="B402" s="84"/>
      <c r="C402" s="83"/>
      <c r="D402" s="83"/>
      <c r="E402" s="83"/>
      <c r="F402" s="83"/>
      <c r="G402" s="83"/>
      <c r="H402" s="83"/>
      <c r="I402" s="83"/>
      <c r="J402" s="83"/>
      <c r="K402" s="83"/>
      <c r="L402" s="85"/>
      <c r="M402" s="86"/>
      <c r="N402" s="83"/>
      <c r="O402" s="83"/>
    </row>
    <row r="403" s="20" customFormat="1" ht="15" spans="1:15">
      <c r="A403" s="83"/>
      <c r="B403" s="84"/>
      <c r="C403" s="83"/>
      <c r="D403" s="83"/>
      <c r="E403" s="83"/>
      <c r="F403" s="83"/>
      <c r="G403" s="83"/>
      <c r="H403" s="83"/>
      <c r="I403" s="83"/>
      <c r="J403" s="83"/>
      <c r="K403" s="83"/>
      <c r="L403" s="85"/>
      <c r="M403" s="86"/>
      <c r="N403" s="83"/>
      <c r="O403" s="83"/>
    </row>
    <row r="404" s="20" customFormat="1" ht="15" spans="1:15">
      <c r="A404" s="83"/>
      <c r="B404" s="84"/>
      <c r="C404" s="83"/>
      <c r="D404" s="83"/>
      <c r="E404" s="83"/>
      <c r="F404" s="83"/>
      <c r="G404" s="83"/>
      <c r="H404" s="83"/>
      <c r="I404" s="83"/>
      <c r="J404" s="83"/>
      <c r="K404" s="83"/>
      <c r="L404" s="85"/>
      <c r="M404" s="86"/>
      <c r="N404" s="83"/>
      <c r="O404" s="83"/>
    </row>
    <row r="405" s="20" customFormat="1" ht="15" spans="1:15">
      <c r="A405" s="83"/>
      <c r="B405" s="84"/>
      <c r="C405" s="83"/>
      <c r="D405" s="83"/>
      <c r="E405" s="83"/>
      <c r="F405" s="83"/>
      <c r="G405" s="83"/>
      <c r="H405" s="83"/>
      <c r="I405" s="83"/>
      <c r="J405" s="83"/>
      <c r="K405" s="83"/>
      <c r="L405" s="85"/>
      <c r="M405" s="86"/>
      <c r="N405" s="83"/>
      <c r="O405" s="83"/>
    </row>
    <row r="406" s="20" customFormat="1" ht="15" spans="1:15">
      <c r="A406" s="83"/>
      <c r="B406" s="84"/>
      <c r="C406" s="83"/>
      <c r="D406" s="83"/>
      <c r="E406" s="83"/>
      <c r="F406" s="83"/>
      <c r="G406" s="83"/>
      <c r="H406" s="83"/>
      <c r="I406" s="83"/>
      <c r="J406" s="83"/>
      <c r="K406" s="83"/>
      <c r="L406" s="85"/>
      <c r="M406" s="86"/>
      <c r="N406" s="83"/>
      <c r="O406" s="83"/>
    </row>
    <row r="407" s="20" customFormat="1" ht="15" spans="1:15">
      <c r="A407" s="83"/>
      <c r="B407" s="84"/>
      <c r="C407" s="83"/>
      <c r="D407" s="83"/>
      <c r="E407" s="83"/>
      <c r="F407" s="83"/>
      <c r="G407" s="83"/>
      <c r="H407" s="83"/>
      <c r="I407" s="83"/>
      <c r="J407" s="83"/>
      <c r="K407" s="83"/>
      <c r="L407" s="85"/>
      <c r="M407" s="86"/>
      <c r="N407" s="83"/>
      <c r="O407" s="83"/>
    </row>
    <row r="408" s="20" customFormat="1" ht="15" spans="1:15">
      <c r="A408" s="83"/>
      <c r="B408" s="84"/>
      <c r="C408" s="83"/>
      <c r="D408" s="83"/>
      <c r="E408" s="83"/>
      <c r="F408" s="83"/>
      <c r="G408" s="83"/>
      <c r="H408" s="83"/>
      <c r="I408" s="83"/>
      <c r="J408" s="83"/>
      <c r="K408" s="83"/>
      <c r="L408" s="85"/>
      <c r="M408" s="86"/>
      <c r="N408" s="83"/>
      <c r="O408" s="83"/>
    </row>
    <row r="409" s="20" customFormat="1" ht="15" spans="1:15">
      <c r="A409" s="83"/>
      <c r="B409" s="84"/>
      <c r="C409" s="83"/>
      <c r="D409" s="83"/>
      <c r="E409" s="83"/>
      <c r="F409" s="83"/>
      <c r="G409" s="83"/>
      <c r="H409" s="83"/>
      <c r="I409" s="83"/>
      <c r="J409" s="83"/>
      <c r="K409" s="83"/>
      <c r="L409" s="85"/>
      <c r="M409" s="86"/>
      <c r="N409" s="83"/>
      <c r="O409" s="83"/>
    </row>
    <row r="410" s="20" customFormat="1" ht="15" spans="1:15">
      <c r="A410" s="83"/>
      <c r="B410" s="84"/>
      <c r="C410" s="83"/>
      <c r="D410" s="83"/>
      <c r="E410" s="83"/>
      <c r="F410" s="83"/>
      <c r="G410" s="83"/>
      <c r="H410" s="83"/>
      <c r="I410" s="83"/>
      <c r="J410" s="83"/>
      <c r="K410" s="83"/>
      <c r="L410" s="85"/>
      <c r="M410" s="86"/>
      <c r="N410" s="83"/>
      <c r="O410" s="83"/>
    </row>
    <row r="411" s="20" customFormat="1" ht="15" spans="1:15">
      <c r="A411" s="83"/>
      <c r="B411" s="84"/>
      <c r="C411" s="83"/>
      <c r="D411" s="83"/>
      <c r="E411" s="83"/>
      <c r="F411" s="83"/>
      <c r="G411" s="83"/>
      <c r="H411" s="83"/>
      <c r="I411" s="83"/>
      <c r="J411" s="83"/>
      <c r="K411" s="83"/>
      <c r="L411" s="85"/>
      <c r="M411" s="86"/>
      <c r="N411" s="83"/>
      <c r="O411" s="83"/>
    </row>
    <row r="412" s="20" customFormat="1" ht="15" spans="1:15">
      <c r="A412" s="83"/>
      <c r="B412" s="84"/>
      <c r="C412" s="83"/>
      <c r="D412" s="83"/>
      <c r="E412" s="83"/>
      <c r="F412" s="83"/>
      <c r="G412" s="83"/>
      <c r="H412" s="83"/>
      <c r="I412" s="83"/>
      <c r="J412" s="83"/>
      <c r="K412" s="83"/>
      <c r="L412" s="85"/>
      <c r="M412" s="86"/>
      <c r="N412" s="83"/>
      <c r="O412" s="83"/>
    </row>
    <row r="413" s="20" customFormat="1" ht="15" spans="1:15">
      <c r="A413" s="83"/>
      <c r="B413" s="84"/>
      <c r="C413" s="83"/>
      <c r="D413" s="83"/>
      <c r="E413" s="83"/>
      <c r="F413" s="83"/>
      <c r="G413" s="83"/>
      <c r="H413" s="83"/>
      <c r="I413" s="83"/>
      <c r="J413" s="83"/>
      <c r="K413" s="83"/>
      <c r="L413" s="85"/>
      <c r="M413" s="86"/>
      <c r="N413" s="83"/>
      <c r="O413" s="83"/>
    </row>
    <row r="414" s="20" customFormat="1" ht="15" spans="1:15">
      <c r="A414" s="83"/>
      <c r="B414" s="84"/>
      <c r="C414" s="83"/>
      <c r="D414" s="83"/>
      <c r="E414" s="83"/>
      <c r="F414" s="83"/>
      <c r="G414" s="83"/>
      <c r="H414" s="83"/>
      <c r="I414" s="83"/>
      <c r="J414" s="83"/>
      <c r="K414" s="83"/>
      <c r="L414" s="85"/>
      <c r="M414" s="86"/>
      <c r="N414" s="83"/>
      <c r="O414" s="83"/>
    </row>
    <row r="415" s="20" customFormat="1" ht="15" spans="1:15">
      <c r="A415" s="83"/>
      <c r="B415" s="84"/>
      <c r="C415" s="83"/>
      <c r="D415" s="83"/>
      <c r="E415" s="83"/>
      <c r="F415" s="83"/>
      <c r="G415" s="83"/>
      <c r="H415" s="83"/>
      <c r="I415" s="83"/>
      <c r="J415" s="83"/>
      <c r="K415" s="83"/>
      <c r="L415" s="85"/>
      <c r="M415" s="86"/>
      <c r="N415" s="83"/>
      <c r="O415" s="83"/>
    </row>
    <row r="416" s="20" customFormat="1" ht="15" spans="1:15">
      <c r="A416" s="83"/>
      <c r="B416" s="84"/>
      <c r="C416" s="83"/>
      <c r="D416" s="83"/>
      <c r="E416" s="83"/>
      <c r="F416" s="83"/>
      <c r="G416" s="83"/>
      <c r="H416" s="83"/>
      <c r="I416" s="83"/>
      <c r="J416" s="83"/>
      <c r="K416" s="83"/>
      <c r="L416" s="85"/>
      <c r="M416" s="86"/>
      <c r="N416" s="83"/>
      <c r="O416" s="83"/>
    </row>
    <row r="417" s="20" customFormat="1" ht="15" spans="1:15">
      <c r="A417" s="83"/>
      <c r="B417" s="84"/>
      <c r="C417" s="83"/>
      <c r="D417" s="83"/>
      <c r="E417" s="83"/>
      <c r="F417" s="83"/>
      <c r="G417" s="83"/>
      <c r="H417" s="83"/>
      <c r="I417" s="83"/>
      <c r="J417" s="83"/>
      <c r="K417" s="83"/>
      <c r="L417" s="85"/>
      <c r="M417" s="86"/>
      <c r="N417" s="83"/>
      <c r="O417" s="83"/>
    </row>
    <row r="418" s="20" customFormat="1" ht="15" spans="1:15">
      <c r="A418" s="83"/>
      <c r="B418" s="84"/>
      <c r="C418" s="83"/>
      <c r="D418" s="83"/>
      <c r="E418" s="83"/>
      <c r="F418" s="83"/>
      <c r="G418" s="83"/>
      <c r="H418" s="83"/>
      <c r="I418" s="83"/>
      <c r="J418" s="83"/>
      <c r="K418" s="83"/>
      <c r="L418" s="85"/>
      <c r="M418" s="86"/>
      <c r="N418" s="83"/>
      <c r="O418" s="83"/>
    </row>
    <row r="419" s="20" customFormat="1" ht="15" spans="1:15">
      <c r="A419" s="83"/>
      <c r="B419" s="84"/>
      <c r="C419" s="83"/>
      <c r="D419" s="83"/>
      <c r="E419" s="83"/>
      <c r="F419" s="83"/>
      <c r="G419" s="83"/>
      <c r="H419" s="83"/>
      <c r="I419" s="83"/>
      <c r="J419" s="83"/>
      <c r="K419" s="83"/>
      <c r="L419" s="85"/>
      <c r="M419" s="86"/>
      <c r="N419" s="83"/>
      <c r="O419" s="83"/>
    </row>
    <row r="420" s="20" customFormat="1" ht="15" spans="1:15">
      <c r="A420" s="83"/>
      <c r="B420" s="84"/>
      <c r="C420" s="83"/>
      <c r="D420" s="83"/>
      <c r="E420" s="83"/>
      <c r="F420" s="83"/>
      <c r="G420" s="83"/>
      <c r="H420" s="83"/>
      <c r="I420" s="83"/>
      <c r="J420" s="83"/>
      <c r="K420" s="83"/>
      <c r="L420" s="85"/>
      <c r="M420" s="86"/>
      <c r="N420" s="83"/>
      <c r="O420" s="83"/>
    </row>
    <row r="421" s="20" customFormat="1" ht="15" spans="1:15">
      <c r="A421" s="83"/>
      <c r="B421" s="84"/>
      <c r="C421" s="83"/>
      <c r="D421" s="83"/>
      <c r="E421" s="83"/>
      <c r="F421" s="83"/>
      <c r="G421" s="83"/>
      <c r="H421" s="83"/>
      <c r="I421" s="83"/>
      <c r="J421" s="83"/>
      <c r="K421" s="83"/>
      <c r="L421" s="85"/>
      <c r="M421" s="86"/>
      <c r="N421" s="83"/>
      <c r="O421" s="83"/>
    </row>
    <row r="422" s="20" customFormat="1" ht="15" spans="1:15">
      <c r="A422" s="83"/>
      <c r="B422" s="84"/>
      <c r="C422" s="83"/>
      <c r="D422" s="83"/>
      <c r="E422" s="83"/>
      <c r="F422" s="83"/>
      <c r="G422" s="83"/>
      <c r="H422" s="83"/>
      <c r="I422" s="83"/>
      <c r="J422" s="83"/>
      <c r="K422" s="83"/>
      <c r="L422" s="85"/>
      <c r="M422" s="86"/>
      <c r="N422" s="83"/>
      <c r="O422" s="83"/>
    </row>
    <row r="423" s="20" customFormat="1" ht="15" spans="1:15">
      <c r="A423" s="83"/>
      <c r="B423" s="84"/>
      <c r="C423" s="83"/>
      <c r="D423" s="83"/>
      <c r="E423" s="83"/>
      <c r="F423" s="83"/>
      <c r="G423" s="83"/>
      <c r="H423" s="83"/>
      <c r="I423" s="83"/>
      <c r="J423" s="83"/>
      <c r="K423" s="83"/>
      <c r="L423" s="85"/>
      <c r="M423" s="86"/>
      <c r="N423" s="83"/>
      <c r="O423" s="83"/>
    </row>
    <row r="424" s="20" customFormat="1" ht="15" spans="1:15">
      <c r="A424" s="83"/>
      <c r="B424" s="84"/>
      <c r="C424" s="83"/>
      <c r="D424" s="83"/>
      <c r="E424" s="83"/>
      <c r="F424" s="83"/>
      <c r="G424" s="83"/>
      <c r="H424" s="83"/>
      <c r="I424" s="83"/>
      <c r="J424" s="83"/>
      <c r="K424" s="83"/>
      <c r="L424" s="85"/>
      <c r="M424" s="86"/>
      <c r="N424" s="83"/>
      <c r="O424" s="83"/>
    </row>
    <row r="425" s="20" customFormat="1" ht="15" spans="1:15">
      <c r="A425" s="83"/>
      <c r="B425" s="84"/>
      <c r="C425" s="83"/>
      <c r="D425" s="83"/>
      <c r="E425" s="83"/>
      <c r="F425" s="83"/>
      <c r="G425" s="83"/>
      <c r="H425" s="83"/>
      <c r="I425" s="83"/>
      <c r="J425" s="83"/>
      <c r="K425" s="83"/>
      <c r="L425" s="85"/>
      <c r="M425" s="86"/>
      <c r="N425" s="83"/>
      <c r="O425" s="83"/>
    </row>
    <row r="426" s="20" customFormat="1" ht="15" spans="1:15">
      <c r="A426" s="83"/>
      <c r="B426" s="84"/>
      <c r="C426" s="83"/>
      <c r="D426" s="83"/>
      <c r="E426" s="83"/>
      <c r="F426" s="83"/>
      <c r="G426" s="83"/>
      <c r="H426" s="83"/>
      <c r="I426" s="83"/>
      <c r="J426" s="83"/>
      <c r="K426" s="83"/>
      <c r="L426" s="85"/>
      <c r="M426" s="86"/>
      <c r="N426" s="83"/>
      <c r="O426" s="83"/>
    </row>
    <row r="427" s="20" customFormat="1" ht="15" spans="1:15">
      <c r="A427" s="83"/>
      <c r="B427" s="84"/>
      <c r="C427" s="83"/>
      <c r="D427" s="83"/>
      <c r="E427" s="83"/>
      <c r="F427" s="83"/>
      <c r="G427" s="83"/>
      <c r="H427" s="83"/>
      <c r="I427" s="83"/>
      <c r="J427" s="83"/>
      <c r="K427" s="83"/>
      <c r="L427" s="85"/>
      <c r="M427" s="86"/>
      <c r="N427" s="83"/>
      <c r="O427" s="83"/>
    </row>
    <row r="428" s="20" customFormat="1" ht="15" spans="1:15">
      <c r="A428" s="83"/>
      <c r="B428" s="84"/>
      <c r="C428" s="83"/>
      <c r="D428" s="83"/>
      <c r="E428" s="83"/>
      <c r="F428" s="83"/>
      <c r="G428" s="83"/>
      <c r="H428" s="83"/>
      <c r="I428" s="83"/>
      <c r="J428" s="83"/>
      <c r="K428" s="83"/>
      <c r="L428" s="85"/>
      <c r="M428" s="86"/>
      <c r="N428" s="83"/>
      <c r="O428" s="83"/>
    </row>
    <row r="429" s="20" customFormat="1" ht="15" spans="1:15">
      <c r="A429" s="83"/>
      <c r="B429" s="84"/>
      <c r="C429" s="83"/>
      <c r="D429" s="83"/>
      <c r="E429" s="83"/>
      <c r="F429" s="83"/>
      <c r="G429" s="83"/>
      <c r="H429" s="83"/>
      <c r="I429" s="83"/>
      <c r="J429" s="83"/>
      <c r="K429" s="83"/>
      <c r="L429" s="85"/>
      <c r="M429" s="86"/>
      <c r="N429" s="83"/>
      <c r="O429" s="83"/>
    </row>
    <row r="430" s="20" customFormat="1" ht="15" spans="1:15">
      <c r="A430" s="83"/>
      <c r="B430" s="84"/>
      <c r="C430" s="83"/>
      <c r="D430" s="83"/>
      <c r="E430" s="83"/>
      <c r="F430" s="83"/>
      <c r="G430" s="83"/>
      <c r="H430" s="83"/>
      <c r="I430" s="83"/>
      <c r="J430" s="83"/>
      <c r="K430" s="83"/>
      <c r="L430" s="85"/>
      <c r="M430" s="86"/>
      <c r="N430" s="83"/>
      <c r="O430" s="83"/>
    </row>
    <row r="431" s="20" customFormat="1" ht="15" spans="1:15">
      <c r="A431" s="83"/>
      <c r="B431" s="84"/>
      <c r="C431" s="83"/>
      <c r="D431" s="83"/>
      <c r="E431" s="83"/>
      <c r="F431" s="83"/>
      <c r="G431" s="83"/>
      <c r="H431" s="83"/>
      <c r="I431" s="83"/>
      <c r="J431" s="83"/>
      <c r="K431" s="83"/>
      <c r="L431" s="85"/>
      <c r="M431" s="86"/>
      <c r="N431" s="83"/>
      <c r="O431" s="83"/>
    </row>
    <row r="432" s="20" customFormat="1" ht="15" spans="1:15">
      <c r="A432" s="83"/>
      <c r="B432" s="84"/>
      <c r="C432" s="83"/>
      <c r="D432" s="83"/>
      <c r="E432" s="83"/>
      <c r="F432" s="83"/>
      <c r="G432" s="83"/>
      <c r="H432" s="83"/>
      <c r="I432" s="83"/>
      <c r="J432" s="83"/>
      <c r="K432" s="83"/>
      <c r="L432" s="85"/>
      <c r="M432" s="86"/>
      <c r="N432" s="83"/>
      <c r="O432" s="83"/>
    </row>
    <row r="433" s="20" customFormat="1" ht="15" spans="1:15">
      <c r="A433" s="83"/>
      <c r="B433" s="84"/>
      <c r="C433" s="83"/>
      <c r="D433" s="83"/>
      <c r="E433" s="83"/>
      <c r="F433" s="83"/>
      <c r="G433" s="83"/>
      <c r="H433" s="83"/>
      <c r="I433" s="83"/>
      <c r="J433" s="83"/>
      <c r="K433" s="83"/>
      <c r="L433" s="85"/>
      <c r="M433" s="86"/>
      <c r="N433" s="83"/>
      <c r="O433" s="83"/>
    </row>
    <row r="434" s="20" customFormat="1" ht="15" spans="1:15">
      <c r="A434" s="83"/>
      <c r="B434" s="84"/>
      <c r="C434" s="83"/>
      <c r="D434" s="83"/>
      <c r="E434" s="83"/>
      <c r="F434" s="83"/>
      <c r="G434" s="83"/>
      <c r="H434" s="83"/>
      <c r="I434" s="83"/>
      <c r="J434" s="83"/>
      <c r="K434" s="83"/>
      <c r="L434" s="85"/>
      <c r="M434" s="86"/>
      <c r="N434" s="83"/>
      <c r="O434" s="83"/>
    </row>
    <row r="435" s="20" customFormat="1" ht="15" spans="1:15">
      <c r="A435" s="83"/>
      <c r="B435" s="84"/>
      <c r="C435" s="83"/>
      <c r="D435" s="83"/>
      <c r="E435" s="83"/>
      <c r="F435" s="83"/>
      <c r="G435" s="83"/>
      <c r="H435" s="83"/>
      <c r="I435" s="83"/>
      <c r="J435" s="83"/>
      <c r="K435" s="83"/>
      <c r="L435" s="85"/>
      <c r="M435" s="86"/>
      <c r="N435" s="83"/>
      <c r="O435" s="83"/>
    </row>
    <row r="436" s="20" customFormat="1" ht="15" spans="1:15">
      <c r="A436" s="83"/>
      <c r="B436" s="84"/>
      <c r="C436" s="83"/>
      <c r="D436" s="83"/>
      <c r="E436" s="83"/>
      <c r="F436" s="83"/>
      <c r="G436" s="83"/>
      <c r="H436" s="83"/>
      <c r="I436" s="83"/>
      <c r="J436" s="83"/>
      <c r="K436" s="83"/>
      <c r="L436" s="85"/>
      <c r="M436" s="86"/>
      <c r="N436" s="83"/>
      <c r="O436" s="83"/>
    </row>
    <row r="437" s="20" customFormat="1" ht="15" spans="1:15">
      <c r="A437" s="83"/>
      <c r="B437" s="84"/>
      <c r="C437" s="83"/>
      <c r="D437" s="83"/>
      <c r="E437" s="83"/>
      <c r="F437" s="83"/>
      <c r="G437" s="83"/>
      <c r="H437" s="83"/>
      <c r="I437" s="83"/>
      <c r="J437" s="83"/>
      <c r="K437" s="83"/>
      <c r="L437" s="85"/>
      <c r="M437" s="86"/>
      <c r="N437" s="83"/>
      <c r="O437" s="83"/>
    </row>
    <row r="438" s="20" customFormat="1" ht="15" spans="1:15">
      <c r="A438" s="83"/>
      <c r="B438" s="84"/>
      <c r="C438" s="83"/>
      <c r="D438" s="83"/>
      <c r="E438" s="83"/>
      <c r="F438" s="83"/>
      <c r="G438" s="83"/>
      <c r="H438" s="83"/>
      <c r="I438" s="83"/>
      <c r="J438" s="83"/>
      <c r="K438" s="83"/>
      <c r="L438" s="85"/>
      <c r="M438" s="86"/>
      <c r="N438" s="83"/>
      <c r="O438" s="83"/>
    </row>
    <row r="439" s="20" customFormat="1" ht="15" spans="1:15">
      <c r="A439" s="83"/>
      <c r="B439" s="84"/>
      <c r="C439" s="83"/>
      <c r="D439" s="83"/>
      <c r="E439" s="83"/>
      <c r="F439" s="83"/>
      <c r="G439" s="83"/>
      <c r="H439" s="83"/>
      <c r="I439" s="83"/>
      <c r="J439" s="83"/>
      <c r="K439" s="83"/>
      <c r="L439" s="85"/>
      <c r="M439" s="86"/>
      <c r="N439" s="83"/>
      <c r="O439" s="83"/>
    </row>
    <row r="440" s="20" customFormat="1" ht="15" spans="1:15">
      <c r="A440" s="83"/>
      <c r="B440" s="84"/>
      <c r="C440" s="83"/>
      <c r="D440" s="83"/>
      <c r="E440" s="83"/>
      <c r="F440" s="83"/>
      <c r="G440" s="83"/>
      <c r="H440" s="83"/>
      <c r="I440" s="83"/>
      <c r="J440" s="83"/>
      <c r="K440" s="83"/>
      <c r="L440" s="85"/>
      <c r="M440" s="86"/>
      <c r="N440" s="83"/>
      <c r="O440" s="83"/>
    </row>
    <row r="441" s="20" customFormat="1" ht="15" spans="1:15">
      <c r="A441" s="83"/>
      <c r="B441" s="84"/>
      <c r="C441" s="83"/>
      <c r="D441" s="83"/>
      <c r="E441" s="83"/>
      <c r="F441" s="83"/>
      <c r="G441" s="83"/>
      <c r="H441" s="83"/>
      <c r="I441" s="83"/>
      <c r="J441" s="83"/>
      <c r="K441" s="83"/>
      <c r="L441" s="85"/>
      <c r="M441" s="86"/>
      <c r="N441" s="83"/>
      <c r="O441" s="83"/>
    </row>
    <row r="442" s="20" customFormat="1" ht="15" spans="1:15">
      <c r="A442" s="83"/>
      <c r="B442" s="84"/>
      <c r="C442" s="83"/>
      <c r="D442" s="83"/>
      <c r="E442" s="83"/>
      <c r="F442" s="83"/>
      <c r="G442" s="83"/>
      <c r="H442" s="83"/>
      <c r="I442" s="83"/>
      <c r="J442" s="83"/>
      <c r="K442" s="83"/>
      <c r="L442" s="85"/>
      <c r="M442" s="86"/>
      <c r="N442" s="83"/>
      <c r="O442" s="83"/>
    </row>
    <row r="443" s="20" customFormat="1" ht="15" spans="1:15">
      <c r="A443" s="83"/>
      <c r="B443" s="84"/>
      <c r="C443" s="83"/>
      <c r="D443" s="83"/>
      <c r="E443" s="83"/>
      <c r="F443" s="83"/>
      <c r="G443" s="83"/>
      <c r="H443" s="83"/>
      <c r="I443" s="83"/>
      <c r="J443" s="83"/>
      <c r="K443" s="83"/>
      <c r="L443" s="85"/>
      <c r="M443" s="86"/>
      <c r="N443" s="83"/>
      <c r="O443" s="83"/>
    </row>
    <row r="444" s="20" customFormat="1" ht="15" spans="1:15">
      <c r="A444" s="83"/>
      <c r="B444" s="84"/>
      <c r="C444" s="83"/>
      <c r="D444" s="83"/>
      <c r="E444" s="83"/>
      <c r="F444" s="83"/>
      <c r="G444" s="83"/>
      <c r="H444" s="83"/>
      <c r="I444" s="83"/>
      <c r="J444" s="83"/>
      <c r="K444" s="83"/>
      <c r="L444" s="85"/>
      <c r="M444" s="86"/>
      <c r="N444" s="83"/>
      <c r="O444" s="83"/>
    </row>
    <row r="445" s="20" customFormat="1" ht="15" spans="1:15">
      <c r="A445" s="83"/>
      <c r="B445" s="84"/>
      <c r="C445" s="83"/>
      <c r="D445" s="83"/>
      <c r="E445" s="83"/>
      <c r="F445" s="83"/>
      <c r="G445" s="83"/>
      <c r="H445" s="83"/>
      <c r="I445" s="83"/>
      <c r="J445" s="83"/>
      <c r="K445" s="83"/>
      <c r="L445" s="85"/>
      <c r="M445" s="86"/>
      <c r="N445" s="83"/>
      <c r="O445" s="83"/>
    </row>
    <row r="446" s="20" customFormat="1" ht="15" spans="1:15">
      <c r="A446" s="83"/>
      <c r="B446" s="84"/>
      <c r="C446" s="83"/>
      <c r="D446" s="83"/>
      <c r="E446" s="83"/>
      <c r="F446" s="83"/>
      <c r="G446" s="83"/>
      <c r="H446" s="83"/>
      <c r="I446" s="83"/>
      <c r="J446" s="83"/>
      <c r="K446" s="83"/>
      <c r="L446" s="85"/>
      <c r="M446" s="86"/>
      <c r="N446" s="83"/>
      <c r="O446" s="83"/>
    </row>
    <row r="447" s="20" customFormat="1" ht="15" spans="1:15">
      <c r="A447" s="83"/>
      <c r="B447" s="84"/>
      <c r="C447" s="83"/>
      <c r="D447" s="83"/>
      <c r="E447" s="83"/>
      <c r="F447" s="83"/>
      <c r="G447" s="83"/>
      <c r="H447" s="83"/>
      <c r="I447" s="83"/>
      <c r="J447" s="83"/>
      <c r="K447" s="83"/>
      <c r="L447" s="85"/>
      <c r="M447" s="86"/>
      <c r="N447" s="83"/>
      <c r="O447" s="83"/>
    </row>
    <row r="448" s="20" customFormat="1" ht="15" spans="1:15">
      <c r="A448" s="83"/>
      <c r="B448" s="84"/>
      <c r="C448" s="83"/>
      <c r="D448" s="83"/>
      <c r="E448" s="83"/>
      <c r="F448" s="83"/>
      <c r="G448" s="83"/>
      <c r="H448" s="83"/>
      <c r="I448" s="83"/>
      <c r="J448" s="83"/>
      <c r="K448" s="83"/>
      <c r="L448" s="85"/>
      <c r="M448" s="86"/>
      <c r="N448" s="83"/>
      <c r="O448" s="83"/>
    </row>
    <row r="449" s="20" customFormat="1" ht="15" spans="1:15">
      <c r="A449" s="83"/>
      <c r="B449" s="84"/>
      <c r="C449" s="83"/>
      <c r="D449" s="83"/>
      <c r="E449" s="83"/>
      <c r="F449" s="83"/>
      <c r="G449" s="83"/>
      <c r="H449" s="83"/>
      <c r="I449" s="83"/>
      <c r="J449" s="83"/>
      <c r="K449" s="83"/>
      <c r="L449" s="85"/>
      <c r="M449" s="86"/>
      <c r="N449" s="83"/>
      <c r="O449" s="83"/>
    </row>
    <row r="450" s="20" customFormat="1" ht="15" spans="1:15">
      <c r="A450" s="83"/>
      <c r="B450" s="84"/>
      <c r="C450" s="83"/>
      <c r="D450" s="83"/>
      <c r="E450" s="83"/>
      <c r="F450" s="83"/>
      <c r="G450" s="83"/>
      <c r="H450" s="83"/>
      <c r="I450" s="83"/>
      <c r="J450" s="83"/>
      <c r="K450" s="83"/>
      <c r="L450" s="85"/>
      <c r="M450" s="86"/>
      <c r="N450" s="83"/>
      <c r="O450" s="83"/>
    </row>
    <row r="451" s="20" customFormat="1" ht="15" spans="1:15">
      <c r="A451" s="83"/>
      <c r="B451" s="84"/>
      <c r="C451" s="83"/>
      <c r="D451" s="83"/>
      <c r="E451" s="83"/>
      <c r="F451" s="83"/>
      <c r="G451" s="83"/>
      <c r="H451" s="83"/>
      <c r="I451" s="83"/>
      <c r="J451" s="83"/>
      <c r="K451" s="83"/>
      <c r="L451" s="85"/>
      <c r="M451" s="86"/>
      <c r="N451" s="83"/>
      <c r="O451" s="83"/>
    </row>
    <row r="452" s="20" customFormat="1" ht="15" spans="1:15">
      <c r="A452" s="83"/>
      <c r="B452" s="84"/>
      <c r="C452" s="83"/>
      <c r="D452" s="83"/>
      <c r="E452" s="83"/>
      <c r="F452" s="83"/>
      <c r="G452" s="83"/>
      <c r="H452" s="83"/>
      <c r="I452" s="83"/>
      <c r="J452" s="83"/>
      <c r="K452" s="83"/>
      <c r="L452" s="85"/>
      <c r="M452" s="86"/>
      <c r="N452" s="83"/>
      <c r="O452" s="83"/>
    </row>
    <row r="453" s="20" customFormat="1" ht="15" spans="1:15">
      <c r="A453" s="83"/>
      <c r="B453" s="84"/>
      <c r="C453" s="83"/>
      <c r="D453" s="83"/>
      <c r="E453" s="83"/>
      <c r="F453" s="83"/>
      <c r="G453" s="83"/>
      <c r="H453" s="83"/>
      <c r="I453" s="83"/>
      <c r="J453" s="83"/>
      <c r="K453" s="83"/>
      <c r="L453" s="85"/>
      <c r="M453" s="86"/>
      <c r="N453" s="83"/>
      <c r="O453" s="83"/>
    </row>
    <row r="454" s="20" customFormat="1" ht="15" spans="1:15">
      <c r="A454" s="83"/>
      <c r="B454" s="84"/>
      <c r="C454" s="83"/>
      <c r="D454" s="83"/>
      <c r="E454" s="83"/>
      <c r="F454" s="83"/>
      <c r="G454" s="83"/>
      <c r="H454" s="83"/>
      <c r="I454" s="83"/>
      <c r="J454" s="83"/>
      <c r="K454" s="83"/>
      <c r="L454" s="85"/>
      <c r="M454" s="86"/>
      <c r="N454" s="83"/>
      <c r="O454" s="83"/>
    </row>
    <row r="455" s="20" customFormat="1" ht="15" spans="1:15">
      <c r="A455" s="83"/>
      <c r="B455" s="84"/>
      <c r="C455" s="83"/>
      <c r="D455" s="83"/>
      <c r="E455" s="83"/>
      <c r="F455" s="83"/>
      <c r="G455" s="83"/>
      <c r="H455" s="83"/>
      <c r="I455" s="83"/>
      <c r="J455" s="83"/>
      <c r="K455" s="83"/>
      <c r="L455" s="85"/>
      <c r="M455" s="86"/>
      <c r="N455" s="83"/>
      <c r="O455" s="83"/>
    </row>
    <row r="456" s="20" customFormat="1" ht="15" spans="1:15">
      <c r="A456" s="83"/>
      <c r="B456" s="84"/>
      <c r="C456" s="83"/>
      <c r="D456" s="83"/>
      <c r="E456" s="83"/>
      <c r="F456" s="83"/>
      <c r="G456" s="83"/>
      <c r="H456" s="83"/>
      <c r="I456" s="83"/>
      <c r="J456" s="83"/>
      <c r="K456" s="83"/>
      <c r="L456" s="85"/>
      <c r="M456" s="86"/>
      <c r="N456" s="83"/>
      <c r="O456" s="83"/>
    </row>
  </sheetData>
  <mergeCells count="47">
    <mergeCell ref="D3:F3"/>
    <mergeCell ref="H3:I3"/>
    <mergeCell ref="K3:M3"/>
    <mergeCell ref="D4:F4"/>
    <mergeCell ref="H4:I4"/>
    <mergeCell ref="K4:M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K26:L26"/>
    <mergeCell ref="A27:G27"/>
    <mergeCell ref="H27:I27"/>
    <mergeCell ref="A28:N28"/>
    <mergeCell ref="A29:D29"/>
    <mergeCell ref="E29:G29"/>
    <mergeCell ref="H29:I29"/>
    <mergeCell ref="J29:K29"/>
    <mergeCell ref="L29:M29"/>
    <mergeCell ref="A30:D30"/>
    <mergeCell ref="E30:G30"/>
    <mergeCell ref="H30:I30"/>
    <mergeCell ref="J30:K30"/>
    <mergeCell ref="L30:M30"/>
    <mergeCell ref="C3:C4"/>
    <mergeCell ref="N29:N30"/>
    <mergeCell ref="O29:O30"/>
    <mergeCell ref="A1:O2"/>
    <mergeCell ref="A3:B4"/>
  </mergeCells>
  <pageMargins left="0.75" right="0.75" top="1" bottom="1" header="0.5" footer="0.5"/>
  <pageSetup paperSize="9" orientation="landscape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S16" sqref="S16"/>
    </sheetView>
  </sheetViews>
  <sheetFormatPr defaultColWidth="9" defaultRowHeight="37" customHeight="1"/>
  <cols>
    <col min="1" max="1" width="13.375" style="1" customWidth="1"/>
    <col min="2" max="2" width="10.125" style="2" customWidth="1"/>
    <col min="3" max="3" width="20.25" customWidth="1"/>
    <col min="4" max="4" width="11.5" customWidth="1"/>
    <col min="5" max="5" width="4.375" customWidth="1"/>
    <col min="6" max="15" width="8.5" style="1" customWidth="1"/>
    <col min="16" max="16" width="6.125" style="1" customWidth="1"/>
    <col min="17" max="255" width="11.625" customWidth="1"/>
    <col min="256" max="16384" width="11.625"/>
  </cols>
  <sheetData>
    <row r="1" customHeight="1" spans="1:16">
      <c r="D1" s="3" t="s">
        <v>119</v>
      </c>
      <c r="E1" s="3"/>
    </row>
    <row r="2" ht="52" customHeight="1" spans="1:16">
      <c r="A2" s="4" t="s">
        <v>120</v>
      </c>
      <c r="B2" s="5"/>
      <c r="C2" s="6" t="s">
        <v>19</v>
      </c>
      <c r="D2" s="7" t="s">
        <v>14</v>
      </c>
      <c r="E2" s="7"/>
      <c r="F2" s="8" t="s">
        <v>121</v>
      </c>
      <c r="G2" s="8" t="s">
        <v>122</v>
      </c>
      <c r="H2" s="8" t="s">
        <v>123</v>
      </c>
      <c r="I2" s="8" t="s">
        <v>124</v>
      </c>
      <c r="J2" s="8" t="s">
        <v>125</v>
      </c>
      <c r="K2" s="8" t="s">
        <v>126</v>
      </c>
      <c r="L2" s="8" t="s">
        <v>127</v>
      </c>
      <c r="M2" s="8" t="s">
        <v>128</v>
      </c>
      <c r="N2" s="8" t="s">
        <v>129</v>
      </c>
      <c r="O2" s="8" t="s">
        <v>130</v>
      </c>
      <c r="P2" s="8" t="s">
        <v>131</v>
      </c>
    </row>
    <row r="3" ht="26" customHeight="1" spans="1:16">
      <c r="A3" s="9">
        <f>+'1'!D2</f>
        <v>0</v>
      </c>
      <c r="B3" s="10">
        <f>+'1'!F2</f>
        <v>0</v>
      </c>
      <c r="C3" s="11">
        <f>+'1'!N5</f>
        <v>0</v>
      </c>
      <c r="D3" s="12">
        <f>+'1'!Q2</f>
        <v>0</v>
      </c>
      <c r="E3" s="13">
        <f>'[2]1'!Q5</f>
        <v>-1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ht="26" customHeight="1" spans="1:16">
      <c r="A4" s="9"/>
      <c r="B4" s="10"/>
      <c r="C4" s="11">
        <f>+'2'!N5</f>
        <v>0</v>
      </c>
      <c r="D4" s="12">
        <f>+'2'!Q2</f>
        <v>0</v>
      </c>
      <c r="E4" s="13">
        <f>'[2]2'!Q4</f>
        <v>-2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ht="26" customHeight="1" spans="1:16">
      <c r="A5" s="9"/>
      <c r="B5" s="10"/>
      <c r="C5" s="11">
        <f>+'3'!N5</f>
        <v>0</v>
      </c>
      <c r="D5" s="12">
        <f>+'3'!Q2</f>
        <v>0</v>
      </c>
      <c r="E5" s="13">
        <f>'[2]3'!Q4</f>
        <v>-3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ht="26" customHeight="1" spans="1:16">
      <c r="A6" s="9"/>
      <c r="B6" s="10"/>
      <c r="C6" s="11">
        <f>+'4'!N5</f>
        <v>0</v>
      </c>
      <c r="D6" s="12">
        <f>+'4'!Q2</f>
        <v>0</v>
      </c>
      <c r="E6" s="13">
        <f>'[2]4'!Q4</f>
        <v>-4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ht="26" customHeight="1" spans="1:16">
      <c r="A7" s="9"/>
      <c r="B7" s="10"/>
      <c r="C7" s="11">
        <f>+'5'!N5</f>
        <v>0</v>
      </c>
      <c r="D7" s="12">
        <f>+'5'!Q2</f>
        <v>0</v>
      </c>
      <c r="E7" s="13">
        <f>'[2]5'!Q4</f>
        <v>-5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ht="26" customHeight="1" spans="1:16">
      <c r="A8" s="9"/>
      <c r="B8" s="10"/>
      <c r="C8" s="11">
        <f>+'6'!N5</f>
        <v>0</v>
      </c>
      <c r="D8" s="12">
        <f>+'6'!Q2</f>
        <v>0</v>
      </c>
      <c r="E8" s="13">
        <f>'[2]6'!Q4</f>
        <v>-6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ht="26" customHeight="1" spans="1:16">
      <c r="A9" s="9"/>
      <c r="B9" s="10"/>
      <c r="C9" s="11">
        <f>+'7'!N5</f>
        <v>0</v>
      </c>
      <c r="D9" s="12">
        <f>+'7'!Q2</f>
        <v>0</v>
      </c>
      <c r="E9" s="13">
        <f>'[2]7'!Q4</f>
        <v>-7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ht="26" customHeight="1" spans="1:16">
      <c r="A10" s="9"/>
      <c r="B10" s="10"/>
      <c r="C10" s="11">
        <f>+'8'!N5</f>
        <v>0</v>
      </c>
      <c r="D10" s="12">
        <f>+'8'!Q2</f>
        <v>0</v>
      </c>
      <c r="E10" s="13">
        <f>'[2]8'!Q4</f>
        <v>-8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ht="26" customHeight="1" spans="1:16">
      <c r="A11" s="9"/>
      <c r="B11" s="10"/>
      <c r="C11" s="11">
        <f>+'9'!N5</f>
        <v>0</v>
      </c>
      <c r="D11" s="12">
        <f>+'9'!Q2</f>
        <v>0</v>
      </c>
      <c r="E11" s="13">
        <f>'[2]9'!Q4</f>
        <v>-9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ht="26" customHeight="1" spans="1:16">
      <c r="A12" s="9"/>
      <c r="B12" s="10"/>
      <c r="C12" s="11">
        <f>+'10'!N5</f>
        <v>0</v>
      </c>
      <c r="D12" s="12">
        <f>+'10'!Q2</f>
        <v>0</v>
      </c>
      <c r="E12" s="13">
        <f>'[2]10'!Q4</f>
        <v>-10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ht="26" customHeight="1" spans="1:16">
      <c r="A13" s="9"/>
      <c r="B13" s="10"/>
      <c r="C13" s="11"/>
      <c r="D13" s="12"/>
      <c r="E13" s="13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ht="26" customHeight="1" spans="1:16">
      <c r="A14" s="9"/>
      <c r="B14" s="10"/>
      <c r="C14" s="11"/>
      <c r="D14" s="12"/>
      <c r="E14" s="13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ht="26" customHeight="1" spans="1:16">
      <c r="A15" s="9"/>
      <c r="B15" s="10"/>
      <c r="C15" s="11"/>
      <c r="D15" s="12"/>
      <c r="E15" s="13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ht="26" customHeight="1" spans="1:16">
      <c r="A16" s="9"/>
      <c r="B16" s="10"/>
      <c r="C16" s="11"/>
      <c r="D16" s="12"/>
      <c r="E16" s="13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ht="26" customHeight="1" spans="1:16">
      <c r="A17" s="14"/>
      <c r="B17" s="15"/>
      <c r="C17" s="16"/>
      <c r="D17" s="17"/>
      <c r="E17" s="18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</sheetData>
  <mergeCells count="2">
    <mergeCell ref="A2:B2"/>
    <mergeCell ref="D2:E2"/>
  </mergeCells>
  <printOptions horizontalCentered="1"/>
  <pageMargins left="0" right="0" top="0.409027777777778" bottom="0.409027777777778" header="0.5" footer="0.5"/>
  <pageSetup paperSize="9" scale="9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znjg</Company>
  <Application>Microsoft Excel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汇总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五金-1</vt:lpstr>
      <vt:lpstr>五金-2</vt:lpstr>
      <vt:lpstr>铝框门</vt:lpstr>
      <vt:lpstr>前工序完工单号总表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ziping</dc:creator>
  <cp:lastModifiedBy>奢匠接单-陈昌容</cp:lastModifiedBy>
  <cp:revision>1</cp:revision>
  <dcterms:created xsi:type="dcterms:W3CDTF">2007-02-09T02:08:00Z</dcterms:created>
  <cp:lastPrinted>2016-07-26T07:00:00Z</cp:lastPrinted>
  <dcterms:modified xsi:type="dcterms:W3CDTF">2026-08-11T06:02:38Z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ubyTemplateID">
    <vt:lpwstr>10</vt:lpwstr>
  </property>
  <property fmtid="{D5CDD505-2E9C-101B-9397-08002B2CF9AE}" pid="4" name="ICV">
    <vt:lpwstr>93A718BF63B8465FBE52DC2A5B07D642_13</vt:lpwstr>
  </property>
  <property fmtid="{D5CDD505-2E9C-101B-9397-08002B2CF9AE}" pid="5" name="KSOReadingLayout">
    <vt:bool>false</vt:bool>
  </property>
  <property fmtid="{D5CDD505-2E9C-101B-9397-08002B2CF9AE}" pid="6" name="CalculationRule">
    <vt:i4>0</vt:i4>
  </property>
</Properties>
</file>