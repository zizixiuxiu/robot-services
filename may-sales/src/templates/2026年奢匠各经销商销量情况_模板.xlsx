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1895" tabRatio="600" firstSheet="0" activeTab="0" autoFilterDateGrouping="1"/>
  </bookViews>
  <sheets>
    <sheet name="奢匠专卖店26年" sheetId="1" state="visible" r:id="rId1"/>
  </sheets>
  <definedNames>
    <definedName name="_xlnm._FilterDatabase" localSheetId="0" hidden="1">'奢匠专卖店26年'!$A$2:$XFD$279</definedName>
    <definedName name="_xlnm.Print_Titles" localSheetId="0">'奢匠专卖店26年'!$1:$2</definedName>
    <definedName name="_xlnm.Print_Area" localSheetId="0">'奢匠专卖店26年'!$A$1:$DA$279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_ "/>
  </numFmts>
  <fonts count="47">
    <font>
      <name val="宋体"/>
      <charset val="134"/>
      <color theme="1"/>
      <sz val="11"/>
      <scheme val="minor"/>
    </font>
    <font>
      <name val="宋体"/>
      <charset val="134"/>
      <b val="1"/>
      <color theme="1"/>
      <sz val="12"/>
      <scheme val="minor"/>
    </font>
    <font>
      <name val="宋体"/>
      <charset val="134"/>
      <b val="1"/>
      <color theme="1"/>
      <sz val="16"/>
      <scheme val="minor"/>
    </font>
    <font>
      <name val="宋体"/>
      <charset val="134"/>
      <b val="1"/>
      <sz val="12"/>
      <scheme val="minor"/>
    </font>
    <font>
      <name val="微软雅黑"/>
      <charset val="134"/>
      <sz val="16"/>
    </font>
    <font>
      <name val="宋体"/>
      <charset val="134"/>
      <color theme="1"/>
      <sz val="16"/>
      <scheme val="minor"/>
    </font>
    <font>
      <name val="宋体"/>
      <charset val="134"/>
      <b val="1"/>
      <color theme="1"/>
      <sz val="14"/>
      <scheme val="minor"/>
    </font>
    <font>
      <name val="黑体"/>
      <charset val="134"/>
      <b val="1"/>
      <color theme="1"/>
      <sz val="12"/>
    </font>
    <font>
      <name val="黑体"/>
      <charset val="134"/>
      <b val="1"/>
      <sz val="12"/>
    </font>
    <font>
      <name val="微软雅黑"/>
      <charset val="134"/>
      <b val="1"/>
      <sz val="12"/>
    </font>
    <font>
      <name val="黑体"/>
      <charset val="134"/>
      <b val="1"/>
      <color theme="1"/>
      <sz val="14"/>
    </font>
    <font>
      <name val="宋体"/>
      <charset val="134"/>
      <b val="1"/>
      <color theme="1"/>
      <sz val="11"/>
      <scheme val="minor"/>
    </font>
    <font>
      <name val="微软雅黑"/>
      <charset val="134"/>
      <sz val="12"/>
    </font>
    <font>
      <name val="宋体"/>
      <charset val="134"/>
      <color theme="1"/>
      <sz val="12"/>
      <scheme val="minor"/>
    </font>
    <font>
      <name val="Calibri"/>
      <charset val="134"/>
      <color rgb="FF000000"/>
      <sz val="11"/>
    </font>
    <font>
      <name val="宋体"/>
      <charset val="134"/>
      <b val="1"/>
      <color rgb="FF7030A0"/>
      <sz val="12"/>
      <scheme val="minor"/>
    </font>
    <font>
      <name val="宋体"/>
      <charset val="134"/>
      <b val="1"/>
      <sz val="12"/>
    </font>
    <font>
      <name val="宋体"/>
      <charset val="134"/>
      <b val="1"/>
      <color rgb="FFFF0000"/>
      <sz val="12"/>
      <scheme val="minor"/>
    </font>
    <font>
      <name val="宋体"/>
      <charset val="134"/>
      <color rgb="FF000000"/>
      <sz val="11"/>
    </font>
    <font>
      <name val="宋体"/>
      <charset val="134"/>
      <b val="1"/>
      <color theme="1"/>
      <sz val="9"/>
      <scheme val="minor"/>
    </font>
    <font>
      <name val="Arial"/>
      <charset val="0"/>
      <sz val="10"/>
    </font>
    <font>
      <name val="Tahoma"/>
      <charset val="134"/>
      <color rgb="FF000000"/>
      <sz val="8"/>
    </font>
    <font>
      <name val="宋体"/>
      <charset val="0"/>
      <sz val="10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b val="1"/>
      <sz val="9"/>
    </font>
    <font>
      <name val="宋体"/>
      <charset val="134"/>
      <sz val="9"/>
    </font>
    <font>
      <name val="宋体"/>
      <charset val="134"/>
      <sz val="10"/>
    </font>
    <font>
      <name val="宋体"/>
      <charset val="134"/>
      <b val="1"/>
      <color rgb="FF000000"/>
      <sz val="9"/>
    </font>
    <font>
      <name val="宋体"/>
      <charset val="134"/>
      <color rgb="FF000000"/>
      <sz val="9"/>
    </font>
  </fonts>
  <fills count="3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3" fillId="0" borderId="0" applyAlignment="1">
      <alignment vertical="center"/>
    </xf>
    <xf numFmtId="0" fontId="24" fillId="0" borderId="0" applyAlignment="1">
      <alignment vertical="center"/>
    </xf>
    <xf numFmtId="0" fontId="0" fillId="4" borderId="3" applyAlignment="1">
      <alignment vertical="center"/>
    </xf>
    <xf numFmtId="0" fontId="25" fillId="0" borderId="0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28" fillId="0" borderId="4" applyAlignment="1">
      <alignment vertical="center"/>
    </xf>
    <xf numFmtId="0" fontId="29" fillId="0" borderId="4" applyAlignment="1">
      <alignment vertical="center"/>
    </xf>
    <xf numFmtId="0" fontId="30" fillId="0" borderId="5" applyAlignment="1">
      <alignment vertical="center"/>
    </xf>
    <xf numFmtId="0" fontId="30" fillId="0" borderId="0" applyAlignment="1">
      <alignment vertical="center"/>
    </xf>
    <xf numFmtId="0" fontId="31" fillId="5" borderId="6" applyAlignment="1">
      <alignment vertical="center"/>
    </xf>
    <xf numFmtId="0" fontId="32" fillId="6" borderId="7" applyAlignment="1">
      <alignment vertical="center"/>
    </xf>
    <xf numFmtId="0" fontId="33" fillId="6" borderId="6" applyAlignment="1">
      <alignment vertical="center"/>
    </xf>
    <xf numFmtId="0" fontId="34" fillId="7" borderId="8" applyAlignment="1">
      <alignment vertical="center"/>
    </xf>
    <xf numFmtId="0" fontId="35" fillId="0" borderId="9" applyAlignment="1">
      <alignment vertical="center"/>
    </xf>
    <xf numFmtId="0" fontId="36" fillId="0" borderId="10" applyAlignment="1">
      <alignment vertical="center"/>
    </xf>
    <xf numFmtId="0" fontId="37" fillId="8" borderId="0" applyAlignment="1">
      <alignment vertical="center"/>
    </xf>
    <xf numFmtId="0" fontId="38" fillId="9" borderId="0" applyAlignment="1">
      <alignment vertical="center"/>
    </xf>
    <xf numFmtId="0" fontId="39" fillId="10" borderId="0" applyAlignment="1">
      <alignment vertical="center"/>
    </xf>
    <xf numFmtId="0" fontId="40" fillId="11" borderId="0" applyAlignment="1">
      <alignment vertical="center"/>
    </xf>
    <xf numFmtId="0" fontId="41" fillId="12" borderId="0" applyAlignment="1">
      <alignment vertical="center"/>
    </xf>
    <xf numFmtId="0" fontId="41" fillId="13" borderId="0" applyAlignment="1">
      <alignment vertical="center"/>
    </xf>
    <xf numFmtId="0" fontId="40" fillId="14" borderId="0" applyAlignment="1">
      <alignment vertical="center"/>
    </xf>
    <xf numFmtId="0" fontId="40" fillId="15" borderId="0" applyAlignment="1">
      <alignment vertical="center"/>
    </xf>
    <xf numFmtId="0" fontId="41" fillId="16" borderId="0" applyAlignment="1">
      <alignment vertical="center"/>
    </xf>
    <xf numFmtId="0" fontId="41" fillId="17" borderId="0" applyAlignment="1">
      <alignment vertical="center"/>
    </xf>
    <xf numFmtId="0" fontId="40" fillId="18" borderId="0" applyAlignment="1">
      <alignment vertical="center"/>
    </xf>
    <xf numFmtId="0" fontId="40" fillId="19" borderId="0" applyAlignment="1">
      <alignment vertical="center"/>
    </xf>
    <xf numFmtId="0" fontId="41" fillId="20" borderId="0" applyAlignment="1">
      <alignment vertical="center"/>
    </xf>
    <xf numFmtId="0" fontId="41" fillId="21" borderId="0" applyAlignment="1">
      <alignment vertical="center"/>
    </xf>
    <xf numFmtId="0" fontId="40" fillId="22" borderId="0" applyAlignment="1">
      <alignment vertical="center"/>
    </xf>
    <xf numFmtId="0" fontId="40" fillId="23" borderId="0" applyAlignment="1">
      <alignment vertical="center"/>
    </xf>
    <xf numFmtId="0" fontId="41" fillId="24" borderId="0" applyAlignment="1">
      <alignment vertical="center"/>
    </xf>
    <xf numFmtId="0" fontId="41" fillId="25" borderId="0" applyAlignment="1">
      <alignment vertical="center"/>
    </xf>
    <xf numFmtId="0" fontId="40" fillId="26" borderId="0" applyAlignment="1">
      <alignment vertical="center"/>
    </xf>
    <xf numFmtId="0" fontId="40" fillId="27" borderId="0" applyAlignment="1">
      <alignment vertical="center"/>
    </xf>
    <xf numFmtId="0" fontId="41" fillId="28" borderId="0" applyAlignment="1">
      <alignment vertical="center"/>
    </xf>
    <xf numFmtId="0" fontId="41" fillId="29" borderId="0" applyAlignment="1">
      <alignment vertical="center"/>
    </xf>
    <xf numFmtId="0" fontId="40" fillId="30" borderId="0" applyAlignment="1">
      <alignment vertical="center"/>
    </xf>
    <xf numFmtId="0" fontId="40" fillId="31" borderId="0" applyAlignment="1">
      <alignment vertical="center"/>
    </xf>
    <xf numFmtId="0" fontId="41" fillId="32" borderId="0" applyAlignment="1">
      <alignment vertical="center"/>
    </xf>
    <xf numFmtId="0" fontId="41" fillId="33" borderId="0" applyAlignment="1">
      <alignment vertical="center"/>
    </xf>
    <xf numFmtId="0" fontId="40" fillId="34" borderId="0" applyAlignment="1">
      <alignment vertical="center"/>
    </xf>
  </cellStyleXfs>
  <cellXfs count="111">
    <xf numFmtId="0" fontId="0" fillId="0" borderId="0" applyAlignment="1" pivotButton="0" quotePrefix="0" xfId="0">
      <alignment vertical="center"/>
    </xf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/>
    </xf>
    <xf numFmtId="164" fontId="2" fillId="2" borderId="0" applyAlignment="1" pivotButton="0" quotePrefix="0" xfId="0">
      <alignment horizontal="left" vertical="center"/>
    </xf>
    <xf numFmtId="49" fontId="1" fillId="2" borderId="0" applyAlignment="1" pivotButton="0" quotePrefix="0" xfId="0">
      <alignment horizontal="left" vertical="center" wrapText="1"/>
    </xf>
    <xf numFmtId="164" fontId="3" fillId="2" borderId="0" applyAlignment="1" pivotButton="0" quotePrefix="0" xfId="0">
      <alignment horizontal="center" vertical="center"/>
    </xf>
    <xf numFmtId="164" fontId="1" fillId="2" borderId="0" applyAlignment="1" pivotButton="0" quotePrefix="0" xfId="0">
      <alignment horizontal="center" vertical="center"/>
    </xf>
    <xf numFmtId="49" fontId="2" fillId="2" borderId="0" applyAlignment="1" pivotButton="0" quotePrefix="0" xfId="0">
      <alignment horizontal="center" vertical="center"/>
    </xf>
    <xf numFmtId="49" fontId="1" fillId="2" borderId="0" applyAlignment="1" pivotButton="0" quotePrefix="0" xfId="0">
      <alignment horizontal="center" vertical="center"/>
    </xf>
    <xf numFmtId="49" fontId="4" fillId="2" borderId="0" applyAlignment="1" pivotButton="0" quotePrefix="0" xfId="0">
      <alignment horizontal="center" vertical="center"/>
    </xf>
    <xf numFmtId="164" fontId="2" fillId="2" borderId="0" applyAlignment="1" pivotButton="0" quotePrefix="0" xfId="0">
      <alignment horizontal="center" vertical="center"/>
    </xf>
    <xf numFmtId="49" fontId="5" fillId="2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49" fontId="1" fillId="2" borderId="0" applyAlignment="1" pivotButton="0" quotePrefix="0" xfId="0">
      <alignment horizontal="left" vertical="center"/>
    </xf>
    <xf numFmtId="0" fontId="7" fillId="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left" vertical="center" wrapText="1"/>
    </xf>
    <xf numFmtId="164" fontId="7" fillId="2" borderId="1" applyAlignment="1" pivotButton="0" quotePrefix="0" xfId="0">
      <alignment horizontal="left" vertical="center" wrapText="1"/>
    </xf>
    <xf numFmtId="164" fontId="8" fillId="2" borderId="1" applyAlignment="1" pivotButton="0" quotePrefix="0" xfId="0">
      <alignment horizontal="center" vertical="center" wrapText="1"/>
    </xf>
    <xf numFmtId="164" fontId="7" fillId="2" borderId="1" applyAlignment="1" pivotButton="0" quotePrefix="0" xfId="0">
      <alignment horizontal="center" vertical="center" wrapText="1"/>
    </xf>
    <xf numFmtId="49" fontId="7" fillId="2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164" fontId="1" fillId="2" borderId="1" applyAlignment="1" pivotButton="0" quotePrefix="0" xfId="0">
      <alignment horizontal="left" vertical="center"/>
    </xf>
    <xf numFmtId="49" fontId="1" fillId="2" borderId="1" applyAlignment="1" pivotButton="0" quotePrefix="0" xfId="0">
      <alignment horizontal="left" vertical="center" wrapText="1"/>
    </xf>
    <xf numFmtId="164" fontId="3" fillId="2" borderId="1" applyAlignment="1" pivotButton="0" quotePrefix="0" xfId="0">
      <alignment horizontal="center" vertical="center"/>
    </xf>
    <xf numFmtId="164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/>
    </xf>
    <xf numFmtId="164" fontId="12" fillId="2" borderId="1" applyAlignment="1" pivotButton="0" quotePrefix="0" xfId="0">
      <alignment horizontal="center" vertical="center"/>
    </xf>
    <xf numFmtId="164" fontId="0" fillId="2" borderId="1" applyAlignment="1" pivotButton="0" quotePrefix="0" xfId="0">
      <alignment vertical="center"/>
    </xf>
    <xf numFmtId="164" fontId="13" fillId="2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11" fillId="2" borderId="1" applyAlignment="1" pivotButton="0" quotePrefix="0" xfId="0">
      <alignment vertical="center"/>
    </xf>
    <xf numFmtId="0" fontId="11" fillId="2" borderId="1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14" fillId="2" borderId="0" applyAlignment="1" pivotButton="0" quotePrefix="0" xfId="0">
      <alignment vertical="center"/>
    </xf>
    <xf numFmtId="164" fontId="15" fillId="2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49" fontId="17" fillId="2" borderId="1" applyAlignment="1" pivotButton="0" quotePrefix="0" xfId="0">
      <alignment horizontal="left" vertical="center" wrapText="1"/>
    </xf>
    <xf numFmtId="0" fontId="11" fillId="2" borderId="1" applyAlignment="1" pivotButton="0" quotePrefix="0" xfId="0">
      <alignment horizontal="left" vertical="center" wrapText="1"/>
    </xf>
    <xf numFmtId="164" fontId="0" fillId="2" borderId="1" applyAlignment="1" pivotButton="0" quotePrefix="0" xfId="0">
      <alignment horizontal="center" vertical="center"/>
    </xf>
    <xf numFmtId="164" fontId="1" fillId="2" borderId="2" applyAlignment="1" pivotButton="0" quotePrefix="0" xfId="0">
      <alignment horizontal="center" vertical="center"/>
    </xf>
    <xf numFmtId="164" fontId="11" fillId="2" borderId="1" applyAlignment="1" pivotButton="0" quotePrefix="0" xfId="0">
      <alignment horizontal="center" vertical="center"/>
    </xf>
    <xf numFmtId="0" fontId="18" fillId="2" borderId="0" applyAlignment="1" pivotButton="0" quotePrefix="0" xfId="0">
      <alignment vertical="center"/>
    </xf>
    <xf numFmtId="164" fontId="1" fillId="2" borderId="1" applyAlignment="1" pivotButton="0" quotePrefix="0" xfId="0">
      <alignment horizontal="left" vertical="center" wrapText="1"/>
    </xf>
    <xf numFmtId="49" fontId="1" fillId="2" borderId="2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/>
    </xf>
    <xf numFmtId="0" fontId="11" fillId="3" borderId="1" applyAlignment="1" pivotButton="0" quotePrefix="0" xfId="0">
      <alignment horizontal="left" vertical="center"/>
    </xf>
    <xf numFmtId="164" fontId="1" fillId="3" borderId="1" applyAlignment="1" pivotButton="0" quotePrefix="0" xfId="0">
      <alignment horizontal="left" vertical="center"/>
    </xf>
    <xf numFmtId="49" fontId="1" fillId="3" borderId="1" applyAlignment="1" pivotButton="0" quotePrefix="0" xfId="0">
      <alignment horizontal="left" vertical="center" wrapText="1"/>
    </xf>
    <xf numFmtId="164" fontId="1" fillId="3" borderId="1" applyAlignment="1" pivotButton="0" quotePrefix="0" xfId="0">
      <alignment horizontal="center" vertical="center"/>
    </xf>
    <xf numFmtId="164" fontId="12" fillId="3" borderId="1" applyAlignment="1" pivotButton="0" quotePrefix="0" xfId="0">
      <alignment horizontal="center" vertical="center"/>
    </xf>
    <xf numFmtId="164" fontId="0" fillId="3" borderId="1" applyAlignment="1" pivotButton="0" quotePrefix="0" xfId="0">
      <alignment vertical="center"/>
    </xf>
    <xf numFmtId="164" fontId="13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11" fillId="2" borderId="2" applyAlignment="1" pivotButton="0" quotePrefix="0" xfId="0">
      <alignment horizontal="center" vertical="center"/>
    </xf>
    <xf numFmtId="164" fontId="1" fillId="2" borderId="1" applyAlignment="1" pivotButton="0" quotePrefix="0" xfId="0">
      <alignment horizontal="center" vertical="center" wrapText="1"/>
    </xf>
    <xf numFmtId="0" fontId="11" fillId="3" borderId="2" applyAlignment="1" pivotButton="0" quotePrefix="0" xfId="0">
      <alignment horizontal="center" vertical="center"/>
    </xf>
    <xf numFmtId="164" fontId="1" fillId="3" borderId="2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49" fontId="19" fillId="2" borderId="1" applyAlignment="1" pivotButton="0" quotePrefix="0" xfId="0">
      <alignment horizontal="left" vertical="center" wrapText="1"/>
    </xf>
    <xf numFmtId="0" fontId="20" fillId="0" borderId="0" pivotButton="0" quotePrefix="0" xfId="0"/>
    <xf numFmtId="164" fontId="11" fillId="2" borderId="0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vertical="center"/>
    </xf>
    <xf numFmtId="164" fontId="2" fillId="2" borderId="1" applyAlignment="1" pivotButton="0" quotePrefix="0" xfId="0">
      <alignment horizontal="center" vertical="center"/>
    </xf>
    <xf numFmtId="49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49" fontId="21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 wrapText="1"/>
    </xf>
    <xf numFmtId="0" fontId="20" fillId="2" borderId="0" pivotButton="0" quotePrefix="0" xfId="0"/>
    <xf numFmtId="164" fontId="20" fillId="2" borderId="0" pivotButton="0" quotePrefix="0" xfId="0"/>
    <xf numFmtId="0" fontId="22" fillId="2" borderId="0" pivotButton="0" quotePrefix="0" xfId="0"/>
    <xf numFmtId="164" fontId="22" fillId="2" borderId="0" pivotButton="0" quotePrefix="0" xfId="0"/>
    <xf numFmtId="164" fontId="2" fillId="2" borderId="0" applyAlignment="1" pivotButton="0" quotePrefix="0" xfId="0">
      <alignment horizontal="left" vertical="center"/>
    </xf>
    <xf numFmtId="164" fontId="3" fillId="2" borderId="0" applyAlignment="1" pivotButton="0" quotePrefix="0" xfId="0">
      <alignment horizontal="center" vertical="center"/>
    </xf>
    <xf numFmtId="164" fontId="1" fillId="2" borderId="0" applyAlignment="1" pivotButton="0" quotePrefix="0" xfId="0">
      <alignment horizontal="center" vertical="center"/>
    </xf>
    <xf numFmtId="164" fontId="2" fillId="2" borderId="0" applyAlignment="1" pivotButton="0" quotePrefix="0" xfId="0">
      <alignment horizontal="center" vertical="center"/>
    </xf>
    <xf numFmtId="0" fontId="0" fillId="0" borderId="0" pivotButton="0" quotePrefix="0" xfId="0"/>
    <xf numFmtId="164" fontId="7" fillId="2" borderId="1" applyAlignment="1" pivotButton="0" quotePrefix="0" xfId="0">
      <alignment horizontal="left" vertical="center" wrapText="1"/>
    </xf>
    <xf numFmtId="164" fontId="8" fillId="2" borderId="1" applyAlignment="1" pivotButton="0" quotePrefix="0" xfId="0">
      <alignment horizontal="center" vertical="center" wrapText="1"/>
    </xf>
    <xf numFmtId="164" fontId="7" fillId="2" borderId="1" applyAlignment="1" pivotButton="0" quotePrefix="0" xfId="0">
      <alignment horizontal="center" vertical="center" wrapText="1"/>
    </xf>
    <xf numFmtId="164" fontId="1" fillId="2" borderId="1" applyAlignment="1" pivotButton="0" quotePrefix="0" xfId="0">
      <alignment horizontal="left" vertical="center"/>
    </xf>
    <xf numFmtId="164" fontId="3" fillId="2" borderId="1" applyAlignment="1" pivotButton="0" quotePrefix="0" xfId="0">
      <alignment horizontal="center" vertical="center"/>
    </xf>
    <xf numFmtId="164" fontId="1" fillId="2" borderId="1" applyAlignment="1" pivotButton="0" quotePrefix="0" xfId="0">
      <alignment horizontal="center" vertical="center"/>
    </xf>
    <xf numFmtId="164" fontId="12" fillId="2" borderId="1" applyAlignment="1" pivotButton="0" quotePrefix="0" xfId="0">
      <alignment horizontal="center" vertical="center"/>
    </xf>
    <xf numFmtId="164" fontId="0" fillId="2" borderId="1" applyAlignment="1" pivotButton="0" quotePrefix="0" xfId="0">
      <alignment vertical="center"/>
    </xf>
    <xf numFmtId="164" fontId="13" fillId="2" borderId="1" applyAlignment="1" pivotButton="0" quotePrefix="0" xfId="0">
      <alignment horizontal="center" vertical="center"/>
    </xf>
    <xf numFmtId="164" fontId="15" fillId="2" borderId="1" applyAlignment="1" pivotButton="0" quotePrefix="0" xfId="0">
      <alignment horizontal="center" vertical="center"/>
    </xf>
    <xf numFmtId="164" fontId="0" fillId="2" borderId="1" applyAlignment="1" pivotButton="0" quotePrefix="0" xfId="0">
      <alignment horizontal="center" vertical="center"/>
    </xf>
    <xf numFmtId="164" fontId="1" fillId="2" borderId="2" applyAlignment="1" pivotButton="0" quotePrefix="0" xfId="0">
      <alignment horizontal="center" vertical="center"/>
    </xf>
    <xf numFmtId="164" fontId="11" fillId="2" borderId="1" applyAlignment="1" pivotButton="0" quotePrefix="0" xfId="0">
      <alignment horizontal="center" vertical="center"/>
    </xf>
    <xf numFmtId="164" fontId="1" fillId="2" borderId="1" applyAlignment="1" pivotButton="0" quotePrefix="0" xfId="0">
      <alignment horizontal="left" vertical="center" wrapText="1"/>
    </xf>
    <xf numFmtId="164" fontId="1" fillId="3" borderId="1" applyAlignment="1" pivotButton="0" quotePrefix="0" xfId="0">
      <alignment horizontal="left" vertical="center"/>
    </xf>
    <xf numFmtId="164" fontId="1" fillId="3" borderId="1" applyAlignment="1" pivotButton="0" quotePrefix="0" xfId="0">
      <alignment horizontal="center" vertical="center"/>
    </xf>
    <xf numFmtId="164" fontId="12" fillId="3" borderId="1" applyAlignment="1" pivotButton="0" quotePrefix="0" xfId="0">
      <alignment horizontal="center" vertical="center"/>
    </xf>
    <xf numFmtId="164" fontId="0" fillId="3" borderId="1" applyAlignment="1" pivotButton="0" quotePrefix="0" xfId="0">
      <alignment vertical="center"/>
    </xf>
    <xf numFmtId="164" fontId="13" fillId="3" borderId="1" applyAlignment="1" pivotButton="0" quotePrefix="0" xfId="0">
      <alignment horizontal="center" vertical="center"/>
    </xf>
    <xf numFmtId="164" fontId="1" fillId="2" borderId="1" applyAlignment="1" pivotButton="0" quotePrefix="0" xfId="0">
      <alignment horizontal="center" vertical="center" wrapText="1"/>
    </xf>
    <xf numFmtId="164" fontId="1" fillId="3" borderId="2" applyAlignment="1" pivotButton="0" quotePrefix="0" xfId="0">
      <alignment horizontal="center" vertical="center"/>
    </xf>
    <xf numFmtId="164" fontId="11" fillId="2" borderId="0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164" fontId="20" fillId="2" borderId="0" pivotButton="0" quotePrefix="0" xfId="0"/>
    <xf numFmtId="164" fontId="22" fillId="2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FD438"/>
  <sheetViews>
    <sheetView tabSelected="1" view="pageBreakPreview" zoomScale="115" zoomScaleNormal="85" workbookViewId="0">
      <pane xSplit="4" ySplit="2" topLeftCell="E3" activePane="bottomRight" state="frozen"/>
      <selection activeCell="A1" sqref="A1"/>
      <selection pane="topRight" activeCell="A1" sqref="A1"/>
      <selection pane="bottomLeft" activeCell="A1" sqref="A1"/>
      <selection pane="bottomRight" activeCell="H14" sqref="H14"/>
    </sheetView>
  </sheetViews>
  <sheetFormatPr baseColWidth="8" defaultColWidth="9" defaultRowHeight="27" customHeight="1"/>
  <cols>
    <col width="6.5" customWidth="1" style="2" min="1" max="1"/>
    <col width="7.66666666666667" customWidth="1" style="3" min="2" max="2"/>
    <col width="11.625" customWidth="1" style="3" min="3" max="3"/>
    <col width="9.125" customWidth="1" style="3" min="4" max="4"/>
    <col width="9.125" customWidth="1" style="81" min="5" max="5"/>
    <col width="12" customWidth="1" style="5" min="6" max="6"/>
    <col width="8.75" customWidth="1" style="5" min="7" max="7"/>
    <col outlineLevel="1" width="11" customWidth="1" style="82" min="8" max="8"/>
    <col outlineLevel="1" width="10.1666666666667" customWidth="1" style="83" min="9" max="9"/>
    <col outlineLevel="1" width="9.25" customWidth="1" style="83" min="10" max="10"/>
    <col width="11.6666666666667" customWidth="1" style="8" min="11" max="11"/>
    <col hidden="1" outlineLevel="1" width="9.16666666666667" customWidth="1" style="9" min="12" max="12"/>
    <col collapsed="1" width="9.625" customWidth="1" style="8" min="13" max="13"/>
    <col hidden="1" outlineLevel="1" width="9.625" customWidth="1" style="8" min="14" max="25"/>
    <col collapsed="1" width="9.625" customWidth="1" style="8" min="26" max="26"/>
    <col hidden="1" outlineLevel="1" width="11.1666666666667" customWidth="1" style="8" min="27" max="27"/>
    <col hidden="1" outlineLevel="1" width="11.6666666666667" customWidth="1" style="8" min="28" max="28"/>
    <col hidden="1" outlineLevel="1" width="10.3333333333333" customWidth="1" style="8" min="29" max="29"/>
    <col hidden="1" outlineLevel="1" width="10.5" customWidth="1" style="8" min="30" max="31"/>
    <col hidden="1" outlineLevel="1" width="10.3333333333333" customWidth="1" style="8" min="32" max="32"/>
    <col hidden="1" outlineLevel="1" width="10.5" customWidth="1" style="8" min="33" max="33"/>
    <col hidden="1" outlineLevel="1" width="11.3333333333333" customWidth="1" style="8" min="34" max="34"/>
    <col hidden="1" outlineLevel="1" width="10.5" customWidth="1" style="8" min="35" max="35"/>
    <col hidden="1" outlineLevel="1" width="10.3333333333333" customWidth="1" style="8" min="36" max="38"/>
    <col collapsed="1" width="10.6666666666667" customWidth="1" style="8" min="39" max="39"/>
    <col hidden="1" outlineLevel="1" width="10.3333333333333" customWidth="1" style="8" min="40" max="51"/>
    <col collapsed="1" width="11.875" customWidth="1" style="10" min="52" max="52"/>
    <col hidden="1" outlineLevel="1" width="8.16666666666667" customWidth="1" style="9" min="53" max="53"/>
    <col hidden="1" outlineLevel="1" width="10.3333333333333" customWidth="1" style="9" min="54" max="64"/>
    <col collapsed="1" width="11.625" customWidth="1" style="8" min="65" max="65"/>
    <col hidden="1" outlineLevel="1" width="10.375" customWidth="1" style="8" min="66" max="66"/>
    <col hidden="1" outlineLevel="1" width="9.25" customWidth="1" style="8" min="67" max="67"/>
    <col hidden="1" outlineLevel="1" width="10.375" customWidth="1" style="8" min="68" max="77"/>
    <col collapsed="1" width="11.625" customWidth="1" style="8" min="78" max="78"/>
    <col hidden="1" outlineLevel="1" width="10.375" customWidth="1" style="8" min="79" max="85"/>
    <col hidden="1" outlineLevel="1" width="12.9333333333333" customWidth="1" style="8" min="86" max="86"/>
    <col hidden="1" outlineLevel="1" width="10.375" customWidth="1" style="8" min="87" max="90"/>
    <col collapsed="1" width="11.625" customWidth="1" style="8" min="91" max="91"/>
    <col outlineLevel="1" width="10.375" customWidth="1" style="8" min="92" max="93"/>
    <col outlineLevel="1" width="10.375" customWidth="1" style="84" min="94" max="95"/>
    <col outlineLevel="1" width="10.375" customWidth="1" style="12" min="96" max="97"/>
    <col outlineLevel="1" width="10.375" customWidth="1" style="8" min="98" max="103"/>
    <col width="11.625" customWidth="1" style="8" min="104" max="104"/>
    <col width="8.83333333333333" customWidth="1" style="13" min="105" max="105"/>
    <col width="9" customWidth="1" style="2" min="106" max="16352"/>
    <col width="9" customWidth="1" style="14" min="16353" max="16384"/>
  </cols>
  <sheetData>
    <row r="1" ht="34" customHeight="1" s="85">
      <c r="A1" s="3" t="inlineStr">
        <is>
          <t>2026年奢匠各经销商销量情况（字向下）</t>
        </is>
      </c>
      <c r="G1" s="15" t="n"/>
    </row>
    <row r="2" ht="28.5" customFormat="1" customHeight="1" s="1">
      <c r="A2" s="16" t="inlineStr">
        <is>
          <t>序号</t>
        </is>
      </c>
      <c r="B2" s="17" t="inlineStr">
        <is>
          <t>省份</t>
        </is>
      </c>
      <c r="C2" s="17" t="inlineStr">
        <is>
          <t>地  址</t>
        </is>
      </c>
      <c r="D2" s="17" t="inlineStr">
        <is>
          <t>客户姓名</t>
        </is>
      </c>
      <c r="E2" s="86" t="n"/>
      <c r="F2" s="16" t="inlineStr">
        <is>
          <t>年份</t>
        </is>
      </c>
      <c r="G2" s="17" t="inlineStr">
        <is>
          <t>月份</t>
        </is>
      </c>
      <c r="H2" s="87" t="inlineStr">
        <is>
          <t>板式样品金额</t>
        </is>
      </c>
      <c r="I2" s="88" t="inlineStr">
        <is>
          <t>实木样品金额</t>
        </is>
      </c>
      <c r="J2" s="88" t="inlineStr">
        <is>
          <t>套装门样品金额</t>
        </is>
      </c>
      <c r="K2" s="16" t="inlineStr">
        <is>
          <t>样品总金额</t>
        </is>
      </c>
      <c r="L2" s="16" t="inlineStr">
        <is>
          <t>样品折扣</t>
        </is>
      </c>
      <c r="M2" s="16" t="inlineStr">
        <is>
          <t>折后金额</t>
        </is>
      </c>
      <c r="N2" s="16" t="inlineStr">
        <is>
          <t>1月</t>
        </is>
      </c>
      <c r="O2" s="16" t="inlineStr">
        <is>
          <t>2月</t>
        </is>
      </c>
      <c r="P2" s="16" t="inlineStr">
        <is>
          <t>3月</t>
        </is>
      </c>
      <c r="Q2" s="16" t="inlineStr">
        <is>
          <t>4月</t>
        </is>
      </c>
      <c r="R2" s="16" t="inlineStr">
        <is>
          <t>5月</t>
        </is>
      </c>
      <c r="S2" s="16" t="inlineStr">
        <is>
          <t>6月</t>
        </is>
      </c>
      <c r="T2" s="16" t="inlineStr">
        <is>
          <t>7月</t>
        </is>
      </c>
      <c r="U2" s="16" t="inlineStr">
        <is>
          <t>8月</t>
        </is>
      </c>
      <c r="V2" s="16" t="inlineStr">
        <is>
          <t>9月</t>
        </is>
      </c>
      <c r="W2" s="16" t="inlineStr">
        <is>
          <t>10月</t>
        </is>
      </c>
      <c r="X2" s="16" t="inlineStr">
        <is>
          <t>11月</t>
        </is>
      </c>
      <c r="Y2" s="16" t="inlineStr">
        <is>
          <t>12月</t>
        </is>
      </c>
      <c r="Z2" s="21" t="inlineStr">
        <is>
          <t>2020年回款金额</t>
        </is>
      </c>
      <c r="AA2" s="21" t="inlineStr">
        <is>
          <t>2021年回款金额</t>
        </is>
      </c>
      <c r="AB2" s="21" t="inlineStr">
        <is>
          <t>1月</t>
        </is>
      </c>
      <c r="AC2" s="21" t="inlineStr">
        <is>
          <t>2月</t>
        </is>
      </c>
      <c r="AD2" s="16" t="inlineStr">
        <is>
          <t>3月</t>
        </is>
      </c>
      <c r="AE2" s="16" t="inlineStr">
        <is>
          <t>4月</t>
        </is>
      </c>
      <c r="AF2" s="16" t="inlineStr">
        <is>
          <t>5月</t>
        </is>
      </c>
      <c r="AG2" s="16" t="inlineStr">
        <is>
          <t>7月</t>
        </is>
      </c>
      <c r="AH2" s="16" t="inlineStr">
        <is>
          <t>8月</t>
        </is>
      </c>
      <c r="AI2" s="16" t="inlineStr">
        <is>
          <t>9月</t>
        </is>
      </c>
      <c r="AJ2" s="16" t="inlineStr">
        <is>
          <t>10月</t>
        </is>
      </c>
      <c r="AK2" s="21" t="inlineStr">
        <is>
          <t>11月</t>
        </is>
      </c>
      <c r="AL2" s="21" t="inlineStr">
        <is>
          <t>12月</t>
        </is>
      </c>
      <c r="AM2" s="16" t="inlineStr">
        <is>
          <t>2021年回款总金额</t>
        </is>
      </c>
      <c r="AN2" s="21" t="inlineStr">
        <is>
          <t>1月</t>
        </is>
      </c>
      <c r="AO2" s="21" t="inlineStr">
        <is>
          <t>2月</t>
        </is>
      </c>
      <c r="AP2" s="16" t="inlineStr">
        <is>
          <t>3月</t>
        </is>
      </c>
      <c r="AQ2" s="16" t="inlineStr">
        <is>
          <t>4月</t>
        </is>
      </c>
      <c r="AR2" s="16" t="inlineStr">
        <is>
          <t>5月</t>
        </is>
      </c>
      <c r="AS2" s="16" t="inlineStr">
        <is>
          <t>6月</t>
        </is>
      </c>
      <c r="AT2" s="16" t="inlineStr">
        <is>
          <t>7月</t>
        </is>
      </c>
      <c r="AU2" s="16" t="inlineStr">
        <is>
          <t>8月</t>
        </is>
      </c>
      <c r="AV2" s="16" t="inlineStr">
        <is>
          <t>9月</t>
        </is>
      </c>
      <c r="AW2" s="16" t="inlineStr">
        <is>
          <t>10月</t>
        </is>
      </c>
      <c r="AX2" s="16" t="inlineStr">
        <is>
          <t>11月</t>
        </is>
      </c>
      <c r="AY2" s="16" t="inlineStr">
        <is>
          <t>12月</t>
        </is>
      </c>
      <c r="AZ2" s="22" t="inlineStr">
        <is>
          <t>2022年金额</t>
        </is>
      </c>
      <c r="BA2" s="21" t="inlineStr">
        <is>
          <t>1月</t>
        </is>
      </c>
      <c r="BB2" s="21" t="inlineStr">
        <is>
          <t>2月</t>
        </is>
      </c>
      <c r="BC2" s="16" t="inlineStr">
        <is>
          <t>3月</t>
        </is>
      </c>
      <c r="BD2" s="16" t="inlineStr">
        <is>
          <t>4月</t>
        </is>
      </c>
      <c r="BE2" s="16" t="inlineStr">
        <is>
          <t>5月</t>
        </is>
      </c>
      <c r="BF2" s="16" t="inlineStr">
        <is>
          <t>6月</t>
        </is>
      </c>
      <c r="BG2" s="16" t="inlineStr">
        <is>
          <t>7月</t>
        </is>
      </c>
      <c r="BH2" s="16" t="inlineStr">
        <is>
          <t>8月</t>
        </is>
      </c>
      <c r="BI2" s="16" t="inlineStr">
        <is>
          <t>9月</t>
        </is>
      </c>
      <c r="BJ2" s="16" t="inlineStr">
        <is>
          <t>10月</t>
        </is>
      </c>
      <c r="BK2" s="16" t="inlineStr">
        <is>
          <t>11月</t>
        </is>
      </c>
      <c r="BL2" s="16" t="inlineStr">
        <is>
          <t>12月</t>
        </is>
      </c>
      <c r="BM2" s="16" t="inlineStr">
        <is>
          <t>2023年金额</t>
        </is>
      </c>
      <c r="BN2" s="16" t="inlineStr">
        <is>
          <t>1月</t>
        </is>
      </c>
      <c r="BO2" s="16" t="inlineStr">
        <is>
          <t>2月</t>
        </is>
      </c>
      <c r="BP2" s="16" t="inlineStr">
        <is>
          <t>3月</t>
        </is>
      </c>
      <c r="BQ2" s="16" t="inlineStr">
        <is>
          <t>4月</t>
        </is>
      </c>
      <c r="BR2" s="16" t="inlineStr">
        <is>
          <t>5月</t>
        </is>
      </c>
      <c r="BS2" s="16" t="inlineStr">
        <is>
          <t>6月</t>
        </is>
      </c>
      <c r="BT2" s="16" t="inlineStr">
        <is>
          <t>7月</t>
        </is>
      </c>
      <c r="BU2" s="16" t="inlineStr">
        <is>
          <t>8月</t>
        </is>
      </c>
      <c r="BV2" s="16" t="inlineStr">
        <is>
          <t>9月</t>
        </is>
      </c>
      <c r="BW2" s="16" t="inlineStr">
        <is>
          <t>10月</t>
        </is>
      </c>
      <c r="BX2" s="16" t="inlineStr">
        <is>
          <t>11月</t>
        </is>
      </c>
      <c r="BY2" s="16" t="inlineStr">
        <is>
          <t>12月</t>
        </is>
      </c>
      <c r="BZ2" s="16" t="inlineStr">
        <is>
          <t>2024年金额</t>
        </is>
      </c>
      <c r="CA2" s="16" t="inlineStr">
        <is>
          <t>1月</t>
        </is>
      </c>
      <c r="CB2" s="16" t="inlineStr">
        <is>
          <t>2月</t>
        </is>
      </c>
      <c r="CC2" s="16" t="inlineStr">
        <is>
          <t>3月</t>
        </is>
      </c>
      <c r="CD2" s="16" t="inlineStr">
        <is>
          <t>4月</t>
        </is>
      </c>
      <c r="CE2" s="16" t="inlineStr">
        <is>
          <t>5月</t>
        </is>
      </c>
      <c r="CF2" s="16" t="inlineStr">
        <is>
          <t>6月</t>
        </is>
      </c>
      <c r="CG2" s="16" t="inlineStr">
        <is>
          <t>7月</t>
        </is>
      </c>
      <c r="CH2" s="16" t="inlineStr">
        <is>
          <t>8月</t>
        </is>
      </c>
      <c r="CI2" s="16" t="inlineStr">
        <is>
          <t>9月</t>
        </is>
      </c>
      <c r="CJ2" s="16" t="inlineStr">
        <is>
          <t>10月</t>
        </is>
      </c>
      <c r="CK2" s="16" t="inlineStr">
        <is>
          <t>11月</t>
        </is>
      </c>
      <c r="CL2" s="16" t="inlineStr">
        <is>
          <t>12月</t>
        </is>
      </c>
      <c r="CM2" s="16" t="inlineStr">
        <is>
          <t>2025年金额</t>
        </is>
      </c>
      <c r="CN2" s="16" t="inlineStr">
        <is>
          <t>1月</t>
        </is>
      </c>
      <c r="CO2" s="16" t="inlineStr">
        <is>
          <t>2月</t>
        </is>
      </c>
      <c r="CP2" s="88" t="inlineStr">
        <is>
          <t>3月</t>
        </is>
      </c>
      <c r="CQ2" s="88" t="inlineStr">
        <is>
          <t>4月</t>
        </is>
      </c>
      <c r="CR2" s="88" t="inlineStr">
        <is>
          <t>5月</t>
        </is>
      </c>
      <c r="CS2" s="88" t="inlineStr">
        <is>
          <t>6月</t>
        </is>
      </c>
      <c r="CT2" s="16" t="inlineStr">
        <is>
          <t>7月</t>
        </is>
      </c>
      <c r="CU2" s="16" t="inlineStr">
        <is>
          <t>8月</t>
        </is>
      </c>
      <c r="CV2" s="16" t="inlineStr">
        <is>
          <t>9月</t>
        </is>
      </c>
      <c r="CW2" s="16" t="inlineStr">
        <is>
          <t>10月</t>
        </is>
      </c>
      <c r="CX2" s="16" t="inlineStr">
        <is>
          <t>11月</t>
        </is>
      </c>
      <c r="CY2" s="16" t="inlineStr">
        <is>
          <t>12月</t>
        </is>
      </c>
      <c r="CZ2" s="16" t="inlineStr">
        <is>
          <t>2026年金额</t>
        </is>
      </c>
      <c r="DA2" s="23" t="inlineStr">
        <is>
          <t>备注</t>
        </is>
      </c>
    </row>
    <row r="3" ht="20" customFormat="1" customHeight="1" s="1">
      <c r="A3" s="30" t="n">
        <v>1</v>
      </c>
      <c r="B3" s="25" t="inlineStr">
        <is>
          <t>重庆</t>
        </is>
      </c>
      <c r="C3" s="25" t="inlineStr">
        <is>
          <t>渝北</t>
        </is>
      </c>
      <c r="D3" s="25" t="inlineStr">
        <is>
          <t>直营店</t>
        </is>
      </c>
      <c r="E3" s="89" t="n"/>
      <c r="F3" s="27" t="inlineStr">
        <is>
          <t>2023/2024/2025</t>
        </is>
      </c>
      <c r="G3" s="27" t="inlineStr">
        <is>
          <t>1-12月</t>
        </is>
      </c>
      <c r="H3" s="90">
        <f>86415+468+7466+936</f>
        <v/>
      </c>
      <c r="I3" s="91" t="n">
        <v>189978</v>
      </c>
      <c r="J3" s="91" t="n">
        <v>1312</v>
      </c>
      <c r="K3" s="91">
        <f>+H3+I3+J3</f>
        <v/>
      </c>
      <c r="L3" s="91" t="n"/>
      <c r="M3" s="91" t="inlineStr"/>
      <c r="N3" s="91" t="n"/>
      <c r="O3" s="91" t="n"/>
      <c r="P3" s="91" t="n"/>
      <c r="Q3" s="91" t="n"/>
      <c r="R3" s="91" t="n"/>
      <c r="S3" s="91" t="n"/>
      <c r="T3" s="91" t="n"/>
      <c r="U3" s="91" t="n"/>
      <c r="V3" s="91" t="n"/>
      <c r="W3" s="91" t="n"/>
      <c r="X3" s="91" t="n"/>
      <c r="Y3" s="91" t="n"/>
      <c r="Z3" s="91" t="n"/>
      <c r="AA3" s="91" t="n"/>
      <c r="AB3" s="91" t="n"/>
      <c r="AC3" s="91" t="n"/>
      <c r="AD3" s="91" t="n"/>
      <c r="AE3" s="91" t="n"/>
      <c r="AF3" s="30" t="n"/>
      <c r="AG3" s="30" t="n"/>
      <c r="AH3" s="30" t="n"/>
      <c r="AI3" s="30" t="n"/>
      <c r="AJ3" s="30">
        <f>253078+3083</f>
        <v/>
      </c>
      <c r="AK3" s="30" t="n"/>
      <c r="AL3" s="30" t="n"/>
      <c r="AM3" s="91">
        <f>SUM(AA3:AL3)</f>
        <v/>
      </c>
      <c r="AN3" s="31" t="n">
        <v>89923</v>
      </c>
      <c r="AO3" s="31" t="n">
        <v>63223</v>
      </c>
      <c r="AP3" s="31" t="n">
        <v>289722</v>
      </c>
      <c r="AQ3" s="31" t="n">
        <v>270547</v>
      </c>
      <c r="AR3" s="31" t="n">
        <v>450406</v>
      </c>
      <c r="AS3" s="31" t="n">
        <v>224391</v>
      </c>
      <c r="AT3" s="31" t="n">
        <v>531215</v>
      </c>
      <c r="AU3" s="31" t="n">
        <v>656015</v>
      </c>
      <c r="AV3" s="31" t="n">
        <v>379522</v>
      </c>
      <c r="AW3" s="31" t="n">
        <v>221267</v>
      </c>
      <c r="AX3" s="31" t="n">
        <v>178516</v>
      </c>
      <c r="AY3" s="31" t="n">
        <v>15907</v>
      </c>
      <c r="AZ3" s="92">
        <f>SUM(AN3:AY3)</f>
        <v/>
      </c>
      <c r="BA3" s="91">
        <f>1512+1020</f>
        <v/>
      </c>
      <c r="BB3" s="30">
        <f>1981+22732+6369+30286</f>
        <v/>
      </c>
      <c r="BC3" s="91">
        <f>8495+686+41525+5399</f>
        <v/>
      </c>
      <c r="BD3" s="91">
        <f>806576+54082</f>
        <v/>
      </c>
      <c r="BE3" s="91" t="n">
        <v>221760</v>
      </c>
      <c r="BF3" s="91" t="n">
        <v>484522</v>
      </c>
      <c r="BG3" s="91" t="n">
        <v>215472</v>
      </c>
      <c r="BH3" s="91" t="n">
        <v>267387</v>
      </c>
      <c r="BI3" s="91" t="n">
        <v>83555</v>
      </c>
      <c r="BJ3" s="91" t="n">
        <v>354030</v>
      </c>
      <c r="BK3" s="91" t="n">
        <v>74525</v>
      </c>
      <c r="BL3" s="91" t="n">
        <v>137208</v>
      </c>
      <c r="BM3" s="91">
        <f>SUM(BA3:BL3)</f>
        <v/>
      </c>
      <c r="BN3" s="91" t="n">
        <v>3892</v>
      </c>
      <c r="BO3" s="91" t="n">
        <v>483</v>
      </c>
      <c r="BP3" s="91" t="n">
        <v>48854</v>
      </c>
      <c r="BQ3" s="91">
        <f>15771+74323+145263</f>
        <v/>
      </c>
      <c r="BR3" s="91">
        <f>77458+224987</f>
        <v/>
      </c>
      <c r="BS3" s="91" t="n">
        <v>3716</v>
      </c>
      <c r="BT3" s="91">
        <f>29618+216011</f>
        <v/>
      </c>
      <c r="BU3" s="91" t="n">
        <v>59626.48</v>
      </c>
      <c r="BV3" s="91" t="n">
        <v>124060.89</v>
      </c>
      <c r="BW3" s="91" t="n">
        <v>159083</v>
      </c>
      <c r="BX3" s="91" t="n">
        <v>150626.38</v>
      </c>
      <c r="BY3" s="91" t="n">
        <v>144193</v>
      </c>
      <c r="BZ3" s="91">
        <f>SUM(BN3:BY3)</f>
        <v/>
      </c>
      <c r="CA3" s="91" t="n">
        <v>224131.38</v>
      </c>
      <c r="CB3" s="91" t="n">
        <v>73970</v>
      </c>
      <c r="CC3" s="91" t="n">
        <v>158198</v>
      </c>
      <c r="CD3" s="91" t="n">
        <v>156073</v>
      </c>
      <c r="CE3" s="91" t="n">
        <v>2852</v>
      </c>
      <c r="CF3" s="91" t="n">
        <v>139198.99</v>
      </c>
      <c r="CG3" s="91" t="n">
        <v>178193.33</v>
      </c>
      <c r="CH3" s="91" t="n">
        <v>194962.23</v>
      </c>
      <c r="CI3" s="91" t="n">
        <v>69623.44</v>
      </c>
      <c r="CJ3" s="91" t="n">
        <v>72136</v>
      </c>
      <c r="CK3" s="91">
        <f>148238+38707</f>
        <v/>
      </c>
      <c r="CL3" s="91" t="n">
        <v>271864.07</v>
      </c>
      <c r="CM3" s="91">
        <f>SUM(CA3:CL3)</f>
        <v/>
      </c>
      <c r="CN3" s="91" t="n"/>
      <c r="CO3" s="91" t="n"/>
      <c r="CP3" s="91">
        <f>6605+125321</f>
        <v/>
      </c>
      <c r="CQ3" s="93" t="n"/>
      <c r="CR3" s="94">
        <f>64929+18617</f>
        <v/>
      </c>
      <c r="CS3" s="94">
        <f>11315+138948.56</f>
        <v/>
      </c>
      <c r="CT3" s="91" t="n"/>
      <c r="CU3" s="91" t="n"/>
      <c r="CV3" s="91" t="n"/>
      <c r="CW3" s="91" t="n"/>
      <c r="CX3" s="91" t="n"/>
      <c r="CY3" s="91" t="n"/>
      <c r="CZ3" s="91">
        <f>SUM(CN3:CY3)</f>
        <v/>
      </c>
      <c r="DA3" s="35" t="n"/>
    </row>
    <row r="4" ht="20" customFormat="1" customHeight="1" s="1">
      <c r="A4" s="30" t="n">
        <v>2</v>
      </c>
      <c r="B4" s="25" t="inlineStr">
        <is>
          <t>四川</t>
        </is>
      </c>
      <c r="C4" s="25" t="inlineStr">
        <is>
          <t>遂宁</t>
        </is>
      </c>
      <c r="D4" s="25" t="inlineStr">
        <is>
          <t>王川</t>
        </is>
      </c>
      <c r="E4" s="89" t="n"/>
      <c r="F4" s="27" t="inlineStr">
        <is>
          <t>2020/2021/2022/2023/2024</t>
        </is>
      </c>
      <c r="G4" s="27" t="inlineStr">
        <is>
          <t>8/6/7/8/9/3/4/8/12/6/8/4</t>
        </is>
      </c>
      <c r="H4" s="90">
        <f>219517+12163+2819+727+648+37506+279+986+65+651+578+47064+1675</f>
        <v/>
      </c>
      <c r="I4" s="91">
        <f>15702</f>
        <v/>
      </c>
      <c r="J4" s="91" t="n">
        <v>3464</v>
      </c>
      <c r="K4" s="91">
        <f>+H4+I4+J4</f>
        <v/>
      </c>
      <c r="L4" s="91" t="inlineStr">
        <is>
          <t>5折</t>
        </is>
      </c>
      <c r="M4" s="91" t="inlineStr"/>
      <c r="N4" s="91" t="n"/>
      <c r="O4" s="91" t="n"/>
      <c r="P4" s="91" t="n"/>
      <c r="Q4" s="91" t="n"/>
      <c r="R4" s="91" t="n"/>
      <c r="S4" s="91" t="n"/>
      <c r="T4" s="91" t="n"/>
      <c r="U4" s="91" t="n"/>
      <c r="V4" s="91" t="n"/>
      <c r="W4" s="91" t="n"/>
      <c r="X4" s="91" t="n"/>
      <c r="Y4" s="91" t="n"/>
      <c r="Z4" s="91" t="n"/>
      <c r="AA4" s="91">
        <f>3889+59874</f>
        <v/>
      </c>
      <c r="AB4" s="91" t="n">
        <v>2915</v>
      </c>
      <c r="AC4" s="91" t="n">
        <v>63461</v>
      </c>
      <c r="AD4" s="91">
        <f>103988+4421</f>
        <v/>
      </c>
      <c r="AE4" s="91">
        <f>119747+12752</f>
        <v/>
      </c>
      <c r="AF4" s="30" t="n">
        <v>225196</v>
      </c>
      <c r="AG4" s="30" t="n">
        <v>210155</v>
      </c>
      <c r="AH4" s="30">
        <f>137415+4169</f>
        <v/>
      </c>
      <c r="AI4" s="30">
        <f>118858+3155</f>
        <v/>
      </c>
      <c r="AJ4" s="30">
        <f>172270+4660</f>
        <v/>
      </c>
      <c r="AK4" s="30">
        <f>275841+7216</f>
        <v/>
      </c>
      <c r="AL4" s="30">
        <f>368788+17609</f>
        <v/>
      </c>
      <c r="AM4" s="91">
        <f>SUM(AA4:AL4)</f>
        <v/>
      </c>
      <c r="AN4" s="91" t="n">
        <v>93549</v>
      </c>
      <c r="AO4" s="91">
        <f>130000+11416</f>
        <v/>
      </c>
      <c r="AP4" s="91">
        <f>243448+8281</f>
        <v/>
      </c>
      <c r="AQ4" s="91" t="n">
        <v>188208</v>
      </c>
      <c r="AR4" s="91" t="n">
        <v>215589</v>
      </c>
      <c r="AS4" s="91">
        <f>208451+97825+870</f>
        <v/>
      </c>
      <c r="AT4" s="31" t="n">
        <v>182468</v>
      </c>
      <c r="AU4" s="31">
        <f>147880+12955</f>
        <v/>
      </c>
      <c r="AV4" s="31" t="n">
        <v>85092</v>
      </c>
      <c r="AW4" s="36" t="n">
        <v>147024</v>
      </c>
      <c r="AX4" s="91">
        <f>225449+14070</f>
        <v/>
      </c>
      <c r="AY4" s="31" t="n">
        <v>55257</v>
      </c>
      <c r="AZ4" s="92">
        <f>SUM(AN4:AY4)</f>
        <v/>
      </c>
      <c r="BA4" s="91">
        <f>1353+691</f>
        <v/>
      </c>
      <c r="BB4" s="91">
        <f>124798+4287</f>
        <v/>
      </c>
      <c r="BC4" s="91">
        <f>42480+16066</f>
        <v/>
      </c>
      <c r="BD4" s="91">
        <f>75673+2888</f>
        <v/>
      </c>
      <c r="BE4" s="91">
        <f>202798+19760</f>
        <v/>
      </c>
      <c r="BF4" s="91" t="n">
        <v>263286</v>
      </c>
      <c r="BG4" s="91" t="n">
        <v>106605</v>
      </c>
      <c r="BH4" s="91" t="n">
        <v>252482</v>
      </c>
      <c r="BI4" s="91" t="n">
        <v>90674</v>
      </c>
      <c r="BJ4" s="91" t="n">
        <v>102624</v>
      </c>
      <c r="BK4" s="91" t="n">
        <v>101048</v>
      </c>
      <c r="BL4" s="91" t="n">
        <v>105850</v>
      </c>
      <c r="BM4" s="91">
        <f>SUM(BA4:BL4)</f>
        <v/>
      </c>
      <c r="BN4" s="91">
        <f>78549+3244</f>
        <v/>
      </c>
      <c r="BO4" s="91" t="n">
        <v>38222</v>
      </c>
      <c r="BP4" s="91" t="n">
        <v>143251</v>
      </c>
      <c r="BQ4" s="91" t="n">
        <v>21088</v>
      </c>
      <c r="BR4" s="91" t="n">
        <v>72458</v>
      </c>
      <c r="BS4" s="91" t="n">
        <v>36920</v>
      </c>
      <c r="BT4" s="91" t="n">
        <v>9976</v>
      </c>
      <c r="BU4" s="91" t="n">
        <v>30196.92</v>
      </c>
      <c r="BV4" s="91" t="n">
        <v>4281</v>
      </c>
      <c r="BW4" s="91" t="n">
        <v>43387.8</v>
      </c>
      <c r="BX4" s="91" t="n">
        <v>28589.08</v>
      </c>
      <c r="BY4" s="91" t="n">
        <v>30746.93</v>
      </c>
      <c r="BZ4" s="91">
        <f>SUM(BN4:BY4)</f>
        <v/>
      </c>
      <c r="CA4" s="91" t="n">
        <v>8320.68</v>
      </c>
      <c r="CB4" s="91" t="n">
        <v>8077.77</v>
      </c>
      <c r="CC4" s="91" t="n">
        <v>18078.69</v>
      </c>
      <c r="CD4" s="91" t="n">
        <v>68829.3</v>
      </c>
      <c r="CE4" s="91" t="n">
        <v>5100.45</v>
      </c>
      <c r="CF4" s="91" t="n">
        <v>35498.66</v>
      </c>
      <c r="CG4" s="91" t="n">
        <v>849.08</v>
      </c>
      <c r="CH4" s="91" t="n">
        <v>3037.45</v>
      </c>
      <c r="CI4" s="91" t="n">
        <v>204</v>
      </c>
      <c r="CJ4" s="91" t="n">
        <v>2023</v>
      </c>
      <c r="CK4" s="91" t="n"/>
      <c r="CL4" s="91" t="n">
        <v>2426</v>
      </c>
      <c r="CM4" s="91">
        <f>SUM(CA4:CL4)</f>
        <v/>
      </c>
      <c r="CN4" s="91" t="n"/>
      <c r="CO4" s="91" t="n"/>
      <c r="CP4" s="91" t="n"/>
      <c r="CQ4" s="93" t="n"/>
      <c r="CR4" s="94" t="n"/>
      <c r="CS4" s="94" t="n"/>
      <c r="CT4" s="91" t="n"/>
      <c r="CU4" s="91" t="n"/>
      <c r="CV4" s="91" t="n"/>
      <c r="CW4" s="91" t="n"/>
      <c r="CX4" s="91" t="n"/>
      <c r="CY4" s="91" t="n"/>
      <c r="CZ4" s="91">
        <f>SUM(CN4:CY4)</f>
        <v/>
      </c>
      <c r="DA4" s="35" t="n"/>
    </row>
    <row r="5" ht="20" customFormat="1" customHeight="1" s="1">
      <c r="A5" s="30" t="n">
        <v>3</v>
      </c>
      <c r="B5" s="37" t="inlineStr">
        <is>
          <t>内蒙古</t>
        </is>
      </c>
      <c r="C5" s="37" t="inlineStr">
        <is>
          <t>包头</t>
        </is>
      </c>
      <c r="D5" s="37" t="inlineStr">
        <is>
          <t>冯海东</t>
        </is>
      </c>
      <c r="E5" s="89" t="n"/>
      <c r="F5" s="27" t="inlineStr">
        <is>
          <t>2021/2022/2023/2024/2025</t>
        </is>
      </c>
      <c r="G5" s="27" t="inlineStr">
        <is>
          <t>10/11/3/4/10/12/3/7/8/9/10/3/10</t>
        </is>
      </c>
      <c r="H5" s="90">
        <f>172079+203+734+1574+765+3194+651+2017+137696+208+4170+91+1399+378+710+170+558+373</f>
        <v/>
      </c>
      <c r="I5" s="91">
        <f>26048</f>
        <v/>
      </c>
      <c r="J5" s="91" t="n">
        <v>10002</v>
      </c>
      <c r="K5" s="91">
        <f>+H5+I5+J5</f>
        <v/>
      </c>
      <c r="L5" s="91" t="inlineStr">
        <is>
          <t>5折</t>
        </is>
      </c>
      <c r="M5" s="91" t="inlineStr"/>
      <c r="N5" s="91" t="n"/>
      <c r="O5" s="91" t="n"/>
      <c r="P5" s="91" t="n"/>
      <c r="Q5" s="91" t="n"/>
      <c r="R5" s="91" t="n"/>
      <c r="S5" s="91" t="n"/>
      <c r="T5" s="91" t="n"/>
      <c r="U5" s="91" t="n"/>
      <c r="V5" s="91" t="n"/>
      <c r="W5" s="91" t="n"/>
      <c r="X5" s="91" t="n"/>
      <c r="Y5" s="91" t="n"/>
      <c r="Z5" s="91" t="n"/>
      <c r="AA5" s="91" t="n"/>
      <c r="AB5" s="91" t="n"/>
      <c r="AC5" s="91" t="n"/>
      <c r="AD5" s="91" t="n"/>
      <c r="AE5" s="91" t="n"/>
      <c r="AF5" s="91" t="n"/>
      <c r="AG5" s="30" t="n"/>
      <c r="AH5" s="30" t="n"/>
      <c r="AI5" s="30" t="n"/>
      <c r="AJ5" s="30" t="n">
        <v>12903</v>
      </c>
      <c r="AK5" s="30">
        <f>145544+19860</f>
        <v/>
      </c>
      <c r="AL5" s="30">
        <f>52065+5394</f>
        <v/>
      </c>
      <c r="AM5" s="91">
        <f>SUM(AA5:AL5)</f>
        <v/>
      </c>
      <c r="AN5" s="91" t="n">
        <v>43592</v>
      </c>
      <c r="AO5" s="91">
        <f>36368+1773</f>
        <v/>
      </c>
      <c r="AP5" s="91">
        <f>26517+1645</f>
        <v/>
      </c>
      <c r="AQ5" s="91" t="n">
        <v>146137</v>
      </c>
      <c r="AR5" s="91" t="n">
        <v>230808</v>
      </c>
      <c r="AS5" s="91" t="n">
        <v>232358</v>
      </c>
      <c r="AT5" s="31" t="n">
        <v>330463</v>
      </c>
      <c r="AU5" s="31">
        <f>245067+29160</f>
        <v/>
      </c>
      <c r="AV5" s="31" t="n">
        <v>199666</v>
      </c>
      <c r="AW5" s="36" t="n">
        <v>191671</v>
      </c>
      <c r="AX5" s="91" t="n">
        <v>107817</v>
      </c>
      <c r="AY5" s="31" t="n">
        <v>223523</v>
      </c>
      <c r="AZ5" s="92">
        <f>SUM(AN5:AY5)</f>
        <v/>
      </c>
      <c r="BA5" s="91" t="n"/>
      <c r="BB5" s="91">
        <f>141745+12320</f>
        <v/>
      </c>
      <c r="BC5" s="91">
        <f>172703+21444</f>
        <v/>
      </c>
      <c r="BD5" s="91">
        <f>142344+13927</f>
        <v/>
      </c>
      <c r="BE5" s="91" t="n">
        <v>274099</v>
      </c>
      <c r="BF5" s="91" t="n">
        <v>51134</v>
      </c>
      <c r="BG5" s="91" t="n">
        <v>238675</v>
      </c>
      <c r="BH5" s="91" t="n">
        <v>361871</v>
      </c>
      <c r="BI5" s="91" t="n">
        <v>192609</v>
      </c>
      <c r="BJ5" s="91" t="n">
        <v>31562</v>
      </c>
      <c r="BK5" s="91" t="n">
        <v>428632</v>
      </c>
      <c r="BL5" s="91" t="n">
        <v>449553</v>
      </c>
      <c r="BM5" s="91">
        <f>SUM(BA5:BL5)</f>
        <v/>
      </c>
      <c r="BN5" s="91" t="n">
        <v>89776</v>
      </c>
      <c r="BO5" s="91">
        <f>107466+4823</f>
        <v/>
      </c>
      <c r="BP5" s="91">
        <f>46438+301955+26387</f>
        <v/>
      </c>
      <c r="BQ5" s="91" t="n">
        <v>158049</v>
      </c>
      <c r="BR5" s="91" t="n">
        <v>205981</v>
      </c>
      <c r="BS5" s="91" t="n">
        <v>298900</v>
      </c>
      <c r="BT5" s="91">
        <f>31604+154359.32</f>
        <v/>
      </c>
      <c r="BU5" s="91" t="n">
        <v>241436.37</v>
      </c>
      <c r="BV5" s="91" t="n">
        <v>194402.11</v>
      </c>
      <c r="BW5" s="91" t="n">
        <v>224657.23</v>
      </c>
      <c r="BX5" s="91" t="n">
        <v>81054.99000000001</v>
      </c>
      <c r="BY5" s="91" t="n">
        <v>91428.42999999999</v>
      </c>
      <c r="BZ5" s="91">
        <f>SUM(BN5:BY5)</f>
        <v/>
      </c>
      <c r="CA5" s="91" t="n">
        <v>224.12</v>
      </c>
      <c r="CB5" s="91">
        <f>322.3+1575</f>
        <v/>
      </c>
      <c r="CC5" s="91" t="n">
        <v>19115.22</v>
      </c>
      <c r="CD5" s="91" t="n">
        <v>154451.42</v>
      </c>
      <c r="CE5" s="91" t="n">
        <v>23405.22</v>
      </c>
      <c r="CF5" s="91" t="n">
        <v>137435.53</v>
      </c>
      <c r="CG5" s="91" t="n">
        <v>28245.4</v>
      </c>
      <c r="CH5" s="91" t="n">
        <v>261724.29</v>
      </c>
      <c r="CI5" s="91" t="n">
        <v>62415.83</v>
      </c>
      <c r="CJ5" s="91" t="n">
        <v>260312.18</v>
      </c>
      <c r="CK5" s="91" t="n">
        <v>133056.59</v>
      </c>
      <c r="CL5" s="91" t="n">
        <v>225807.52</v>
      </c>
      <c r="CM5" s="91">
        <f>SUM(CA5:CL5)</f>
        <v/>
      </c>
      <c r="CN5" s="91" t="n"/>
      <c r="CO5" s="91" t="n"/>
      <c r="CP5" s="91" t="n"/>
      <c r="CQ5" s="93" t="n"/>
      <c r="CR5" s="94" t="n"/>
      <c r="CS5" s="94" t="n"/>
      <c r="CT5" s="91" t="n"/>
      <c r="CU5" s="91" t="n"/>
      <c r="CV5" s="91" t="n"/>
      <c r="CW5" s="91" t="n"/>
      <c r="CX5" s="91" t="n"/>
      <c r="CY5" s="91" t="n"/>
      <c r="CZ5" s="91">
        <f>SUM(CN5:CY5)</f>
        <v/>
      </c>
      <c r="DA5" s="35" t="n"/>
      <c r="DB5" s="2" t="n"/>
      <c r="DC5" s="2" t="n"/>
      <c r="DD5" s="2" t="n"/>
      <c r="DE5" s="2" t="n"/>
      <c r="DF5" s="2" t="n"/>
      <c r="DG5" s="2" t="n"/>
      <c r="DH5" s="2" t="n"/>
      <c r="DI5" s="2" t="n"/>
      <c r="DJ5" s="2" t="n"/>
      <c r="DK5" s="2" t="n"/>
      <c r="DL5" s="2" t="n"/>
      <c r="DM5" s="2" t="n"/>
      <c r="DN5" s="2" t="n"/>
      <c r="DO5" s="2" t="n"/>
      <c r="DP5" s="2" t="n"/>
      <c r="DQ5" s="2" t="n"/>
      <c r="DR5" s="2" t="n"/>
      <c r="DS5" s="2" t="n"/>
      <c r="DT5" s="2" t="n"/>
      <c r="DU5" s="2" t="n"/>
      <c r="DV5" s="2" t="n"/>
      <c r="DW5" s="2" t="n"/>
      <c r="DX5" s="2" t="n"/>
      <c r="DY5" s="2" t="n"/>
      <c r="DZ5" s="2" t="n"/>
      <c r="EA5" s="2" t="n"/>
      <c r="EB5" s="2" t="n"/>
      <c r="EC5" s="2" t="n"/>
      <c r="ED5" s="2" t="n"/>
      <c r="EE5" s="2" t="n"/>
      <c r="EF5" s="2" t="n"/>
      <c r="EG5" s="2" t="n"/>
      <c r="EH5" s="2" t="n"/>
      <c r="EI5" s="2" t="n"/>
      <c r="EJ5" s="2" t="n"/>
      <c r="EK5" s="2" t="n"/>
      <c r="EL5" s="2" t="n"/>
      <c r="EM5" s="2" t="n"/>
      <c r="EN5" s="2" t="n"/>
      <c r="EO5" s="2" t="n"/>
      <c r="EP5" s="2" t="n"/>
      <c r="EQ5" s="2" t="n"/>
      <c r="ER5" s="2" t="n"/>
      <c r="ES5" s="2" t="n"/>
      <c r="ET5" s="2" t="n"/>
      <c r="EU5" s="2" t="n"/>
      <c r="EV5" s="2" t="n"/>
      <c r="EW5" s="2" t="n"/>
      <c r="EX5" s="2" t="n"/>
      <c r="EY5" s="2" t="n"/>
      <c r="EZ5" s="2" t="n"/>
      <c r="FA5" s="2" t="n"/>
      <c r="FB5" s="2" t="n"/>
      <c r="FC5" s="2" t="n"/>
      <c r="FD5" s="2" t="n"/>
      <c r="FE5" s="2" t="n"/>
      <c r="FF5" s="2" t="n"/>
      <c r="FG5" s="2" t="n"/>
      <c r="FH5" s="2" t="n"/>
      <c r="FI5" s="2" t="n"/>
      <c r="FJ5" s="2" t="n"/>
      <c r="FK5" s="2" t="n"/>
      <c r="FL5" s="2" t="n"/>
      <c r="FM5" s="2" t="n"/>
      <c r="FN5" s="2" t="n"/>
      <c r="FO5" s="2" t="n"/>
      <c r="FP5" s="2" t="n"/>
      <c r="FQ5" s="2" t="n"/>
      <c r="FR5" s="2" t="n"/>
      <c r="FS5" s="2" t="n"/>
      <c r="FT5" s="2" t="n"/>
      <c r="FU5" s="2" t="n"/>
      <c r="FV5" s="2" t="n"/>
      <c r="FW5" s="2" t="n"/>
      <c r="FX5" s="2" t="n"/>
      <c r="FY5" s="2" t="n"/>
      <c r="FZ5" s="2" t="n"/>
      <c r="GA5" s="2" t="n"/>
      <c r="GB5" s="2" t="n"/>
      <c r="GC5" s="2" t="n"/>
      <c r="GD5" s="2" t="n"/>
      <c r="GE5" s="2" t="n"/>
      <c r="GF5" s="2" t="n"/>
      <c r="GG5" s="2" t="n"/>
      <c r="GH5" s="2" t="n"/>
      <c r="GI5" s="2" t="n"/>
      <c r="GJ5" s="2" t="n"/>
      <c r="GK5" s="2" t="n"/>
      <c r="GL5" s="2" t="n"/>
      <c r="GM5" s="2" t="n"/>
      <c r="GN5" s="2" t="n"/>
      <c r="GO5" s="2" t="n"/>
      <c r="GP5" s="2" t="n"/>
      <c r="GQ5" s="2" t="n"/>
      <c r="GR5" s="2" t="n"/>
      <c r="GS5" s="2" t="n"/>
      <c r="GT5" s="2" t="n"/>
      <c r="GU5" s="2" t="n"/>
      <c r="GV5" s="2" t="n"/>
      <c r="GW5" s="2" t="n"/>
      <c r="GX5" s="2" t="n"/>
      <c r="GY5" s="2" t="n"/>
      <c r="GZ5" s="2" t="n"/>
      <c r="HA5" s="2" t="n"/>
      <c r="HB5" s="2" t="n"/>
      <c r="HC5" s="2" t="n"/>
      <c r="HD5" s="2" t="n"/>
      <c r="HE5" s="2" t="n"/>
      <c r="HF5" s="2" t="n"/>
      <c r="HG5" s="2" t="n"/>
      <c r="HH5" s="2" t="n"/>
      <c r="HI5" s="2" t="n"/>
      <c r="HJ5" s="2" t="n"/>
      <c r="HK5" s="2" t="n"/>
      <c r="HL5" s="2" t="n"/>
      <c r="HM5" s="2" t="n"/>
      <c r="HN5" s="2" t="n"/>
      <c r="HO5" s="2" t="n"/>
      <c r="HP5" s="2" t="n"/>
      <c r="HQ5" s="2" t="n"/>
      <c r="HR5" s="2" t="n"/>
      <c r="HS5" s="2" t="n"/>
      <c r="HT5" s="2" t="n"/>
      <c r="HU5" s="2" t="n"/>
      <c r="HV5" s="2" t="n"/>
      <c r="HW5" s="2" t="n"/>
      <c r="HX5" s="2" t="n"/>
      <c r="HY5" s="2" t="n"/>
      <c r="HZ5" s="2" t="n"/>
      <c r="IA5" s="2" t="n"/>
      <c r="IB5" s="2" t="n"/>
      <c r="IC5" s="2" t="n"/>
      <c r="ID5" s="2" t="n"/>
      <c r="IE5" s="2" t="n"/>
      <c r="IF5" s="2" t="n"/>
      <c r="IG5" s="2" t="n"/>
      <c r="IH5" s="2" t="n"/>
      <c r="II5" s="2" t="n"/>
      <c r="IJ5" s="2" t="n"/>
      <c r="IK5" s="2" t="n"/>
      <c r="IL5" s="2" t="n"/>
      <c r="IM5" s="2" t="n"/>
      <c r="IN5" s="2" t="n"/>
      <c r="IO5" s="2" t="n"/>
      <c r="IP5" s="2" t="n"/>
      <c r="IQ5" s="2" t="n"/>
      <c r="IR5" s="2" t="n"/>
      <c r="IS5" s="2" t="n"/>
      <c r="IT5" s="2" t="n"/>
      <c r="IU5" s="2" t="n"/>
      <c r="IV5" s="2" t="n"/>
      <c r="IW5" s="2" t="n"/>
      <c r="IX5" s="2" t="n"/>
      <c r="IY5" s="2" t="n"/>
      <c r="IZ5" s="2" t="n"/>
      <c r="JA5" s="2" t="n"/>
      <c r="JB5" s="2" t="n"/>
      <c r="JC5" s="2" t="n"/>
      <c r="JD5" s="2" t="n"/>
      <c r="JE5" s="2" t="n"/>
      <c r="JF5" s="2" t="n"/>
      <c r="JG5" s="2" t="n"/>
      <c r="JH5" s="2" t="n"/>
      <c r="JI5" s="2" t="n"/>
      <c r="JJ5" s="2" t="n"/>
      <c r="JK5" s="2" t="n"/>
      <c r="JL5" s="2" t="n"/>
      <c r="JM5" s="2" t="n"/>
      <c r="JN5" s="2" t="n"/>
      <c r="JO5" s="2" t="n"/>
      <c r="JP5" s="2" t="n"/>
      <c r="JQ5" s="2" t="n"/>
      <c r="JR5" s="2" t="n"/>
      <c r="JS5" s="2" t="n"/>
      <c r="JT5" s="2" t="n"/>
      <c r="JU5" s="2" t="n"/>
      <c r="JV5" s="2" t="n"/>
      <c r="JW5" s="2" t="n"/>
      <c r="JX5" s="2" t="n"/>
      <c r="JY5" s="2" t="n"/>
      <c r="JZ5" s="2" t="n"/>
      <c r="KA5" s="2" t="n"/>
      <c r="KB5" s="2" t="n"/>
      <c r="KC5" s="2" t="n"/>
      <c r="KD5" s="2" t="n"/>
      <c r="KE5" s="2" t="n"/>
      <c r="KF5" s="2" t="n"/>
      <c r="KG5" s="2" t="n"/>
      <c r="KH5" s="2" t="n"/>
      <c r="KI5" s="2" t="n"/>
      <c r="KJ5" s="2" t="n"/>
      <c r="KK5" s="2" t="n"/>
      <c r="KL5" s="2" t="n"/>
      <c r="KM5" s="2" t="n"/>
      <c r="KN5" s="2" t="n"/>
      <c r="KO5" s="2" t="n"/>
      <c r="KP5" s="2" t="n"/>
      <c r="KQ5" s="2" t="n"/>
      <c r="KR5" s="2" t="n"/>
      <c r="KS5" s="2" t="n"/>
      <c r="KT5" s="2" t="n"/>
      <c r="KU5" s="2" t="n"/>
      <c r="KV5" s="2" t="n"/>
      <c r="KW5" s="2" t="n"/>
      <c r="KX5" s="2" t="n"/>
      <c r="KY5" s="2" t="n"/>
      <c r="KZ5" s="2" t="n"/>
      <c r="LA5" s="2" t="n"/>
      <c r="LB5" s="2" t="n"/>
      <c r="LC5" s="2" t="n"/>
      <c r="LD5" s="2" t="n"/>
      <c r="LE5" s="2" t="n"/>
      <c r="LF5" s="2" t="n"/>
      <c r="LG5" s="2" t="n"/>
      <c r="LH5" s="2" t="n"/>
      <c r="LI5" s="2" t="n"/>
      <c r="LJ5" s="2" t="n"/>
      <c r="LK5" s="2" t="n"/>
      <c r="LL5" s="2" t="n"/>
      <c r="LM5" s="2" t="n"/>
      <c r="LN5" s="2" t="n"/>
      <c r="LO5" s="2" t="n"/>
      <c r="LP5" s="2" t="n"/>
      <c r="LQ5" s="2" t="n"/>
      <c r="LR5" s="2" t="n"/>
      <c r="LS5" s="2" t="n"/>
      <c r="LT5" s="2" t="n"/>
      <c r="LU5" s="2" t="n"/>
      <c r="LV5" s="2" t="n"/>
      <c r="LW5" s="2" t="n"/>
      <c r="LX5" s="2" t="n"/>
      <c r="LY5" s="2" t="n"/>
      <c r="LZ5" s="2" t="n"/>
      <c r="MA5" s="2" t="n"/>
      <c r="MB5" s="2" t="n"/>
      <c r="MC5" s="2" t="n"/>
      <c r="MD5" s="2" t="n"/>
      <c r="ME5" s="2" t="n"/>
      <c r="MF5" s="2" t="n"/>
      <c r="MG5" s="2" t="n"/>
      <c r="MH5" s="2" t="n"/>
      <c r="MI5" s="2" t="n"/>
      <c r="MJ5" s="2" t="n"/>
      <c r="MK5" s="2" t="n"/>
      <c r="ML5" s="2" t="n"/>
      <c r="MM5" s="2" t="n"/>
      <c r="MN5" s="2" t="n"/>
      <c r="MO5" s="2" t="n"/>
      <c r="MP5" s="2" t="n"/>
      <c r="MQ5" s="2" t="n"/>
      <c r="MR5" s="2" t="n"/>
      <c r="MS5" s="2" t="n"/>
      <c r="MT5" s="2" t="n"/>
      <c r="MU5" s="2" t="n"/>
      <c r="MV5" s="2" t="n"/>
      <c r="MW5" s="2" t="n"/>
      <c r="MX5" s="2" t="n"/>
      <c r="MY5" s="2" t="n"/>
      <c r="MZ5" s="2" t="n"/>
      <c r="NA5" s="2" t="n"/>
      <c r="NB5" s="2" t="n"/>
      <c r="NC5" s="2" t="n"/>
      <c r="ND5" s="2" t="n"/>
      <c r="NE5" s="2" t="n"/>
      <c r="NF5" s="2" t="n"/>
      <c r="NG5" s="2" t="n"/>
      <c r="NH5" s="2" t="n"/>
      <c r="NI5" s="2" t="n"/>
      <c r="NJ5" s="2" t="n"/>
      <c r="NK5" s="2" t="n"/>
      <c r="NL5" s="2" t="n"/>
      <c r="NM5" s="2" t="n"/>
      <c r="NN5" s="2" t="n"/>
      <c r="NO5" s="2" t="n"/>
      <c r="NP5" s="2" t="n"/>
      <c r="NQ5" s="2" t="n"/>
      <c r="NR5" s="2" t="n"/>
      <c r="NS5" s="2" t="n"/>
      <c r="NT5" s="2" t="n"/>
      <c r="NU5" s="2" t="n"/>
      <c r="NV5" s="2" t="n"/>
      <c r="NW5" s="2" t="n"/>
      <c r="NX5" s="2" t="n"/>
      <c r="NY5" s="2" t="n"/>
      <c r="NZ5" s="2" t="n"/>
      <c r="OA5" s="2" t="n"/>
      <c r="OB5" s="2" t="n"/>
      <c r="OC5" s="2" t="n"/>
      <c r="OD5" s="2" t="n"/>
      <c r="OE5" s="2" t="n"/>
      <c r="OF5" s="2" t="n"/>
      <c r="OG5" s="2" t="n"/>
      <c r="OH5" s="2" t="n"/>
      <c r="OI5" s="2" t="n"/>
      <c r="OJ5" s="2" t="n"/>
      <c r="OK5" s="2" t="n"/>
      <c r="OL5" s="2" t="n"/>
      <c r="OM5" s="2" t="n"/>
      <c r="ON5" s="2" t="n"/>
      <c r="OO5" s="2" t="n"/>
      <c r="OP5" s="2" t="n"/>
      <c r="OQ5" s="2" t="n"/>
      <c r="OR5" s="2" t="n"/>
      <c r="OS5" s="2" t="n"/>
      <c r="OT5" s="2" t="n"/>
      <c r="OU5" s="2" t="n"/>
      <c r="OV5" s="2" t="n"/>
      <c r="OW5" s="2" t="n"/>
      <c r="OX5" s="2" t="n"/>
      <c r="OY5" s="2" t="n"/>
      <c r="OZ5" s="2" t="n"/>
      <c r="PA5" s="2" t="n"/>
      <c r="PB5" s="2" t="n"/>
      <c r="PC5" s="2" t="n"/>
      <c r="PD5" s="2" t="n"/>
      <c r="PE5" s="2" t="n"/>
      <c r="PF5" s="2" t="n"/>
      <c r="PG5" s="2" t="n"/>
      <c r="PH5" s="2" t="n"/>
      <c r="PI5" s="2" t="n"/>
      <c r="PJ5" s="2" t="n"/>
      <c r="PK5" s="2" t="n"/>
      <c r="PL5" s="2" t="n"/>
      <c r="PM5" s="2" t="n"/>
      <c r="PN5" s="2" t="n"/>
      <c r="PO5" s="2" t="n"/>
      <c r="PP5" s="2" t="n"/>
      <c r="PQ5" s="2" t="n"/>
      <c r="PR5" s="2" t="n"/>
      <c r="PS5" s="2" t="n"/>
      <c r="PT5" s="2" t="n"/>
      <c r="PU5" s="2" t="n"/>
      <c r="PV5" s="2" t="n"/>
      <c r="PW5" s="2" t="n"/>
      <c r="PX5" s="2" t="n"/>
      <c r="PY5" s="2" t="n"/>
      <c r="PZ5" s="2" t="n"/>
      <c r="QA5" s="2" t="n"/>
      <c r="QB5" s="2" t="n"/>
      <c r="QC5" s="2" t="n"/>
      <c r="QD5" s="2" t="n"/>
      <c r="QE5" s="2" t="n"/>
      <c r="QF5" s="2" t="n"/>
      <c r="QG5" s="2" t="n"/>
      <c r="QH5" s="2" t="n"/>
      <c r="QI5" s="2" t="n"/>
      <c r="QJ5" s="2" t="n"/>
      <c r="QK5" s="2" t="n"/>
      <c r="QL5" s="2" t="n"/>
      <c r="QM5" s="2" t="n"/>
      <c r="QN5" s="2" t="n"/>
      <c r="QO5" s="2" t="n"/>
      <c r="QP5" s="2" t="n"/>
      <c r="QQ5" s="2" t="n"/>
      <c r="QR5" s="2" t="n"/>
      <c r="QS5" s="2" t="n"/>
      <c r="QT5" s="2" t="n"/>
      <c r="QU5" s="2" t="n"/>
      <c r="QV5" s="2" t="n"/>
      <c r="QW5" s="2" t="n"/>
      <c r="QX5" s="2" t="n"/>
      <c r="QY5" s="2" t="n"/>
      <c r="QZ5" s="2" t="n"/>
      <c r="RA5" s="2" t="n"/>
      <c r="RB5" s="2" t="n"/>
      <c r="RC5" s="2" t="n"/>
      <c r="RD5" s="2" t="n"/>
      <c r="RE5" s="2" t="n"/>
      <c r="RF5" s="2" t="n"/>
      <c r="RG5" s="2" t="n"/>
      <c r="RH5" s="2" t="n"/>
      <c r="RI5" s="2" t="n"/>
      <c r="RJ5" s="2" t="n"/>
      <c r="RK5" s="2" t="n"/>
      <c r="RL5" s="2" t="n"/>
      <c r="RM5" s="2" t="n"/>
      <c r="RN5" s="2" t="n"/>
      <c r="RO5" s="2" t="n"/>
      <c r="RP5" s="2" t="n"/>
      <c r="RQ5" s="2" t="n"/>
      <c r="RR5" s="2" t="n"/>
      <c r="RS5" s="2" t="n"/>
      <c r="RT5" s="2" t="n"/>
      <c r="RU5" s="2" t="n"/>
      <c r="RV5" s="2" t="n"/>
      <c r="RW5" s="2" t="n"/>
      <c r="RX5" s="2" t="n"/>
      <c r="RY5" s="2" t="n"/>
      <c r="RZ5" s="2" t="n"/>
      <c r="SA5" s="2" t="n"/>
      <c r="SB5" s="2" t="n"/>
      <c r="SC5" s="2" t="n"/>
      <c r="SD5" s="2" t="n"/>
      <c r="SE5" s="2" t="n"/>
      <c r="SF5" s="2" t="n"/>
      <c r="SG5" s="2" t="n"/>
      <c r="SH5" s="2" t="n"/>
      <c r="SI5" s="2" t="n"/>
      <c r="SJ5" s="2" t="n"/>
      <c r="SK5" s="2" t="n"/>
      <c r="SL5" s="2" t="n"/>
      <c r="SM5" s="2" t="n"/>
      <c r="SN5" s="2" t="n"/>
      <c r="SO5" s="2" t="n"/>
      <c r="SP5" s="2" t="n"/>
      <c r="SQ5" s="2" t="n"/>
      <c r="SR5" s="2" t="n"/>
      <c r="SS5" s="2" t="n"/>
      <c r="ST5" s="2" t="n"/>
      <c r="SU5" s="2" t="n"/>
      <c r="SV5" s="2" t="n"/>
      <c r="SW5" s="2" t="n"/>
      <c r="SX5" s="2" t="n"/>
      <c r="SY5" s="2" t="n"/>
      <c r="SZ5" s="2" t="n"/>
      <c r="TA5" s="2" t="n"/>
      <c r="TB5" s="2" t="n"/>
      <c r="TC5" s="2" t="n"/>
      <c r="TD5" s="2" t="n"/>
      <c r="TE5" s="2" t="n"/>
      <c r="TF5" s="2" t="n"/>
      <c r="TG5" s="2" t="n"/>
      <c r="TH5" s="2" t="n"/>
      <c r="TI5" s="2" t="n"/>
      <c r="TJ5" s="2" t="n"/>
      <c r="TK5" s="2" t="n"/>
      <c r="TL5" s="2" t="n"/>
      <c r="TM5" s="2" t="n"/>
      <c r="TN5" s="2" t="n"/>
      <c r="TO5" s="2" t="n"/>
      <c r="TP5" s="2" t="n"/>
      <c r="TQ5" s="2" t="n"/>
      <c r="TR5" s="2" t="n"/>
      <c r="TS5" s="2" t="n"/>
      <c r="TT5" s="2" t="n"/>
      <c r="TU5" s="2" t="n"/>
      <c r="TV5" s="2" t="n"/>
      <c r="TW5" s="2" t="n"/>
      <c r="TX5" s="2" t="n"/>
      <c r="TY5" s="2" t="n"/>
      <c r="TZ5" s="2" t="n"/>
      <c r="UA5" s="2" t="n"/>
      <c r="UB5" s="2" t="n"/>
      <c r="UC5" s="2" t="n"/>
      <c r="UD5" s="2" t="n"/>
      <c r="UE5" s="2" t="n"/>
      <c r="UF5" s="2" t="n"/>
      <c r="UG5" s="2" t="n"/>
      <c r="UH5" s="2" t="n"/>
      <c r="UI5" s="2" t="n"/>
      <c r="UJ5" s="2" t="n"/>
      <c r="UK5" s="2" t="n"/>
      <c r="UL5" s="2" t="n"/>
      <c r="UM5" s="2" t="n"/>
      <c r="UN5" s="2" t="n"/>
      <c r="UO5" s="2" t="n"/>
      <c r="UP5" s="2" t="n"/>
      <c r="UQ5" s="2" t="n"/>
      <c r="UR5" s="2" t="n"/>
      <c r="US5" s="2" t="n"/>
      <c r="UT5" s="2" t="n"/>
      <c r="UU5" s="2" t="n"/>
      <c r="UV5" s="2" t="n"/>
      <c r="UW5" s="2" t="n"/>
      <c r="UX5" s="2" t="n"/>
      <c r="UY5" s="2" t="n"/>
      <c r="UZ5" s="2" t="n"/>
      <c r="VA5" s="2" t="n"/>
      <c r="VB5" s="2" t="n"/>
      <c r="VC5" s="2" t="n"/>
      <c r="VD5" s="2" t="n"/>
      <c r="VE5" s="2" t="n"/>
      <c r="VF5" s="2" t="n"/>
      <c r="VG5" s="2" t="n"/>
      <c r="VH5" s="2" t="n"/>
      <c r="VI5" s="2" t="n"/>
      <c r="VJ5" s="2" t="n"/>
      <c r="VK5" s="2" t="n"/>
      <c r="VL5" s="2" t="n"/>
      <c r="VM5" s="2" t="n"/>
      <c r="VN5" s="2" t="n"/>
      <c r="VO5" s="2" t="n"/>
      <c r="VP5" s="2" t="n"/>
      <c r="VQ5" s="2" t="n"/>
      <c r="VR5" s="2" t="n"/>
      <c r="VS5" s="2" t="n"/>
      <c r="VT5" s="2" t="n"/>
      <c r="VU5" s="2" t="n"/>
      <c r="VV5" s="2" t="n"/>
      <c r="VW5" s="2" t="n"/>
      <c r="VX5" s="2" t="n"/>
      <c r="VY5" s="2" t="n"/>
      <c r="VZ5" s="2" t="n"/>
      <c r="WA5" s="2" t="n"/>
      <c r="WB5" s="2" t="n"/>
      <c r="WC5" s="2" t="n"/>
      <c r="WD5" s="2" t="n"/>
      <c r="WE5" s="2" t="n"/>
      <c r="WF5" s="2" t="n"/>
      <c r="WG5" s="2" t="n"/>
      <c r="WH5" s="2" t="n"/>
      <c r="WI5" s="2" t="n"/>
      <c r="WJ5" s="2" t="n"/>
      <c r="WK5" s="2" t="n"/>
      <c r="WL5" s="2" t="n"/>
      <c r="WM5" s="2" t="n"/>
      <c r="WN5" s="2" t="n"/>
      <c r="WO5" s="2" t="n"/>
      <c r="WP5" s="2" t="n"/>
      <c r="WQ5" s="2" t="n"/>
      <c r="WR5" s="2" t="n"/>
      <c r="WS5" s="2" t="n"/>
      <c r="WT5" s="2" t="n"/>
      <c r="WU5" s="2" t="n"/>
      <c r="WV5" s="2" t="n"/>
      <c r="WW5" s="2" t="n"/>
      <c r="WX5" s="2" t="n"/>
      <c r="WY5" s="2" t="n"/>
      <c r="WZ5" s="2" t="n"/>
      <c r="XA5" s="2" t="n"/>
      <c r="XB5" s="2" t="n"/>
      <c r="XC5" s="2" t="n"/>
      <c r="XD5" s="2" t="n"/>
      <c r="XE5" s="2" t="n"/>
      <c r="XF5" s="2" t="n"/>
      <c r="XG5" s="2" t="n"/>
      <c r="XH5" s="2" t="n"/>
      <c r="XI5" s="2" t="n"/>
      <c r="XJ5" s="2" t="n"/>
      <c r="XK5" s="2" t="n"/>
      <c r="XL5" s="2" t="n"/>
      <c r="XM5" s="2" t="n"/>
      <c r="XN5" s="2" t="n"/>
      <c r="XO5" s="2" t="n"/>
      <c r="XP5" s="2" t="n"/>
      <c r="XQ5" s="2" t="n"/>
      <c r="XR5" s="2" t="n"/>
      <c r="XS5" s="2" t="n"/>
      <c r="XT5" s="2" t="n"/>
      <c r="XU5" s="2" t="n"/>
      <c r="XV5" s="2" t="n"/>
      <c r="XW5" s="2" t="n"/>
      <c r="XX5" s="2" t="n"/>
      <c r="XY5" s="2" t="n"/>
      <c r="XZ5" s="2" t="n"/>
      <c r="YA5" s="2" t="n"/>
      <c r="YB5" s="2" t="n"/>
      <c r="YC5" s="2" t="n"/>
      <c r="YD5" s="2" t="n"/>
      <c r="YE5" s="2" t="n"/>
      <c r="YF5" s="2" t="n"/>
      <c r="YG5" s="2" t="n"/>
      <c r="YH5" s="2" t="n"/>
      <c r="YI5" s="2" t="n"/>
      <c r="YJ5" s="2" t="n"/>
      <c r="YK5" s="2" t="n"/>
      <c r="YL5" s="2" t="n"/>
      <c r="YM5" s="2" t="n"/>
      <c r="YN5" s="2" t="n"/>
      <c r="YO5" s="2" t="n"/>
      <c r="YP5" s="2" t="n"/>
      <c r="YQ5" s="2" t="n"/>
      <c r="YR5" s="2" t="n"/>
      <c r="YS5" s="2" t="n"/>
      <c r="YT5" s="2" t="n"/>
      <c r="YU5" s="2" t="n"/>
      <c r="YV5" s="2" t="n"/>
      <c r="YW5" s="2" t="n"/>
      <c r="YX5" s="2" t="n"/>
      <c r="YY5" s="2" t="n"/>
      <c r="YZ5" s="2" t="n"/>
      <c r="ZA5" s="2" t="n"/>
      <c r="ZB5" s="2" t="n"/>
      <c r="ZC5" s="2" t="n"/>
      <c r="ZD5" s="2" t="n"/>
      <c r="ZE5" s="2" t="n"/>
      <c r="ZF5" s="2" t="n"/>
      <c r="ZG5" s="2" t="n"/>
      <c r="ZH5" s="2" t="n"/>
      <c r="ZI5" s="2" t="n"/>
      <c r="ZJ5" s="2" t="n"/>
      <c r="ZK5" s="2" t="n"/>
      <c r="ZL5" s="2" t="n"/>
      <c r="ZM5" s="2" t="n"/>
      <c r="ZN5" s="2" t="n"/>
      <c r="ZO5" s="2" t="n"/>
      <c r="ZP5" s="2" t="n"/>
      <c r="ZQ5" s="2" t="n"/>
      <c r="ZR5" s="2" t="n"/>
      <c r="ZS5" s="2" t="n"/>
      <c r="ZT5" s="2" t="n"/>
      <c r="ZU5" s="2" t="n"/>
      <c r="ZV5" s="2" t="n"/>
      <c r="ZW5" s="2" t="n"/>
      <c r="ZX5" s="2" t="n"/>
      <c r="ZY5" s="2" t="n"/>
      <c r="ZZ5" s="2" t="n"/>
      <c r="AAA5" s="2" t="n"/>
      <c r="AAB5" s="2" t="n"/>
      <c r="AAC5" s="2" t="n"/>
      <c r="AAD5" s="2" t="n"/>
      <c r="AAE5" s="2" t="n"/>
      <c r="AAF5" s="2" t="n"/>
      <c r="AAG5" s="2" t="n"/>
      <c r="AAH5" s="2" t="n"/>
      <c r="AAI5" s="2" t="n"/>
      <c r="AAJ5" s="2" t="n"/>
      <c r="AAK5" s="2" t="n"/>
      <c r="AAL5" s="2" t="n"/>
      <c r="AAM5" s="2" t="n"/>
      <c r="AAN5" s="2" t="n"/>
      <c r="AAO5" s="2" t="n"/>
      <c r="AAP5" s="2" t="n"/>
      <c r="AAQ5" s="2" t="n"/>
      <c r="AAR5" s="2" t="n"/>
      <c r="AAS5" s="2" t="n"/>
      <c r="AAT5" s="2" t="n"/>
      <c r="AAU5" s="2" t="n"/>
      <c r="AAV5" s="2" t="n"/>
      <c r="AAW5" s="2" t="n"/>
      <c r="AAX5" s="2" t="n"/>
      <c r="AAY5" s="2" t="n"/>
      <c r="AAZ5" s="2" t="n"/>
      <c r="ABA5" s="2" t="n"/>
      <c r="ABB5" s="2" t="n"/>
      <c r="ABC5" s="2" t="n"/>
      <c r="ABD5" s="2" t="n"/>
      <c r="ABE5" s="2" t="n"/>
      <c r="ABF5" s="2" t="n"/>
      <c r="ABG5" s="2" t="n"/>
      <c r="ABH5" s="2" t="n"/>
      <c r="ABI5" s="2" t="n"/>
      <c r="ABJ5" s="2" t="n"/>
      <c r="ABK5" s="2" t="n"/>
      <c r="ABL5" s="2" t="n"/>
      <c r="ABM5" s="2" t="n"/>
      <c r="ABN5" s="2" t="n"/>
      <c r="ABO5" s="2" t="n"/>
      <c r="ABP5" s="2" t="n"/>
      <c r="ABQ5" s="2" t="n"/>
      <c r="ABR5" s="2" t="n"/>
      <c r="ABS5" s="2" t="n"/>
      <c r="ABT5" s="2" t="n"/>
      <c r="ABU5" s="2" t="n"/>
      <c r="ABV5" s="2" t="n"/>
      <c r="ABW5" s="2" t="n"/>
      <c r="ABX5" s="2" t="n"/>
      <c r="ABY5" s="2" t="n"/>
      <c r="ABZ5" s="2" t="n"/>
      <c r="ACA5" s="2" t="n"/>
      <c r="ACB5" s="2" t="n"/>
      <c r="ACC5" s="2" t="n"/>
      <c r="ACD5" s="2" t="n"/>
      <c r="ACE5" s="2" t="n"/>
      <c r="ACF5" s="2" t="n"/>
      <c r="ACG5" s="2" t="n"/>
      <c r="ACH5" s="2" t="n"/>
      <c r="ACI5" s="2" t="n"/>
      <c r="ACJ5" s="2" t="n"/>
      <c r="ACK5" s="2" t="n"/>
      <c r="ACL5" s="2" t="n"/>
      <c r="ACM5" s="2" t="n"/>
      <c r="ACN5" s="2" t="n"/>
      <c r="ACO5" s="2" t="n"/>
      <c r="ACP5" s="2" t="n"/>
      <c r="ACQ5" s="2" t="n"/>
      <c r="ACR5" s="2" t="n"/>
      <c r="ACS5" s="2" t="n"/>
      <c r="ACT5" s="2" t="n"/>
      <c r="ACU5" s="2" t="n"/>
      <c r="ACV5" s="2" t="n"/>
      <c r="ACW5" s="2" t="n"/>
      <c r="ACX5" s="2" t="n"/>
      <c r="ACY5" s="2" t="n"/>
      <c r="ACZ5" s="2" t="n"/>
      <c r="ADA5" s="2" t="n"/>
      <c r="ADB5" s="2" t="n"/>
      <c r="ADC5" s="2" t="n"/>
      <c r="ADD5" s="2" t="n"/>
      <c r="ADE5" s="2" t="n"/>
      <c r="ADF5" s="2" t="n"/>
      <c r="ADG5" s="2" t="n"/>
      <c r="ADH5" s="2" t="n"/>
      <c r="ADI5" s="2" t="n"/>
      <c r="ADJ5" s="2" t="n"/>
      <c r="ADK5" s="2" t="n"/>
      <c r="ADL5" s="2" t="n"/>
      <c r="ADM5" s="2" t="n"/>
      <c r="ADN5" s="2" t="n"/>
      <c r="ADO5" s="2" t="n"/>
      <c r="ADP5" s="2" t="n"/>
      <c r="ADQ5" s="2" t="n"/>
      <c r="ADR5" s="2" t="n"/>
      <c r="ADS5" s="2" t="n"/>
      <c r="ADT5" s="2" t="n"/>
      <c r="ADU5" s="2" t="n"/>
      <c r="ADV5" s="2" t="n"/>
      <c r="ADW5" s="2" t="n"/>
      <c r="ADX5" s="2" t="n"/>
      <c r="ADY5" s="2" t="n"/>
      <c r="ADZ5" s="2" t="n"/>
      <c r="AEA5" s="2" t="n"/>
      <c r="AEB5" s="2" t="n"/>
      <c r="AEC5" s="2" t="n"/>
      <c r="AED5" s="2" t="n"/>
      <c r="AEE5" s="2" t="n"/>
      <c r="AEF5" s="2" t="n"/>
      <c r="AEG5" s="2" t="n"/>
      <c r="AEH5" s="2" t="n"/>
      <c r="AEI5" s="2" t="n"/>
      <c r="AEJ5" s="2" t="n"/>
      <c r="AEK5" s="2" t="n"/>
      <c r="AEL5" s="2" t="n"/>
      <c r="AEM5" s="2" t="n"/>
      <c r="AEN5" s="2" t="n"/>
      <c r="AEO5" s="2" t="n"/>
      <c r="AEP5" s="2" t="n"/>
      <c r="AEQ5" s="2" t="n"/>
      <c r="AER5" s="2" t="n"/>
      <c r="AES5" s="2" t="n"/>
      <c r="AET5" s="2" t="n"/>
      <c r="AEU5" s="2" t="n"/>
      <c r="AEV5" s="2" t="n"/>
      <c r="AEW5" s="2" t="n"/>
      <c r="AEX5" s="2" t="n"/>
      <c r="AEY5" s="2" t="n"/>
      <c r="AEZ5" s="2" t="n"/>
      <c r="AFA5" s="2" t="n"/>
      <c r="AFB5" s="2" t="n"/>
      <c r="AFC5" s="2" t="n"/>
      <c r="AFD5" s="2" t="n"/>
      <c r="AFE5" s="2" t="n"/>
      <c r="AFF5" s="2" t="n"/>
      <c r="AFG5" s="2" t="n"/>
      <c r="AFH5" s="2" t="n"/>
      <c r="AFI5" s="2" t="n"/>
      <c r="AFJ5" s="2" t="n"/>
      <c r="AFK5" s="2" t="n"/>
      <c r="AFL5" s="2" t="n"/>
      <c r="AFM5" s="2" t="n"/>
      <c r="AFN5" s="2" t="n"/>
      <c r="AFO5" s="2" t="n"/>
      <c r="AFP5" s="2" t="n"/>
      <c r="AFQ5" s="2" t="n"/>
      <c r="AFR5" s="2" t="n"/>
      <c r="AFS5" s="2" t="n"/>
      <c r="AFT5" s="2" t="n"/>
      <c r="AFU5" s="2" t="n"/>
      <c r="AFV5" s="2" t="n"/>
      <c r="AFW5" s="2" t="n"/>
      <c r="AFX5" s="2" t="n"/>
      <c r="AFY5" s="2" t="n"/>
      <c r="AFZ5" s="2" t="n"/>
      <c r="AGA5" s="2" t="n"/>
      <c r="AGB5" s="2" t="n"/>
      <c r="AGC5" s="2" t="n"/>
      <c r="AGD5" s="2" t="n"/>
      <c r="AGE5" s="2" t="n"/>
      <c r="AGF5" s="2" t="n"/>
      <c r="AGG5" s="2" t="n"/>
      <c r="AGH5" s="2" t="n"/>
      <c r="AGI5" s="2" t="n"/>
      <c r="AGJ5" s="2" t="n"/>
      <c r="AGK5" s="2" t="n"/>
      <c r="AGL5" s="2" t="n"/>
      <c r="AGM5" s="2" t="n"/>
      <c r="AGN5" s="2" t="n"/>
      <c r="AGO5" s="2" t="n"/>
      <c r="AGP5" s="2" t="n"/>
      <c r="AGQ5" s="2" t="n"/>
      <c r="AGR5" s="2" t="n"/>
      <c r="AGS5" s="2" t="n"/>
      <c r="AGT5" s="2" t="n"/>
      <c r="AGU5" s="2" t="n"/>
      <c r="AGV5" s="2" t="n"/>
      <c r="AGW5" s="2" t="n"/>
      <c r="AGX5" s="2" t="n"/>
      <c r="AGY5" s="2" t="n"/>
      <c r="AGZ5" s="2" t="n"/>
      <c r="AHA5" s="2" t="n"/>
      <c r="AHB5" s="2" t="n"/>
      <c r="AHC5" s="2" t="n"/>
      <c r="AHD5" s="2" t="n"/>
      <c r="AHE5" s="2" t="n"/>
      <c r="AHF5" s="2" t="n"/>
      <c r="AHG5" s="2" t="n"/>
      <c r="AHH5" s="2" t="n"/>
      <c r="AHI5" s="2" t="n"/>
      <c r="AHJ5" s="2" t="n"/>
      <c r="AHK5" s="2" t="n"/>
      <c r="AHL5" s="2" t="n"/>
      <c r="AHM5" s="2" t="n"/>
      <c r="AHN5" s="2" t="n"/>
      <c r="AHO5" s="2" t="n"/>
      <c r="AHP5" s="2" t="n"/>
      <c r="AHQ5" s="2" t="n"/>
      <c r="AHR5" s="2" t="n"/>
      <c r="AHS5" s="2" t="n"/>
      <c r="AHT5" s="2" t="n"/>
      <c r="AHU5" s="2" t="n"/>
      <c r="AHV5" s="2" t="n"/>
      <c r="AHW5" s="2" t="n"/>
      <c r="AHX5" s="2" t="n"/>
      <c r="AHY5" s="2" t="n"/>
      <c r="AHZ5" s="2" t="n"/>
      <c r="AIA5" s="2" t="n"/>
      <c r="AIB5" s="2" t="n"/>
      <c r="AIC5" s="2" t="n"/>
      <c r="AID5" s="2" t="n"/>
      <c r="AIE5" s="2" t="n"/>
      <c r="AIF5" s="2" t="n"/>
      <c r="AIG5" s="2" t="n"/>
      <c r="AIH5" s="2" t="n"/>
      <c r="AII5" s="2" t="n"/>
      <c r="AIJ5" s="2" t="n"/>
      <c r="AIK5" s="2" t="n"/>
      <c r="AIL5" s="2" t="n"/>
      <c r="AIM5" s="2" t="n"/>
      <c r="AIN5" s="2" t="n"/>
      <c r="AIO5" s="2" t="n"/>
      <c r="AIP5" s="2" t="n"/>
      <c r="AIQ5" s="2" t="n"/>
      <c r="AIR5" s="2" t="n"/>
      <c r="AIS5" s="2" t="n"/>
      <c r="AIT5" s="2" t="n"/>
      <c r="AIU5" s="2" t="n"/>
      <c r="AIV5" s="2" t="n"/>
      <c r="AIW5" s="2" t="n"/>
      <c r="AIX5" s="2" t="n"/>
      <c r="AIY5" s="2" t="n"/>
      <c r="AIZ5" s="2" t="n"/>
      <c r="AJA5" s="2" t="n"/>
      <c r="AJB5" s="2" t="n"/>
      <c r="AJC5" s="2" t="n"/>
      <c r="AJD5" s="2" t="n"/>
      <c r="AJE5" s="2" t="n"/>
      <c r="AJF5" s="2" t="n"/>
      <c r="AJG5" s="2" t="n"/>
      <c r="AJH5" s="2" t="n"/>
      <c r="AJI5" s="2" t="n"/>
      <c r="AJJ5" s="2" t="n"/>
      <c r="AJK5" s="2" t="n"/>
      <c r="AJL5" s="2" t="n"/>
      <c r="AJM5" s="2" t="n"/>
      <c r="AJN5" s="2" t="n"/>
      <c r="AJO5" s="2" t="n"/>
      <c r="AJP5" s="2" t="n"/>
      <c r="AJQ5" s="2" t="n"/>
      <c r="AJR5" s="2" t="n"/>
      <c r="AJS5" s="2" t="n"/>
      <c r="AJT5" s="2" t="n"/>
      <c r="AJU5" s="2" t="n"/>
      <c r="AJV5" s="2" t="n"/>
      <c r="AJW5" s="2" t="n"/>
      <c r="AJX5" s="2" t="n"/>
      <c r="AJY5" s="2" t="n"/>
      <c r="AJZ5" s="2" t="n"/>
      <c r="AKA5" s="2" t="n"/>
      <c r="AKB5" s="2" t="n"/>
      <c r="AKC5" s="2" t="n"/>
      <c r="AKD5" s="2" t="n"/>
      <c r="AKE5" s="2" t="n"/>
      <c r="AKF5" s="2" t="n"/>
      <c r="AKG5" s="2" t="n"/>
      <c r="AKH5" s="2" t="n"/>
      <c r="AKI5" s="2" t="n"/>
      <c r="AKJ5" s="2" t="n"/>
      <c r="AKK5" s="2" t="n"/>
      <c r="AKL5" s="2" t="n"/>
      <c r="AKM5" s="2" t="n"/>
      <c r="AKN5" s="2" t="n"/>
      <c r="AKO5" s="2" t="n"/>
      <c r="AKP5" s="2" t="n"/>
      <c r="AKQ5" s="2" t="n"/>
      <c r="AKR5" s="2" t="n"/>
      <c r="AKS5" s="2" t="n"/>
      <c r="AKT5" s="2" t="n"/>
      <c r="AKU5" s="2" t="n"/>
      <c r="AKV5" s="2" t="n"/>
      <c r="AKW5" s="2" t="n"/>
      <c r="AKX5" s="2" t="n"/>
      <c r="AKY5" s="2" t="n"/>
      <c r="AKZ5" s="2" t="n"/>
      <c r="ALA5" s="2" t="n"/>
      <c r="ALB5" s="2" t="n"/>
      <c r="ALC5" s="2" t="n"/>
      <c r="ALD5" s="2" t="n"/>
      <c r="ALE5" s="2" t="n"/>
      <c r="ALF5" s="2" t="n"/>
      <c r="ALG5" s="2" t="n"/>
      <c r="ALH5" s="2" t="n"/>
      <c r="ALI5" s="2" t="n"/>
      <c r="ALJ5" s="2" t="n"/>
      <c r="ALK5" s="2" t="n"/>
      <c r="ALL5" s="2" t="n"/>
      <c r="ALM5" s="2" t="n"/>
      <c r="ALN5" s="2" t="n"/>
      <c r="ALO5" s="2" t="n"/>
      <c r="ALP5" s="2" t="n"/>
      <c r="ALQ5" s="2" t="n"/>
      <c r="ALR5" s="2" t="n"/>
      <c r="ALS5" s="2" t="n"/>
      <c r="ALT5" s="2" t="n"/>
      <c r="ALU5" s="2" t="n"/>
      <c r="ALV5" s="2" t="n"/>
      <c r="ALW5" s="2" t="n"/>
      <c r="ALX5" s="2" t="n"/>
      <c r="ALY5" s="2" t="n"/>
      <c r="ALZ5" s="2" t="n"/>
      <c r="AMA5" s="2" t="n"/>
      <c r="AMB5" s="2" t="n"/>
      <c r="AMC5" s="2" t="n"/>
      <c r="AMD5" s="2" t="n"/>
      <c r="AME5" s="2" t="n"/>
      <c r="AMF5" s="2" t="n"/>
      <c r="AMG5" s="2" t="n"/>
      <c r="AMH5" s="2" t="n"/>
      <c r="AMI5" s="2" t="n"/>
      <c r="AMJ5" s="2" t="n"/>
      <c r="AMK5" s="2" t="n"/>
      <c r="AML5" s="2" t="n"/>
      <c r="AMM5" s="2" t="n"/>
      <c r="AMN5" s="2" t="n"/>
      <c r="AMO5" s="2" t="n"/>
      <c r="AMP5" s="2" t="n"/>
      <c r="AMQ5" s="2" t="n"/>
      <c r="AMR5" s="2" t="n"/>
      <c r="AMS5" s="2" t="n"/>
      <c r="AMT5" s="2" t="n"/>
      <c r="AMU5" s="2" t="n"/>
      <c r="AMV5" s="2" t="n"/>
      <c r="AMW5" s="2" t="n"/>
      <c r="AMX5" s="2" t="n"/>
      <c r="AMY5" s="2" t="n"/>
      <c r="AMZ5" s="2" t="n"/>
      <c r="ANA5" s="2" t="n"/>
      <c r="ANB5" s="2" t="n"/>
      <c r="ANC5" s="2" t="n"/>
      <c r="AND5" s="2" t="n"/>
      <c r="ANE5" s="2" t="n"/>
      <c r="ANF5" s="2" t="n"/>
      <c r="ANG5" s="2" t="n"/>
      <c r="ANH5" s="2" t="n"/>
      <c r="ANI5" s="2" t="n"/>
      <c r="ANJ5" s="2" t="n"/>
      <c r="ANK5" s="2" t="n"/>
      <c r="ANL5" s="2" t="n"/>
      <c r="ANM5" s="2" t="n"/>
      <c r="ANN5" s="2" t="n"/>
      <c r="ANO5" s="2" t="n"/>
      <c r="ANP5" s="2" t="n"/>
      <c r="ANQ5" s="2" t="n"/>
      <c r="ANR5" s="2" t="n"/>
      <c r="ANS5" s="2" t="n"/>
      <c r="ANT5" s="2" t="n"/>
      <c r="ANU5" s="2" t="n"/>
      <c r="ANV5" s="2" t="n"/>
      <c r="ANW5" s="2" t="n"/>
      <c r="ANX5" s="2" t="n"/>
      <c r="ANY5" s="2" t="n"/>
      <c r="ANZ5" s="2" t="n"/>
      <c r="AOA5" s="2" t="n"/>
      <c r="AOB5" s="2" t="n"/>
      <c r="AOC5" s="2" t="n"/>
      <c r="AOD5" s="2" t="n"/>
      <c r="AOE5" s="2" t="n"/>
      <c r="AOF5" s="2" t="n"/>
      <c r="AOG5" s="2" t="n"/>
      <c r="AOH5" s="2" t="n"/>
      <c r="AOI5" s="2" t="n"/>
      <c r="AOJ5" s="2" t="n"/>
      <c r="AOK5" s="2" t="n"/>
      <c r="AOL5" s="2" t="n"/>
      <c r="AOM5" s="2" t="n"/>
      <c r="AON5" s="2" t="n"/>
      <c r="AOO5" s="2" t="n"/>
      <c r="AOP5" s="2" t="n"/>
      <c r="AOQ5" s="2" t="n"/>
      <c r="AOR5" s="2" t="n"/>
      <c r="AOS5" s="2" t="n"/>
      <c r="AOT5" s="2" t="n"/>
      <c r="AOU5" s="2" t="n"/>
      <c r="AOV5" s="2" t="n"/>
      <c r="AOW5" s="2" t="n"/>
      <c r="AOX5" s="2" t="n"/>
      <c r="AOY5" s="2" t="n"/>
      <c r="AOZ5" s="2" t="n"/>
      <c r="APA5" s="2" t="n"/>
      <c r="APB5" s="2" t="n"/>
      <c r="APC5" s="2" t="n"/>
      <c r="APD5" s="2" t="n"/>
      <c r="APE5" s="2" t="n"/>
      <c r="APF5" s="2" t="n"/>
      <c r="APG5" s="2" t="n"/>
      <c r="APH5" s="2" t="n"/>
      <c r="API5" s="2" t="n"/>
      <c r="APJ5" s="2" t="n"/>
      <c r="APK5" s="2" t="n"/>
      <c r="APL5" s="2" t="n"/>
      <c r="APM5" s="2" t="n"/>
      <c r="APN5" s="2" t="n"/>
      <c r="APO5" s="2" t="n"/>
      <c r="APP5" s="2" t="n"/>
      <c r="APQ5" s="2" t="n"/>
      <c r="APR5" s="2" t="n"/>
      <c r="APS5" s="2" t="n"/>
      <c r="APT5" s="2" t="n"/>
      <c r="APU5" s="2" t="n"/>
      <c r="APV5" s="2" t="n"/>
      <c r="APW5" s="2" t="n"/>
      <c r="APX5" s="2" t="n"/>
      <c r="APY5" s="2" t="n"/>
      <c r="APZ5" s="2" t="n"/>
      <c r="AQA5" s="2" t="n"/>
      <c r="AQB5" s="2" t="n"/>
      <c r="AQC5" s="2" t="n"/>
      <c r="AQD5" s="2" t="n"/>
      <c r="AQE5" s="2" t="n"/>
      <c r="AQF5" s="2" t="n"/>
      <c r="AQG5" s="2" t="n"/>
      <c r="AQH5" s="2" t="n"/>
      <c r="AQI5" s="2" t="n"/>
      <c r="AQJ5" s="2" t="n"/>
      <c r="AQK5" s="2" t="n"/>
      <c r="AQL5" s="2" t="n"/>
      <c r="AQM5" s="2" t="n"/>
      <c r="AQN5" s="2" t="n"/>
      <c r="AQO5" s="2" t="n"/>
      <c r="AQP5" s="2" t="n"/>
      <c r="AQQ5" s="2" t="n"/>
      <c r="AQR5" s="2" t="n"/>
      <c r="AQS5" s="2" t="n"/>
      <c r="AQT5" s="2" t="n"/>
      <c r="AQU5" s="2" t="n"/>
      <c r="AQV5" s="2" t="n"/>
      <c r="AQW5" s="2" t="n"/>
      <c r="AQX5" s="2" t="n"/>
      <c r="AQY5" s="2" t="n"/>
      <c r="AQZ5" s="2" t="n"/>
      <c r="ARA5" s="2" t="n"/>
      <c r="ARB5" s="2" t="n"/>
      <c r="ARC5" s="2" t="n"/>
      <c r="ARD5" s="2" t="n"/>
      <c r="ARE5" s="2" t="n"/>
      <c r="ARF5" s="2" t="n"/>
      <c r="ARG5" s="2" t="n"/>
      <c r="ARH5" s="2" t="n"/>
      <c r="ARI5" s="2" t="n"/>
      <c r="ARJ5" s="2" t="n"/>
      <c r="ARK5" s="2" t="n"/>
      <c r="ARL5" s="2" t="n"/>
      <c r="ARM5" s="2" t="n"/>
      <c r="ARN5" s="2" t="n"/>
      <c r="ARO5" s="2" t="n"/>
      <c r="ARP5" s="2" t="n"/>
      <c r="ARQ5" s="2" t="n"/>
      <c r="ARR5" s="2" t="n"/>
      <c r="ARS5" s="2" t="n"/>
      <c r="ART5" s="2" t="n"/>
      <c r="ARU5" s="2" t="n"/>
      <c r="ARV5" s="2" t="n"/>
      <c r="ARW5" s="2" t="n"/>
      <c r="ARX5" s="2" t="n"/>
      <c r="ARY5" s="2" t="n"/>
      <c r="ARZ5" s="2" t="n"/>
      <c r="ASA5" s="2" t="n"/>
      <c r="ASB5" s="2" t="n"/>
      <c r="ASC5" s="2" t="n"/>
      <c r="ASD5" s="2" t="n"/>
      <c r="ASE5" s="2" t="n"/>
      <c r="ASF5" s="2" t="n"/>
      <c r="ASG5" s="2" t="n"/>
      <c r="ASH5" s="2" t="n"/>
      <c r="ASI5" s="2" t="n"/>
      <c r="ASJ5" s="2" t="n"/>
      <c r="ASK5" s="2" t="n"/>
      <c r="ASL5" s="2" t="n"/>
      <c r="ASM5" s="2" t="n"/>
      <c r="ASN5" s="2" t="n"/>
      <c r="ASO5" s="2" t="n"/>
      <c r="ASP5" s="2" t="n"/>
      <c r="ASQ5" s="2" t="n"/>
      <c r="ASR5" s="2" t="n"/>
      <c r="ASS5" s="2" t="n"/>
      <c r="AST5" s="2" t="n"/>
      <c r="ASU5" s="2" t="n"/>
      <c r="ASV5" s="2" t="n"/>
      <c r="ASW5" s="2" t="n"/>
      <c r="ASX5" s="2" t="n"/>
      <c r="ASY5" s="2" t="n"/>
      <c r="ASZ5" s="2" t="n"/>
      <c r="ATA5" s="2" t="n"/>
      <c r="ATB5" s="2" t="n"/>
      <c r="ATC5" s="2" t="n"/>
      <c r="ATD5" s="2" t="n"/>
      <c r="ATE5" s="2" t="n"/>
      <c r="ATF5" s="2" t="n"/>
      <c r="ATG5" s="2" t="n"/>
      <c r="ATH5" s="2" t="n"/>
      <c r="ATI5" s="2" t="n"/>
      <c r="ATJ5" s="2" t="n"/>
      <c r="ATK5" s="2" t="n"/>
      <c r="ATL5" s="2" t="n"/>
      <c r="ATM5" s="2" t="n"/>
      <c r="ATN5" s="2" t="n"/>
      <c r="ATO5" s="2" t="n"/>
      <c r="ATP5" s="2" t="n"/>
      <c r="ATQ5" s="2" t="n"/>
      <c r="ATR5" s="2" t="n"/>
      <c r="ATS5" s="2" t="n"/>
      <c r="ATT5" s="2" t="n"/>
      <c r="ATU5" s="2" t="n"/>
      <c r="ATV5" s="2" t="n"/>
      <c r="ATW5" s="2" t="n"/>
      <c r="ATX5" s="2" t="n"/>
      <c r="ATY5" s="2" t="n"/>
      <c r="ATZ5" s="2" t="n"/>
      <c r="AUA5" s="2" t="n"/>
      <c r="AUB5" s="2" t="n"/>
      <c r="AUC5" s="2" t="n"/>
      <c r="AUD5" s="2" t="n"/>
      <c r="AUE5" s="2" t="n"/>
      <c r="AUF5" s="2" t="n"/>
      <c r="AUG5" s="2" t="n"/>
      <c r="AUH5" s="2" t="n"/>
      <c r="AUI5" s="2" t="n"/>
      <c r="AUJ5" s="2" t="n"/>
      <c r="AUK5" s="2" t="n"/>
      <c r="AUL5" s="2" t="n"/>
      <c r="AUM5" s="2" t="n"/>
      <c r="AUN5" s="2" t="n"/>
      <c r="AUO5" s="2" t="n"/>
      <c r="AUP5" s="2" t="n"/>
      <c r="AUQ5" s="2" t="n"/>
      <c r="AUR5" s="2" t="n"/>
      <c r="AUS5" s="2" t="n"/>
      <c r="AUT5" s="2" t="n"/>
      <c r="AUU5" s="2" t="n"/>
      <c r="AUV5" s="2" t="n"/>
      <c r="AUW5" s="2" t="n"/>
      <c r="AUX5" s="2" t="n"/>
      <c r="AUY5" s="2" t="n"/>
      <c r="AUZ5" s="2" t="n"/>
      <c r="AVA5" s="2" t="n"/>
      <c r="AVB5" s="2" t="n"/>
      <c r="AVC5" s="2" t="n"/>
      <c r="AVD5" s="2" t="n"/>
      <c r="AVE5" s="2" t="n"/>
      <c r="AVF5" s="2" t="n"/>
      <c r="AVG5" s="2" t="n"/>
      <c r="AVH5" s="2" t="n"/>
      <c r="AVI5" s="2" t="n"/>
      <c r="AVJ5" s="2" t="n"/>
      <c r="AVK5" s="2" t="n"/>
      <c r="AVL5" s="2" t="n"/>
      <c r="AVM5" s="2" t="n"/>
      <c r="AVN5" s="2" t="n"/>
      <c r="AVO5" s="2" t="n"/>
      <c r="AVP5" s="2" t="n"/>
      <c r="AVQ5" s="2" t="n"/>
      <c r="AVR5" s="2" t="n"/>
      <c r="AVS5" s="2" t="n"/>
      <c r="AVT5" s="2" t="n"/>
      <c r="AVU5" s="2" t="n"/>
      <c r="AVV5" s="2" t="n"/>
      <c r="AVW5" s="2" t="n"/>
      <c r="AVX5" s="2" t="n"/>
      <c r="AVY5" s="2" t="n"/>
      <c r="AVZ5" s="2" t="n"/>
      <c r="AWA5" s="2" t="n"/>
      <c r="AWB5" s="2" t="n"/>
      <c r="AWC5" s="2" t="n"/>
      <c r="AWD5" s="2" t="n"/>
      <c r="AWE5" s="2" t="n"/>
      <c r="AWF5" s="2" t="n"/>
      <c r="AWG5" s="2" t="n"/>
      <c r="AWH5" s="2" t="n"/>
      <c r="AWI5" s="2" t="n"/>
      <c r="AWJ5" s="2" t="n"/>
      <c r="AWK5" s="2" t="n"/>
      <c r="AWL5" s="2" t="n"/>
      <c r="AWM5" s="2" t="n"/>
      <c r="AWN5" s="2" t="n"/>
      <c r="AWO5" s="2" t="n"/>
      <c r="AWP5" s="2" t="n"/>
      <c r="AWQ5" s="2" t="n"/>
      <c r="AWR5" s="2" t="n"/>
      <c r="AWS5" s="2" t="n"/>
      <c r="AWT5" s="2" t="n"/>
      <c r="AWU5" s="2" t="n"/>
      <c r="AWV5" s="2" t="n"/>
      <c r="AWW5" s="2" t="n"/>
      <c r="AWX5" s="2" t="n"/>
      <c r="AWY5" s="2" t="n"/>
      <c r="AWZ5" s="2" t="n"/>
      <c r="AXA5" s="2" t="n"/>
      <c r="AXB5" s="2" t="n"/>
      <c r="AXC5" s="2" t="n"/>
      <c r="AXD5" s="2" t="n"/>
      <c r="AXE5" s="2" t="n"/>
      <c r="AXF5" s="2" t="n"/>
      <c r="AXG5" s="2" t="n"/>
      <c r="AXH5" s="2" t="n"/>
      <c r="AXI5" s="2" t="n"/>
      <c r="AXJ5" s="2" t="n"/>
      <c r="AXK5" s="2" t="n"/>
      <c r="AXL5" s="2" t="n"/>
      <c r="AXM5" s="2" t="n"/>
      <c r="AXN5" s="2" t="n"/>
      <c r="AXO5" s="2" t="n"/>
      <c r="AXP5" s="2" t="n"/>
      <c r="AXQ5" s="2" t="n"/>
      <c r="AXR5" s="2" t="n"/>
      <c r="AXS5" s="2" t="n"/>
      <c r="AXT5" s="2" t="n"/>
      <c r="AXU5" s="2" t="n"/>
      <c r="AXV5" s="2" t="n"/>
      <c r="AXW5" s="2" t="n"/>
      <c r="AXX5" s="2" t="n"/>
      <c r="AXY5" s="2" t="n"/>
      <c r="AXZ5" s="2" t="n"/>
      <c r="AYA5" s="2" t="n"/>
      <c r="AYB5" s="2" t="n"/>
      <c r="AYC5" s="2" t="n"/>
      <c r="AYD5" s="2" t="n"/>
      <c r="AYE5" s="2" t="n"/>
      <c r="AYF5" s="2" t="n"/>
      <c r="AYG5" s="2" t="n"/>
      <c r="AYH5" s="2" t="n"/>
      <c r="AYI5" s="2" t="n"/>
      <c r="AYJ5" s="2" t="n"/>
      <c r="AYK5" s="2" t="n"/>
      <c r="AYL5" s="2" t="n"/>
      <c r="AYM5" s="2" t="n"/>
      <c r="AYN5" s="2" t="n"/>
      <c r="AYO5" s="2" t="n"/>
      <c r="AYP5" s="2" t="n"/>
      <c r="AYQ5" s="2" t="n"/>
      <c r="AYR5" s="2" t="n"/>
      <c r="AYS5" s="2" t="n"/>
      <c r="AYT5" s="2" t="n"/>
      <c r="AYU5" s="2" t="n"/>
      <c r="AYV5" s="2" t="n"/>
      <c r="AYW5" s="2" t="n"/>
      <c r="AYX5" s="2" t="n"/>
      <c r="AYY5" s="2" t="n"/>
      <c r="AYZ5" s="2" t="n"/>
      <c r="AZA5" s="2" t="n"/>
      <c r="AZB5" s="2" t="n"/>
      <c r="AZC5" s="2" t="n"/>
      <c r="AZD5" s="2" t="n"/>
      <c r="AZE5" s="2" t="n"/>
      <c r="AZF5" s="2" t="n"/>
      <c r="AZG5" s="2" t="n"/>
      <c r="AZH5" s="2" t="n"/>
      <c r="AZI5" s="2" t="n"/>
      <c r="AZJ5" s="2" t="n"/>
      <c r="AZK5" s="2" t="n"/>
      <c r="AZL5" s="2" t="n"/>
      <c r="AZM5" s="2" t="n"/>
      <c r="AZN5" s="2" t="n"/>
      <c r="AZO5" s="2" t="n"/>
      <c r="AZP5" s="2" t="n"/>
      <c r="AZQ5" s="2" t="n"/>
      <c r="AZR5" s="2" t="n"/>
      <c r="AZS5" s="2" t="n"/>
      <c r="AZT5" s="2" t="n"/>
      <c r="AZU5" s="2" t="n"/>
      <c r="AZV5" s="2" t="n"/>
      <c r="AZW5" s="2" t="n"/>
      <c r="AZX5" s="2" t="n"/>
      <c r="AZY5" s="2" t="n"/>
      <c r="AZZ5" s="2" t="n"/>
      <c r="BAA5" s="2" t="n"/>
      <c r="BAB5" s="2" t="n"/>
      <c r="BAC5" s="2" t="n"/>
      <c r="BAD5" s="2" t="n"/>
      <c r="BAE5" s="2" t="n"/>
      <c r="BAF5" s="2" t="n"/>
      <c r="BAG5" s="2" t="n"/>
      <c r="BAH5" s="2" t="n"/>
      <c r="BAI5" s="2" t="n"/>
      <c r="BAJ5" s="2" t="n"/>
      <c r="BAK5" s="2" t="n"/>
      <c r="BAL5" s="2" t="n"/>
      <c r="BAM5" s="2" t="n"/>
      <c r="BAN5" s="2" t="n"/>
      <c r="BAO5" s="2" t="n"/>
      <c r="BAP5" s="2" t="n"/>
      <c r="BAQ5" s="2" t="n"/>
      <c r="BAR5" s="2" t="n"/>
      <c r="BAS5" s="2" t="n"/>
      <c r="BAT5" s="2" t="n"/>
      <c r="BAU5" s="2" t="n"/>
      <c r="BAV5" s="2" t="n"/>
      <c r="BAW5" s="2" t="n"/>
      <c r="BAX5" s="2" t="n"/>
      <c r="BAY5" s="2" t="n"/>
      <c r="BAZ5" s="2" t="n"/>
      <c r="BBA5" s="2" t="n"/>
      <c r="BBB5" s="2" t="n"/>
      <c r="BBC5" s="2" t="n"/>
      <c r="BBD5" s="2" t="n"/>
      <c r="BBE5" s="2" t="n"/>
      <c r="BBF5" s="2" t="n"/>
      <c r="BBG5" s="2" t="n"/>
      <c r="BBH5" s="2" t="n"/>
      <c r="BBI5" s="2" t="n"/>
      <c r="BBJ5" s="2" t="n"/>
      <c r="BBK5" s="2" t="n"/>
      <c r="BBL5" s="2" t="n"/>
      <c r="BBM5" s="2" t="n"/>
      <c r="BBN5" s="2" t="n"/>
      <c r="BBO5" s="2" t="n"/>
      <c r="BBP5" s="2" t="n"/>
      <c r="BBQ5" s="2" t="n"/>
      <c r="BBR5" s="2" t="n"/>
      <c r="BBS5" s="2" t="n"/>
      <c r="BBT5" s="2" t="n"/>
      <c r="BBU5" s="2" t="n"/>
      <c r="BBV5" s="2" t="n"/>
      <c r="BBW5" s="2" t="n"/>
      <c r="BBX5" s="2" t="n"/>
      <c r="BBY5" s="2" t="n"/>
      <c r="BBZ5" s="2" t="n"/>
      <c r="BCA5" s="2" t="n"/>
      <c r="BCB5" s="2" t="n"/>
      <c r="BCC5" s="2" t="n"/>
      <c r="BCD5" s="2" t="n"/>
      <c r="BCE5" s="2" t="n"/>
      <c r="BCF5" s="2" t="n"/>
      <c r="BCG5" s="2" t="n"/>
      <c r="BCH5" s="2" t="n"/>
      <c r="BCI5" s="2" t="n"/>
      <c r="BCJ5" s="2" t="n"/>
      <c r="BCK5" s="2" t="n"/>
      <c r="BCL5" s="2" t="n"/>
      <c r="BCM5" s="2" t="n"/>
      <c r="BCN5" s="2" t="n"/>
      <c r="BCO5" s="2" t="n"/>
      <c r="BCP5" s="2" t="n"/>
      <c r="BCQ5" s="2" t="n"/>
      <c r="BCR5" s="2" t="n"/>
      <c r="BCS5" s="2" t="n"/>
      <c r="BCT5" s="2" t="n"/>
      <c r="BCU5" s="2" t="n"/>
      <c r="BCV5" s="2" t="n"/>
      <c r="BCW5" s="2" t="n"/>
      <c r="BCX5" s="2" t="n"/>
      <c r="BCY5" s="2" t="n"/>
      <c r="BCZ5" s="2" t="n"/>
      <c r="BDA5" s="2" t="n"/>
      <c r="BDB5" s="2" t="n"/>
      <c r="BDC5" s="2" t="n"/>
      <c r="BDD5" s="2" t="n"/>
      <c r="BDE5" s="2" t="n"/>
      <c r="BDF5" s="2" t="n"/>
      <c r="BDG5" s="2" t="n"/>
      <c r="BDH5" s="2" t="n"/>
      <c r="BDI5" s="2" t="n"/>
      <c r="BDJ5" s="2" t="n"/>
      <c r="BDK5" s="2" t="n"/>
      <c r="BDL5" s="2" t="n"/>
      <c r="BDM5" s="2" t="n"/>
      <c r="BDN5" s="2" t="n"/>
      <c r="BDO5" s="2" t="n"/>
      <c r="BDP5" s="2" t="n"/>
      <c r="BDQ5" s="2" t="n"/>
      <c r="BDR5" s="2" t="n"/>
      <c r="BDS5" s="2" t="n"/>
      <c r="BDT5" s="2" t="n"/>
      <c r="BDU5" s="2" t="n"/>
      <c r="BDV5" s="2" t="n"/>
      <c r="BDW5" s="2" t="n"/>
      <c r="BDX5" s="2" t="n"/>
      <c r="BDY5" s="2" t="n"/>
      <c r="BDZ5" s="2" t="n"/>
      <c r="BEA5" s="2" t="n"/>
      <c r="BEB5" s="2" t="n"/>
      <c r="BEC5" s="2" t="n"/>
      <c r="BED5" s="2" t="n"/>
      <c r="BEE5" s="2" t="n"/>
      <c r="BEF5" s="2" t="n"/>
      <c r="BEG5" s="2" t="n"/>
      <c r="BEH5" s="2" t="n"/>
      <c r="BEI5" s="2" t="n"/>
      <c r="BEJ5" s="2" t="n"/>
      <c r="BEK5" s="2" t="n"/>
      <c r="BEL5" s="2" t="n"/>
      <c r="BEM5" s="2" t="n"/>
      <c r="BEN5" s="2" t="n"/>
      <c r="BEO5" s="2" t="n"/>
      <c r="BEP5" s="2" t="n"/>
      <c r="BEQ5" s="2" t="n"/>
      <c r="BER5" s="2" t="n"/>
      <c r="BES5" s="2" t="n"/>
      <c r="BET5" s="2" t="n"/>
      <c r="BEU5" s="2" t="n"/>
      <c r="BEV5" s="2" t="n"/>
      <c r="BEW5" s="2" t="n"/>
      <c r="BEX5" s="2" t="n"/>
      <c r="BEY5" s="2" t="n"/>
      <c r="BEZ5" s="2" t="n"/>
      <c r="BFA5" s="2" t="n"/>
      <c r="BFB5" s="2" t="n"/>
      <c r="BFC5" s="2" t="n"/>
      <c r="BFD5" s="2" t="n"/>
      <c r="BFE5" s="2" t="n"/>
      <c r="BFF5" s="2" t="n"/>
      <c r="BFG5" s="2" t="n"/>
      <c r="BFH5" s="2" t="n"/>
      <c r="BFI5" s="2" t="n"/>
      <c r="BFJ5" s="2" t="n"/>
      <c r="BFK5" s="2" t="n"/>
      <c r="BFL5" s="2" t="n"/>
      <c r="BFM5" s="2" t="n"/>
      <c r="BFN5" s="2" t="n"/>
      <c r="BFO5" s="2" t="n"/>
      <c r="BFP5" s="2" t="n"/>
      <c r="BFQ5" s="2" t="n"/>
      <c r="BFR5" s="2" t="n"/>
      <c r="BFS5" s="2" t="n"/>
      <c r="BFT5" s="2" t="n"/>
      <c r="BFU5" s="2" t="n"/>
      <c r="BFV5" s="2" t="n"/>
      <c r="BFW5" s="2" t="n"/>
      <c r="BFX5" s="2" t="n"/>
      <c r="BFY5" s="2" t="n"/>
      <c r="BFZ5" s="2" t="n"/>
      <c r="BGA5" s="2" t="n"/>
      <c r="BGB5" s="2" t="n"/>
      <c r="BGC5" s="2" t="n"/>
      <c r="BGD5" s="2" t="n"/>
      <c r="BGE5" s="2" t="n"/>
      <c r="BGF5" s="2" t="n"/>
      <c r="BGG5" s="2" t="n"/>
      <c r="BGH5" s="2" t="n"/>
      <c r="BGI5" s="2" t="n"/>
      <c r="BGJ5" s="2" t="n"/>
      <c r="BGK5" s="2" t="n"/>
      <c r="BGL5" s="2" t="n"/>
      <c r="BGM5" s="2" t="n"/>
      <c r="BGN5" s="2" t="n"/>
      <c r="BGO5" s="2" t="n"/>
      <c r="BGP5" s="2" t="n"/>
      <c r="BGQ5" s="2" t="n"/>
      <c r="BGR5" s="2" t="n"/>
      <c r="BGS5" s="2" t="n"/>
      <c r="BGT5" s="2" t="n"/>
      <c r="BGU5" s="2" t="n"/>
      <c r="BGV5" s="2" t="n"/>
      <c r="BGW5" s="2" t="n"/>
      <c r="BGX5" s="2" t="n"/>
      <c r="BGY5" s="2" t="n"/>
      <c r="BGZ5" s="2" t="n"/>
      <c r="BHA5" s="2" t="n"/>
      <c r="BHB5" s="2" t="n"/>
      <c r="BHC5" s="2" t="n"/>
      <c r="BHD5" s="2" t="n"/>
      <c r="BHE5" s="2" t="n"/>
      <c r="BHF5" s="2" t="n"/>
      <c r="BHG5" s="2" t="n"/>
      <c r="BHH5" s="2" t="n"/>
      <c r="BHI5" s="2" t="n"/>
      <c r="BHJ5" s="2" t="n"/>
      <c r="BHK5" s="2" t="n"/>
      <c r="BHL5" s="2" t="n"/>
      <c r="BHM5" s="2" t="n"/>
      <c r="BHN5" s="2" t="n"/>
      <c r="BHO5" s="2" t="n"/>
      <c r="BHP5" s="2" t="n"/>
      <c r="BHQ5" s="2" t="n"/>
      <c r="BHR5" s="2" t="n"/>
      <c r="BHS5" s="2" t="n"/>
      <c r="BHT5" s="2" t="n"/>
      <c r="BHU5" s="2" t="n"/>
      <c r="BHV5" s="2" t="n"/>
      <c r="BHW5" s="2" t="n"/>
      <c r="BHX5" s="2" t="n"/>
      <c r="BHY5" s="2" t="n"/>
      <c r="BHZ5" s="2" t="n"/>
      <c r="BIA5" s="2" t="n"/>
      <c r="BIB5" s="2" t="n"/>
      <c r="BIC5" s="2" t="n"/>
      <c r="BID5" s="2" t="n"/>
      <c r="BIE5" s="2" t="n"/>
      <c r="BIF5" s="2" t="n"/>
      <c r="BIG5" s="2" t="n"/>
      <c r="BIH5" s="2" t="n"/>
      <c r="BII5" s="2" t="n"/>
      <c r="BIJ5" s="2" t="n"/>
      <c r="BIK5" s="2" t="n"/>
      <c r="BIL5" s="2" t="n"/>
      <c r="BIM5" s="2" t="n"/>
      <c r="BIN5" s="2" t="n"/>
      <c r="BIO5" s="2" t="n"/>
      <c r="BIP5" s="2" t="n"/>
      <c r="BIQ5" s="2" t="n"/>
      <c r="BIR5" s="2" t="n"/>
      <c r="BIS5" s="2" t="n"/>
      <c r="BIT5" s="2" t="n"/>
      <c r="BIU5" s="2" t="n"/>
      <c r="BIV5" s="2" t="n"/>
      <c r="BIW5" s="2" t="n"/>
      <c r="BIX5" s="2" t="n"/>
      <c r="BIY5" s="2" t="n"/>
      <c r="BIZ5" s="2" t="n"/>
      <c r="BJA5" s="2" t="n"/>
      <c r="BJB5" s="2" t="n"/>
      <c r="BJC5" s="2" t="n"/>
      <c r="BJD5" s="2" t="n"/>
      <c r="BJE5" s="2" t="n"/>
      <c r="BJF5" s="2" t="n"/>
      <c r="BJG5" s="2" t="n"/>
      <c r="BJH5" s="2" t="n"/>
      <c r="BJI5" s="2" t="n"/>
      <c r="BJJ5" s="2" t="n"/>
      <c r="BJK5" s="2" t="n"/>
      <c r="BJL5" s="2" t="n"/>
      <c r="BJM5" s="2" t="n"/>
      <c r="BJN5" s="2" t="n"/>
      <c r="BJO5" s="2" t="n"/>
      <c r="BJP5" s="2" t="n"/>
      <c r="BJQ5" s="2" t="n"/>
      <c r="BJR5" s="2" t="n"/>
      <c r="BJS5" s="2" t="n"/>
      <c r="BJT5" s="2" t="n"/>
      <c r="BJU5" s="2" t="n"/>
      <c r="BJV5" s="2" t="n"/>
      <c r="BJW5" s="2" t="n"/>
      <c r="BJX5" s="2" t="n"/>
      <c r="BJY5" s="2" t="n"/>
      <c r="BJZ5" s="2" t="n"/>
      <c r="BKA5" s="2" t="n"/>
      <c r="BKB5" s="2" t="n"/>
      <c r="BKC5" s="2" t="n"/>
      <c r="BKD5" s="2" t="n"/>
      <c r="BKE5" s="2" t="n"/>
      <c r="BKF5" s="2" t="n"/>
      <c r="BKG5" s="2" t="n"/>
      <c r="BKH5" s="2" t="n"/>
      <c r="BKI5" s="2" t="n"/>
      <c r="BKJ5" s="2" t="n"/>
      <c r="BKK5" s="2" t="n"/>
      <c r="BKL5" s="2" t="n"/>
      <c r="BKM5" s="2" t="n"/>
      <c r="BKN5" s="2" t="n"/>
      <c r="BKO5" s="2" t="n"/>
      <c r="BKP5" s="2" t="n"/>
      <c r="BKQ5" s="2" t="n"/>
      <c r="BKR5" s="2" t="n"/>
      <c r="BKS5" s="2" t="n"/>
      <c r="BKT5" s="2" t="n"/>
      <c r="BKU5" s="2" t="n"/>
      <c r="BKV5" s="2" t="n"/>
      <c r="BKW5" s="2" t="n"/>
      <c r="BKX5" s="2" t="n"/>
      <c r="BKY5" s="2" t="n"/>
      <c r="BKZ5" s="2" t="n"/>
      <c r="BLA5" s="2" t="n"/>
      <c r="BLB5" s="2" t="n"/>
      <c r="BLC5" s="2" t="n"/>
      <c r="BLD5" s="2" t="n"/>
      <c r="BLE5" s="2" t="n"/>
      <c r="BLF5" s="2" t="n"/>
      <c r="BLG5" s="2" t="n"/>
      <c r="BLH5" s="2" t="n"/>
      <c r="BLI5" s="2" t="n"/>
      <c r="BLJ5" s="2" t="n"/>
      <c r="BLK5" s="2" t="n"/>
      <c r="BLL5" s="2" t="n"/>
      <c r="BLM5" s="2" t="n"/>
      <c r="BLN5" s="2" t="n"/>
      <c r="BLO5" s="2" t="n"/>
      <c r="BLP5" s="2" t="n"/>
      <c r="BLQ5" s="2" t="n"/>
      <c r="BLR5" s="2" t="n"/>
      <c r="BLS5" s="2" t="n"/>
      <c r="BLT5" s="2" t="n"/>
      <c r="BLU5" s="2" t="n"/>
      <c r="BLV5" s="2" t="n"/>
      <c r="BLW5" s="2" t="n"/>
      <c r="BLX5" s="2" t="n"/>
      <c r="BLY5" s="2" t="n"/>
      <c r="BLZ5" s="2" t="n"/>
      <c r="BMA5" s="2" t="n"/>
      <c r="BMB5" s="2" t="n"/>
      <c r="BMC5" s="2" t="n"/>
      <c r="BMD5" s="2" t="n"/>
      <c r="BME5" s="2" t="n"/>
      <c r="BMF5" s="2" t="n"/>
      <c r="BMG5" s="2" t="n"/>
      <c r="BMH5" s="2" t="n"/>
      <c r="BMI5" s="2" t="n"/>
      <c r="BMJ5" s="2" t="n"/>
      <c r="BMK5" s="2" t="n"/>
      <c r="BML5" s="2" t="n"/>
      <c r="BMM5" s="2" t="n"/>
      <c r="BMN5" s="2" t="n"/>
      <c r="BMO5" s="2" t="n"/>
      <c r="BMP5" s="2" t="n"/>
      <c r="BMQ5" s="2" t="n"/>
      <c r="BMR5" s="2" t="n"/>
      <c r="BMS5" s="2" t="n"/>
      <c r="BMT5" s="2" t="n"/>
      <c r="BMU5" s="2" t="n"/>
      <c r="BMV5" s="2" t="n"/>
      <c r="BMW5" s="2" t="n"/>
      <c r="BMX5" s="2" t="n"/>
      <c r="BMY5" s="2" t="n"/>
      <c r="BMZ5" s="2" t="n"/>
      <c r="BNA5" s="2" t="n"/>
      <c r="BNB5" s="2" t="n"/>
      <c r="BNC5" s="2" t="n"/>
      <c r="BND5" s="2" t="n"/>
      <c r="BNE5" s="2" t="n"/>
      <c r="BNF5" s="2" t="n"/>
      <c r="BNG5" s="2" t="n"/>
      <c r="BNH5" s="2" t="n"/>
      <c r="BNI5" s="2" t="n"/>
      <c r="BNJ5" s="2" t="n"/>
      <c r="BNK5" s="2" t="n"/>
      <c r="BNL5" s="2" t="n"/>
      <c r="BNM5" s="2" t="n"/>
      <c r="BNN5" s="2" t="n"/>
      <c r="BNO5" s="2" t="n"/>
      <c r="BNP5" s="2" t="n"/>
      <c r="BNQ5" s="2" t="n"/>
      <c r="BNR5" s="2" t="n"/>
      <c r="BNS5" s="2" t="n"/>
      <c r="BNT5" s="2" t="n"/>
      <c r="BNU5" s="2" t="n"/>
      <c r="BNV5" s="2" t="n"/>
      <c r="BNW5" s="2" t="n"/>
      <c r="BNX5" s="2" t="n"/>
      <c r="BNY5" s="2" t="n"/>
      <c r="BNZ5" s="2" t="n"/>
      <c r="BOA5" s="2" t="n"/>
      <c r="BOB5" s="2" t="n"/>
      <c r="BOC5" s="2" t="n"/>
      <c r="BOD5" s="2" t="n"/>
      <c r="BOE5" s="2" t="n"/>
      <c r="BOF5" s="2" t="n"/>
      <c r="BOG5" s="2" t="n"/>
      <c r="BOH5" s="2" t="n"/>
      <c r="BOI5" s="2" t="n"/>
      <c r="BOJ5" s="2" t="n"/>
      <c r="BOK5" s="2" t="n"/>
      <c r="BOL5" s="2" t="n"/>
      <c r="BOM5" s="2" t="n"/>
      <c r="BON5" s="2" t="n"/>
      <c r="BOO5" s="2" t="n"/>
      <c r="BOP5" s="2" t="n"/>
      <c r="BOQ5" s="2" t="n"/>
      <c r="BOR5" s="2" t="n"/>
      <c r="BOS5" s="2" t="n"/>
      <c r="BOT5" s="2" t="n"/>
      <c r="BOU5" s="2" t="n"/>
      <c r="BOV5" s="2" t="n"/>
      <c r="BOW5" s="2" t="n"/>
      <c r="BOX5" s="2" t="n"/>
      <c r="BOY5" s="2" t="n"/>
      <c r="BOZ5" s="2" t="n"/>
      <c r="BPA5" s="2" t="n"/>
      <c r="BPB5" s="2" t="n"/>
      <c r="BPC5" s="2" t="n"/>
      <c r="BPD5" s="2" t="n"/>
      <c r="BPE5" s="2" t="n"/>
      <c r="BPF5" s="2" t="n"/>
      <c r="BPG5" s="2" t="n"/>
      <c r="BPH5" s="2" t="n"/>
      <c r="BPI5" s="2" t="n"/>
      <c r="BPJ5" s="2" t="n"/>
      <c r="BPK5" s="2" t="n"/>
      <c r="BPL5" s="2" t="n"/>
      <c r="BPM5" s="2" t="n"/>
      <c r="BPN5" s="2" t="n"/>
      <c r="BPO5" s="2" t="n"/>
      <c r="BPP5" s="2" t="n"/>
      <c r="BPQ5" s="2" t="n"/>
      <c r="BPR5" s="2" t="n"/>
      <c r="BPS5" s="2" t="n"/>
      <c r="BPT5" s="2" t="n"/>
      <c r="BPU5" s="2" t="n"/>
      <c r="BPV5" s="2" t="n"/>
      <c r="BPW5" s="2" t="n"/>
      <c r="BPX5" s="2" t="n"/>
      <c r="BPY5" s="2" t="n"/>
      <c r="BPZ5" s="2" t="n"/>
      <c r="BQA5" s="2" t="n"/>
      <c r="BQB5" s="2" t="n"/>
      <c r="BQC5" s="2" t="n"/>
      <c r="BQD5" s="2" t="n"/>
      <c r="BQE5" s="2" t="n"/>
      <c r="BQF5" s="2" t="n"/>
      <c r="BQG5" s="2" t="n"/>
      <c r="BQH5" s="2" t="n"/>
      <c r="BQI5" s="2" t="n"/>
      <c r="BQJ5" s="2" t="n"/>
      <c r="BQK5" s="2" t="n"/>
      <c r="BQL5" s="2" t="n"/>
      <c r="BQM5" s="2" t="n"/>
      <c r="BQN5" s="2" t="n"/>
      <c r="BQO5" s="2" t="n"/>
      <c r="BQP5" s="2" t="n"/>
      <c r="BQQ5" s="2" t="n"/>
      <c r="BQR5" s="2" t="n"/>
      <c r="BQS5" s="2" t="n"/>
      <c r="BQT5" s="2" t="n"/>
      <c r="BQU5" s="2" t="n"/>
      <c r="BQV5" s="2" t="n"/>
      <c r="BQW5" s="2" t="n"/>
      <c r="BQX5" s="2" t="n"/>
      <c r="BQY5" s="2" t="n"/>
      <c r="BQZ5" s="2" t="n"/>
      <c r="BRA5" s="2" t="n"/>
      <c r="BRB5" s="2" t="n"/>
      <c r="BRC5" s="2" t="n"/>
      <c r="BRD5" s="2" t="n"/>
      <c r="BRE5" s="2" t="n"/>
      <c r="BRF5" s="2" t="n"/>
      <c r="BRG5" s="2" t="n"/>
      <c r="BRH5" s="2" t="n"/>
      <c r="BRI5" s="2" t="n"/>
      <c r="BRJ5" s="2" t="n"/>
      <c r="BRK5" s="2" t="n"/>
      <c r="BRL5" s="2" t="n"/>
      <c r="BRM5" s="2" t="n"/>
      <c r="BRN5" s="2" t="n"/>
      <c r="BRO5" s="2" t="n"/>
      <c r="BRP5" s="2" t="n"/>
      <c r="BRQ5" s="2" t="n"/>
      <c r="BRR5" s="2" t="n"/>
      <c r="BRS5" s="2" t="n"/>
      <c r="BRT5" s="2" t="n"/>
      <c r="BRU5" s="2" t="n"/>
      <c r="BRV5" s="2" t="n"/>
      <c r="BRW5" s="2" t="n"/>
      <c r="BRX5" s="2" t="n"/>
      <c r="BRY5" s="2" t="n"/>
      <c r="BRZ5" s="2" t="n"/>
      <c r="BSA5" s="2" t="n"/>
      <c r="BSB5" s="2" t="n"/>
      <c r="BSC5" s="2" t="n"/>
      <c r="BSD5" s="2" t="n"/>
      <c r="BSE5" s="2" t="n"/>
      <c r="BSF5" s="2" t="n"/>
      <c r="BSG5" s="2" t="n"/>
      <c r="BSH5" s="2" t="n"/>
      <c r="BSI5" s="2" t="n"/>
      <c r="BSJ5" s="2" t="n"/>
      <c r="BSK5" s="2" t="n"/>
      <c r="BSL5" s="2" t="n"/>
      <c r="BSM5" s="2" t="n"/>
      <c r="BSN5" s="2" t="n"/>
      <c r="BSO5" s="2" t="n"/>
      <c r="BSP5" s="2" t="n"/>
      <c r="BSQ5" s="2" t="n"/>
      <c r="BSR5" s="2" t="n"/>
      <c r="BSS5" s="2" t="n"/>
      <c r="BST5" s="2" t="n"/>
      <c r="BSU5" s="2" t="n"/>
      <c r="BSV5" s="2" t="n"/>
      <c r="BSW5" s="2" t="n"/>
      <c r="BSX5" s="2" t="n"/>
      <c r="BSY5" s="2" t="n"/>
      <c r="BSZ5" s="2" t="n"/>
      <c r="BTA5" s="2" t="n"/>
      <c r="BTB5" s="2" t="n"/>
      <c r="BTC5" s="2" t="n"/>
      <c r="BTD5" s="2" t="n"/>
      <c r="BTE5" s="2" t="n"/>
      <c r="BTF5" s="2" t="n"/>
      <c r="BTG5" s="2" t="n"/>
      <c r="BTH5" s="2" t="n"/>
      <c r="BTI5" s="2" t="n"/>
      <c r="BTJ5" s="2" t="n"/>
      <c r="BTK5" s="2" t="n"/>
      <c r="BTL5" s="2" t="n"/>
      <c r="BTM5" s="2" t="n"/>
      <c r="BTN5" s="2" t="n"/>
      <c r="BTO5" s="2" t="n"/>
      <c r="BTP5" s="2" t="n"/>
      <c r="BTQ5" s="2" t="n"/>
      <c r="BTR5" s="2" t="n"/>
      <c r="BTS5" s="2" t="n"/>
      <c r="BTT5" s="2" t="n"/>
      <c r="BTU5" s="2" t="n"/>
      <c r="BTV5" s="2" t="n"/>
      <c r="BTW5" s="2" t="n"/>
      <c r="BTX5" s="2" t="n"/>
      <c r="BTY5" s="2" t="n"/>
      <c r="BTZ5" s="2" t="n"/>
      <c r="BUA5" s="2" t="n"/>
      <c r="BUB5" s="2" t="n"/>
      <c r="BUC5" s="2" t="n"/>
      <c r="BUD5" s="2" t="n"/>
      <c r="BUE5" s="2" t="n"/>
      <c r="BUF5" s="2" t="n"/>
      <c r="BUG5" s="2" t="n"/>
      <c r="BUH5" s="2" t="n"/>
      <c r="BUI5" s="2" t="n"/>
      <c r="BUJ5" s="2" t="n"/>
      <c r="BUK5" s="2" t="n"/>
      <c r="BUL5" s="2" t="n"/>
      <c r="BUM5" s="2" t="n"/>
      <c r="BUN5" s="2" t="n"/>
      <c r="BUO5" s="2" t="n"/>
      <c r="BUP5" s="2" t="n"/>
      <c r="BUQ5" s="2" t="n"/>
      <c r="BUR5" s="2" t="n"/>
      <c r="BUS5" s="2" t="n"/>
      <c r="BUT5" s="2" t="n"/>
      <c r="BUU5" s="2" t="n"/>
      <c r="BUV5" s="2" t="n"/>
      <c r="BUW5" s="2" t="n"/>
      <c r="BUX5" s="2" t="n"/>
      <c r="BUY5" s="2" t="n"/>
      <c r="BUZ5" s="2" t="n"/>
      <c r="BVA5" s="2" t="n"/>
      <c r="BVB5" s="2" t="n"/>
      <c r="BVC5" s="2" t="n"/>
      <c r="BVD5" s="2" t="n"/>
      <c r="BVE5" s="2" t="n"/>
      <c r="BVF5" s="2" t="n"/>
      <c r="BVG5" s="2" t="n"/>
      <c r="BVH5" s="2" t="n"/>
      <c r="BVI5" s="2" t="n"/>
      <c r="BVJ5" s="2" t="n"/>
      <c r="BVK5" s="2" t="n"/>
      <c r="BVL5" s="2" t="n"/>
      <c r="BVM5" s="2" t="n"/>
      <c r="BVN5" s="2" t="n"/>
      <c r="BVO5" s="2" t="n"/>
      <c r="BVP5" s="2" t="n"/>
      <c r="BVQ5" s="2" t="n"/>
      <c r="BVR5" s="2" t="n"/>
      <c r="BVS5" s="2" t="n"/>
      <c r="BVT5" s="2" t="n"/>
      <c r="BVU5" s="2" t="n"/>
      <c r="BVV5" s="2" t="n"/>
      <c r="BVW5" s="2" t="n"/>
      <c r="BVX5" s="2" t="n"/>
      <c r="BVY5" s="2" t="n"/>
      <c r="BVZ5" s="2" t="n"/>
      <c r="BWA5" s="2" t="n"/>
      <c r="BWB5" s="2" t="n"/>
      <c r="BWC5" s="2" t="n"/>
      <c r="BWD5" s="2" t="n"/>
      <c r="BWE5" s="2" t="n"/>
      <c r="BWF5" s="2" t="n"/>
      <c r="BWG5" s="2" t="n"/>
      <c r="BWH5" s="2" t="n"/>
      <c r="BWI5" s="2" t="n"/>
      <c r="BWJ5" s="2" t="n"/>
      <c r="BWK5" s="2" t="n"/>
      <c r="BWL5" s="2" t="n"/>
      <c r="BWM5" s="2" t="n"/>
      <c r="BWN5" s="2" t="n"/>
      <c r="BWO5" s="2" t="n"/>
      <c r="BWP5" s="2" t="n"/>
      <c r="BWQ5" s="2" t="n"/>
      <c r="BWR5" s="2" t="n"/>
      <c r="BWS5" s="2" t="n"/>
      <c r="BWT5" s="2" t="n"/>
      <c r="BWU5" s="2" t="n"/>
      <c r="BWV5" s="2" t="n"/>
      <c r="BWW5" s="2" t="n"/>
      <c r="BWX5" s="2" t="n"/>
      <c r="BWY5" s="2" t="n"/>
      <c r="BWZ5" s="2" t="n"/>
      <c r="BXA5" s="2" t="n"/>
      <c r="BXB5" s="2" t="n"/>
      <c r="BXC5" s="2" t="n"/>
      <c r="BXD5" s="2" t="n"/>
      <c r="BXE5" s="2" t="n"/>
      <c r="BXF5" s="2" t="n"/>
      <c r="BXG5" s="2" t="n"/>
      <c r="BXH5" s="2" t="n"/>
      <c r="BXI5" s="2" t="n"/>
      <c r="BXJ5" s="2" t="n"/>
      <c r="BXK5" s="2" t="n"/>
      <c r="BXL5" s="2" t="n"/>
      <c r="BXM5" s="2" t="n"/>
      <c r="BXN5" s="2" t="n"/>
      <c r="BXO5" s="2" t="n"/>
      <c r="BXP5" s="2" t="n"/>
      <c r="BXQ5" s="2" t="n"/>
      <c r="BXR5" s="2" t="n"/>
      <c r="BXS5" s="2" t="n"/>
      <c r="BXT5" s="2" t="n"/>
      <c r="BXU5" s="2" t="n"/>
      <c r="BXV5" s="2" t="n"/>
      <c r="BXW5" s="2" t="n"/>
      <c r="BXX5" s="2" t="n"/>
      <c r="BXY5" s="2" t="n"/>
      <c r="BXZ5" s="2" t="n"/>
      <c r="BYA5" s="2" t="n"/>
      <c r="BYB5" s="2" t="n"/>
      <c r="BYC5" s="2" t="n"/>
      <c r="BYD5" s="2" t="n"/>
      <c r="BYE5" s="2" t="n"/>
      <c r="BYF5" s="2" t="n"/>
      <c r="BYG5" s="2" t="n"/>
      <c r="BYH5" s="2" t="n"/>
      <c r="BYI5" s="2" t="n"/>
      <c r="BYJ5" s="2" t="n"/>
      <c r="BYK5" s="2" t="n"/>
      <c r="BYL5" s="2" t="n"/>
      <c r="BYM5" s="2" t="n"/>
      <c r="BYN5" s="2" t="n"/>
      <c r="BYO5" s="2" t="n"/>
      <c r="BYP5" s="2" t="n"/>
      <c r="BYQ5" s="2" t="n"/>
      <c r="BYR5" s="2" t="n"/>
      <c r="BYS5" s="2" t="n"/>
      <c r="BYT5" s="2" t="n"/>
      <c r="BYU5" s="2" t="n"/>
      <c r="BYV5" s="2" t="n"/>
      <c r="BYW5" s="2" t="n"/>
      <c r="BYX5" s="2" t="n"/>
      <c r="BYY5" s="2" t="n"/>
      <c r="BYZ5" s="2" t="n"/>
      <c r="BZA5" s="2" t="n"/>
      <c r="BZB5" s="2" t="n"/>
      <c r="BZC5" s="2" t="n"/>
      <c r="BZD5" s="2" t="n"/>
      <c r="BZE5" s="2" t="n"/>
      <c r="BZF5" s="2" t="n"/>
      <c r="BZG5" s="2" t="n"/>
      <c r="BZH5" s="2" t="n"/>
      <c r="BZI5" s="2" t="n"/>
      <c r="BZJ5" s="2" t="n"/>
      <c r="BZK5" s="2" t="n"/>
      <c r="BZL5" s="2" t="n"/>
      <c r="BZM5" s="2" t="n"/>
      <c r="BZN5" s="2" t="n"/>
      <c r="BZO5" s="2" t="n"/>
      <c r="BZP5" s="2" t="n"/>
      <c r="BZQ5" s="2" t="n"/>
      <c r="BZR5" s="2" t="n"/>
      <c r="BZS5" s="2" t="n"/>
      <c r="BZT5" s="2" t="n"/>
      <c r="BZU5" s="2" t="n"/>
      <c r="BZV5" s="2" t="n"/>
      <c r="BZW5" s="2" t="n"/>
      <c r="BZX5" s="2" t="n"/>
      <c r="BZY5" s="2" t="n"/>
      <c r="BZZ5" s="2" t="n"/>
      <c r="CAA5" s="2" t="n"/>
      <c r="CAB5" s="2" t="n"/>
      <c r="CAC5" s="2" t="n"/>
      <c r="CAD5" s="2" t="n"/>
      <c r="CAE5" s="2" t="n"/>
      <c r="CAF5" s="2" t="n"/>
      <c r="CAG5" s="2" t="n"/>
      <c r="CAH5" s="2" t="n"/>
      <c r="CAI5" s="2" t="n"/>
      <c r="CAJ5" s="2" t="n"/>
      <c r="CAK5" s="2" t="n"/>
      <c r="CAL5" s="2" t="n"/>
      <c r="CAM5" s="2" t="n"/>
      <c r="CAN5" s="2" t="n"/>
      <c r="CAO5" s="2" t="n"/>
      <c r="CAP5" s="2" t="n"/>
      <c r="CAQ5" s="2" t="n"/>
      <c r="CAR5" s="2" t="n"/>
      <c r="CAS5" s="2" t="n"/>
      <c r="CAT5" s="2" t="n"/>
      <c r="CAU5" s="2" t="n"/>
      <c r="CAV5" s="2" t="n"/>
      <c r="CAW5" s="2" t="n"/>
      <c r="CAX5" s="2" t="n"/>
      <c r="CAY5" s="2" t="n"/>
      <c r="CAZ5" s="2" t="n"/>
      <c r="CBA5" s="2" t="n"/>
      <c r="CBB5" s="2" t="n"/>
      <c r="CBC5" s="2" t="n"/>
      <c r="CBD5" s="2" t="n"/>
      <c r="CBE5" s="2" t="n"/>
      <c r="CBF5" s="2" t="n"/>
      <c r="CBG5" s="2" t="n"/>
      <c r="CBH5" s="2" t="n"/>
      <c r="CBI5" s="2" t="n"/>
      <c r="CBJ5" s="2" t="n"/>
      <c r="CBK5" s="2" t="n"/>
      <c r="CBL5" s="2" t="n"/>
      <c r="CBM5" s="2" t="n"/>
      <c r="CBN5" s="2" t="n"/>
      <c r="CBO5" s="2" t="n"/>
      <c r="CBP5" s="2" t="n"/>
      <c r="CBQ5" s="2" t="n"/>
      <c r="CBR5" s="2" t="n"/>
      <c r="CBS5" s="2" t="n"/>
      <c r="CBT5" s="2" t="n"/>
      <c r="CBU5" s="2" t="n"/>
      <c r="CBV5" s="2" t="n"/>
      <c r="CBW5" s="2" t="n"/>
      <c r="CBX5" s="2" t="n"/>
      <c r="CBY5" s="2" t="n"/>
      <c r="CBZ5" s="2" t="n"/>
      <c r="CCA5" s="2" t="n"/>
      <c r="CCB5" s="2" t="n"/>
      <c r="CCC5" s="2" t="n"/>
      <c r="CCD5" s="2" t="n"/>
      <c r="CCE5" s="2" t="n"/>
      <c r="CCF5" s="2" t="n"/>
      <c r="CCG5" s="2" t="n"/>
      <c r="CCH5" s="2" t="n"/>
      <c r="CCI5" s="2" t="n"/>
      <c r="CCJ5" s="2" t="n"/>
      <c r="CCK5" s="2" t="n"/>
      <c r="CCL5" s="2" t="n"/>
      <c r="CCM5" s="2" t="n"/>
      <c r="CCN5" s="2" t="n"/>
      <c r="CCO5" s="2" t="n"/>
      <c r="CCP5" s="2" t="n"/>
      <c r="CCQ5" s="2" t="n"/>
      <c r="CCR5" s="2" t="n"/>
      <c r="CCS5" s="2" t="n"/>
      <c r="CCT5" s="2" t="n"/>
      <c r="CCU5" s="2" t="n"/>
      <c r="CCV5" s="2" t="n"/>
      <c r="CCW5" s="2" t="n"/>
      <c r="CCX5" s="2" t="n"/>
      <c r="CCY5" s="2" t="n"/>
      <c r="CCZ5" s="2" t="n"/>
      <c r="CDA5" s="2" t="n"/>
      <c r="CDB5" s="2" t="n"/>
      <c r="CDC5" s="2" t="n"/>
      <c r="CDD5" s="2" t="n"/>
      <c r="CDE5" s="2" t="n"/>
      <c r="CDF5" s="2" t="n"/>
      <c r="CDG5" s="2" t="n"/>
      <c r="CDH5" s="2" t="n"/>
      <c r="CDI5" s="2" t="n"/>
      <c r="CDJ5" s="2" t="n"/>
      <c r="CDK5" s="2" t="n"/>
      <c r="CDL5" s="2" t="n"/>
      <c r="CDM5" s="2" t="n"/>
      <c r="CDN5" s="2" t="n"/>
      <c r="CDO5" s="2" t="n"/>
      <c r="CDP5" s="2" t="n"/>
      <c r="CDQ5" s="2" t="n"/>
      <c r="CDR5" s="2" t="n"/>
      <c r="CDS5" s="2" t="n"/>
      <c r="CDT5" s="2" t="n"/>
      <c r="CDU5" s="2" t="n"/>
      <c r="CDV5" s="2" t="n"/>
      <c r="CDW5" s="2" t="n"/>
      <c r="CDX5" s="2" t="n"/>
      <c r="CDY5" s="2" t="n"/>
      <c r="CDZ5" s="2" t="n"/>
      <c r="CEA5" s="2" t="n"/>
      <c r="CEB5" s="2" t="n"/>
      <c r="CEC5" s="2" t="n"/>
      <c r="CED5" s="2" t="n"/>
      <c r="CEE5" s="2" t="n"/>
      <c r="CEF5" s="2" t="n"/>
      <c r="CEG5" s="2" t="n"/>
      <c r="CEH5" s="2" t="n"/>
      <c r="CEI5" s="2" t="n"/>
      <c r="CEJ5" s="2" t="n"/>
      <c r="CEK5" s="2" t="n"/>
      <c r="CEL5" s="2" t="n"/>
      <c r="CEM5" s="2" t="n"/>
      <c r="CEN5" s="2" t="n"/>
      <c r="CEO5" s="2" t="n"/>
      <c r="CEP5" s="2" t="n"/>
      <c r="CEQ5" s="2" t="n"/>
      <c r="CER5" s="2" t="n"/>
      <c r="CES5" s="2" t="n"/>
      <c r="CET5" s="2" t="n"/>
      <c r="CEU5" s="2" t="n"/>
      <c r="CEV5" s="2" t="n"/>
      <c r="CEW5" s="2" t="n"/>
      <c r="CEX5" s="2" t="n"/>
      <c r="CEY5" s="2" t="n"/>
      <c r="CEZ5" s="2" t="n"/>
      <c r="CFA5" s="2" t="n"/>
      <c r="CFB5" s="2" t="n"/>
      <c r="CFC5" s="2" t="n"/>
      <c r="CFD5" s="2" t="n"/>
      <c r="CFE5" s="2" t="n"/>
      <c r="CFF5" s="2" t="n"/>
      <c r="CFG5" s="2" t="n"/>
      <c r="CFH5" s="2" t="n"/>
      <c r="CFI5" s="2" t="n"/>
      <c r="CFJ5" s="2" t="n"/>
      <c r="CFK5" s="2" t="n"/>
      <c r="CFL5" s="2" t="n"/>
      <c r="CFM5" s="2" t="n"/>
      <c r="CFN5" s="2" t="n"/>
      <c r="CFO5" s="2" t="n"/>
      <c r="CFP5" s="2" t="n"/>
      <c r="CFQ5" s="2" t="n"/>
      <c r="CFR5" s="2" t="n"/>
      <c r="CFS5" s="2" t="n"/>
      <c r="CFT5" s="2" t="n"/>
      <c r="CFU5" s="2" t="n"/>
      <c r="CFV5" s="2" t="n"/>
      <c r="CFW5" s="2" t="n"/>
      <c r="CFX5" s="2" t="n"/>
      <c r="CFY5" s="2" t="n"/>
      <c r="CFZ5" s="2" t="n"/>
      <c r="CGA5" s="2" t="n"/>
      <c r="CGB5" s="2" t="n"/>
      <c r="CGC5" s="2" t="n"/>
      <c r="CGD5" s="2" t="n"/>
      <c r="CGE5" s="2" t="n"/>
      <c r="CGF5" s="2" t="n"/>
      <c r="CGG5" s="2" t="n"/>
      <c r="CGH5" s="2" t="n"/>
      <c r="CGI5" s="2" t="n"/>
      <c r="CGJ5" s="2" t="n"/>
      <c r="CGK5" s="2" t="n"/>
      <c r="CGL5" s="2" t="n"/>
      <c r="CGM5" s="2" t="n"/>
      <c r="CGN5" s="2" t="n"/>
      <c r="CGO5" s="2" t="n"/>
      <c r="CGP5" s="2" t="n"/>
      <c r="CGQ5" s="2" t="n"/>
      <c r="CGR5" s="2" t="n"/>
      <c r="CGS5" s="2" t="n"/>
      <c r="CGT5" s="2" t="n"/>
      <c r="CGU5" s="2" t="n"/>
      <c r="CGV5" s="2" t="n"/>
      <c r="CGW5" s="2" t="n"/>
      <c r="CGX5" s="2" t="n"/>
      <c r="CGY5" s="2" t="n"/>
      <c r="CGZ5" s="2" t="n"/>
      <c r="CHA5" s="2" t="n"/>
      <c r="CHB5" s="2" t="n"/>
      <c r="CHC5" s="2" t="n"/>
      <c r="CHD5" s="2" t="n"/>
      <c r="CHE5" s="2" t="n"/>
      <c r="CHF5" s="2" t="n"/>
      <c r="CHG5" s="2" t="n"/>
      <c r="CHH5" s="2" t="n"/>
      <c r="CHI5" s="2" t="n"/>
      <c r="CHJ5" s="2" t="n"/>
      <c r="CHK5" s="2" t="n"/>
      <c r="CHL5" s="2" t="n"/>
      <c r="CHM5" s="2" t="n"/>
      <c r="CHN5" s="2" t="n"/>
      <c r="CHO5" s="2" t="n"/>
      <c r="CHP5" s="2" t="n"/>
      <c r="CHQ5" s="2" t="n"/>
      <c r="CHR5" s="2" t="n"/>
      <c r="CHS5" s="2" t="n"/>
      <c r="CHT5" s="2" t="n"/>
      <c r="CHU5" s="2" t="n"/>
      <c r="CHV5" s="2" t="n"/>
      <c r="CHW5" s="2" t="n"/>
      <c r="CHX5" s="2" t="n"/>
      <c r="CHY5" s="2" t="n"/>
      <c r="CHZ5" s="2" t="n"/>
      <c r="CIA5" s="2" t="n"/>
      <c r="CIB5" s="2" t="n"/>
      <c r="CIC5" s="2" t="n"/>
      <c r="CID5" s="2" t="n"/>
      <c r="CIE5" s="2" t="n"/>
      <c r="CIF5" s="2" t="n"/>
      <c r="CIG5" s="2" t="n"/>
      <c r="CIH5" s="2" t="n"/>
      <c r="CII5" s="2" t="n"/>
      <c r="CIJ5" s="2" t="n"/>
      <c r="CIK5" s="2" t="n"/>
      <c r="CIL5" s="2" t="n"/>
      <c r="CIM5" s="2" t="n"/>
      <c r="CIN5" s="2" t="n"/>
      <c r="CIO5" s="2" t="n"/>
      <c r="CIP5" s="2" t="n"/>
      <c r="CIQ5" s="2" t="n"/>
      <c r="CIR5" s="2" t="n"/>
      <c r="CIS5" s="2" t="n"/>
      <c r="CIT5" s="2" t="n"/>
      <c r="CIU5" s="2" t="n"/>
      <c r="CIV5" s="2" t="n"/>
      <c r="CIW5" s="2" t="n"/>
      <c r="CIX5" s="2" t="n"/>
      <c r="CIY5" s="2" t="n"/>
      <c r="CIZ5" s="2" t="n"/>
      <c r="CJA5" s="2" t="n"/>
      <c r="CJB5" s="2" t="n"/>
      <c r="CJC5" s="2" t="n"/>
      <c r="CJD5" s="2" t="n"/>
      <c r="CJE5" s="2" t="n"/>
      <c r="CJF5" s="2" t="n"/>
      <c r="CJG5" s="2" t="n"/>
      <c r="CJH5" s="2" t="n"/>
      <c r="CJI5" s="2" t="n"/>
      <c r="CJJ5" s="2" t="n"/>
      <c r="CJK5" s="2" t="n"/>
      <c r="CJL5" s="2" t="n"/>
      <c r="CJM5" s="2" t="n"/>
      <c r="CJN5" s="2" t="n"/>
      <c r="CJO5" s="2" t="n"/>
      <c r="CJP5" s="2" t="n"/>
      <c r="CJQ5" s="2" t="n"/>
      <c r="CJR5" s="2" t="n"/>
      <c r="CJS5" s="2" t="n"/>
      <c r="CJT5" s="2" t="n"/>
      <c r="CJU5" s="2" t="n"/>
      <c r="CJV5" s="2" t="n"/>
      <c r="CJW5" s="2" t="n"/>
      <c r="CJX5" s="2" t="n"/>
      <c r="CJY5" s="2" t="n"/>
      <c r="CJZ5" s="2" t="n"/>
      <c r="CKA5" s="2" t="n"/>
      <c r="CKB5" s="2" t="n"/>
      <c r="CKC5" s="2" t="n"/>
      <c r="CKD5" s="2" t="n"/>
      <c r="CKE5" s="2" t="n"/>
      <c r="CKF5" s="2" t="n"/>
      <c r="CKG5" s="2" t="n"/>
      <c r="CKH5" s="2" t="n"/>
      <c r="CKI5" s="2" t="n"/>
      <c r="CKJ5" s="2" t="n"/>
      <c r="CKK5" s="2" t="n"/>
      <c r="CKL5" s="2" t="n"/>
      <c r="CKM5" s="2" t="n"/>
      <c r="CKN5" s="2" t="n"/>
      <c r="CKO5" s="2" t="n"/>
      <c r="CKP5" s="2" t="n"/>
      <c r="CKQ5" s="2" t="n"/>
      <c r="CKR5" s="2" t="n"/>
      <c r="CKS5" s="2" t="n"/>
      <c r="CKT5" s="2" t="n"/>
      <c r="CKU5" s="2" t="n"/>
      <c r="CKV5" s="2" t="n"/>
      <c r="CKW5" s="2" t="n"/>
      <c r="CKX5" s="2" t="n"/>
      <c r="CKY5" s="2" t="n"/>
      <c r="CKZ5" s="2" t="n"/>
      <c r="CLA5" s="2" t="n"/>
      <c r="CLB5" s="2" t="n"/>
      <c r="CLC5" s="2" t="n"/>
      <c r="CLD5" s="2" t="n"/>
      <c r="CLE5" s="2" t="n"/>
      <c r="CLF5" s="2" t="n"/>
      <c r="CLG5" s="2" t="n"/>
      <c r="CLH5" s="2" t="n"/>
      <c r="CLI5" s="2" t="n"/>
      <c r="CLJ5" s="2" t="n"/>
      <c r="CLK5" s="2" t="n"/>
      <c r="CLL5" s="2" t="n"/>
      <c r="CLM5" s="2" t="n"/>
      <c r="CLN5" s="2" t="n"/>
      <c r="CLO5" s="2" t="n"/>
      <c r="CLP5" s="2" t="n"/>
      <c r="CLQ5" s="2" t="n"/>
      <c r="CLR5" s="2" t="n"/>
      <c r="CLS5" s="2" t="n"/>
      <c r="CLT5" s="2" t="n"/>
      <c r="CLU5" s="2" t="n"/>
      <c r="CLV5" s="2" t="n"/>
      <c r="CLW5" s="2" t="n"/>
      <c r="CLX5" s="2" t="n"/>
      <c r="CLY5" s="2" t="n"/>
      <c r="CLZ5" s="2" t="n"/>
      <c r="CMA5" s="2" t="n"/>
      <c r="CMB5" s="2" t="n"/>
      <c r="CMC5" s="2" t="n"/>
      <c r="CMD5" s="2" t="n"/>
      <c r="CME5" s="2" t="n"/>
      <c r="CMF5" s="2" t="n"/>
      <c r="CMG5" s="2" t="n"/>
      <c r="CMH5" s="2" t="n"/>
      <c r="CMI5" s="2" t="n"/>
      <c r="CMJ5" s="2" t="n"/>
      <c r="CMK5" s="2" t="n"/>
      <c r="CML5" s="2" t="n"/>
      <c r="CMM5" s="2" t="n"/>
      <c r="CMN5" s="2" t="n"/>
      <c r="CMO5" s="2" t="n"/>
      <c r="CMP5" s="2" t="n"/>
      <c r="CMQ5" s="2" t="n"/>
      <c r="CMR5" s="2" t="n"/>
      <c r="CMS5" s="2" t="n"/>
      <c r="CMT5" s="2" t="n"/>
      <c r="CMU5" s="2" t="n"/>
      <c r="CMV5" s="2" t="n"/>
      <c r="CMW5" s="2" t="n"/>
      <c r="CMX5" s="2" t="n"/>
      <c r="CMY5" s="2" t="n"/>
      <c r="CMZ5" s="2" t="n"/>
      <c r="CNA5" s="2" t="n"/>
      <c r="CNB5" s="2" t="n"/>
      <c r="CNC5" s="2" t="n"/>
      <c r="CND5" s="2" t="n"/>
      <c r="CNE5" s="2" t="n"/>
      <c r="CNF5" s="2" t="n"/>
      <c r="CNG5" s="2" t="n"/>
      <c r="CNH5" s="2" t="n"/>
      <c r="CNI5" s="2" t="n"/>
      <c r="CNJ5" s="2" t="n"/>
      <c r="CNK5" s="2" t="n"/>
      <c r="CNL5" s="2" t="n"/>
      <c r="CNM5" s="2" t="n"/>
      <c r="CNN5" s="2" t="n"/>
      <c r="CNO5" s="2" t="n"/>
      <c r="CNP5" s="2" t="n"/>
      <c r="CNQ5" s="2" t="n"/>
      <c r="CNR5" s="2" t="n"/>
      <c r="CNS5" s="2" t="n"/>
      <c r="CNT5" s="2" t="n"/>
      <c r="CNU5" s="2" t="n"/>
      <c r="CNV5" s="2" t="n"/>
      <c r="CNW5" s="2" t="n"/>
      <c r="CNX5" s="2" t="n"/>
      <c r="CNY5" s="2" t="n"/>
      <c r="CNZ5" s="2" t="n"/>
      <c r="COA5" s="2" t="n"/>
      <c r="COB5" s="2" t="n"/>
      <c r="COC5" s="2" t="n"/>
      <c r="COD5" s="2" t="n"/>
      <c r="COE5" s="2" t="n"/>
      <c r="COF5" s="2" t="n"/>
      <c r="COG5" s="2" t="n"/>
      <c r="COH5" s="2" t="n"/>
      <c r="COI5" s="2" t="n"/>
      <c r="COJ5" s="2" t="n"/>
      <c r="COK5" s="2" t="n"/>
      <c r="COL5" s="2" t="n"/>
      <c r="COM5" s="2" t="n"/>
      <c r="CON5" s="2" t="n"/>
      <c r="COO5" s="2" t="n"/>
      <c r="COP5" s="2" t="n"/>
      <c r="COQ5" s="2" t="n"/>
      <c r="COR5" s="2" t="n"/>
      <c r="COS5" s="2" t="n"/>
      <c r="COT5" s="2" t="n"/>
      <c r="COU5" s="2" t="n"/>
      <c r="COV5" s="2" t="n"/>
      <c r="COW5" s="2" t="n"/>
      <c r="COX5" s="2" t="n"/>
      <c r="COY5" s="2" t="n"/>
      <c r="COZ5" s="2" t="n"/>
      <c r="CPA5" s="2" t="n"/>
      <c r="CPB5" s="2" t="n"/>
      <c r="CPC5" s="2" t="n"/>
      <c r="CPD5" s="2" t="n"/>
      <c r="CPE5" s="2" t="n"/>
      <c r="CPF5" s="2" t="n"/>
      <c r="CPG5" s="2" t="n"/>
      <c r="CPH5" s="2" t="n"/>
      <c r="CPI5" s="2" t="n"/>
      <c r="CPJ5" s="2" t="n"/>
      <c r="CPK5" s="2" t="n"/>
      <c r="CPL5" s="2" t="n"/>
      <c r="CPM5" s="2" t="n"/>
      <c r="CPN5" s="2" t="n"/>
      <c r="CPO5" s="2" t="n"/>
      <c r="CPP5" s="2" t="n"/>
      <c r="CPQ5" s="2" t="n"/>
      <c r="CPR5" s="2" t="n"/>
      <c r="CPS5" s="2" t="n"/>
      <c r="CPT5" s="2" t="n"/>
      <c r="CPU5" s="2" t="n"/>
      <c r="CPV5" s="2" t="n"/>
      <c r="CPW5" s="2" t="n"/>
      <c r="CPX5" s="2" t="n"/>
      <c r="CPY5" s="2" t="n"/>
      <c r="CPZ5" s="2" t="n"/>
      <c r="CQA5" s="2" t="n"/>
      <c r="CQB5" s="2" t="n"/>
      <c r="CQC5" s="2" t="n"/>
      <c r="CQD5" s="2" t="n"/>
      <c r="CQE5" s="2" t="n"/>
      <c r="CQF5" s="2" t="n"/>
      <c r="CQG5" s="2" t="n"/>
      <c r="CQH5" s="2" t="n"/>
      <c r="CQI5" s="2" t="n"/>
      <c r="CQJ5" s="2" t="n"/>
      <c r="CQK5" s="2" t="n"/>
      <c r="CQL5" s="2" t="n"/>
      <c r="CQM5" s="2" t="n"/>
      <c r="CQN5" s="2" t="n"/>
      <c r="CQO5" s="2" t="n"/>
      <c r="CQP5" s="2" t="n"/>
      <c r="CQQ5" s="2" t="n"/>
      <c r="CQR5" s="2" t="n"/>
      <c r="CQS5" s="2" t="n"/>
      <c r="CQT5" s="2" t="n"/>
      <c r="CQU5" s="2" t="n"/>
      <c r="CQV5" s="2" t="n"/>
      <c r="CQW5" s="2" t="n"/>
      <c r="CQX5" s="2" t="n"/>
      <c r="CQY5" s="2" t="n"/>
      <c r="CQZ5" s="2" t="n"/>
      <c r="CRA5" s="2" t="n"/>
      <c r="CRB5" s="2" t="n"/>
      <c r="CRC5" s="2" t="n"/>
      <c r="CRD5" s="2" t="n"/>
      <c r="CRE5" s="2" t="n"/>
      <c r="CRF5" s="2" t="n"/>
      <c r="CRG5" s="2" t="n"/>
      <c r="CRH5" s="2" t="n"/>
      <c r="CRI5" s="2" t="n"/>
      <c r="CRJ5" s="2" t="n"/>
      <c r="CRK5" s="2" t="n"/>
      <c r="CRL5" s="2" t="n"/>
      <c r="CRM5" s="2" t="n"/>
      <c r="CRN5" s="2" t="n"/>
      <c r="CRO5" s="2" t="n"/>
      <c r="CRP5" s="2" t="n"/>
      <c r="CRQ5" s="2" t="n"/>
      <c r="CRR5" s="2" t="n"/>
      <c r="CRS5" s="2" t="n"/>
      <c r="CRT5" s="2" t="n"/>
      <c r="CRU5" s="2" t="n"/>
      <c r="CRV5" s="2" t="n"/>
      <c r="CRW5" s="2" t="n"/>
      <c r="CRX5" s="2" t="n"/>
      <c r="CRY5" s="2" t="n"/>
      <c r="CRZ5" s="2" t="n"/>
      <c r="CSA5" s="2" t="n"/>
      <c r="CSB5" s="2" t="n"/>
      <c r="CSC5" s="2" t="n"/>
      <c r="CSD5" s="2" t="n"/>
      <c r="CSE5" s="2" t="n"/>
      <c r="CSF5" s="2" t="n"/>
      <c r="CSG5" s="2" t="n"/>
      <c r="CSH5" s="2" t="n"/>
      <c r="CSI5" s="2" t="n"/>
      <c r="CSJ5" s="2" t="n"/>
      <c r="CSK5" s="2" t="n"/>
      <c r="CSL5" s="2" t="n"/>
      <c r="CSM5" s="2" t="n"/>
      <c r="CSN5" s="2" t="n"/>
      <c r="CSO5" s="2" t="n"/>
      <c r="CSP5" s="2" t="n"/>
      <c r="CSQ5" s="2" t="n"/>
      <c r="CSR5" s="2" t="n"/>
      <c r="CSS5" s="2" t="n"/>
      <c r="CST5" s="2" t="n"/>
      <c r="CSU5" s="2" t="n"/>
      <c r="CSV5" s="2" t="n"/>
      <c r="CSW5" s="2" t="n"/>
      <c r="CSX5" s="2" t="n"/>
      <c r="CSY5" s="2" t="n"/>
      <c r="CSZ5" s="2" t="n"/>
      <c r="CTA5" s="2" t="n"/>
      <c r="CTB5" s="2" t="n"/>
      <c r="CTC5" s="2" t="n"/>
      <c r="CTD5" s="2" t="n"/>
      <c r="CTE5" s="2" t="n"/>
      <c r="CTF5" s="2" t="n"/>
      <c r="CTG5" s="2" t="n"/>
      <c r="CTH5" s="2" t="n"/>
      <c r="CTI5" s="2" t="n"/>
      <c r="CTJ5" s="2" t="n"/>
      <c r="CTK5" s="2" t="n"/>
      <c r="CTL5" s="2" t="n"/>
      <c r="CTM5" s="2" t="n"/>
      <c r="CTN5" s="2" t="n"/>
      <c r="CTO5" s="2" t="n"/>
      <c r="CTP5" s="2" t="n"/>
      <c r="CTQ5" s="2" t="n"/>
      <c r="CTR5" s="2" t="n"/>
      <c r="CTS5" s="2" t="n"/>
      <c r="CTT5" s="2" t="n"/>
      <c r="CTU5" s="2" t="n"/>
      <c r="CTV5" s="2" t="n"/>
      <c r="CTW5" s="2" t="n"/>
      <c r="CTX5" s="2" t="n"/>
      <c r="CTY5" s="2" t="n"/>
      <c r="CTZ5" s="2" t="n"/>
      <c r="CUA5" s="2" t="n"/>
      <c r="CUB5" s="2" t="n"/>
      <c r="CUC5" s="2" t="n"/>
      <c r="CUD5" s="2" t="n"/>
      <c r="CUE5" s="2" t="n"/>
      <c r="CUF5" s="2" t="n"/>
      <c r="CUG5" s="2" t="n"/>
      <c r="CUH5" s="2" t="n"/>
      <c r="CUI5" s="2" t="n"/>
      <c r="CUJ5" s="2" t="n"/>
      <c r="CUK5" s="2" t="n"/>
      <c r="CUL5" s="2" t="n"/>
      <c r="CUM5" s="2" t="n"/>
      <c r="CUN5" s="2" t="n"/>
      <c r="CUO5" s="2" t="n"/>
      <c r="CUP5" s="2" t="n"/>
      <c r="CUQ5" s="2" t="n"/>
      <c r="CUR5" s="2" t="n"/>
      <c r="CUS5" s="2" t="n"/>
      <c r="CUT5" s="2" t="n"/>
      <c r="CUU5" s="2" t="n"/>
      <c r="CUV5" s="2" t="n"/>
      <c r="CUW5" s="2" t="n"/>
      <c r="CUX5" s="2" t="n"/>
      <c r="CUY5" s="2" t="n"/>
      <c r="CUZ5" s="2" t="n"/>
      <c r="CVA5" s="2" t="n"/>
      <c r="CVB5" s="2" t="n"/>
      <c r="CVC5" s="2" t="n"/>
      <c r="CVD5" s="2" t="n"/>
      <c r="CVE5" s="2" t="n"/>
      <c r="CVF5" s="2" t="n"/>
      <c r="CVG5" s="2" t="n"/>
      <c r="CVH5" s="2" t="n"/>
      <c r="CVI5" s="2" t="n"/>
      <c r="CVJ5" s="2" t="n"/>
      <c r="CVK5" s="2" t="n"/>
      <c r="CVL5" s="2" t="n"/>
      <c r="CVM5" s="2" t="n"/>
      <c r="CVN5" s="2" t="n"/>
      <c r="CVO5" s="2" t="n"/>
      <c r="CVP5" s="2" t="n"/>
      <c r="CVQ5" s="2" t="n"/>
      <c r="CVR5" s="2" t="n"/>
      <c r="CVS5" s="2" t="n"/>
      <c r="CVT5" s="2" t="n"/>
      <c r="CVU5" s="2" t="n"/>
      <c r="CVV5" s="2" t="n"/>
      <c r="CVW5" s="2" t="n"/>
      <c r="CVX5" s="2" t="n"/>
      <c r="CVY5" s="2" t="n"/>
      <c r="CVZ5" s="2" t="n"/>
      <c r="CWA5" s="2" t="n"/>
      <c r="CWB5" s="2" t="n"/>
      <c r="CWC5" s="2" t="n"/>
      <c r="CWD5" s="2" t="n"/>
      <c r="CWE5" s="2" t="n"/>
      <c r="CWF5" s="2" t="n"/>
      <c r="CWG5" s="2" t="n"/>
      <c r="CWH5" s="2" t="n"/>
      <c r="CWI5" s="2" t="n"/>
      <c r="CWJ5" s="2" t="n"/>
      <c r="CWK5" s="2" t="n"/>
      <c r="CWL5" s="2" t="n"/>
      <c r="CWM5" s="2" t="n"/>
      <c r="CWN5" s="2" t="n"/>
      <c r="CWO5" s="2" t="n"/>
      <c r="CWP5" s="2" t="n"/>
      <c r="CWQ5" s="2" t="n"/>
      <c r="CWR5" s="2" t="n"/>
      <c r="CWS5" s="2" t="n"/>
      <c r="CWT5" s="2" t="n"/>
      <c r="CWU5" s="2" t="n"/>
      <c r="CWV5" s="2" t="n"/>
      <c r="CWW5" s="2" t="n"/>
      <c r="CWX5" s="2" t="n"/>
      <c r="CWY5" s="2" t="n"/>
      <c r="CWZ5" s="2" t="n"/>
      <c r="CXA5" s="2" t="n"/>
      <c r="CXB5" s="2" t="n"/>
      <c r="CXC5" s="2" t="n"/>
      <c r="CXD5" s="2" t="n"/>
      <c r="CXE5" s="2" t="n"/>
      <c r="CXF5" s="2" t="n"/>
      <c r="CXG5" s="2" t="n"/>
      <c r="CXH5" s="2" t="n"/>
      <c r="CXI5" s="2" t="n"/>
      <c r="CXJ5" s="2" t="n"/>
      <c r="CXK5" s="2" t="n"/>
      <c r="CXL5" s="2" t="n"/>
      <c r="CXM5" s="2" t="n"/>
      <c r="CXN5" s="2" t="n"/>
      <c r="CXO5" s="2" t="n"/>
      <c r="CXP5" s="2" t="n"/>
      <c r="CXQ5" s="2" t="n"/>
      <c r="CXR5" s="2" t="n"/>
      <c r="CXS5" s="2" t="n"/>
      <c r="CXT5" s="2" t="n"/>
      <c r="CXU5" s="2" t="n"/>
      <c r="CXV5" s="2" t="n"/>
      <c r="CXW5" s="2" t="n"/>
      <c r="CXX5" s="2" t="n"/>
      <c r="CXY5" s="2" t="n"/>
      <c r="CXZ5" s="2" t="n"/>
      <c r="CYA5" s="2" t="n"/>
      <c r="CYB5" s="2" t="n"/>
      <c r="CYC5" s="2" t="n"/>
      <c r="CYD5" s="2" t="n"/>
      <c r="CYE5" s="2" t="n"/>
      <c r="CYF5" s="2" t="n"/>
      <c r="CYG5" s="2" t="n"/>
      <c r="CYH5" s="2" t="n"/>
      <c r="CYI5" s="2" t="n"/>
      <c r="CYJ5" s="2" t="n"/>
      <c r="CYK5" s="2" t="n"/>
      <c r="CYL5" s="2" t="n"/>
      <c r="CYM5" s="2" t="n"/>
      <c r="CYN5" s="2" t="n"/>
      <c r="CYO5" s="2" t="n"/>
      <c r="CYP5" s="2" t="n"/>
      <c r="CYQ5" s="2" t="n"/>
      <c r="CYR5" s="2" t="n"/>
      <c r="CYS5" s="2" t="n"/>
      <c r="CYT5" s="2" t="n"/>
      <c r="CYU5" s="2" t="n"/>
      <c r="CYV5" s="2" t="n"/>
      <c r="CYW5" s="2" t="n"/>
      <c r="CYX5" s="2" t="n"/>
      <c r="CYY5" s="2" t="n"/>
      <c r="CYZ5" s="2" t="n"/>
      <c r="CZA5" s="2" t="n"/>
      <c r="CZB5" s="2" t="n"/>
      <c r="CZC5" s="2" t="n"/>
      <c r="CZD5" s="2" t="n"/>
      <c r="CZE5" s="2" t="n"/>
      <c r="CZF5" s="2" t="n"/>
      <c r="CZG5" s="2" t="n"/>
      <c r="CZH5" s="2" t="n"/>
      <c r="CZI5" s="2" t="n"/>
      <c r="CZJ5" s="2" t="n"/>
      <c r="CZK5" s="2" t="n"/>
      <c r="CZL5" s="2" t="n"/>
      <c r="CZM5" s="2" t="n"/>
      <c r="CZN5" s="2" t="n"/>
      <c r="CZO5" s="2" t="n"/>
      <c r="CZP5" s="2" t="n"/>
      <c r="CZQ5" s="2" t="n"/>
      <c r="CZR5" s="2" t="n"/>
      <c r="CZS5" s="2" t="n"/>
      <c r="CZT5" s="2" t="n"/>
      <c r="CZU5" s="2" t="n"/>
      <c r="CZV5" s="2" t="n"/>
      <c r="CZW5" s="2" t="n"/>
      <c r="CZX5" s="2" t="n"/>
      <c r="CZY5" s="2" t="n"/>
      <c r="CZZ5" s="2" t="n"/>
      <c r="DAA5" s="2" t="n"/>
      <c r="DAB5" s="2" t="n"/>
      <c r="DAC5" s="2" t="n"/>
      <c r="DAD5" s="2" t="n"/>
      <c r="DAE5" s="2" t="n"/>
      <c r="DAF5" s="2" t="n"/>
      <c r="DAG5" s="2" t="n"/>
      <c r="DAH5" s="2" t="n"/>
      <c r="DAI5" s="2" t="n"/>
      <c r="DAJ5" s="2" t="n"/>
      <c r="DAK5" s="2" t="n"/>
      <c r="DAL5" s="2" t="n"/>
      <c r="DAM5" s="2" t="n"/>
      <c r="DAN5" s="2" t="n"/>
      <c r="DAO5" s="2" t="n"/>
      <c r="DAP5" s="2" t="n"/>
      <c r="DAQ5" s="2" t="n"/>
      <c r="DAR5" s="2" t="n"/>
      <c r="DAS5" s="2" t="n"/>
      <c r="DAT5" s="2" t="n"/>
      <c r="DAU5" s="2" t="n"/>
      <c r="DAV5" s="2" t="n"/>
      <c r="DAW5" s="2" t="n"/>
      <c r="DAX5" s="2" t="n"/>
      <c r="DAY5" s="2" t="n"/>
      <c r="DAZ5" s="2" t="n"/>
      <c r="DBA5" s="2" t="n"/>
      <c r="DBB5" s="2" t="n"/>
      <c r="DBC5" s="2" t="n"/>
      <c r="DBD5" s="2" t="n"/>
      <c r="DBE5" s="2" t="n"/>
      <c r="DBF5" s="2" t="n"/>
      <c r="DBG5" s="2" t="n"/>
      <c r="DBH5" s="2" t="n"/>
      <c r="DBI5" s="2" t="n"/>
      <c r="DBJ5" s="2" t="n"/>
      <c r="DBK5" s="2" t="n"/>
      <c r="DBL5" s="2" t="n"/>
      <c r="DBM5" s="2" t="n"/>
      <c r="DBN5" s="2" t="n"/>
      <c r="DBO5" s="2" t="n"/>
      <c r="DBP5" s="2" t="n"/>
      <c r="DBQ5" s="2" t="n"/>
      <c r="DBR5" s="2" t="n"/>
      <c r="DBS5" s="2" t="n"/>
      <c r="DBT5" s="2" t="n"/>
      <c r="DBU5" s="2" t="n"/>
      <c r="DBV5" s="2" t="n"/>
      <c r="DBW5" s="2" t="n"/>
      <c r="DBX5" s="2" t="n"/>
      <c r="DBY5" s="2" t="n"/>
      <c r="DBZ5" s="2" t="n"/>
      <c r="DCA5" s="2" t="n"/>
      <c r="DCB5" s="2" t="n"/>
      <c r="DCC5" s="2" t="n"/>
      <c r="DCD5" s="2" t="n"/>
      <c r="DCE5" s="2" t="n"/>
      <c r="DCF5" s="2" t="n"/>
      <c r="DCG5" s="2" t="n"/>
      <c r="DCH5" s="2" t="n"/>
      <c r="DCI5" s="2" t="n"/>
      <c r="DCJ5" s="2" t="n"/>
      <c r="DCK5" s="2" t="n"/>
      <c r="DCL5" s="2" t="n"/>
      <c r="DCM5" s="2" t="n"/>
      <c r="DCN5" s="2" t="n"/>
      <c r="DCO5" s="2" t="n"/>
      <c r="DCP5" s="2" t="n"/>
      <c r="DCQ5" s="2" t="n"/>
      <c r="DCR5" s="2" t="n"/>
      <c r="DCS5" s="2" t="n"/>
      <c r="DCT5" s="2" t="n"/>
      <c r="DCU5" s="2" t="n"/>
      <c r="DCV5" s="2" t="n"/>
      <c r="DCW5" s="2" t="n"/>
      <c r="DCX5" s="2" t="n"/>
      <c r="DCY5" s="2" t="n"/>
      <c r="DCZ5" s="2" t="n"/>
      <c r="DDA5" s="2" t="n"/>
      <c r="DDB5" s="2" t="n"/>
      <c r="DDC5" s="2" t="n"/>
      <c r="DDD5" s="2" t="n"/>
      <c r="DDE5" s="2" t="n"/>
      <c r="DDF5" s="2" t="n"/>
      <c r="DDG5" s="2" t="n"/>
      <c r="DDH5" s="2" t="n"/>
      <c r="DDI5" s="2" t="n"/>
      <c r="DDJ5" s="2" t="n"/>
      <c r="DDK5" s="2" t="n"/>
      <c r="DDL5" s="2" t="n"/>
      <c r="DDM5" s="2" t="n"/>
      <c r="DDN5" s="2" t="n"/>
      <c r="DDO5" s="2" t="n"/>
      <c r="DDP5" s="2" t="n"/>
      <c r="DDQ5" s="2" t="n"/>
      <c r="DDR5" s="2" t="n"/>
      <c r="DDS5" s="2" t="n"/>
      <c r="DDT5" s="2" t="n"/>
      <c r="DDU5" s="2" t="n"/>
      <c r="DDV5" s="2" t="n"/>
      <c r="DDW5" s="2" t="n"/>
      <c r="DDX5" s="2" t="n"/>
      <c r="DDY5" s="2" t="n"/>
      <c r="DDZ5" s="2" t="n"/>
      <c r="DEA5" s="2" t="n"/>
      <c r="DEB5" s="2" t="n"/>
      <c r="DEC5" s="2" t="n"/>
      <c r="DED5" s="2" t="n"/>
      <c r="DEE5" s="2" t="n"/>
      <c r="DEF5" s="2" t="n"/>
      <c r="DEG5" s="2" t="n"/>
      <c r="DEH5" s="2" t="n"/>
      <c r="DEI5" s="2" t="n"/>
      <c r="DEJ5" s="2" t="n"/>
      <c r="DEK5" s="2" t="n"/>
      <c r="DEL5" s="2" t="n"/>
      <c r="DEM5" s="2" t="n"/>
      <c r="DEN5" s="2" t="n"/>
      <c r="DEO5" s="2" t="n"/>
      <c r="DEP5" s="2" t="n"/>
      <c r="DEQ5" s="2" t="n"/>
      <c r="DER5" s="2" t="n"/>
      <c r="DES5" s="2" t="n"/>
      <c r="DET5" s="2" t="n"/>
      <c r="DEU5" s="2" t="n"/>
      <c r="DEV5" s="2" t="n"/>
      <c r="DEW5" s="2" t="n"/>
      <c r="DEX5" s="2" t="n"/>
      <c r="DEY5" s="2" t="n"/>
      <c r="DEZ5" s="2" t="n"/>
      <c r="DFA5" s="2" t="n"/>
      <c r="DFB5" s="2" t="n"/>
      <c r="DFC5" s="2" t="n"/>
      <c r="DFD5" s="2" t="n"/>
      <c r="DFE5" s="2" t="n"/>
      <c r="DFF5" s="2" t="n"/>
      <c r="DFG5" s="2" t="n"/>
      <c r="DFH5" s="2" t="n"/>
      <c r="DFI5" s="2" t="n"/>
      <c r="DFJ5" s="2" t="n"/>
      <c r="DFK5" s="2" t="n"/>
      <c r="DFL5" s="2" t="n"/>
      <c r="DFM5" s="2" t="n"/>
      <c r="DFN5" s="2" t="n"/>
      <c r="DFO5" s="2" t="n"/>
      <c r="DFP5" s="2" t="n"/>
      <c r="DFQ5" s="2" t="n"/>
      <c r="DFR5" s="2" t="n"/>
      <c r="DFS5" s="2" t="n"/>
      <c r="DFT5" s="2" t="n"/>
      <c r="DFU5" s="2" t="n"/>
      <c r="DFV5" s="2" t="n"/>
      <c r="DFW5" s="2" t="n"/>
      <c r="DFX5" s="2" t="n"/>
      <c r="DFY5" s="2" t="n"/>
      <c r="DFZ5" s="2" t="n"/>
      <c r="DGA5" s="2" t="n"/>
      <c r="DGB5" s="2" t="n"/>
      <c r="DGC5" s="2" t="n"/>
      <c r="DGD5" s="2" t="n"/>
      <c r="DGE5" s="2" t="n"/>
      <c r="DGF5" s="2" t="n"/>
      <c r="DGG5" s="2" t="n"/>
      <c r="DGH5" s="2" t="n"/>
      <c r="DGI5" s="2" t="n"/>
      <c r="DGJ5" s="2" t="n"/>
      <c r="DGK5" s="2" t="n"/>
      <c r="DGL5" s="2" t="n"/>
      <c r="DGM5" s="2" t="n"/>
      <c r="DGN5" s="2" t="n"/>
      <c r="DGO5" s="2" t="n"/>
      <c r="DGP5" s="2" t="n"/>
      <c r="DGQ5" s="2" t="n"/>
      <c r="DGR5" s="2" t="n"/>
      <c r="DGS5" s="2" t="n"/>
      <c r="DGT5" s="2" t="n"/>
      <c r="DGU5" s="2" t="n"/>
      <c r="DGV5" s="2" t="n"/>
      <c r="DGW5" s="2" t="n"/>
      <c r="DGX5" s="2" t="n"/>
      <c r="DGY5" s="2" t="n"/>
      <c r="DGZ5" s="2" t="n"/>
      <c r="DHA5" s="2" t="n"/>
      <c r="DHB5" s="2" t="n"/>
      <c r="DHC5" s="2" t="n"/>
      <c r="DHD5" s="2" t="n"/>
      <c r="DHE5" s="2" t="n"/>
      <c r="DHF5" s="2" t="n"/>
      <c r="DHG5" s="2" t="n"/>
      <c r="DHH5" s="2" t="n"/>
      <c r="DHI5" s="2" t="n"/>
      <c r="DHJ5" s="2" t="n"/>
      <c r="DHK5" s="2" t="n"/>
      <c r="DHL5" s="2" t="n"/>
      <c r="DHM5" s="2" t="n"/>
      <c r="DHN5" s="2" t="n"/>
      <c r="DHO5" s="2" t="n"/>
      <c r="DHP5" s="2" t="n"/>
      <c r="DHQ5" s="2" t="n"/>
      <c r="DHR5" s="2" t="n"/>
      <c r="DHS5" s="2" t="n"/>
      <c r="DHT5" s="2" t="n"/>
      <c r="DHU5" s="2" t="n"/>
      <c r="DHV5" s="2" t="n"/>
      <c r="DHW5" s="2" t="n"/>
      <c r="DHX5" s="2" t="n"/>
      <c r="DHY5" s="2" t="n"/>
      <c r="DHZ5" s="2" t="n"/>
      <c r="DIA5" s="2" t="n"/>
      <c r="DIB5" s="2" t="n"/>
      <c r="DIC5" s="2" t="n"/>
      <c r="DID5" s="2" t="n"/>
      <c r="DIE5" s="2" t="n"/>
      <c r="DIF5" s="2" t="n"/>
      <c r="DIG5" s="2" t="n"/>
      <c r="DIH5" s="2" t="n"/>
      <c r="DII5" s="2" t="n"/>
      <c r="DIJ5" s="2" t="n"/>
      <c r="DIK5" s="2" t="n"/>
      <c r="DIL5" s="2" t="n"/>
      <c r="DIM5" s="2" t="n"/>
      <c r="DIN5" s="2" t="n"/>
      <c r="DIO5" s="2" t="n"/>
      <c r="DIP5" s="2" t="n"/>
      <c r="DIQ5" s="2" t="n"/>
      <c r="DIR5" s="2" t="n"/>
      <c r="DIS5" s="2" t="n"/>
      <c r="DIT5" s="2" t="n"/>
      <c r="DIU5" s="2" t="n"/>
      <c r="DIV5" s="2" t="n"/>
      <c r="DIW5" s="2" t="n"/>
      <c r="DIX5" s="2" t="n"/>
      <c r="DIY5" s="2" t="n"/>
      <c r="DIZ5" s="2" t="n"/>
      <c r="DJA5" s="2" t="n"/>
      <c r="DJB5" s="2" t="n"/>
      <c r="DJC5" s="2" t="n"/>
      <c r="DJD5" s="2" t="n"/>
      <c r="DJE5" s="2" t="n"/>
      <c r="DJF5" s="2" t="n"/>
      <c r="DJG5" s="2" t="n"/>
      <c r="DJH5" s="2" t="n"/>
      <c r="DJI5" s="2" t="n"/>
      <c r="DJJ5" s="2" t="n"/>
      <c r="DJK5" s="2" t="n"/>
      <c r="DJL5" s="2" t="n"/>
      <c r="DJM5" s="2" t="n"/>
      <c r="DJN5" s="2" t="n"/>
      <c r="DJO5" s="2" t="n"/>
      <c r="DJP5" s="2" t="n"/>
      <c r="DJQ5" s="2" t="n"/>
      <c r="DJR5" s="2" t="n"/>
      <c r="DJS5" s="2" t="n"/>
      <c r="DJT5" s="2" t="n"/>
      <c r="DJU5" s="2" t="n"/>
      <c r="DJV5" s="2" t="n"/>
      <c r="DJW5" s="2" t="n"/>
      <c r="DJX5" s="2" t="n"/>
      <c r="DJY5" s="2" t="n"/>
      <c r="DJZ5" s="2" t="n"/>
      <c r="DKA5" s="2" t="n"/>
      <c r="DKB5" s="2" t="n"/>
      <c r="DKC5" s="2" t="n"/>
      <c r="DKD5" s="2" t="n"/>
      <c r="DKE5" s="2" t="n"/>
      <c r="DKF5" s="2" t="n"/>
      <c r="DKG5" s="2" t="n"/>
      <c r="DKH5" s="2" t="n"/>
      <c r="DKI5" s="2" t="n"/>
      <c r="DKJ5" s="2" t="n"/>
      <c r="DKK5" s="2" t="n"/>
      <c r="DKL5" s="2" t="n"/>
      <c r="DKM5" s="2" t="n"/>
      <c r="DKN5" s="2" t="n"/>
      <c r="DKO5" s="2" t="n"/>
      <c r="DKP5" s="2" t="n"/>
      <c r="DKQ5" s="2" t="n"/>
      <c r="DKR5" s="2" t="n"/>
      <c r="DKS5" s="2" t="n"/>
      <c r="DKT5" s="2" t="n"/>
      <c r="DKU5" s="2" t="n"/>
      <c r="DKV5" s="2" t="n"/>
      <c r="DKW5" s="2" t="n"/>
      <c r="DKX5" s="2" t="n"/>
      <c r="DKY5" s="2" t="n"/>
      <c r="DKZ5" s="2" t="n"/>
      <c r="DLA5" s="2" t="n"/>
      <c r="DLB5" s="2" t="n"/>
      <c r="DLC5" s="2" t="n"/>
      <c r="DLD5" s="2" t="n"/>
      <c r="DLE5" s="2" t="n"/>
      <c r="DLF5" s="2" t="n"/>
      <c r="DLG5" s="2" t="n"/>
      <c r="DLH5" s="2" t="n"/>
      <c r="DLI5" s="2" t="n"/>
      <c r="DLJ5" s="2" t="n"/>
      <c r="DLK5" s="2" t="n"/>
      <c r="DLL5" s="2" t="n"/>
      <c r="DLM5" s="2" t="n"/>
      <c r="DLN5" s="2" t="n"/>
      <c r="DLO5" s="2" t="n"/>
      <c r="DLP5" s="2" t="n"/>
      <c r="DLQ5" s="2" t="n"/>
      <c r="DLR5" s="2" t="n"/>
      <c r="DLS5" s="2" t="n"/>
      <c r="DLT5" s="2" t="n"/>
      <c r="DLU5" s="2" t="n"/>
      <c r="DLV5" s="2" t="n"/>
      <c r="DLW5" s="2" t="n"/>
      <c r="DLX5" s="2" t="n"/>
      <c r="DLY5" s="2" t="n"/>
      <c r="DLZ5" s="2" t="n"/>
      <c r="DMA5" s="2" t="n"/>
      <c r="DMB5" s="2" t="n"/>
      <c r="DMC5" s="2" t="n"/>
      <c r="DMD5" s="2" t="n"/>
      <c r="DME5" s="2" t="n"/>
      <c r="DMF5" s="2" t="n"/>
      <c r="DMG5" s="2" t="n"/>
      <c r="DMH5" s="2" t="n"/>
      <c r="DMI5" s="2" t="n"/>
      <c r="DMJ5" s="2" t="n"/>
      <c r="DMK5" s="2" t="n"/>
      <c r="DML5" s="2" t="n"/>
      <c r="DMM5" s="2" t="n"/>
      <c r="DMN5" s="2" t="n"/>
      <c r="DMO5" s="2" t="n"/>
      <c r="DMP5" s="2" t="n"/>
      <c r="DMQ5" s="2" t="n"/>
      <c r="DMR5" s="2" t="n"/>
      <c r="DMS5" s="2" t="n"/>
      <c r="DMT5" s="2" t="n"/>
      <c r="DMU5" s="2" t="n"/>
      <c r="DMV5" s="2" t="n"/>
      <c r="DMW5" s="2" t="n"/>
      <c r="DMX5" s="2" t="n"/>
      <c r="DMY5" s="2" t="n"/>
      <c r="DMZ5" s="2" t="n"/>
      <c r="DNA5" s="2" t="n"/>
      <c r="DNB5" s="2" t="n"/>
      <c r="DNC5" s="2" t="n"/>
      <c r="DND5" s="2" t="n"/>
      <c r="DNE5" s="2" t="n"/>
      <c r="DNF5" s="2" t="n"/>
      <c r="DNG5" s="2" t="n"/>
      <c r="DNH5" s="2" t="n"/>
      <c r="DNI5" s="2" t="n"/>
      <c r="DNJ5" s="2" t="n"/>
      <c r="DNK5" s="2" t="n"/>
      <c r="DNL5" s="2" t="n"/>
      <c r="DNM5" s="2" t="n"/>
      <c r="DNN5" s="2" t="n"/>
      <c r="DNO5" s="2" t="n"/>
      <c r="DNP5" s="2" t="n"/>
      <c r="DNQ5" s="2" t="n"/>
      <c r="DNR5" s="2" t="n"/>
      <c r="DNS5" s="2" t="n"/>
      <c r="DNT5" s="2" t="n"/>
      <c r="DNU5" s="2" t="n"/>
      <c r="DNV5" s="2" t="n"/>
      <c r="DNW5" s="2" t="n"/>
      <c r="DNX5" s="2" t="n"/>
      <c r="DNY5" s="2" t="n"/>
      <c r="DNZ5" s="2" t="n"/>
      <c r="DOA5" s="2" t="n"/>
      <c r="DOB5" s="2" t="n"/>
      <c r="DOC5" s="2" t="n"/>
      <c r="DOD5" s="2" t="n"/>
      <c r="DOE5" s="2" t="n"/>
      <c r="DOF5" s="2" t="n"/>
      <c r="DOG5" s="2" t="n"/>
      <c r="DOH5" s="2" t="n"/>
      <c r="DOI5" s="2" t="n"/>
      <c r="DOJ5" s="2" t="n"/>
      <c r="DOK5" s="2" t="n"/>
      <c r="DOL5" s="2" t="n"/>
      <c r="DOM5" s="2" t="n"/>
      <c r="DON5" s="2" t="n"/>
      <c r="DOO5" s="2" t="n"/>
      <c r="DOP5" s="2" t="n"/>
      <c r="DOQ5" s="2" t="n"/>
      <c r="DOR5" s="2" t="n"/>
      <c r="DOS5" s="2" t="n"/>
      <c r="DOT5" s="2" t="n"/>
      <c r="DOU5" s="2" t="n"/>
      <c r="DOV5" s="2" t="n"/>
      <c r="DOW5" s="2" t="n"/>
      <c r="DOX5" s="2" t="n"/>
      <c r="DOY5" s="2" t="n"/>
      <c r="DOZ5" s="2" t="n"/>
      <c r="DPA5" s="2" t="n"/>
      <c r="DPB5" s="2" t="n"/>
      <c r="DPC5" s="2" t="n"/>
      <c r="DPD5" s="2" t="n"/>
      <c r="DPE5" s="2" t="n"/>
      <c r="DPF5" s="2" t="n"/>
      <c r="DPG5" s="2" t="n"/>
      <c r="DPH5" s="2" t="n"/>
      <c r="DPI5" s="2" t="n"/>
      <c r="DPJ5" s="2" t="n"/>
      <c r="DPK5" s="2" t="n"/>
      <c r="DPL5" s="2" t="n"/>
      <c r="DPM5" s="2" t="n"/>
      <c r="DPN5" s="2" t="n"/>
      <c r="DPO5" s="2" t="n"/>
      <c r="DPP5" s="2" t="n"/>
      <c r="DPQ5" s="2" t="n"/>
      <c r="DPR5" s="2" t="n"/>
      <c r="DPS5" s="2" t="n"/>
      <c r="DPT5" s="2" t="n"/>
      <c r="DPU5" s="2" t="n"/>
      <c r="DPV5" s="2" t="n"/>
      <c r="DPW5" s="2" t="n"/>
      <c r="DPX5" s="2" t="n"/>
      <c r="DPY5" s="2" t="n"/>
      <c r="DPZ5" s="2" t="n"/>
      <c r="DQA5" s="2" t="n"/>
      <c r="DQB5" s="2" t="n"/>
      <c r="DQC5" s="2" t="n"/>
      <c r="DQD5" s="2" t="n"/>
      <c r="DQE5" s="2" t="n"/>
      <c r="DQF5" s="2" t="n"/>
      <c r="DQG5" s="2" t="n"/>
      <c r="DQH5" s="2" t="n"/>
      <c r="DQI5" s="2" t="n"/>
      <c r="DQJ5" s="2" t="n"/>
      <c r="DQK5" s="2" t="n"/>
      <c r="DQL5" s="2" t="n"/>
      <c r="DQM5" s="2" t="n"/>
      <c r="DQN5" s="2" t="n"/>
      <c r="DQO5" s="2" t="n"/>
      <c r="DQP5" s="2" t="n"/>
      <c r="DQQ5" s="2" t="n"/>
      <c r="DQR5" s="2" t="n"/>
      <c r="DQS5" s="2" t="n"/>
      <c r="DQT5" s="2" t="n"/>
      <c r="DQU5" s="2" t="n"/>
      <c r="DQV5" s="2" t="n"/>
      <c r="DQW5" s="2" t="n"/>
      <c r="DQX5" s="2" t="n"/>
      <c r="DQY5" s="2" t="n"/>
      <c r="DQZ5" s="2" t="n"/>
      <c r="DRA5" s="2" t="n"/>
      <c r="DRB5" s="2" t="n"/>
      <c r="DRC5" s="2" t="n"/>
      <c r="DRD5" s="2" t="n"/>
      <c r="DRE5" s="2" t="n"/>
      <c r="DRF5" s="2" t="n"/>
      <c r="DRG5" s="2" t="n"/>
      <c r="DRH5" s="2" t="n"/>
      <c r="DRI5" s="2" t="n"/>
      <c r="DRJ5" s="2" t="n"/>
      <c r="DRK5" s="2" t="n"/>
      <c r="DRL5" s="2" t="n"/>
      <c r="DRM5" s="2" t="n"/>
      <c r="DRN5" s="2" t="n"/>
      <c r="DRO5" s="2" t="n"/>
      <c r="DRP5" s="2" t="n"/>
      <c r="DRQ5" s="2" t="n"/>
      <c r="DRR5" s="2" t="n"/>
      <c r="DRS5" s="2" t="n"/>
      <c r="DRT5" s="2" t="n"/>
      <c r="DRU5" s="2" t="n"/>
      <c r="DRV5" s="2" t="n"/>
      <c r="DRW5" s="2" t="n"/>
      <c r="DRX5" s="2" t="n"/>
      <c r="DRY5" s="2" t="n"/>
      <c r="DRZ5" s="2" t="n"/>
      <c r="DSA5" s="2" t="n"/>
      <c r="DSB5" s="2" t="n"/>
      <c r="DSC5" s="2" t="n"/>
      <c r="DSD5" s="2" t="n"/>
      <c r="DSE5" s="2" t="n"/>
      <c r="DSF5" s="2" t="n"/>
      <c r="DSG5" s="2" t="n"/>
      <c r="DSH5" s="2" t="n"/>
      <c r="DSI5" s="2" t="n"/>
      <c r="DSJ5" s="2" t="n"/>
      <c r="DSK5" s="2" t="n"/>
      <c r="DSL5" s="2" t="n"/>
      <c r="DSM5" s="2" t="n"/>
      <c r="DSN5" s="2" t="n"/>
      <c r="DSO5" s="2" t="n"/>
      <c r="DSP5" s="2" t="n"/>
      <c r="DSQ5" s="2" t="n"/>
      <c r="DSR5" s="2" t="n"/>
      <c r="DSS5" s="2" t="n"/>
      <c r="DST5" s="2" t="n"/>
      <c r="DSU5" s="2" t="n"/>
      <c r="DSV5" s="2" t="n"/>
      <c r="DSW5" s="2" t="n"/>
      <c r="DSX5" s="2" t="n"/>
      <c r="DSY5" s="2" t="n"/>
      <c r="DSZ5" s="2" t="n"/>
      <c r="DTA5" s="2" t="n"/>
      <c r="DTB5" s="2" t="n"/>
      <c r="DTC5" s="2" t="n"/>
      <c r="DTD5" s="2" t="n"/>
      <c r="DTE5" s="2" t="n"/>
      <c r="DTF5" s="2" t="n"/>
      <c r="DTG5" s="2" t="n"/>
      <c r="DTH5" s="2" t="n"/>
      <c r="DTI5" s="2" t="n"/>
      <c r="DTJ5" s="2" t="n"/>
      <c r="DTK5" s="2" t="n"/>
      <c r="DTL5" s="2" t="n"/>
      <c r="DTM5" s="2" t="n"/>
      <c r="DTN5" s="2" t="n"/>
      <c r="DTO5" s="2" t="n"/>
      <c r="DTP5" s="2" t="n"/>
      <c r="DTQ5" s="2" t="n"/>
      <c r="DTR5" s="2" t="n"/>
      <c r="DTS5" s="2" t="n"/>
      <c r="DTT5" s="2" t="n"/>
      <c r="DTU5" s="2" t="n"/>
      <c r="DTV5" s="2" t="n"/>
      <c r="DTW5" s="2" t="n"/>
      <c r="DTX5" s="2" t="n"/>
      <c r="DTY5" s="2" t="n"/>
      <c r="DTZ5" s="2" t="n"/>
      <c r="DUA5" s="2" t="n"/>
      <c r="DUB5" s="2" t="n"/>
      <c r="DUC5" s="2" t="n"/>
      <c r="DUD5" s="2" t="n"/>
      <c r="DUE5" s="2" t="n"/>
      <c r="DUF5" s="2" t="n"/>
      <c r="DUG5" s="2" t="n"/>
      <c r="DUH5" s="2" t="n"/>
      <c r="DUI5" s="2" t="n"/>
      <c r="DUJ5" s="2" t="n"/>
      <c r="DUK5" s="2" t="n"/>
      <c r="DUL5" s="2" t="n"/>
      <c r="DUM5" s="2" t="n"/>
      <c r="DUN5" s="2" t="n"/>
      <c r="DUO5" s="2" t="n"/>
      <c r="DUP5" s="2" t="n"/>
      <c r="DUQ5" s="2" t="n"/>
      <c r="DUR5" s="2" t="n"/>
      <c r="DUS5" s="2" t="n"/>
      <c r="DUT5" s="2" t="n"/>
      <c r="DUU5" s="2" t="n"/>
      <c r="DUV5" s="2" t="n"/>
      <c r="DUW5" s="2" t="n"/>
      <c r="DUX5" s="2" t="n"/>
      <c r="DUY5" s="2" t="n"/>
      <c r="DUZ5" s="2" t="n"/>
      <c r="DVA5" s="2" t="n"/>
      <c r="DVB5" s="2" t="n"/>
      <c r="DVC5" s="2" t="n"/>
      <c r="DVD5" s="2" t="n"/>
      <c r="DVE5" s="2" t="n"/>
      <c r="DVF5" s="2" t="n"/>
      <c r="DVG5" s="2" t="n"/>
      <c r="DVH5" s="2" t="n"/>
      <c r="DVI5" s="2" t="n"/>
      <c r="DVJ5" s="2" t="n"/>
      <c r="DVK5" s="2" t="n"/>
      <c r="DVL5" s="2" t="n"/>
      <c r="DVM5" s="2" t="n"/>
      <c r="DVN5" s="2" t="n"/>
      <c r="DVO5" s="2" t="n"/>
      <c r="DVP5" s="2" t="n"/>
      <c r="DVQ5" s="2" t="n"/>
      <c r="DVR5" s="2" t="n"/>
      <c r="DVS5" s="2" t="n"/>
      <c r="DVT5" s="2" t="n"/>
      <c r="DVU5" s="2" t="n"/>
      <c r="DVV5" s="2" t="n"/>
      <c r="DVW5" s="2" t="n"/>
      <c r="DVX5" s="2" t="n"/>
      <c r="DVY5" s="2" t="n"/>
      <c r="DVZ5" s="2" t="n"/>
      <c r="DWA5" s="2" t="n"/>
      <c r="DWB5" s="2" t="n"/>
      <c r="DWC5" s="2" t="n"/>
      <c r="DWD5" s="2" t="n"/>
      <c r="DWE5" s="2" t="n"/>
      <c r="DWF5" s="2" t="n"/>
      <c r="DWG5" s="2" t="n"/>
      <c r="DWH5" s="2" t="n"/>
      <c r="DWI5" s="2" t="n"/>
      <c r="DWJ5" s="2" t="n"/>
      <c r="DWK5" s="2" t="n"/>
      <c r="DWL5" s="2" t="n"/>
      <c r="DWM5" s="2" t="n"/>
      <c r="DWN5" s="2" t="n"/>
      <c r="DWO5" s="2" t="n"/>
      <c r="DWP5" s="2" t="n"/>
      <c r="DWQ5" s="2" t="n"/>
      <c r="DWR5" s="2" t="n"/>
      <c r="DWS5" s="2" t="n"/>
      <c r="DWT5" s="2" t="n"/>
      <c r="DWU5" s="2" t="n"/>
      <c r="DWV5" s="2" t="n"/>
      <c r="DWW5" s="2" t="n"/>
      <c r="DWX5" s="2" t="n"/>
      <c r="DWY5" s="2" t="n"/>
      <c r="DWZ5" s="2" t="n"/>
      <c r="DXA5" s="2" t="n"/>
      <c r="DXB5" s="2" t="n"/>
      <c r="DXC5" s="2" t="n"/>
      <c r="DXD5" s="2" t="n"/>
      <c r="DXE5" s="2" t="n"/>
      <c r="DXF5" s="2" t="n"/>
      <c r="DXG5" s="2" t="n"/>
      <c r="DXH5" s="2" t="n"/>
      <c r="DXI5" s="2" t="n"/>
      <c r="DXJ5" s="2" t="n"/>
      <c r="DXK5" s="2" t="n"/>
      <c r="DXL5" s="2" t="n"/>
      <c r="DXM5" s="2" t="n"/>
      <c r="DXN5" s="2" t="n"/>
      <c r="DXO5" s="2" t="n"/>
      <c r="DXP5" s="2" t="n"/>
      <c r="DXQ5" s="2" t="n"/>
      <c r="DXR5" s="2" t="n"/>
      <c r="DXS5" s="2" t="n"/>
      <c r="DXT5" s="2" t="n"/>
      <c r="DXU5" s="2" t="n"/>
      <c r="DXV5" s="2" t="n"/>
      <c r="DXW5" s="2" t="n"/>
      <c r="DXX5" s="2" t="n"/>
      <c r="DXY5" s="2" t="n"/>
      <c r="DXZ5" s="2" t="n"/>
      <c r="DYA5" s="2" t="n"/>
      <c r="DYB5" s="2" t="n"/>
      <c r="DYC5" s="2" t="n"/>
      <c r="DYD5" s="2" t="n"/>
      <c r="DYE5" s="2" t="n"/>
      <c r="DYF5" s="2" t="n"/>
      <c r="DYG5" s="2" t="n"/>
      <c r="DYH5" s="2" t="n"/>
      <c r="DYI5" s="2" t="n"/>
      <c r="DYJ5" s="2" t="n"/>
      <c r="DYK5" s="2" t="n"/>
      <c r="DYL5" s="2" t="n"/>
      <c r="DYM5" s="2" t="n"/>
      <c r="DYN5" s="2" t="n"/>
      <c r="DYO5" s="2" t="n"/>
      <c r="DYP5" s="2" t="n"/>
      <c r="DYQ5" s="2" t="n"/>
      <c r="DYR5" s="2" t="n"/>
      <c r="DYS5" s="2" t="n"/>
      <c r="DYT5" s="2" t="n"/>
      <c r="DYU5" s="2" t="n"/>
      <c r="DYV5" s="2" t="n"/>
      <c r="DYW5" s="2" t="n"/>
      <c r="DYX5" s="2" t="n"/>
      <c r="DYY5" s="2" t="n"/>
      <c r="DYZ5" s="2" t="n"/>
      <c r="DZA5" s="2" t="n"/>
      <c r="DZB5" s="2" t="n"/>
      <c r="DZC5" s="2" t="n"/>
      <c r="DZD5" s="2" t="n"/>
      <c r="DZE5" s="2" t="n"/>
      <c r="DZF5" s="2" t="n"/>
      <c r="DZG5" s="2" t="n"/>
      <c r="DZH5" s="2" t="n"/>
      <c r="DZI5" s="2" t="n"/>
      <c r="DZJ5" s="2" t="n"/>
      <c r="DZK5" s="2" t="n"/>
      <c r="DZL5" s="2" t="n"/>
      <c r="DZM5" s="2" t="n"/>
      <c r="DZN5" s="2" t="n"/>
      <c r="DZO5" s="2" t="n"/>
      <c r="DZP5" s="2" t="n"/>
      <c r="DZQ5" s="2" t="n"/>
      <c r="DZR5" s="2" t="n"/>
      <c r="DZS5" s="2" t="n"/>
      <c r="DZT5" s="2" t="n"/>
      <c r="DZU5" s="2" t="n"/>
      <c r="DZV5" s="2" t="n"/>
      <c r="DZW5" s="2" t="n"/>
      <c r="DZX5" s="2" t="n"/>
      <c r="DZY5" s="2" t="n"/>
      <c r="DZZ5" s="2" t="n"/>
      <c r="EAA5" s="2" t="n"/>
      <c r="EAB5" s="2" t="n"/>
      <c r="EAC5" s="2" t="n"/>
      <c r="EAD5" s="2" t="n"/>
      <c r="EAE5" s="2" t="n"/>
      <c r="EAF5" s="2" t="n"/>
      <c r="EAG5" s="2" t="n"/>
      <c r="EAH5" s="2" t="n"/>
      <c r="EAI5" s="2" t="n"/>
      <c r="EAJ5" s="2" t="n"/>
      <c r="EAK5" s="2" t="n"/>
      <c r="EAL5" s="2" t="n"/>
      <c r="EAM5" s="2" t="n"/>
      <c r="EAN5" s="2" t="n"/>
      <c r="EAO5" s="2" t="n"/>
      <c r="EAP5" s="2" t="n"/>
      <c r="EAQ5" s="2" t="n"/>
      <c r="EAR5" s="2" t="n"/>
      <c r="EAS5" s="2" t="n"/>
      <c r="EAT5" s="2" t="n"/>
      <c r="EAU5" s="2" t="n"/>
      <c r="EAV5" s="2" t="n"/>
      <c r="EAW5" s="2" t="n"/>
      <c r="EAX5" s="2" t="n"/>
      <c r="EAY5" s="2" t="n"/>
      <c r="EAZ5" s="2" t="n"/>
      <c r="EBA5" s="2" t="n"/>
      <c r="EBB5" s="2" t="n"/>
      <c r="EBC5" s="2" t="n"/>
      <c r="EBD5" s="2" t="n"/>
      <c r="EBE5" s="2" t="n"/>
      <c r="EBF5" s="2" t="n"/>
      <c r="EBG5" s="2" t="n"/>
      <c r="EBH5" s="2" t="n"/>
      <c r="EBI5" s="2" t="n"/>
      <c r="EBJ5" s="2" t="n"/>
      <c r="EBK5" s="2" t="n"/>
      <c r="EBL5" s="2" t="n"/>
      <c r="EBM5" s="2" t="n"/>
      <c r="EBN5" s="2" t="n"/>
      <c r="EBO5" s="2" t="n"/>
      <c r="EBP5" s="2" t="n"/>
      <c r="EBQ5" s="2" t="n"/>
      <c r="EBR5" s="2" t="n"/>
      <c r="EBS5" s="2" t="n"/>
      <c r="EBT5" s="2" t="n"/>
      <c r="EBU5" s="2" t="n"/>
      <c r="EBV5" s="2" t="n"/>
      <c r="EBW5" s="2" t="n"/>
      <c r="EBX5" s="2" t="n"/>
      <c r="EBY5" s="2" t="n"/>
      <c r="EBZ5" s="2" t="n"/>
      <c r="ECA5" s="2" t="n"/>
      <c r="ECB5" s="2" t="n"/>
      <c r="ECC5" s="2" t="n"/>
      <c r="ECD5" s="2" t="n"/>
      <c r="ECE5" s="2" t="n"/>
      <c r="ECF5" s="2" t="n"/>
      <c r="ECG5" s="2" t="n"/>
      <c r="ECH5" s="2" t="n"/>
      <c r="ECI5" s="2" t="n"/>
      <c r="ECJ5" s="2" t="n"/>
      <c r="ECK5" s="2" t="n"/>
      <c r="ECL5" s="2" t="n"/>
      <c r="ECM5" s="2" t="n"/>
      <c r="ECN5" s="2" t="n"/>
      <c r="ECO5" s="2" t="n"/>
      <c r="ECP5" s="2" t="n"/>
      <c r="ECQ5" s="2" t="n"/>
      <c r="ECR5" s="2" t="n"/>
      <c r="ECS5" s="2" t="n"/>
      <c r="ECT5" s="2" t="n"/>
      <c r="ECU5" s="2" t="n"/>
      <c r="ECV5" s="2" t="n"/>
      <c r="ECW5" s="2" t="n"/>
      <c r="ECX5" s="2" t="n"/>
      <c r="ECY5" s="2" t="n"/>
      <c r="ECZ5" s="2" t="n"/>
      <c r="EDA5" s="2" t="n"/>
      <c r="EDB5" s="2" t="n"/>
      <c r="EDC5" s="2" t="n"/>
      <c r="EDD5" s="2" t="n"/>
      <c r="EDE5" s="2" t="n"/>
      <c r="EDF5" s="2" t="n"/>
      <c r="EDG5" s="2" t="n"/>
      <c r="EDH5" s="2" t="n"/>
      <c r="EDI5" s="2" t="n"/>
      <c r="EDJ5" s="2" t="n"/>
      <c r="EDK5" s="2" t="n"/>
      <c r="EDL5" s="2" t="n"/>
      <c r="EDM5" s="2" t="n"/>
      <c r="EDN5" s="2" t="n"/>
      <c r="EDO5" s="2" t="n"/>
      <c r="EDP5" s="2" t="n"/>
      <c r="EDQ5" s="2" t="n"/>
      <c r="EDR5" s="2" t="n"/>
      <c r="EDS5" s="2" t="n"/>
      <c r="EDT5" s="2" t="n"/>
      <c r="EDU5" s="2" t="n"/>
      <c r="EDV5" s="2" t="n"/>
      <c r="EDW5" s="2" t="n"/>
      <c r="EDX5" s="2" t="n"/>
      <c r="EDY5" s="2" t="n"/>
      <c r="EDZ5" s="2" t="n"/>
      <c r="EEA5" s="2" t="n"/>
      <c r="EEB5" s="2" t="n"/>
      <c r="EEC5" s="2" t="n"/>
      <c r="EED5" s="2" t="n"/>
      <c r="EEE5" s="2" t="n"/>
      <c r="EEF5" s="2" t="n"/>
      <c r="EEG5" s="2" t="n"/>
      <c r="EEH5" s="2" t="n"/>
      <c r="EEI5" s="2" t="n"/>
      <c r="EEJ5" s="2" t="n"/>
      <c r="EEK5" s="2" t="n"/>
      <c r="EEL5" s="2" t="n"/>
      <c r="EEM5" s="2" t="n"/>
      <c r="EEN5" s="2" t="n"/>
      <c r="EEO5" s="2" t="n"/>
      <c r="EEP5" s="2" t="n"/>
      <c r="EEQ5" s="2" t="n"/>
      <c r="EER5" s="2" t="n"/>
      <c r="EES5" s="2" t="n"/>
      <c r="EET5" s="2" t="n"/>
      <c r="EEU5" s="2" t="n"/>
      <c r="EEV5" s="2" t="n"/>
      <c r="EEW5" s="2" t="n"/>
      <c r="EEX5" s="2" t="n"/>
      <c r="EEY5" s="2" t="n"/>
      <c r="EEZ5" s="2" t="n"/>
      <c r="EFA5" s="2" t="n"/>
      <c r="EFB5" s="2" t="n"/>
      <c r="EFC5" s="2" t="n"/>
      <c r="EFD5" s="2" t="n"/>
      <c r="EFE5" s="2" t="n"/>
      <c r="EFF5" s="2" t="n"/>
      <c r="EFG5" s="2" t="n"/>
      <c r="EFH5" s="2" t="n"/>
      <c r="EFI5" s="2" t="n"/>
      <c r="EFJ5" s="2" t="n"/>
      <c r="EFK5" s="2" t="n"/>
      <c r="EFL5" s="2" t="n"/>
      <c r="EFM5" s="2" t="n"/>
      <c r="EFN5" s="2" t="n"/>
      <c r="EFO5" s="2" t="n"/>
      <c r="EFP5" s="2" t="n"/>
      <c r="EFQ5" s="2" t="n"/>
      <c r="EFR5" s="2" t="n"/>
      <c r="EFS5" s="2" t="n"/>
      <c r="EFT5" s="2" t="n"/>
      <c r="EFU5" s="2" t="n"/>
      <c r="EFV5" s="2" t="n"/>
      <c r="EFW5" s="2" t="n"/>
      <c r="EFX5" s="2" t="n"/>
      <c r="EFY5" s="2" t="n"/>
      <c r="EFZ5" s="2" t="n"/>
      <c r="EGA5" s="2" t="n"/>
      <c r="EGB5" s="2" t="n"/>
      <c r="EGC5" s="2" t="n"/>
      <c r="EGD5" s="2" t="n"/>
      <c r="EGE5" s="2" t="n"/>
      <c r="EGF5" s="2" t="n"/>
      <c r="EGG5" s="2" t="n"/>
      <c r="EGH5" s="2" t="n"/>
      <c r="EGI5" s="2" t="n"/>
      <c r="EGJ5" s="2" t="n"/>
      <c r="EGK5" s="2" t="n"/>
      <c r="EGL5" s="2" t="n"/>
      <c r="EGM5" s="2" t="n"/>
      <c r="EGN5" s="2" t="n"/>
      <c r="EGO5" s="2" t="n"/>
      <c r="EGP5" s="2" t="n"/>
      <c r="EGQ5" s="2" t="n"/>
      <c r="EGR5" s="2" t="n"/>
      <c r="EGS5" s="2" t="n"/>
      <c r="EGT5" s="2" t="n"/>
      <c r="EGU5" s="2" t="n"/>
      <c r="EGV5" s="2" t="n"/>
      <c r="EGW5" s="2" t="n"/>
      <c r="EGX5" s="2" t="n"/>
      <c r="EGY5" s="2" t="n"/>
      <c r="EGZ5" s="2" t="n"/>
      <c r="EHA5" s="2" t="n"/>
      <c r="EHB5" s="2" t="n"/>
      <c r="EHC5" s="2" t="n"/>
      <c r="EHD5" s="2" t="n"/>
      <c r="EHE5" s="2" t="n"/>
      <c r="EHF5" s="2" t="n"/>
      <c r="EHG5" s="2" t="n"/>
      <c r="EHH5" s="2" t="n"/>
      <c r="EHI5" s="2" t="n"/>
      <c r="EHJ5" s="2" t="n"/>
      <c r="EHK5" s="2" t="n"/>
      <c r="EHL5" s="2" t="n"/>
      <c r="EHM5" s="2" t="n"/>
      <c r="EHN5" s="2" t="n"/>
      <c r="EHO5" s="2" t="n"/>
      <c r="EHP5" s="2" t="n"/>
      <c r="EHQ5" s="2" t="n"/>
      <c r="EHR5" s="2" t="n"/>
      <c r="EHS5" s="2" t="n"/>
      <c r="EHT5" s="2" t="n"/>
      <c r="EHU5" s="2" t="n"/>
      <c r="EHV5" s="2" t="n"/>
      <c r="EHW5" s="2" t="n"/>
      <c r="EHX5" s="2" t="n"/>
      <c r="EHY5" s="2" t="n"/>
      <c r="EHZ5" s="2" t="n"/>
      <c r="EIA5" s="2" t="n"/>
      <c r="EIB5" s="2" t="n"/>
      <c r="EIC5" s="2" t="n"/>
      <c r="EID5" s="2" t="n"/>
      <c r="EIE5" s="2" t="n"/>
      <c r="EIF5" s="2" t="n"/>
      <c r="EIG5" s="2" t="n"/>
      <c r="EIH5" s="2" t="n"/>
      <c r="EII5" s="2" t="n"/>
      <c r="EIJ5" s="2" t="n"/>
      <c r="EIK5" s="2" t="n"/>
      <c r="EIL5" s="2" t="n"/>
      <c r="EIM5" s="2" t="n"/>
      <c r="EIN5" s="2" t="n"/>
      <c r="EIO5" s="2" t="n"/>
      <c r="EIP5" s="2" t="n"/>
      <c r="EIQ5" s="2" t="n"/>
      <c r="EIR5" s="2" t="n"/>
      <c r="EIS5" s="2" t="n"/>
      <c r="EIT5" s="2" t="n"/>
      <c r="EIU5" s="2" t="n"/>
      <c r="EIV5" s="2" t="n"/>
      <c r="EIW5" s="2" t="n"/>
      <c r="EIX5" s="2" t="n"/>
      <c r="EIY5" s="2" t="n"/>
      <c r="EIZ5" s="2" t="n"/>
      <c r="EJA5" s="2" t="n"/>
      <c r="EJB5" s="2" t="n"/>
      <c r="EJC5" s="2" t="n"/>
      <c r="EJD5" s="2" t="n"/>
      <c r="EJE5" s="2" t="n"/>
      <c r="EJF5" s="2" t="n"/>
      <c r="EJG5" s="2" t="n"/>
      <c r="EJH5" s="2" t="n"/>
      <c r="EJI5" s="2" t="n"/>
      <c r="EJJ5" s="2" t="n"/>
      <c r="EJK5" s="2" t="n"/>
      <c r="EJL5" s="2" t="n"/>
      <c r="EJM5" s="2" t="n"/>
      <c r="EJN5" s="2" t="n"/>
      <c r="EJO5" s="2" t="n"/>
      <c r="EJP5" s="2" t="n"/>
      <c r="EJQ5" s="2" t="n"/>
      <c r="EJR5" s="2" t="n"/>
      <c r="EJS5" s="2" t="n"/>
      <c r="EJT5" s="2" t="n"/>
      <c r="EJU5" s="2" t="n"/>
      <c r="EJV5" s="2" t="n"/>
      <c r="EJW5" s="2" t="n"/>
      <c r="EJX5" s="2" t="n"/>
      <c r="EJY5" s="2" t="n"/>
      <c r="EJZ5" s="2" t="n"/>
      <c r="EKA5" s="2" t="n"/>
      <c r="EKB5" s="2" t="n"/>
      <c r="EKC5" s="2" t="n"/>
      <c r="EKD5" s="2" t="n"/>
      <c r="EKE5" s="2" t="n"/>
      <c r="EKF5" s="2" t="n"/>
      <c r="EKG5" s="2" t="n"/>
      <c r="EKH5" s="2" t="n"/>
      <c r="EKI5" s="2" t="n"/>
      <c r="EKJ5" s="2" t="n"/>
      <c r="EKK5" s="2" t="n"/>
      <c r="EKL5" s="2" t="n"/>
      <c r="EKM5" s="2" t="n"/>
      <c r="EKN5" s="2" t="n"/>
      <c r="EKO5" s="2" t="n"/>
      <c r="EKP5" s="2" t="n"/>
      <c r="EKQ5" s="2" t="n"/>
      <c r="EKR5" s="2" t="n"/>
      <c r="EKS5" s="2" t="n"/>
      <c r="EKT5" s="2" t="n"/>
      <c r="EKU5" s="2" t="n"/>
      <c r="EKV5" s="2" t="n"/>
      <c r="EKW5" s="2" t="n"/>
      <c r="EKX5" s="2" t="n"/>
      <c r="EKY5" s="2" t="n"/>
      <c r="EKZ5" s="2" t="n"/>
      <c r="ELA5" s="2" t="n"/>
      <c r="ELB5" s="2" t="n"/>
      <c r="ELC5" s="2" t="n"/>
      <c r="ELD5" s="2" t="n"/>
      <c r="ELE5" s="2" t="n"/>
      <c r="ELF5" s="2" t="n"/>
      <c r="ELG5" s="2" t="n"/>
      <c r="ELH5" s="2" t="n"/>
      <c r="ELI5" s="2" t="n"/>
      <c r="ELJ5" s="2" t="n"/>
      <c r="ELK5" s="2" t="n"/>
      <c r="ELL5" s="2" t="n"/>
      <c r="ELM5" s="2" t="n"/>
      <c r="ELN5" s="2" t="n"/>
      <c r="ELO5" s="2" t="n"/>
      <c r="ELP5" s="2" t="n"/>
      <c r="ELQ5" s="2" t="n"/>
      <c r="ELR5" s="2" t="n"/>
      <c r="ELS5" s="2" t="n"/>
      <c r="ELT5" s="2" t="n"/>
      <c r="ELU5" s="2" t="n"/>
      <c r="ELV5" s="2" t="n"/>
      <c r="ELW5" s="2" t="n"/>
      <c r="ELX5" s="2" t="n"/>
      <c r="ELY5" s="2" t="n"/>
      <c r="ELZ5" s="2" t="n"/>
      <c r="EMA5" s="2" t="n"/>
      <c r="EMB5" s="2" t="n"/>
      <c r="EMC5" s="2" t="n"/>
      <c r="EMD5" s="2" t="n"/>
      <c r="EME5" s="2" t="n"/>
      <c r="EMF5" s="2" t="n"/>
      <c r="EMG5" s="2" t="n"/>
      <c r="EMH5" s="2" t="n"/>
      <c r="EMI5" s="2" t="n"/>
      <c r="EMJ5" s="2" t="n"/>
      <c r="EMK5" s="2" t="n"/>
      <c r="EML5" s="2" t="n"/>
      <c r="EMM5" s="2" t="n"/>
      <c r="EMN5" s="2" t="n"/>
      <c r="EMO5" s="2" t="n"/>
      <c r="EMP5" s="2" t="n"/>
      <c r="EMQ5" s="2" t="n"/>
      <c r="EMR5" s="2" t="n"/>
      <c r="EMS5" s="2" t="n"/>
      <c r="EMT5" s="2" t="n"/>
      <c r="EMU5" s="2" t="n"/>
      <c r="EMV5" s="2" t="n"/>
      <c r="EMW5" s="2" t="n"/>
      <c r="EMX5" s="2" t="n"/>
      <c r="EMY5" s="2" t="n"/>
      <c r="EMZ5" s="2" t="n"/>
      <c r="ENA5" s="2" t="n"/>
      <c r="ENB5" s="2" t="n"/>
      <c r="ENC5" s="2" t="n"/>
      <c r="END5" s="2" t="n"/>
      <c r="ENE5" s="2" t="n"/>
      <c r="ENF5" s="2" t="n"/>
      <c r="ENG5" s="2" t="n"/>
      <c r="ENH5" s="2" t="n"/>
      <c r="ENI5" s="2" t="n"/>
      <c r="ENJ5" s="2" t="n"/>
      <c r="ENK5" s="2" t="n"/>
      <c r="ENL5" s="2" t="n"/>
      <c r="ENM5" s="2" t="n"/>
      <c r="ENN5" s="2" t="n"/>
      <c r="ENO5" s="2" t="n"/>
      <c r="ENP5" s="2" t="n"/>
      <c r="ENQ5" s="2" t="n"/>
      <c r="ENR5" s="2" t="n"/>
      <c r="ENS5" s="2" t="n"/>
      <c r="ENT5" s="2" t="n"/>
      <c r="ENU5" s="2" t="n"/>
      <c r="ENV5" s="2" t="n"/>
      <c r="ENW5" s="2" t="n"/>
      <c r="ENX5" s="2" t="n"/>
      <c r="ENY5" s="2" t="n"/>
      <c r="ENZ5" s="2" t="n"/>
      <c r="EOA5" s="2" t="n"/>
      <c r="EOB5" s="2" t="n"/>
      <c r="EOC5" s="2" t="n"/>
      <c r="EOD5" s="2" t="n"/>
      <c r="EOE5" s="2" t="n"/>
      <c r="EOF5" s="2" t="n"/>
      <c r="EOG5" s="2" t="n"/>
      <c r="EOH5" s="2" t="n"/>
      <c r="EOI5" s="2" t="n"/>
      <c r="EOJ5" s="2" t="n"/>
      <c r="EOK5" s="2" t="n"/>
      <c r="EOL5" s="2" t="n"/>
      <c r="EOM5" s="2" t="n"/>
      <c r="EON5" s="2" t="n"/>
      <c r="EOO5" s="2" t="n"/>
      <c r="EOP5" s="2" t="n"/>
      <c r="EOQ5" s="2" t="n"/>
      <c r="EOR5" s="2" t="n"/>
      <c r="EOS5" s="2" t="n"/>
      <c r="EOT5" s="2" t="n"/>
      <c r="EOU5" s="2" t="n"/>
      <c r="EOV5" s="2" t="n"/>
      <c r="EOW5" s="2" t="n"/>
      <c r="EOX5" s="2" t="n"/>
      <c r="EOY5" s="2" t="n"/>
      <c r="EOZ5" s="2" t="n"/>
      <c r="EPA5" s="2" t="n"/>
      <c r="EPB5" s="2" t="n"/>
      <c r="EPC5" s="2" t="n"/>
      <c r="EPD5" s="2" t="n"/>
      <c r="EPE5" s="2" t="n"/>
      <c r="EPF5" s="2" t="n"/>
      <c r="EPG5" s="2" t="n"/>
      <c r="EPH5" s="2" t="n"/>
      <c r="EPI5" s="2" t="n"/>
      <c r="EPJ5" s="2" t="n"/>
      <c r="EPK5" s="2" t="n"/>
      <c r="EPL5" s="2" t="n"/>
      <c r="EPM5" s="2" t="n"/>
      <c r="EPN5" s="2" t="n"/>
      <c r="EPO5" s="2" t="n"/>
      <c r="EPP5" s="2" t="n"/>
      <c r="EPQ5" s="2" t="n"/>
      <c r="EPR5" s="2" t="n"/>
      <c r="EPS5" s="2" t="n"/>
      <c r="EPT5" s="2" t="n"/>
      <c r="EPU5" s="2" t="n"/>
      <c r="EPV5" s="2" t="n"/>
      <c r="EPW5" s="2" t="n"/>
      <c r="EPX5" s="2" t="n"/>
      <c r="EPY5" s="2" t="n"/>
      <c r="EPZ5" s="2" t="n"/>
      <c r="EQA5" s="2" t="n"/>
      <c r="EQB5" s="2" t="n"/>
      <c r="EQC5" s="2" t="n"/>
      <c r="EQD5" s="2" t="n"/>
      <c r="EQE5" s="2" t="n"/>
      <c r="EQF5" s="2" t="n"/>
      <c r="EQG5" s="2" t="n"/>
      <c r="EQH5" s="2" t="n"/>
      <c r="EQI5" s="2" t="n"/>
      <c r="EQJ5" s="2" t="n"/>
      <c r="EQK5" s="2" t="n"/>
      <c r="EQL5" s="2" t="n"/>
      <c r="EQM5" s="2" t="n"/>
      <c r="EQN5" s="2" t="n"/>
      <c r="EQO5" s="2" t="n"/>
      <c r="EQP5" s="2" t="n"/>
      <c r="EQQ5" s="2" t="n"/>
      <c r="EQR5" s="2" t="n"/>
      <c r="EQS5" s="2" t="n"/>
      <c r="EQT5" s="2" t="n"/>
      <c r="EQU5" s="2" t="n"/>
      <c r="EQV5" s="2" t="n"/>
      <c r="EQW5" s="2" t="n"/>
      <c r="EQX5" s="2" t="n"/>
      <c r="EQY5" s="2" t="n"/>
      <c r="EQZ5" s="2" t="n"/>
      <c r="ERA5" s="2" t="n"/>
      <c r="ERB5" s="2" t="n"/>
      <c r="ERC5" s="2" t="n"/>
      <c r="ERD5" s="2" t="n"/>
      <c r="ERE5" s="2" t="n"/>
      <c r="ERF5" s="2" t="n"/>
      <c r="ERG5" s="2" t="n"/>
      <c r="ERH5" s="2" t="n"/>
      <c r="ERI5" s="2" t="n"/>
      <c r="ERJ5" s="2" t="n"/>
      <c r="ERK5" s="2" t="n"/>
      <c r="ERL5" s="2" t="n"/>
      <c r="ERM5" s="2" t="n"/>
      <c r="ERN5" s="2" t="n"/>
      <c r="ERO5" s="2" t="n"/>
      <c r="ERP5" s="2" t="n"/>
      <c r="ERQ5" s="2" t="n"/>
      <c r="ERR5" s="2" t="n"/>
      <c r="ERS5" s="2" t="n"/>
      <c r="ERT5" s="2" t="n"/>
      <c r="ERU5" s="2" t="n"/>
      <c r="ERV5" s="2" t="n"/>
      <c r="ERW5" s="2" t="n"/>
      <c r="ERX5" s="2" t="n"/>
      <c r="ERY5" s="2" t="n"/>
      <c r="ERZ5" s="2" t="n"/>
      <c r="ESA5" s="2" t="n"/>
      <c r="ESB5" s="2" t="n"/>
      <c r="ESC5" s="2" t="n"/>
      <c r="ESD5" s="2" t="n"/>
      <c r="ESE5" s="2" t="n"/>
      <c r="ESF5" s="2" t="n"/>
      <c r="ESG5" s="2" t="n"/>
      <c r="ESH5" s="2" t="n"/>
      <c r="ESI5" s="2" t="n"/>
      <c r="ESJ5" s="2" t="n"/>
      <c r="ESK5" s="2" t="n"/>
      <c r="ESL5" s="2" t="n"/>
      <c r="ESM5" s="2" t="n"/>
      <c r="ESN5" s="2" t="n"/>
      <c r="ESO5" s="2" t="n"/>
      <c r="ESP5" s="2" t="n"/>
      <c r="ESQ5" s="2" t="n"/>
      <c r="ESR5" s="2" t="n"/>
      <c r="ESS5" s="2" t="n"/>
      <c r="EST5" s="2" t="n"/>
      <c r="ESU5" s="2" t="n"/>
      <c r="ESV5" s="2" t="n"/>
      <c r="ESW5" s="2" t="n"/>
      <c r="ESX5" s="2" t="n"/>
      <c r="ESY5" s="2" t="n"/>
      <c r="ESZ5" s="2" t="n"/>
      <c r="ETA5" s="2" t="n"/>
      <c r="ETB5" s="2" t="n"/>
      <c r="ETC5" s="2" t="n"/>
      <c r="ETD5" s="2" t="n"/>
      <c r="ETE5" s="2" t="n"/>
      <c r="ETF5" s="2" t="n"/>
      <c r="ETG5" s="2" t="n"/>
      <c r="ETH5" s="2" t="n"/>
      <c r="ETI5" s="2" t="n"/>
      <c r="ETJ5" s="2" t="n"/>
      <c r="ETK5" s="2" t="n"/>
      <c r="ETL5" s="2" t="n"/>
      <c r="ETM5" s="2" t="n"/>
      <c r="ETN5" s="2" t="n"/>
      <c r="ETO5" s="2" t="n"/>
      <c r="ETP5" s="2" t="n"/>
      <c r="ETQ5" s="2" t="n"/>
      <c r="ETR5" s="2" t="n"/>
      <c r="ETS5" s="2" t="n"/>
      <c r="ETT5" s="2" t="n"/>
      <c r="ETU5" s="2" t="n"/>
      <c r="ETV5" s="2" t="n"/>
      <c r="ETW5" s="2" t="n"/>
      <c r="ETX5" s="2" t="n"/>
      <c r="ETY5" s="2" t="n"/>
      <c r="ETZ5" s="2" t="n"/>
      <c r="EUA5" s="2" t="n"/>
      <c r="EUB5" s="2" t="n"/>
      <c r="EUC5" s="2" t="n"/>
      <c r="EUD5" s="2" t="n"/>
      <c r="EUE5" s="2" t="n"/>
      <c r="EUF5" s="2" t="n"/>
      <c r="EUG5" s="2" t="n"/>
      <c r="EUH5" s="2" t="n"/>
      <c r="EUI5" s="2" t="n"/>
      <c r="EUJ5" s="2" t="n"/>
      <c r="EUK5" s="2" t="n"/>
      <c r="EUL5" s="2" t="n"/>
      <c r="EUM5" s="2" t="n"/>
      <c r="EUN5" s="2" t="n"/>
      <c r="EUO5" s="2" t="n"/>
      <c r="EUP5" s="2" t="n"/>
      <c r="EUQ5" s="2" t="n"/>
      <c r="EUR5" s="2" t="n"/>
      <c r="EUS5" s="2" t="n"/>
      <c r="EUT5" s="2" t="n"/>
      <c r="EUU5" s="2" t="n"/>
      <c r="EUV5" s="2" t="n"/>
      <c r="EUW5" s="2" t="n"/>
      <c r="EUX5" s="2" t="n"/>
      <c r="EUY5" s="2" t="n"/>
      <c r="EUZ5" s="2" t="n"/>
      <c r="EVA5" s="2" t="n"/>
      <c r="EVB5" s="2" t="n"/>
      <c r="EVC5" s="2" t="n"/>
      <c r="EVD5" s="2" t="n"/>
      <c r="EVE5" s="2" t="n"/>
      <c r="EVF5" s="2" t="n"/>
      <c r="EVG5" s="2" t="n"/>
      <c r="EVH5" s="2" t="n"/>
      <c r="EVI5" s="2" t="n"/>
      <c r="EVJ5" s="2" t="n"/>
      <c r="EVK5" s="2" t="n"/>
      <c r="EVL5" s="2" t="n"/>
      <c r="EVM5" s="2" t="n"/>
      <c r="EVN5" s="2" t="n"/>
      <c r="EVO5" s="2" t="n"/>
      <c r="EVP5" s="2" t="n"/>
      <c r="EVQ5" s="2" t="n"/>
      <c r="EVR5" s="2" t="n"/>
      <c r="EVS5" s="2" t="n"/>
      <c r="EVT5" s="2" t="n"/>
      <c r="EVU5" s="2" t="n"/>
      <c r="EVV5" s="2" t="n"/>
      <c r="EVW5" s="2" t="n"/>
      <c r="EVX5" s="2" t="n"/>
      <c r="EVY5" s="2" t="n"/>
      <c r="EVZ5" s="2" t="n"/>
      <c r="EWA5" s="2" t="n"/>
      <c r="EWB5" s="2" t="n"/>
      <c r="EWC5" s="2" t="n"/>
      <c r="EWD5" s="2" t="n"/>
      <c r="EWE5" s="2" t="n"/>
      <c r="EWF5" s="2" t="n"/>
      <c r="EWG5" s="2" t="n"/>
      <c r="EWH5" s="2" t="n"/>
      <c r="EWI5" s="2" t="n"/>
      <c r="EWJ5" s="2" t="n"/>
      <c r="EWK5" s="2" t="n"/>
      <c r="EWL5" s="2" t="n"/>
      <c r="EWM5" s="2" t="n"/>
      <c r="EWN5" s="2" t="n"/>
      <c r="EWO5" s="2" t="n"/>
      <c r="EWP5" s="2" t="n"/>
      <c r="EWQ5" s="2" t="n"/>
      <c r="EWR5" s="2" t="n"/>
      <c r="EWS5" s="2" t="n"/>
      <c r="EWT5" s="2" t="n"/>
      <c r="EWU5" s="2" t="n"/>
      <c r="EWV5" s="2" t="n"/>
      <c r="EWW5" s="2" t="n"/>
      <c r="EWX5" s="2" t="n"/>
      <c r="EWY5" s="2" t="n"/>
      <c r="EWZ5" s="2" t="n"/>
      <c r="EXA5" s="2" t="n"/>
      <c r="EXB5" s="2" t="n"/>
      <c r="EXC5" s="2" t="n"/>
      <c r="EXD5" s="2" t="n"/>
      <c r="EXE5" s="2" t="n"/>
      <c r="EXF5" s="2" t="n"/>
      <c r="EXG5" s="2" t="n"/>
      <c r="EXH5" s="2" t="n"/>
      <c r="EXI5" s="2" t="n"/>
      <c r="EXJ5" s="2" t="n"/>
      <c r="EXK5" s="2" t="n"/>
      <c r="EXL5" s="2" t="n"/>
      <c r="EXM5" s="2" t="n"/>
      <c r="EXN5" s="2" t="n"/>
      <c r="EXO5" s="2" t="n"/>
      <c r="EXP5" s="2" t="n"/>
      <c r="EXQ5" s="2" t="n"/>
      <c r="EXR5" s="2" t="n"/>
      <c r="EXS5" s="2" t="n"/>
      <c r="EXT5" s="2" t="n"/>
      <c r="EXU5" s="2" t="n"/>
      <c r="EXV5" s="2" t="n"/>
      <c r="EXW5" s="2" t="n"/>
      <c r="EXX5" s="2" t="n"/>
      <c r="EXY5" s="2" t="n"/>
      <c r="EXZ5" s="2" t="n"/>
      <c r="EYA5" s="2" t="n"/>
      <c r="EYB5" s="2" t="n"/>
      <c r="EYC5" s="2" t="n"/>
      <c r="EYD5" s="2" t="n"/>
      <c r="EYE5" s="2" t="n"/>
      <c r="EYF5" s="2" t="n"/>
      <c r="EYG5" s="2" t="n"/>
      <c r="EYH5" s="2" t="n"/>
      <c r="EYI5" s="2" t="n"/>
      <c r="EYJ5" s="2" t="n"/>
      <c r="EYK5" s="2" t="n"/>
      <c r="EYL5" s="2" t="n"/>
      <c r="EYM5" s="2" t="n"/>
      <c r="EYN5" s="2" t="n"/>
      <c r="EYO5" s="2" t="n"/>
      <c r="EYP5" s="2" t="n"/>
      <c r="EYQ5" s="2" t="n"/>
      <c r="EYR5" s="2" t="n"/>
      <c r="EYS5" s="2" t="n"/>
      <c r="EYT5" s="2" t="n"/>
      <c r="EYU5" s="2" t="n"/>
      <c r="EYV5" s="2" t="n"/>
      <c r="EYW5" s="2" t="n"/>
      <c r="EYX5" s="2" t="n"/>
      <c r="EYY5" s="2" t="n"/>
      <c r="EYZ5" s="2" t="n"/>
      <c r="EZA5" s="2" t="n"/>
      <c r="EZB5" s="2" t="n"/>
      <c r="EZC5" s="2" t="n"/>
      <c r="EZD5" s="2" t="n"/>
      <c r="EZE5" s="2" t="n"/>
      <c r="EZF5" s="2" t="n"/>
      <c r="EZG5" s="2" t="n"/>
      <c r="EZH5" s="2" t="n"/>
      <c r="EZI5" s="2" t="n"/>
      <c r="EZJ5" s="2" t="n"/>
      <c r="EZK5" s="2" t="n"/>
      <c r="EZL5" s="2" t="n"/>
      <c r="EZM5" s="2" t="n"/>
      <c r="EZN5" s="2" t="n"/>
      <c r="EZO5" s="2" t="n"/>
      <c r="EZP5" s="2" t="n"/>
      <c r="EZQ5" s="2" t="n"/>
      <c r="EZR5" s="2" t="n"/>
      <c r="EZS5" s="2" t="n"/>
      <c r="EZT5" s="2" t="n"/>
      <c r="EZU5" s="2" t="n"/>
      <c r="EZV5" s="2" t="n"/>
      <c r="EZW5" s="2" t="n"/>
      <c r="EZX5" s="2" t="n"/>
      <c r="EZY5" s="2" t="n"/>
      <c r="EZZ5" s="2" t="n"/>
      <c r="FAA5" s="2" t="n"/>
      <c r="FAB5" s="2" t="n"/>
      <c r="FAC5" s="2" t="n"/>
      <c r="FAD5" s="2" t="n"/>
      <c r="FAE5" s="2" t="n"/>
      <c r="FAF5" s="2" t="n"/>
      <c r="FAG5" s="2" t="n"/>
      <c r="FAH5" s="2" t="n"/>
      <c r="FAI5" s="2" t="n"/>
      <c r="FAJ5" s="2" t="n"/>
      <c r="FAK5" s="2" t="n"/>
      <c r="FAL5" s="2" t="n"/>
      <c r="FAM5" s="2" t="n"/>
      <c r="FAN5" s="2" t="n"/>
      <c r="FAO5" s="2" t="n"/>
      <c r="FAP5" s="2" t="n"/>
      <c r="FAQ5" s="2" t="n"/>
      <c r="FAR5" s="2" t="n"/>
      <c r="FAS5" s="2" t="n"/>
      <c r="FAT5" s="2" t="n"/>
      <c r="FAU5" s="2" t="n"/>
      <c r="FAV5" s="2" t="n"/>
      <c r="FAW5" s="2" t="n"/>
      <c r="FAX5" s="2" t="n"/>
      <c r="FAY5" s="2" t="n"/>
      <c r="FAZ5" s="2" t="n"/>
      <c r="FBA5" s="2" t="n"/>
      <c r="FBB5" s="2" t="n"/>
      <c r="FBC5" s="2" t="n"/>
      <c r="FBD5" s="2" t="n"/>
      <c r="FBE5" s="2" t="n"/>
      <c r="FBF5" s="2" t="n"/>
      <c r="FBG5" s="2" t="n"/>
      <c r="FBH5" s="2" t="n"/>
      <c r="FBI5" s="2" t="n"/>
      <c r="FBJ5" s="2" t="n"/>
      <c r="FBK5" s="2" t="n"/>
      <c r="FBL5" s="2" t="n"/>
      <c r="FBM5" s="2" t="n"/>
      <c r="FBN5" s="2" t="n"/>
      <c r="FBO5" s="2" t="n"/>
      <c r="FBP5" s="2" t="n"/>
      <c r="FBQ5" s="2" t="n"/>
      <c r="FBR5" s="2" t="n"/>
      <c r="FBS5" s="2" t="n"/>
      <c r="FBT5" s="2" t="n"/>
      <c r="FBU5" s="2" t="n"/>
      <c r="FBV5" s="2" t="n"/>
      <c r="FBW5" s="2" t="n"/>
      <c r="FBX5" s="2" t="n"/>
      <c r="FBY5" s="2" t="n"/>
      <c r="FBZ5" s="2" t="n"/>
      <c r="FCA5" s="2" t="n"/>
      <c r="FCB5" s="2" t="n"/>
      <c r="FCC5" s="2" t="n"/>
      <c r="FCD5" s="2" t="n"/>
      <c r="FCE5" s="2" t="n"/>
      <c r="FCF5" s="2" t="n"/>
      <c r="FCG5" s="2" t="n"/>
      <c r="FCH5" s="2" t="n"/>
      <c r="FCI5" s="2" t="n"/>
      <c r="FCJ5" s="2" t="n"/>
      <c r="FCK5" s="2" t="n"/>
      <c r="FCL5" s="2" t="n"/>
      <c r="FCM5" s="2" t="n"/>
      <c r="FCN5" s="2" t="n"/>
      <c r="FCO5" s="2" t="n"/>
      <c r="FCP5" s="2" t="n"/>
      <c r="FCQ5" s="2" t="n"/>
      <c r="FCR5" s="2" t="n"/>
      <c r="FCS5" s="2" t="n"/>
      <c r="FCT5" s="2" t="n"/>
      <c r="FCU5" s="2" t="n"/>
      <c r="FCV5" s="2" t="n"/>
      <c r="FCW5" s="2" t="n"/>
      <c r="FCX5" s="2" t="n"/>
      <c r="FCY5" s="2" t="n"/>
      <c r="FCZ5" s="2" t="n"/>
      <c r="FDA5" s="2" t="n"/>
      <c r="FDB5" s="2" t="n"/>
      <c r="FDC5" s="2" t="n"/>
      <c r="FDD5" s="2" t="n"/>
      <c r="FDE5" s="2" t="n"/>
      <c r="FDF5" s="2" t="n"/>
      <c r="FDG5" s="2" t="n"/>
      <c r="FDH5" s="2" t="n"/>
      <c r="FDI5" s="2" t="n"/>
      <c r="FDJ5" s="2" t="n"/>
      <c r="FDK5" s="2" t="n"/>
      <c r="FDL5" s="2" t="n"/>
      <c r="FDM5" s="2" t="n"/>
      <c r="FDN5" s="2" t="n"/>
      <c r="FDO5" s="2" t="n"/>
      <c r="FDP5" s="2" t="n"/>
      <c r="FDQ5" s="2" t="n"/>
      <c r="FDR5" s="2" t="n"/>
      <c r="FDS5" s="2" t="n"/>
      <c r="FDT5" s="2" t="n"/>
      <c r="FDU5" s="2" t="n"/>
      <c r="FDV5" s="2" t="n"/>
      <c r="FDW5" s="2" t="n"/>
      <c r="FDX5" s="2" t="n"/>
      <c r="FDY5" s="2" t="n"/>
      <c r="FDZ5" s="2" t="n"/>
      <c r="FEA5" s="2" t="n"/>
      <c r="FEB5" s="2" t="n"/>
      <c r="FEC5" s="2" t="n"/>
      <c r="FED5" s="2" t="n"/>
      <c r="FEE5" s="2" t="n"/>
      <c r="FEF5" s="2" t="n"/>
      <c r="FEG5" s="2" t="n"/>
      <c r="FEH5" s="2" t="n"/>
      <c r="FEI5" s="2" t="n"/>
      <c r="FEJ5" s="2" t="n"/>
      <c r="FEK5" s="2" t="n"/>
      <c r="FEL5" s="2" t="n"/>
      <c r="FEM5" s="2" t="n"/>
      <c r="FEN5" s="2" t="n"/>
      <c r="FEO5" s="2" t="n"/>
      <c r="FEP5" s="2" t="n"/>
      <c r="FEQ5" s="2" t="n"/>
      <c r="FER5" s="2" t="n"/>
      <c r="FES5" s="2" t="n"/>
      <c r="FET5" s="2" t="n"/>
      <c r="FEU5" s="2" t="n"/>
      <c r="FEV5" s="2" t="n"/>
      <c r="FEW5" s="2" t="n"/>
      <c r="FEX5" s="2" t="n"/>
      <c r="FEY5" s="2" t="n"/>
      <c r="FEZ5" s="2" t="n"/>
      <c r="FFA5" s="2" t="n"/>
      <c r="FFB5" s="2" t="n"/>
      <c r="FFC5" s="2" t="n"/>
      <c r="FFD5" s="2" t="n"/>
      <c r="FFE5" s="2" t="n"/>
      <c r="FFF5" s="2" t="n"/>
      <c r="FFG5" s="2" t="n"/>
      <c r="FFH5" s="2" t="n"/>
      <c r="FFI5" s="2" t="n"/>
      <c r="FFJ5" s="2" t="n"/>
      <c r="FFK5" s="2" t="n"/>
      <c r="FFL5" s="2" t="n"/>
      <c r="FFM5" s="2" t="n"/>
      <c r="FFN5" s="2" t="n"/>
      <c r="FFO5" s="2" t="n"/>
      <c r="FFP5" s="2" t="n"/>
      <c r="FFQ5" s="2" t="n"/>
      <c r="FFR5" s="2" t="n"/>
      <c r="FFS5" s="2" t="n"/>
      <c r="FFT5" s="2" t="n"/>
      <c r="FFU5" s="2" t="n"/>
      <c r="FFV5" s="2" t="n"/>
      <c r="FFW5" s="2" t="n"/>
      <c r="FFX5" s="2" t="n"/>
      <c r="FFY5" s="2" t="n"/>
      <c r="FFZ5" s="2" t="n"/>
      <c r="FGA5" s="2" t="n"/>
      <c r="FGB5" s="2" t="n"/>
      <c r="FGC5" s="2" t="n"/>
      <c r="FGD5" s="2" t="n"/>
      <c r="FGE5" s="2" t="n"/>
      <c r="FGF5" s="2" t="n"/>
      <c r="FGG5" s="2" t="n"/>
      <c r="FGH5" s="2" t="n"/>
      <c r="FGI5" s="2" t="n"/>
      <c r="FGJ5" s="2" t="n"/>
      <c r="FGK5" s="2" t="n"/>
      <c r="FGL5" s="2" t="n"/>
      <c r="FGM5" s="2" t="n"/>
      <c r="FGN5" s="2" t="n"/>
      <c r="FGO5" s="2" t="n"/>
      <c r="FGP5" s="2" t="n"/>
      <c r="FGQ5" s="2" t="n"/>
      <c r="FGR5" s="2" t="n"/>
      <c r="FGS5" s="2" t="n"/>
      <c r="FGT5" s="2" t="n"/>
      <c r="FGU5" s="2" t="n"/>
      <c r="FGV5" s="2" t="n"/>
      <c r="FGW5" s="2" t="n"/>
      <c r="FGX5" s="2" t="n"/>
      <c r="FGY5" s="2" t="n"/>
      <c r="FGZ5" s="2" t="n"/>
      <c r="FHA5" s="2" t="n"/>
      <c r="FHB5" s="2" t="n"/>
      <c r="FHC5" s="2" t="n"/>
      <c r="FHD5" s="2" t="n"/>
      <c r="FHE5" s="2" t="n"/>
      <c r="FHF5" s="2" t="n"/>
      <c r="FHG5" s="2" t="n"/>
      <c r="FHH5" s="2" t="n"/>
      <c r="FHI5" s="2" t="n"/>
      <c r="FHJ5" s="2" t="n"/>
      <c r="FHK5" s="2" t="n"/>
      <c r="FHL5" s="2" t="n"/>
      <c r="FHM5" s="2" t="n"/>
      <c r="FHN5" s="2" t="n"/>
      <c r="FHO5" s="2" t="n"/>
      <c r="FHP5" s="2" t="n"/>
      <c r="FHQ5" s="2" t="n"/>
      <c r="FHR5" s="2" t="n"/>
      <c r="FHS5" s="2" t="n"/>
      <c r="FHT5" s="2" t="n"/>
      <c r="FHU5" s="2" t="n"/>
      <c r="FHV5" s="2" t="n"/>
      <c r="FHW5" s="2" t="n"/>
      <c r="FHX5" s="2" t="n"/>
      <c r="FHY5" s="2" t="n"/>
      <c r="FHZ5" s="2" t="n"/>
      <c r="FIA5" s="2" t="n"/>
      <c r="FIB5" s="2" t="n"/>
      <c r="FIC5" s="2" t="n"/>
      <c r="FID5" s="2" t="n"/>
      <c r="FIE5" s="2" t="n"/>
      <c r="FIF5" s="2" t="n"/>
      <c r="FIG5" s="2" t="n"/>
      <c r="FIH5" s="2" t="n"/>
      <c r="FII5" s="2" t="n"/>
      <c r="FIJ5" s="2" t="n"/>
      <c r="FIK5" s="2" t="n"/>
      <c r="FIL5" s="2" t="n"/>
      <c r="FIM5" s="2" t="n"/>
      <c r="FIN5" s="2" t="n"/>
      <c r="FIO5" s="2" t="n"/>
      <c r="FIP5" s="2" t="n"/>
      <c r="FIQ5" s="2" t="n"/>
      <c r="FIR5" s="2" t="n"/>
      <c r="FIS5" s="2" t="n"/>
      <c r="FIT5" s="2" t="n"/>
      <c r="FIU5" s="2" t="n"/>
      <c r="FIV5" s="2" t="n"/>
      <c r="FIW5" s="2" t="n"/>
      <c r="FIX5" s="2" t="n"/>
      <c r="FIY5" s="2" t="n"/>
      <c r="FIZ5" s="2" t="n"/>
      <c r="FJA5" s="2" t="n"/>
      <c r="FJB5" s="2" t="n"/>
      <c r="FJC5" s="2" t="n"/>
      <c r="FJD5" s="2" t="n"/>
      <c r="FJE5" s="2" t="n"/>
      <c r="FJF5" s="2" t="n"/>
      <c r="FJG5" s="2" t="n"/>
      <c r="FJH5" s="2" t="n"/>
      <c r="FJI5" s="2" t="n"/>
      <c r="FJJ5" s="2" t="n"/>
      <c r="FJK5" s="2" t="n"/>
      <c r="FJL5" s="2" t="n"/>
      <c r="FJM5" s="2" t="n"/>
      <c r="FJN5" s="2" t="n"/>
      <c r="FJO5" s="2" t="n"/>
      <c r="FJP5" s="2" t="n"/>
      <c r="FJQ5" s="2" t="n"/>
      <c r="FJR5" s="2" t="n"/>
      <c r="FJS5" s="2" t="n"/>
      <c r="FJT5" s="2" t="n"/>
      <c r="FJU5" s="2" t="n"/>
      <c r="FJV5" s="2" t="n"/>
      <c r="FJW5" s="2" t="n"/>
      <c r="FJX5" s="2" t="n"/>
      <c r="FJY5" s="2" t="n"/>
      <c r="FJZ5" s="2" t="n"/>
      <c r="FKA5" s="2" t="n"/>
      <c r="FKB5" s="2" t="n"/>
      <c r="FKC5" s="2" t="n"/>
      <c r="FKD5" s="2" t="n"/>
      <c r="FKE5" s="2" t="n"/>
      <c r="FKF5" s="2" t="n"/>
      <c r="FKG5" s="2" t="n"/>
      <c r="FKH5" s="2" t="n"/>
      <c r="FKI5" s="2" t="n"/>
      <c r="FKJ5" s="2" t="n"/>
      <c r="FKK5" s="2" t="n"/>
      <c r="FKL5" s="2" t="n"/>
      <c r="FKM5" s="2" t="n"/>
      <c r="FKN5" s="2" t="n"/>
      <c r="FKO5" s="2" t="n"/>
      <c r="FKP5" s="2" t="n"/>
      <c r="FKQ5" s="2" t="n"/>
      <c r="FKR5" s="2" t="n"/>
      <c r="FKS5" s="2" t="n"/>
      <c r="FKT5" s="2" t="n"/>
      <c r="FKU5" s="2" t="n"/>
      <c r="FKV5" s="2" t="n"/>
      <c r="FKW5" s="2" t="n"/>
      <c r="FKX5" s="2" t="n"/>
      <c r="FKY5" s="2" t="n"/>
      <c r="FKZ5" s="2" t="n"/>
      <c r="FLA5" s="2" t="n"/>
      <c r="FLB5" s="2" t="n"/>
      <c r="FLC5" s="2" t="n"/>
      <c r="FLD5" s="2" t="n"/>
      <c r="FLE5" s="2" t="n"/>
      <c r="FLF5" s="2" t="n"/>
      <c r="FLG5" s="2" t="n"/>
      <c r="FLH5" s="2" t="n"/>
      <c r="FLI5" s="2" t="n"/>
      <c r="FLJ5" s="2" t="n"/>
      <c r="FLK5" s="2" t="n"/>
      <c r="FLL5" s="2" t="n"/>
      <c r="FLM5" s="2" t="n"/>
      <c r="FLN5" s="2" t="n"/>
      <c r="FLO5" s="2" t="n"/>
      <c r="FLP5" s="2" t="n"/>
      <c r="FLQ5" s="2" t="n"/>
      <c r="FLR5" s="2" t="n"/>
      <c r="FLS5" s="2" t="n"/>
      <c r="FLT5" s="2" t="n"/>
      <c r="FLU5" s="2" t="n"/>
      <c r="FLV5" s="2" t="n"/>
      <c r="FLW5" s="2" t="n"/>
      <c r="FLX5" s="2" t="n"/>
      <c r="FLY5" s="2" t="n"/>
      <c r="FLZ5" s="2" t="n"/>
      <c r="FMA5" s="2" t="n"/>
      <c r="FMB5" s="2" t="n"/>
      <c r="FMC5" s="2" t="n"/>
      <c r="FMD5" s="2" t="n"/>
      <c r="FME5" s="2" t="n"/>
      <c r="FMF5" s="2" t="n"/>
      <c r="FMG5" s="2" t="n"/>
      <c r="FMH5" s="2" t="n"/>
      <c r="FMI5" s="2" t="n"/>
      <c r="FMJ5" s="2" t="n"/>
      <c r="FMK5" s="2" t="n"/>
      <c r="FML5" s="2" t="n"/>
      <c r="FMM5" s="2" t="n"/>
      <c r="FMN5" s="2" t="n"/>
      <c r="FMO5" s="2" t="n"/>
      <c r="FMP5" s="2" t="n"/>
      <c r="FMQ5" s="2" t="n"/>
      <c r="FMR5" s="2" t="n"/>
      <c r="FMS5" s="2" t="n"/>
      <c r="FMT5" s="2" t="n"/>
      <c r="FMU5" s="2" t="n"/>
      <c r="FMV5" s="2" t="n"/>
      <c r="FMW5" s="2" t="n"/>
      <c r="FMX5" s="2" t="n"/>
      <c r="FMY5" s="2" t="n"/>
      <c r="FMZ5" s="2" t="n"/>
      <c r="FNA5" s="2" t="n"/>
      <c r="FNB5" s="2" t="n"/>
      <c r="FNC5" s="2" t="n"/>
      <c r="FND5" s="2" t="n"/>
      <c r="FNE5" s="2" t="n"/>
      <c r="FNF5" s="2" t="n"/>
      <c r="FNG5" s="2" t="n"/>
      <c r="FNH5" s="2" t="n"/>
      <c r="FNI5" s="2" t="n"/>
      <c r="FNJ5" s="2" t="n"/>
      <c r="FNK5" s="2" t="n"/>
      <c r="FNL5" s="2" t="n"/>
      <c r="FNM5" s="2" t="n"/>
      <c r="FNN5" s="2" t="n"/>
      <c r="FNO5" s="2" t="n"/>
      <c r="FNP5" s="2" t="n"/>
      <c r="FNQ5" s="2" t="n"/>
      <c r="FNR5" s="2" t="n"/>
      <c r="FNS5" s="2" t="n"/>
      <c r="FNT5" s="2" t="n"/>
      <c r="FNU5" s="2" t="n"/>
      <c r="FNV5" s="2" t="n"/>
      <c r="FNW5" s="2" t="n"/>
      <c r="FNX5" s="2" t="n"/>
      <c r="FNY5" s="2" t="n"/>
      <c r="FNZ5" s="2" t="n"/>
      <c r="FOA5" s="2" t="n"/>
      <c r="FOB5" s="2" t="n"/>
      <c r="FOC5" s="2" t="n"/>
      <c r="FOD5" s="2" t="n"/>
      <c r="FOE5" s="2" t="n"/>
      <c r="FOF5" s="2" t="n"/>
      <c r="FOG5" s="2" t="n"/>
      <c r="FOH5" s="2" t="n"/>
      <c r="FOI5" s="2" t="n"/>
      <c r="FOJ5" s="2" t="n"/>
      <c r="FOK5" s="2" t="n"/>
      <c r="FOL5" s="2" t="n"/>
      <c r="FOM5" s="2" t="n"/>
      <c r="FON5" s="2" t="n"/>
      <c r="FOO5" s="2" t="n"/>
      <c r="FOP5" s="2" t="n"/>
      <c r="FOQ5" s="2" t="n"/>
      <c r="FOR5" s="2" t="n"/>
      <c r="FOS5" s="2" t="n"/>
      <c r="FOT5" s="2" t="n"/>
      <c r="FOU5" s="2" t="n"/>
      <c r="FOV5" s="2" t="n"/>
      <c r="FOW5" s="2" t="n"/>
      <c r="FOX5" s="2" t="n"/>
      <c r="FOY5" s="2" t="n"/>
      <c r="FOZ5" s="2" t="n"/>
      <c r="FPA5" s="2" t="n"/>
      <c r="FPB5" s="2" t="n"/>
      <c r="FPC5" s="2" t="n"/>
      <c r="FPD5" s="2" t="n"/>
      <c r="FPE5" s="2" t="n"/>
      <c r="FPF5" s="2" t="n"/>
      <c r="FPG5" s="2" t="n"/>
      <c r="FPH5" s="2" t="n"/>
      <c r="FPI5" s="2" t="n"/>
      <c r="FPJ5" s="2" t="n"/>
      <c r="FPK5" s="2" t="n"/>
      <c r="FPL5" s="2" t="n"/>
      <c r="FPM5" s="2" t="n"/>
      <c r="FPN5" s="2" t="n"/>
      <c r="FPO5" s="2" t="n"/>
      <c r="FPP5" s="2" t="n"/>
      <c r="FPQ5" s="2" t="n"/>
      <c r="FPR5" s="2" t="n"/>
      <c r="FPS5" s="2" t="n"/>
      <c r="FPT5" s="2" t="n"/>
      <c r="FPU5" s="2" t="n"/>
      <c r="FPV5" s="2" t="n"/>
      <c r="FPW5" s="2" t="n"/>
      <c r="FPX5" s="2" t="n"/>
      <c r="FPY5" s="2" t="n"/>
      <c r="FPZ5" s="2" t="n"/>
      <c r="FQA5" s="2" t="n"/>
      <c r="FQB5" s="2" t="n"/>
      <c r="FQC5" s="2" t="n"/>
      <c r="FQD5" s="2" t="n"/>
      <c r="FQE5" s="2" t="n"/>
      <c r="FQF5" s="2" t="n"/>
      <c r="FQG5" s="2" t="n"/>
      <c r="FQH5" s="2" t="n"/>
      <c r="FQI5" s="2" t="n"/>
      <c r="FQJ5" s="2" t="n"/>
      <c r="FQK5" s="2" t="n"/>
      <c r="FQL5" s="2" t="n"/>
      <c r="FQM5" s="2" t="n"/>
      <c r="FQN5" s="2" t="n"/>
      <c r="FQO5" s="2" t="n"/>
      <c r="FQP5" s="2" t="n"/>
      <c r="FQQ5" s="2" t="n"/>
      <c r="FQR5" s="2" t="n"/>
      <c r="FQS5" s="2" t="n"/>
      <c r="FQT5" s="2" t="n"/>
      <c r="FQU5" s="2" t="n"/>
      <c r="FQV5" s="2" t="n"/>
      <c r="FQW5" s="2" t="n"/>
      <c r="FQX5" s="2" t="n"/>
      <c r="FQY5" s="2" t="n"/>
      <c r="FQZ5" s="2" t="n"/>
      <c r="FRA5" s="2" t="n"/>
      <c r="FRB5" s="2" t="n"/>
      <c r="FRC5" s="2" t="n"/>
      <c r="FRD5" s="2" t="n"/>
      <c r="FRE5" s="2" t="n"/>
      <c r="FRF5" s="2" t="n"/>
      <c r="FRG5" s="2" t="n"/>
      <c r="FRH5" s="2" t="n"/>
      <c r="FRI5" s="2" t="n"/>
      <c r="FRJ5" s="2" t="n"/>
      <c r="FRK5" s="2" t="n"/>
      <c r="FRL5" s="2" t="n"/>
      <c r="FRM5" s="2" t="n"/>
      <c r="FRN5" s="2" t="n"/>
      <c r="FRO5" s="2" t="n"/>
      <c r="FRP5" s="2" t="n"/>
      <c r="FRQ5" s="2" t="n"/>
      <c r="FRR5" s="2" t="n"/>
      <c r="FRS5" s="2" t="n"/>
      <c r="FRT5" s="2" t="n"/>
      <c r="FRU5" s="2" t="n"/>
      <c r="FRV5" s="2" t="n"/>
      <c r="FRW5" s="2" t="n"/>
      <c r="FRX5" s="2" t="n"/>
      <c r="FRY5" s="2" t="n"/>
      <c r="FRZ5" s="2" t="n"/>
      <c r="FSA5" s="2" t="n"/>
      <c r="FSB5" s="2" t="n"/>
      <c r="FSC5" s="2" t="n"/>
      <c r="FSD5" s="2" t="n"/>
      <c r="FSE5" s="2" t="n"/>
      <c r="FSF5" s="2" t="n"/>
      <c r="FSG5" s="2" t="n"/>
      <c r="FSH5" s="2" t="n"/>
      <c r="FSI5" s="2" t="n"/>
      <c r="FSJ5" s="2" t="n"/>
      <c r="FSK5" s="2" t="n"/>
      <c r="FSL5" s="2" t="n"/>
      <c r="FSM5" s="2" t="n"/>
      <c r="FSN5" s="2" t="n"/>
      <c r="FSO5" s="2" t="n"/>
      <c r="FSP5" s="2" t="n"/>
      <c r="FSQ5" s="2" t="n"/>
      <c r="FSR5" s="2" t="n"/>
      <c r="FSS5" s="2" t="n"/>
      <c r="FST5" s="2" t="n"/>
      <c r="FSU5" s="2" t="n"/>
      <c r="FSV5" s="2" t="n"/>
      <c r="FSW5" s="2" t="n"/>
      <c r="FSX5" s="2" t="n"/>
      <c r="FSY5" s="2" t="n"/>
      <c r="FSZ5" s="2" t="n"/>
      <c r="FTA5" s="2" t="n"/>
      <c r="FTB5" s="2" t="n"/>
      <c r="FTC5" s="2" t="n"/>
      <c r="FTD5" s="2" t="n"/>
      <c r="FTE5" s="2" t="n"/>
      <c r="FTF5" s="2" t="n"/>
      <c r="FTG5" s="2" t="n"/>
      <c r="FTH5" s="2" t="n"/>
      <c r="FTI5" s="2" t="n"/>
      <c r="FTJ5" s="2" t="n"/>
      <c r="FTK5" s="2" t="n"/>
      <c r="FTL5" s="2" t="n"/>
      <c r="FTM5" s="2" t="n"/>
      <c r="FTN5" s="2" t="n"/>
      <c r="FTO5" s="2" t="n"/>
      <c r="FTP5" s="2" t="n"/>
      <c r="FTQ5" s="2" t="n"/>
      <c r="FTR5" s="2" t="n"/>
      <c r="FTS5" s="2" t="n"/>
      <c r="FTT5" s="2" t="n"/>
      <c r="FTU5" s="2" t="n"/>
      <c r="FTV5" s="2" t="n"/>
      <c r="FTW5" s="2" t="n"/>
      <c r="FTX5" s="2" t="n"/>
      <c r="FTY5" s="2" t="n"/>
      <c r="FTZ5" s="2" t="n"/>
      <c r="FUA5" s="2" t="n"/>
      <c r="FUB5" s="2" t="n"/>
      <c r="FUC5" s="2" t="n"/>
      <c r="FUD5" s="2" t="n"/>
      <c r="FUE5" s="2" t="n"/>
      <c r="FUF5" s="2" t="n"/>
      <c r="FUG5" s="2" t="n"/>
      <c r="FUH5" s="2" t="n"/>
      <c r="FUI5" s="2" t="n"/>
      <c r="FUJ5" s="2" t="n"/>
      <c r="FUK5" s="2" t="n"/>
      <c r="FUL5" s="2" t="n"/>
      <c r="FUM5" s="2" t="n"/>
      <c r="FUN5" s="2" t="n"/>
      <c r="FUO5" s="2" t="n"/>
      <c r="FUP5" s="2" t="n"/>
      <c r="FUQ5" s="2" t="n"/>
      <c r="FUR5" s="2" t="n"/>
      <c r="FUS5" s="2" t="n"/>
      <c r="FUT5" s="2" t="n"/>
      <c r="FUU5" s="2" t="n"/>
      <c r="FUV5" s="2" t="n"/>
      <c r="FUW5" s="2" t="n"/>
      <c r="FUX5" s="2" t="n"/>
      <c r="FUY5" s="2" t="n"/>
      <c r="FUZ5" s="2" t="n"/>
      <c r="FVA5" s="2" t="n"/>
      <c r="FVB5" s="2" t="n"/>
      <c r="FVC5" s="2" t="n"/>
      <c r="FVD5" s="2" t="n"/>
      <c r="FVE5" s="2" t="n"/>
      <c r="FVF5" s="2" t="n"/>
      <c r="FVG5" s="2" t="n"/>
      <c r="FVH5" s="2" t="n"/>
      <c r="FVI5" s="2" t="n"/>
      <c r="FVJ5" s="2" t="n"/>
      <c r="FVK5" s="2" t="n"/>
      <c r="FVL5" s="2" t="n"/>
      <c r="FVM5" s="2" t="n"/>
      <c r="FVN5" s="2" t="n"/>
      <c r="FVO5" s="2" t="n"/>
      <c r="FVP5" s="2" t="n"/>
      <c r="FVQ5" s="2" t="n"/>
      <c r="FVR5" s="2" t="n"/>
      <c r="FVS5" s="2" t="n"/>
      <c r="FVT5" s="2" t="n"/>
      <c r="FVU5" s="2" t="n"/>
      <c r="FVV5" s="2" t="n"/>
      <c r="FVW5" s="2" t="n"/>
      <c r="FVX5" s="2" t="n"/>
      <c r="FVY5" s="2" t="n"/>
      <c r="FVZ5" s="2" t="n"/>
      <c r="FWA5" s="2" t="n"/>
      <c r="FWB5" s="2" t="n"/>
      <c r="FWC5" s="2" t="n"/>
      <c r="FWD5" s="2" t="n"/>
      <c r="FWE5" s="2" t="n"/>
      <c r="FWF5" s="2" t="n"/>
      <c r="FWG5" s="2" t="n"/>
      <c r="FWH5" s="2" t="n"/>
      <c r="FWI5" s="2" t="n"/>
      <c r="FWJ5" s="2" t="n"/>
      <c r="FWK5" s="2" t="n"/>
      <c r="FWL5" s="2" t="n"/>
      <c r="FWM5" s="2" t="n"/>
      <c r="FWN5" s="2" t="n"/>
      <c r="FWO5" s="2" t="n"/>
      <c r="FWP5" s="2" t="n"/>
      <c r="FWQ5" s="2" t="n"/>
      <c r="FWR5" s="2" t="n"/>
      <c r="FWS5" s="2" t="n"/>
      <c r="FWT5" s="2" t="n"/>
      <c r="FWU5" s="2" t="n"/>
      <c r="FWV5" s="2" t="n"/>
      <c r="FWW5" s="2" t="n"/>
      <c r="FWX5" s="2" t="n"/>
      <c r="FWY5" s="2" t="n"/>
      <c r="FWZ5" s="2" t="n"/>
      <c r="FXA5" s="2" t="n"/>
      <c r="FXB5" s="2" t="n"/>
      <c r="FXC5" s="2" t="n"/>
      <c r="FXD5" s="2" t="n"/>
      <c r="FXE5" s="2" t="n"/>
      <c r="FXF5" s="2" t="n"/>
      <c r="FXG5" s="2" t="n"/>
      <c r="FXH5" s="2" t="n"/>
      <c r="FXI5" s="2" t="n"/>
      <c r="FXJ5" s="2" t="n"/>
      <c r="FXK5" s="2" t="n"/>
      <c r="FXL5" s="2" t="n"/>
      <c r="FXM5" s="2" t="n"/>
      <c r="FXN5" s="2" t="n"/>
      <c r="FXO5" s="2" t="n"/>
      <c r="FXP5" s="2" t="n"/>
      <c r="FXQ5" s="2" t="n"/>
      <c r="FXR5" s="2" t="n"/>
      <c r="FXS5" s="2" t="n"/>
      <c r="FXT5" s="2" t="n"/>
      <c r="FXU5" s="2" t="n"/>
      <c r="FXV5" s="2" t="n"/>
      <c r="FXW5" s="2" t="n"/>
      <c r="FXX5" s="2" t="n"/>
      <c r="FXY5" s="2" t="n"/>
      <c r="FXZ5" s="2" t="n"/>
      <c r="FYA5" s="2" t="n"/>
      <c r="FYB5" s="2" t="n"/>
      <c r="FYC5" s="2" t="n"/>
      <c r="FYD5" s="2" t="n"/>
      <c r="FYE5" s="2" t="n"/>
      <c r="FYF5" s="2" t="n"/>
      <c r="FYG5" s="2" t="n"/>
      <c r="FYH5" s="2" t="n"/>
      <c r="FYI5" s="2" t="n"/>
      <c r="FYJ5" s="2" t="n"/>
      <c r="FYK5" s="2" t="n"/>
      <c r="FYL5" s="2" t="n"/>
      <c r="FYM5" s="2" t="n"/>
      <c r="FYN5" s="2" t="n"/>
      <c r="FYO5" s="2" t="n"/>
      <c r="FYP5" s="2" t="n"/>
      <c r="FYQ5" s="2" t="n"/>
      <c r="FYR5" s="2" t="n"/>
      <c r="FYS5" s="2" t="n"/>
      <c r="FYT5" s="2" t="n"/>
      <c r="FYU5" s="2" t="n"/>
      <c r="FYV5" s="2" t="n"/>
      <c r="FYW5" s="2" t="n"/>
      <c r="FYX5" s="2" t="n"/>
      <c r="FYY5" s="2" t="n"/>
      <c r="FYZ5" s="2" t="n"/>
      <c r="FZA5" s="2" t="n"/>
      <c r="FZB5" s="2" t="n"/>
      <c r="FZC5" s="2" t="n"/>
      <c r="FZD5" s="2" t="n"/>
      <c r="FZE5" s="2" t="n"/>
      <c r="FZF5" s="2" t="n"/>
      <c r="FZG5" s="2" t="n"/>
      <c r="FZH5" s="2" t="n"/>
      <c r="FZI5" s="2" t="n"/>
      <c r="FZJ5" s="2" t="n"/>
      <c r="FZK5" s="2" t="n"/>
      <c r="FZL5" s="2" t="n"/>
      <c r="FZM5" s="2" t="n"/>
      <c r="FZN5" s="2" t="n"/>
      <c r="FZO5" s="2" t="n"/>
      <c r="FZP5" s="2" t="n"/>
      <c r="FZQ5" s="2" t="n"/>
      <c r="FZR5" s="2" t="n"/>
      <c r="FZS5" s="2" t="n"/>
      <c r="FZT5" s="2" t="n"/>
      <c r="FZU5" s="2" t="n"/>
      <c r="FZV5" s="2" t="n"/>
      <c r="FZW5" s="2" t="n"/>
      <c r="FZX5" s="2" t="n"/>
      <c r="FZY5" s="2" t="n"/>
      <c r="FZZ5" s="2" t="n"/>
      <c r="GAA5" s="2" t="n"/>
      <c r="GAB5" s="2" t="n"/>
      <c r="GAC5" s="2" t="n"/>
      <c r="GAD5" s="2" t="n"/>
      <c r="GAE5" s="2" t="n"/>
      <c r="GAF5" s="2" t="n"/>
      <c r="GAG5" s="2" t="n"/>
      <c r="GAH5" s="2" t="n"/>
      <c r="GAI5" s="2" t="n"/>
      <c r="GAJ5" s="2" t="n"/>
      <c r="GAK5" s="2" t="n"/>
      <c r="GAL5" s="2" t="n"/>
      <c r="GAM5" s="2" t="n"/>
      <c r="GAN5" s="2" t="n"/>
      <c r="GAO5" s="2" t="n"/>
      <c r="GAP5" s="2" t="n"/>
      <c r="GAQ5" s="2" t="n"/>
      <c r="GAR5" s="2" t="n"/>
      <c r="GAS5" s="2" t="n"/>
      <c r="GAT5" s="2" t="n"/>
      <c r="GAU5" s="2" t="n"/>
      <c r="GAV5" s="2" t="n"/>
      <c r="GAW5" s="2" t="n"/>
      <c r="GAX5" s="2" t="n"/>
      <c r="GAY5" s="2" t="n"/>
      <c r="GAZ5" s="2" t="n"/>
      <c r="GBA5" s="2" t="n"/>
      <c r="GBB5" s="2" t="n"/>
      <c r="GBC5" s="2" t="n"/>
      <c r="GBD5" s="2" t="n"/>
      <c r="GBE5" s="2" t="n"/>
      <c r="GBF5" s="2" t="n"/>
      <c r="GBG5" s="2" t="n"/>
      <c r="GBH5" s="2" t="n"/>
      <c r="GBI5" s="2" t="n"/>
      <c r="GBJ5" s="2" t="n"/>
      <c r="GBK5" s="2" t="n"/>
      <c r="GBL5" s="2" t="n"/>
      <c r="GBM5" s="2" t="n"/>
      <c r="GBN5" s="2" t="n"/>
      <c r="GBO5" s="2" t="n"/>
      <c r="GBP5" s="2" t="n"/>
      <c r="GBQ5" s="2" t="n"/>
      <c r="GBR5" s="2" t="n"/>
      <c r="GBS5" s="2" t="n"/>
      <c r="GBT5" s="2" t="n"/>
      <c r="GBU5" s="2" t="n"/>
      <c r="GBV5" s="2" t="n"/>
      <c r="GBW5" s="2" t="n"/>
      <c r="GBX5" s="2" t="n"/>
      <c r="GBY5" s="2" t="n"/>
      <c r="GBZ5" s="2" t="n"/>
      <c r="GCA5" s="2" t="n"/>
      <c r="GCB5" s="2" t="n"/>
      <c r="GCC5" s="2" t="n"/>
      <c r="GCD5" s="2" t="n"/>
      <c r="GCE5" s="2" t="n"/>
      <c r="GCF5" s="2" t="n"/>
      <c r="GCG5" s="2" t="n"/>
      <c r="GCH5" s="2" t="n"/>
      <c r="GCI5" s="2" t="n"/>
      <c r="GCJ5" s="2" t="n"/>
      <c r="GCK5" s="2" t="n"/>
      <c r="GCL5" s="2" t="n"/>
      <c r="GCM5" s="2" t="n"/>
      <c r="GCN5" s="2" t="n"/>
      <c r="GCO5" s="2" t="n"/>
      <c r="GCP5" s="2" t="n"/>
      <c r="GCQ5" s="2" t="n"/>
      <c r="GCR5" s="2" t="n"/>
      <c r="GCS5" s="2" t="n"/>
      <c r="GCT5" s="2" t="n"/>
      <c r="GCU5" s="2" t="n"/>
      <c r="GCV5" s="2" t="n"/>
      <c r="GCW5" s="2" t="n"/>
      <c r="GCX5" s="2" t="n"/>
      <c r="GCY5" s="2" t="n"/>
      <c r="GCZ5" s="2" t="n"/>
      <c r="GDA5" s="2" t="n"/>
      <c r="GDB5" s="2" t="n"/>
      <c r="GDC5" s="2" t="n"/>
      <c r="GDD5" s="2" t="n"/>
      <c r="GDE5" s="2" t="n"/>
      <c r="GDF5" s="2" t="n"/>
      <c r="GDG5" s="2" t="n"/>
      <c r="GDH5" s="2" t="n"/>
      <c r="GDI5" s="2" t="n"/>
      <c r="GDJ5" s="2" t="n"/>
      <c r="GDK5" s="2" t="n"/>
      <c r="GDL5" s="2" t="n"/>
      <c r="GDM5" s="2" t="n"/>
      <c r="GDN5" s="2" t="n"/>
      <c r="GDO5" s="2" t="n"/>
      <c r="GDP5" s="2" t="n"/>
      <c r="GDQ5" s="2" t="n"/>
      <c r="GDR5" s="2" t="n"/>
      <c r="GDS5" s="2" t="n"/>
      <c r="GDT5" s="2" t="n"/>
      <c r="GDU5" s="2" t="n"/>
      <c r="GDV5" s="2" t="n"/>
      <c r="GDW5" s="2" t="n"/>
      <c r="GDX5" s="2" t="n"/>
      <c r="GDY5" s="2" t="n"/>
      <c r="GDZ5" s="2" t="n"/>
      <c r="GEA5" s="2" t="n"/>
      <c r="GEB5" s="2" t="n"/>
      <c r="GEC5" s="2" t="n"/>
      <c r="GED5" s="2" t="n"/>
      <c r="GEE5" s="2" t="n"/>
      <c r="GEF5" s="2" t="n"/>
      <c r="GEG5" s="2" t="n"/>
      <c r="GEH5" s="2" t="n"/>
      <c r="GEI5" s="2" t="n"/>
      <c r="GEJ5" s="2" t="n"/>
      <c r="GEK5" s="2" t="n"/>
      <c r="GEL5" s="2" t="n"/>
      <c r="GEM5" s="2" t="n"/>
      <c r="GEN5" s="2" t="n"/>
      <c r="GEO5" s="2" t="n"/>
      <c r="GEP5" s="2" t="n"/>
      <c r="GEQ5" s="2" t="n"/>
      <c r="GER5" s="2" t="n"/>
      <c r="GES5" s="2" t="n"/>
      <c r="GET5" s="2" t="n"/>
      <c r="GEU5" s="2" t="n"/>
      <c r="GEV5" s="2" t="n"/>
      <c r="GEW5" s="2" t="n"/>
      <c r="GEX5" s="2" t="n"/>
      <c r="GEY5" s="2" t="n"/>
      <c r="GEZ5" s="2" t="n"/>
      <c r="GFA5" s="2" t="n"/>
      <c r="GFB5" s="2" t="n"/>
      <c r="GFC5" s="2" t="n"/>
      <c r="GFD5" s="2" t="n"/>
      <c r="GFE5" s="2" t="n"/>
      <c r="GFF5" s="2" t="n"/>
      <c r="GFG5" s="2" t="n"/>
      <c r="GFH5" s="2" t="n"/>
      <c r="GFI5" s="2" t="n"/>
      <c r="GFJ5" s="2" t="n"/>
      <c r="GFK5" s="2" t="n"/>
      <c r="GFL5" s="2" t="n"/>
      <c r="GFM5" s="2" t="n"/>
      <c r="GFN5" s="2" t="n"/>
      <c r="GFO5" s="2" t="n"/>
      <c r="GFP5" s="2" t="n"/>
      <c r="GFQ5" s="2" t="n"/>
      <c r="GFR5" s="2" t="n"/>
      <c r="GFS5" s="2" t="n"/>
      <c r="GFT5" s="2" t="n"/>
      <c r="GFU5" s="2" t="n"/>
      <c r="GFV5" s="2" t="n"/>
      <c r="GFW5" s="2" t="n"/>
      <c r="GFX5" s="2" t="n"/>
      <c r="GFY5" s="2" t="n"/>
      <c r="GFZ5" s="2" t="n"/>
      <c r="GGA5" s="2" t="n"/>
      <c r="GGB5" s="2" t="n"/>
      <c r="GGC5" s="2" t="n"/>
      <c r="GGD5" s="2" t="n"/>
      <c r="GGE5" s="2" t="n"/>
      <c r="GGF5" s="2" t="n"/>
      <c r="GGG5" s="2" t="n"/>
      <c r="GGH5" s="2" t="n"/>
      <c r="GGI5" s="2" t="n"/>
      <c r="GGJ5" s="2" t="n"/>
      <c r="GGK5" s="2" t="n"/>
      <c r="GGL5" s="2" t="n"/>
      <c r="GGM5" s="2" t="n"/>
      <c r="GGN5" s="2" t="n"/>
      <c r="GGO5" s="2" t="n"/>
      <c r="GGP5" s="2" t="n"/>
      <c r="GGQ5" s="2" t="n"/>
      <c r="GGR5" s="2" t="n"/>
      <c r="GGS5" s="2" t="n"/>
      <c r="GGT5" s="2" t="n"/>
      <c r="GGU5" s="2" t="n"/>
      <c r="GGV5" s="2" t="n"/>
      <c r="GGW5" s="2" t="n"/>
      <c r="GGX5" s="2" t="n"/>
      <c r="GGY5" s="2" t="n"/>
      <c r="GGZ5" s="2" t="n"/>
      <c r="GHA5" s="2" t="n"/>
      <c r="GHB5" s="2" t="n"/>
      <c r="GHC5" s="2" t="n"/>
      <c r="GHD5" s="2" t="n"/>
      <c r="GHE5" s="2" t="n"/>
      <c r="GHF5" s="2" t="n"/>
      <c r="GHG5" s="2" t="n"/>
      <c r="GHH5" s="2" t="n"/>
      <c r="GHI5" s="2" t="n"/>
      <c r="GHJ5" s="2" t="n"/>
      <c r="GHK5" s="2" t="n"/>
      <c r="GHL5" s="2" t="n"/>
      <c r="GHM5" s="2" t="n"/>
      <c r="GHN5" s="2" t="n"/>
      <c r="GHO5" s="2" t="n"/>
      <c r="GHP5" s="2" t="n"/>
      <c r="GHQ5" s="2" t="n"/>
      <c r="GHR5" s="2" t="n"/>
      <c r="GHS5" s="2" t="n"/>
      <c r="GHT5" s="2" t="n"/>
      <c r="GHU5" s="2" t="n"/>
      <c r="GHV5" s="2" t="n"/>
      <c r="GHW5" s="2" t="n"/>
      <c r="GHX5" s="2" t="n"/>
      <c r="GHY5" s="2" t="n"/>
      <c r="GHZ5" s="2" t="n"/>
      <c r="GIA5" s="2" t="n"/>
      <c r="GIB5" s="2" t="n"/>
      <c r="GIC5" s="2" t="n"/>
      <c r="GID5" s="2" t="n"/>
      <c r="GIE5" s="2" t="n"/>
      <c r="GIF5" s="2" t="n"/>
      <c r="GIG5" s="2" t="n"/>
      <c r="GIH5" s="2" t="n"/>
      <c r="GII5" s="2" t="n"/>
      <c r="GIJ5" s="2" t="n"/>
      <c r="GIK5" s="2" t="n"/>
      <c r="GIL5" s="2" t="n"/>
      <c r="GIM5" s="2" t="n"/>
      <c r="GIN5" s="2" t="n"/>
      <c r="GIO5" s="2" t="n"/>
      <c r="GIP5" s="2" t="n"/>
      <c r="GIQ5" s="2" t="n"/>
      <c r="GIR5" s="2" t="n"/>
      <c r="GIS5" s="2" t="n"/>
      <c r="GIT5" s="2" t="n"/>
      <c r="GIU5" s="2" t="n"/>
      <c r="GIV5" s="2" t="n"/>
      <c r="GIW5" s="2" t="n"/>
      <c r="GIX5" s="2" t="n"/>
      <c r="GIY5" s="2" t="n"/>
      <c r="GIZ5" s="2" t="n"/>
      <c r="GJA5" s="2" t="n"/>
      <c r="GJB5" s="2" t="n"/>
      <c r="GJC5" s="2" t="n"/>
      <c r="GJD5" s="2" t="n"/>
      <c r="GJE5" s="2" t="n"/>
      <c r="GJF5" s="2" t="n"/>
      <c r="GJG5" s="2" t="n"/>
      <c r="GJH5" s="2" t="n"/>
      <c r="GJI5" s="2" t="n"/>
      <c r="GJJ5" s="2" t="n"/>
      <c r="GJK5" s="2" t="n"/>
      <c r="GJL5" s="2" t="n"/>
      <c r="GJM5" s="2" t="n"/>
      <c r="GJN5" s="2" t="n"/>
      <c r="GJO5" s="2" t="n"/>
      <c r="GJP5" s="2" t="n"/>
      <c r="GJQ5" s="2" t="n"/>
      <c r="GJR5" s="2" t="n"/>
      <c r="GJS5" s="2" t="n"/>
      <c r="GJT5" s="2" t="n"/>
      <c r="GJU5" s="2" t="n"/>
      <c r="GJV5" s="2" t="n"/>
      <c r="GJW5" s="2" t="n"/>
      <c r="GJX5" s="2" t="n"/>
      <c r="GJY5" s="2" t="n"/>
      <c r="GJZ5" s="2" t="n"/>
      <c r="GKA5" s="2" t="n"/>
      <c r="GKB5" s="2" t="n"/>
      <c r="GKC5" s="2" t="n"/>
      <c r="GKD5" s="2" t="n"/>
      <c r="GKE5" s="2" t="n"/>
      <c r="GKF5" s="2" t="n"/>
      <c r="GKG5" s="2" t="n"/>
      <c r="GKH5" s="2" t="n"/>
      <c r="GKI5" s="2" t="n"/>
      <c r="GKJ5" s="2" t="n"/>
      <c r="GKK5" s="2" t="n"/>
      <c r="GKL5" s="2" t="n"/>
      <c r="GKM5" s="2" t="n"/>
      <c r="GKN5" s="2" t="n"/>
      <c r="GKO5" s="2" t="n"/>
      <c r="GKP5" s="2" t="n"/>
      <c r="GKQ5" s="2" t="n"/>
      <c r="GKR5" s="2" t="n"/>
      <c r="GKS5" s="2" t="n"/>
      <c r="GKT5" s="2" t="n"/>
      <c r="GKU5" s="2" t="n"/>
      <c r="GKV5" s="2" t="n"/>
      <c r="GKW5" s="2" t="n"/>
      <c r="GKX5" s="2" t="n"/>
      <c r="GKY5" s="2" t="n"/>
      <c r="GKZ5" s="2" t="n"/>
      <c r="GLA5" s="2" t="n"/>
      <c r="GLB5" s="2" t="n"/>
      <c r="GLC5" s="2" t="n"/>
      <c r="GLD5" s="2" t="n"/>
      <c r="GLE5" s="2" t="n"/>
      <c r="GLF5" s="2" t="n"/>
      <c r="GLG5" s="2" t="n"/>
      <c r="GLH5" s="2" t="n"/>
      <c r="GLI5" s="2" t="n"/>
      <c r="GLJ5" s="2" t="n"/>
      <c r="GLK5" s="2" t="n"/>
      <c r="GLL5" s="2" t="n"/>
      <c r="GLM5" s="2" t="n"/>
      <c r="GLN5" s="2" t="n"/>
      <c r="GLO5" s="2" t="n"/>
      <c r="GLP5" s="2" t="n"/>
      <c r="GLQ5" s="2" t="n"/>
      <c r="GLR5" s="2" t="n"/>
      <c r="GLS5" s="2" t="n"/>
      <c r="GLT5" s="2" t="n"/>
      <c r="GLU5" s="2" t="n"/>
      <c r="GLV5" s="2" t="n"/>
      <c r="GLW5" s="2" t="n"/>
      <c r="GLX5" s="2" t="n"/>
      <c r="GLY5" s="2" t="n"/>
      <c r="GLZ5" s="2" t="n"/>
      <c r="GMA5" s="2" t="n"/>
      <c r="GMB5" s="2" t="n"/>
      <c r="GMC5" s="2" t="n"/>
      <c r="GMD5" s="2" t="n"/>
      <c r="GME5" s="2" t="n"/>
      <c r="GMF5" s="2" t="n"/>
      <c r="GMG5" s="2" t="n"/>
      <c r="GMH5" s="2" t="n"/>
      <c r="GMI5" s="2" t="n"/>
      <c r="GMJ5" s="2" t="n"/>
      <c r="GMK5" s="2" t="n"/>
      <c r="GML5" s="2" t="n"/>
      <c r="GMM5" s="2" t="n"/>
      <c r="GMN5" s="2" t="n"/>
      <c r="GMO5" s="2" t="n"/>
      <c r="GMP5" s="2" t="n"/>
      <c r="GMQ5" s="2" t="n"/>
      <c r="GMR5" s="2" t="n"/>
      <c r="GMS5" s="2" t="n"/>
      <c r="GMT5" s="2" t="n"/>
      <c r="GMU5" s="2" t="n"/>
      <c r="GMV5" s="2" t="n"/>
      <c r="GMW5" s="2" t="n"/>
      <c r="GMX5" s="2" t="n"/>
      <c r="GMY5" s="2" t="n"/>
      <c r="GMZ5" s="2" t="n"/>
      <c r="GNA5" s="2" t="n"/>
      <c r="GNB5" s="2" t="n"/>
      <c r="GNC5" s="2" t="n"/>
      <c r="GND5" s="2" t="n"/>
      <c r="GNE5" s="2" t="n"/>
      <c r="GNF5" s="2" t="n"/>
      <c r="GNG5" s="2" t="n"/>
      <c r="GNH5" s="2" t="n"/>
      <c r="GNI5" s="2" t="n"/>
      <c r="GNJ5" s="2" t="n"/>
      <c r="GNK5" s="2" t="n"/>
      <c r="GNL5" s="2" t="n"/>
      <c r="GNM5" s="2" t="n"/>
      <c r="GNN5" s="2" t="n"/>
      <c r="GNO5" s="2" t="n"/>
      <c r="GNP5" s="2" t="n"/>
      <c r="GNQ5" s="2" t="n"/>
      <c r="GNR5" s="2" t="n"/>
      <c r="GNS5" s="2" t="n"/>
      <c r="GNT5" s="2" t="n"/>
      <c r="GNU5" s="2" t="n"/>
      <c r="GNV5" s="2" t="n"/>
      <c r="GNW5" s="2" t="n"/>
      <c r="GNX5" s="2" t="n"/>
      <c r="GNY5" s="2" t="n"/>
      <c r="GNZ5" s="2" t="n"/>
      <c r="GOA5" s="2" t="n"/>
      <c r="GOB5" s="2" t="n"/>
      <c r="GOC5" s="2" t="n"/>
      <c r="GOD5" s="2" t="n"/>
      <c r="GOE5" s="2" t="n"/>
      <c r="GOF5" s="2" t="n"/>
      <c r="GOG5" s="2" t="n"/>
      <c r="GOH5" s="2" t="n"/>
      <c r="GOI5" s="2" t="n"/>
      <c r="GOJ5" s="2" t="n"/>
      <c r="GOK5" s="2" t="n"/>
      <c r="GOL5" s="2" t="n"/>
      <c r="GOM5" s="2" t="n"/>
      <c r="GON5" s="2" t="n"/>
      <c r="GOO5" s="2" t="n"/>
      <c r="GOP5" s="2" t="n"/>
      <c r="GOQ5" s="2" t="n"/>
      <c r="GOR5" s="2" t="n"/>
      <c r="GOS5" s="2" t="n"/>
      <c r="GOT5" s="2" t="n"/>
      <c r="GOU5" s="2" t="n"/>
      <c r="GOV5" s="2" t="n"/>
      <c r="GOW5" s="2" t="n"/>
      <c r="GOX5" s="2" t="n"/>
      <c r="GOY5" s="2" t="n"/>
      <c r="GOZ5" s="2" t="n"/>
      <c r="GPA5" s="2" t="n"/>
      <c r="GPB5" s="2" t="n"/>
      <c r="GPC5" s="2" t="n"/>
      <c r="GPD5" s="2" t="n"/>
      <c r="GPE5" s="2" t="n"/>
      <c r="GPF5" s="2" t="n"/>
      <c r="GPG5" s="2" t="n"/>
      <c r="GPH5" s="2" t="n"/>
      <c r="GPI5" s="2" t="n"/>
      <c r="GPJ5" s="2" t="n"/>
      <c r="GPK5" s="2" t="n"/>
      <c r="GPL5" s="2" t="n"/>
      <c r="GPM5" s="2" t="n"/>
      <c r="GPN5" s="2" t="n"/>
      <c r="GPO5" s="2" t="n"/>
      <c r="GPP5" s="2" t="n"/>
      <c r="GPQ5" s="2" t="n"/>
      <c r="GPR5" s="2" t="n"/>
      <c r="GPS5" s="2" t="n"/>
      <c r="GPT5" s="2" t="n"/>
      <c r="GPU5" s="2" t="n"/>
      <c r="GPV5" s="2" t="n"/>
      <c r="GPW5" s="2" t="n"/>
      <c r="GPX5" s="2" t="n"/>
      <c r="GPY5" s="2" t="n"/>
      <c r="GPZ5" s="2" t="n"/>
      <c r="GQA5" s="2" t="n"/>
      <c r="GQB5" s="2" t="n"/>
      <c r="GQC5" s="2" t="n"/>
      <c r="GQD5" s="2" t="n"/>
      <c r="GQE5" s="2" t="n"/>
      <c r="GQF5" s="2" t="n"/>
      <c r="GQG5" s="2" t="n"/>
      <c r="GQH5" s="2" t="n"/>
      <c r="GQI5" s="2" t="n"/>
      <c r="GQJ5" s="2" t="n"/>
      <c r="GQK5" s="2" t="n"/>
      <c r="GQL5" s="2" t="n"/>
      <c r="GQM5" s="2" t="n"/>
      <c r="GQN5" s="2" t="n"/>
      <c r="GQO5" s="2" t="n"/>
      <c r="GQP5" s="2" t="n"/>
      <c r="GQQ5" s="2" t="n"/>
      <c r="GQR5" s="2" t="n"/>
      <c r="GQS5" s="2" t="n"/>
      <c r="GQT5" s="2" t="n"/>
      <c r="GQU5" s="2" t="n"/>
      <c r="GQV5" s="2" t="n"/>
      <c r="GQW5" s="2" t="n"/>
      <c r="GQX5" s="2" t="n"/>
      <c r="GQY5" s="2" t="n"/>
      <c r="GQZ5" s="2" t="n"/>
      <c r="GRA5" s="2" t="n"/>
      <c r="GRB5" s="2" t="n"/>
      <c r="GRC5" s="2" t="n"/>
      <c r="GRD5" s="2" t="n"/>
      <c r="GRE5" s="2" t="n"/>
      <c r="GRF5" s="2" t="n"/>
      <c r="GRG5" s="2" t="n"/>
      <c r="GRH5" s="2" t="n"/>
      <c r="GRI5" s="2" t="n"/>
      <c r="GRJ5" s="2" t="n"/>
      <c r="GRK5" s="2" t="n"/>
      <c r="GRL5" s="2" t="n"/>
      <c r="GRM5" s="2" t="n"/>
      <c r="GRN5" s="2" t="n"/>
      <c r="GRO5" s="2" t="n"/>
      <c r="GRP5" s="2" t="n"/>
      <c r="GRQ5" s="2" t="n"/>
      <c r="GRR5" s="2" t="n"/>
      <c r="GRS5" s="2" t="n"/>
      <c r="GRT5" s="2" t="n"/>
      <c r="GRU5" s="2" t="n"/>
      <c r="GRV5" s="2" t="n"/>
      <c r="GRW5" s="2" t="n"/>
      <c r="GRX5" s="2" t="n"/>
      <c r="GRY5" s="2" t="n"/>
      <c r="GRZ5" s="2" t="n"/>
      <c r="GSA5" s="2" t="n"/>
      <c r="GSB5" s="2" t="n"/>
      <c r="GSC5" s="2" t="n"/>
      <c r="GSD5" s="2" t="n"/>
      <c r="GSE5" s="2" t="n"/>
      <c r="GSF5" s="2" t="n"/>
      <c r="GSG5" s="2" t="n"/>
      <c r="GSH5" s="2" t="n"/>
      <c r="GSI5" s="2" t="n"/>
      <c r="GSJ5" s="2" t="n"/>
      <c r="GSK5" s="2" t="n"/>
      <c r="GSL5" s="2" t="n"/>
      <c r="GSM5" s="2" t="n"/>
      <c r="GSN5" s="2" t="n"/>
      <c r="GSO5" s="2" t="n"/>
      <c r="GSP5" s="2" t="n"/>
      <c r="GSQ5" s="2" t="n"/>
      <c r="GSR5" s="2" t="n"/>
      <c r="GSS5" s="2" t="n"/>
      <c r="GST5" s="2" t="n"/>
      <c r="GSU5" s="2" t="n"/>
      <c r="GSV5" s="2" t="n"/>
      <c r="GSW5" s="2" t="n"/>
      <c r="GSX5" s="2" t="n"/>
      <c r="GSY5" s="2" t="n"/>
      <c r="GSZ5" s="2" t="n"/>
      <c r="GTA5" s="2" t="n"/>
      <c r="GTB5" s="2" t="n"/>
      <c r="GTC5" s="2" t="n"/>
      <c r="GTD5" s="2" t="n"/>
      <c r="GTE5" s="2" t="n"/>
      <c r="GTF5" s="2" t="n"/>
      <c r="GTG5" s="2" t="n"/>
      <c r="GTH5" s="2" t="n"/>
      <c r="GTI5" s="2" t="n"/>
      <c r="GTJ5" s="2" t="n"/>
      <c r="GTK5" s="2" t="n"/>
      <c r="GTL5" s="2" t="n"/>
      <c r="GTM5" s="2" t="n"/>
      <c r="GTN5" s="2" t="n"/>
      <c r="GTO5" s="2" t="n"/>
      <c r="GTP5" s="2" t="n"/>
      <c r="GTQ5" s="2" t="n"/>
      <c r="GTR5" s="2" t="n"/>
      <c r="GTS5" s="2" t="n"/>
      <c r="GTT5" s="2" t="n"/>
      <c r="GTU5" s="2" t="n"/>
      <c r="GTV5" s="2" t="n"/>
      <c r="GTW5" s="2" t="n"/>
      <c r="GTX5" s="2" t="n"/>
      <c r="GTY5" s="2" t="n"/>
      <c r="GTZ5" s="2" t="n"/>
      <c r="GUA5" s="2" t="n"/>
      <c r="GUB5" s="2" t="n"/>
      <c r="GUC5" s="2" t="n"/>
      <c r="GUD5" s="2" t="n"/>
      <c r="GUE5" s="2" t="n"/>
      <c r="GUF5" s="2" t="n"/>
      <c r="GUG5" s="2" t="n"/>
      <c r="GUH5" s="2" t="n"/>
      <c r="GUI5" s="2" t="n"/>
      <c r="GUJ5" s="2" t="n"/>
      <c r="GUK5" s="2" t="n"/>
      <c r="GUL5" s="2" t="n"/>
      <c r="GUM5" s="2" t="n"/>
      <c r="GUN5" s="2" t="n"/>
      <c r="GUO5" s="2" t="n"/>
      <c r="GUP5" s="2" t="n"/>
      <c r="GUQ5" s="2" t="n"/>
      <c r="GUR5" s="2" t="n"/>
      <c r="GUS5" s="2" t="n"/>
      <c r="GUT5" s="2" t="n"/>
      <c r="GUU5" s="2" t="n"/>
      <c r="GUV5" s="2" t="n"/>
      <c r="GUW5" s="2" t="n"/>
      <c r="GUX5" s="2" t="n"/>
      <c r="GUY5" s="2" t="n"/>
      <c r="GUZ5" s="2" t="n"/>
      <c r="GVA5" s="2" t="n"/>
      <c r="GVB5" s="2" t="n"/>
      <c r="GVC5" s="2" t="n"/>
      <c r="GVD5" s="2" t="n"/>
      <c r="GVE5" s="2" t="n"/>
      <c r="GVF5" s="2" t="n"/>
      <c r="GVG5" s="2" t="n"/>
      <c r="GVH5" s="2" t="n"/>
      <c r="GVI5" s="2" t="n"/>
      <c r="GVJ5" s="2" t="n"/>
      <c r="GVK5" s="2" t="n"/>
      <c r="GVL5" s="2" t="n"/>
      <c r="GVM5" s="2" t="n"/>
      <c r="GVN5" s="2" t="n"/>
      <c r="GVO5" s="2" t="n"/>
      <c r="GVP5" s="2" t="n"/>
      <c r="GVQ5" s="2" t="n"/>
      <c r="GVR5" s="2" t="n"/>
      <c r="GVS5" s="2" t="n"/>
      <c r="GVT5" s="2" t="n"/>
      <c r="GVU5" s="2" t="n"/>
      <c r="GVV5" s="2" t="n"/>
      <c r="GVW5" s="2" t="n"/>
      <c r="GVX5" s="2" t="n"/>
      <c r="GVY5" s="2" t="n"/>
      <c r="GVZ5" s="2" t="n"/>
      <c r="GWA5" s="2" t="n"/>
      <c r="GWB5" s="2" t="n"/>
      <c r="GWC5" s="2" t="n"/>
      <c r="GWD5" s="2" t="n"/>
      <c r="GWE5" s="2" t="n"/>
      <c r="GWF5" s="2" t="n"/>
      <c r="GWG5" s="2" t="n"/>
      <c r="GWH5" s="2" t="n"/>
      <c r="GWI5" s="2" t="n"/>
      <c r="GWJ5" s="2" t="n"/>
      <c r="GWK5" s="2" t="n"/>
      <c r="GWL5" s="2" t="n"/>
      <c r="GWM5" s="2" t="n"/>
      <c r="GWN5" s="2" t="n"/>
      <c r="GWO5" s="2" t="n"/>
      <c r="GWP5" s="2" t="n"/>
      <c r="GWQ5" s="2" t="n"/>
      <c r="GWR5" s="2" t="n"/>
      <c r="GWS5" s="2" t="n"/>
      <c r="GWT5" s="2" t="n"/>
      <c r="GWU5" s="2" t="n"/>
      <c r="GWV5" s="2" t="n"/>
      <c r="GWW5" s="2" t="n"/>
      <c r="GWX5" s="2" t="n"/>
      <c r="GWY5" s="2" t="n"/>
      <c r="GWZ5" s="2" t="n"/>
      <c r="GXA5" s="2" t="n"/>
      <c r="GXB5" s="2" t="n"/>
      <c r="GXC5" s="2" t="n"/>
      <c r="GXD5" s="2" t="n"/>
      <c r="GXE5" s="2" t="n"/>
      <c r="GXF5" s="2" t="n"/>
      <c r="GXG5" s="2" t="n"/>
      <c r="GXH5" s="2" t="n"/>
      <c r="GXI5" s="2" t="n"/>
      <c r="GXJ5" s="2" t="n"/>
      <c r="GXK5" s="2" t="n"/>
      <c r="GXL5" s="2" t="n"/>
      <c r="GXM5" s="2" t="n"/>
      <c r="GXN5" s="2" t="n"/>
      <c r="GXO5" s="2" t="n"/>
      <c r="GXP5" s="2" t="n"/>
      <c r="GXQ5" s="2" t="n"/>
      <c r="GXR5" s="2" t="n"/>
      <c r="GXS5" s="2" t="n"/>
      <c r="GXT5" s="2" t="n"/>
      <c r="GXU5" s="2" t="n"/>
      <c r="GXV5" s="2" t="n"/>
      <c r="GXW5" s="2" t="n"/>
      <c r="GXX5" s="2" t="n"/>
      <c r="GXY5" s="2" t="n"/>
      <c r="GXZ5" s="2" t="n"/>
      <c r="GYA5" s="2" t="n"/>
      <c r="GYB5" s="2" t="n"/>
      <c r="GYC5" s="2" t="n"/>
      <c r="GYD5" s="2" t="n"/>
      <c r="GYE5" s="2" t="n"/>
      <c r="GYF5" s="2" t="n"/>
      <c r="GYG5" s="2" t="n"/>
      <c r="GYH5" s="2" t="n"/>
      <c r="GYI5" s="2" t="n"/>
      <c r="GYJ5" s="2" t="n"/>
      <c r="GYK5" s="2" t="n"/>
      <c r="GYL5" s="2" t="n"/>
      <c r="GYM5" s="2" t="n"/>
      <c r="GYN5" s="2" t="n"/>
      <c r="GYO5" s="2" t="n"/>
      <c r="GYP5" s="2" t="n"/>
      <c r="GYQ5" s="2" t="n"/>
      <c r="GYR5" s="2" t="n"/>
      <c r="GYS5" s="2" t="n"/>
      <c r="GYT5" s="2" t="n"/>
      <c r="GYU5" s="2" t="n"/>
      <c r="GYV5" s="2" t="n"/>
      <c r="GYW5" s="2" t="n"/>
      <c r="GYX5" s="2" t="n"/>
      <c r="GYY5" s="2" t="n"/>
      <c r="GYZ5" s="2" t="n"/>
      <c r="GZA5" s="2" t="n"/>
      <c r="GZB5" s="2" t="n"/>
      <c r="GZC5" s="2" t="n"/>
      <c r="GZD5" s="2" t="n"/>
      <c r="GZE5" s="2" t="n"/>
      <c r="GZF5" s="2" t="n"/>
      <c r="GZG5" s="2" t="n"/>
      <c r="GZH5" s="2" t="n"/>
      <c r="GZI5" s="2" t="n"/>
      <c r="GZJ5" s="2" t="n"/>
      <c r="GZK5" s="2" t="n"/>
      <c r="GZL5" s="2" t="n"/>
      <c r="GZM5" s="2" t="n"/>
      <c r="GZN5" s="2" t="n"/>
      <c r="GZO5" s="2" t="n"/>
      <c r="GZP5" s="2" t="n"/>
      <c r="GZQ5" s="2" t="n"/>
      <c r="GZR5" s="2" t="n"/>
      <c r="GZS5" s="2" t="n"/>
      <c r="GZT5" s="2" t="n"/>
      <c r="GZU5" s="2" t="n"/>
      <c r="GZV5" s="2" t="n"/>
      <c r="GZW5" s="2" t="n"/>
      <c r="GZX5" s="2" t="n"/>
      <c r="GZY5" s="2" t="n"/>
      <c r="GZZ5" s="2" t="n"/>
      <c r="HAA5" s="2" t="n"/>
      <c r="HAB5" s="2" t="n"/>
      <c r="HAC5" s="2" t="n"/>
      <c r="HAD5" s="2" t="n"/>
      <c r="HAE5" s="2" t="n"/>
      <c r="HAF5" s="2" t="n"/>
      <c r="HAG5" s="2" t="n"/>
      <c r="HAH5" s="2" t="n"/>
      <c r="HAI5" s="2" t="n"/>
      <c r="HAJ5" s="2" t="n"/>
      <c r="HAK5" s="2" t="n"/>
      <c r="HAL5" s="2" t="n"/>
      <c r="HAM5" s="2" t="n"/>
      <c r="HAN5" s="2" t="n"/>
      <c r="HAO5" s="2" t="n"/>
      <c r="HAP5" s="2" t="n"/>
      <c r="HAQ5" s="2" t="n"/>
      <c r="HAR5" s="2" t="n"/>
      <c r="HAS5" s="2" t="n"/>
      <c r="HAT5" s="2" t="n"/>
      <c r="HAU5" s="2" t="n"/>
      <c r="HAV5" s="2" t="n"/>
      <c r="HAW5" s="2" t="n"/>
      <c r="HAX5" s="2" t="n"/>
      <c r="HAY5" s="2" t="n"/>
      <c r="HAZ5" s="2" t="n"/>
      <c r="HBA5" s="2" t="n"/>
      <c r="HBB5" s="2" t="n"/>
      <c r="HBC5" s="2" t="n"/>
      <c r="HBD5" s="2" t="n"/>
      <c r="HBE5" s="2" t="n"/>
      <c r="HBF5" s="2" t="n"/>
      <c r="HBG5" s="2" t="n"/>
      <c r="HBH5" s="2" t="n"/>
      <c r="HBI5" s="2" t="n"/>
      <c r="HBJ5" s="2" t="n"/>
      <c r="HBK5" s="2" t="n"/>
      <c r="HBL5" s="2" t="n"/>
      <c r="HBM5" s="2" t="n"/>
      <c r="HBN5" s="2" t="n"/>
      <c r="HBO5" s="2" t="n"/>
      <c r="HBP5" s="2" t="n"/>
      <c r="HBQ5" s="2" t="n"/>
      <c r="HBR5" s="2" t="n"/>
      <c r="HBS5" s="2" t="n"/>
      <c r="HBT5" s="2" t="n"/>
      <c r="HBU5" s="2" t="n"/>
      <c r="HBV5" s="2" t="n"/>
      <c r="HBW5" s="2" t="n"/>
      <c r="HBX5" s="2" t="n"/>
      <c r="HBY5" s="2" t="n"/>
      <c r="HBZ5" s="2" t="n"/>
      <c r="HCA5" s="2" t="n"/>
      <c r="HCB5" s="2" t="n"/>
      <c r="HCC5" s="2" t="n"/>
      <c r="HCD5" s="2" t="n"/>
      <c r="HCE5" s="2" t="n"/>
      <c r="HCF5" s="2" t="n"/>
      <c r="HCG5" s="2" t="n"/>
      <c r="HCH5" s="2" t="n"/>
      <c r="HCI5" s="2" t="n"/>
      <c r="HCJ5" s="2" t="n"/>
      <c r="HCK5" s="2" t="n"/>
      <c r="HCL5" s="2" t="n"/>
      <c r="HCM5" s="2" t="n"/>
      <c r="HCN5" s="2" t="n"/>
      <c r="HCO5" s="2" t="n"/>
      <c r="HCP5" s="2" t="n"/>
      <c r="HCQ5" s="2" t="n"/>
      <c r="HCR5" s="2" t="n"/>
      <c r="HCS5" s="2" t="n"/>
      <c r="HCT5" s="2" t="n"/>
      <c r="HCU5" s="2" t="n"/>
      <c r="HCV5" s="2" t="n"/>
      <c r="HCW5" s="2" t="n"/>
      <c r="HCX5" s="2" t="n"/>
      <c r="HCY5" s="2" t="n"/>
      <c r="HCZ5" s="2" t="n"/>
      <c r="HDA5" s="2" t="n"/>
      <c r="HDB5" s="2" t="n"/>
      <c r="HDC5" s="2" t="n"/>
      <c r="HDD5" s="2" t="n"/>
      <c r="HDE5" s="2" t="n"/>
      <c r="HDF5" s="2" t="n"/>
      <c r="HDG5" s="2" t="n"/>
      <c r="HDH5" s="2" t="n"/>
      <c r="HDI5" s="2" t="n"/>
      <c r="HDJ5" s="2" t="n"/>
      <c r="HDK5" s="2" t="n"/>
      <c r="HDL5" s="2" t="n"/>
      <c r="HDM5" s="2" t="n"/>
      <c r="HDN5" s="2" t="n"/>
      <c r="HDO5" s="2" t="n"/>
      <c r="HDP5" s="2" t="n"/>
      <c r="HDQ5" s="2" t="n"/>
      <c r="HDR5" s="2" t="n"/>
      <c r="HDS5" s="2" t="n"/>
      <c r="HDT5" s="2" t="n"/>
      <c r="HDU5" s="2" t="n"/>
      <c r="HDV5" s="2" t="n"/>
      <c r="HDW5" s="2" t="n"/>
      <c r="HDX5" s="2" t="n"/>
      <c r="HDY5" s="2" t="n"/>
      <c r="HDZ5" s="2" t="n"/>
      <c r="HEA5" s="2" t="n"/>
      <c r="HEB5" s="2" t="n"/>
      <c r="HEC5" s="2" t="n"/>
      <c r="HED5" s="2" t="n"/>
      <c r="HEE5" s="2" t="n"/>
      <c r="HEF5" s="2" t="n"/>
      <c r="HEG5" s="2" t="n"/>
      <c r="HEH5" s="2" t="n"/>
      <c r="HEI5" s="2" t="n"/>
      <c r="HEJ5" s="2" t="n"/>
      <c r="HEK5" s="2" t="n"/>
      <c r="HEL5" s="2" t="n"/>
      <c r="HEM5" s="2" t="n"/>
      <c r="HEN5" s="2" t="n"/>
      <c r="HEO5" s="2" t="n"/>
      <c r="HEP5" s="2" t="n"/>
      <c r="HEQ5" s="2" t="n"/>
      <c r="HER5" s="2" t="n"/>
      <c r="HES5" s="2" t="n"/>
      <c r="HET5" s="2" t="n"/>
      <c r="HEU5" s="2" t="n"/>
      <c r="HEV5" s="2" t="n"/>
      <c r="HEW5" s="2" t="n"/>
      <c r="HEX5" s="2" t="n"/>
      <c r="HEY5" s="2" t="n"/>
      <c r="HEZ5" s="2" t="n"/>
      <c r="HFA5" s="2" t="n"/>
      <c r="HFB5" s="2" t="n"/>
      <c r="HFC5" s="2" t="n"/>
      <c r="HFD5" s="2" t="n"/>
      <c r="HFE5" s="2" t="n"/>
      <c r="HFF5" s="2" t="n"/>
      <c r="HFG5" s="2" t="n"/>
      <c r="HFH5" s="2" t="n"/>
      <c r="HFI5" s="2" t="n"/>
      <c r="HFJ5" s="2" t="n"/>
      <c r="HFK5" s="2" t="n"/>
      <c r="HFL5" s="2" t="n"/>
      <c r="HFM5" s="2" t="n"/>
      <c r="HFN5" s="2" t="n"/>
      <c r="HFO5" s="2" t="n"/>
      <c r="HFP5" s="2" t="n"/>
      <c r="HFQ5" s="2" t="n"/>
      <c r="HFR5" s="2" t="n"/>
      <c r="HFS5" s="2" t="n"/>
      <c r="HFT5" s="2" t="n"/>
      <c r="HFU5" s="2" t="n"/>
      <c r="HFV5" s="2" t="n"/>
      <c r="HFW5" s="2" t="n"/>
      <c r="HFX5" s="2" t="n"/>
      <c r="HFY5" s="2" t="n"/>
      <c r="HFZ5" s="2" t="n"/>
      <c r="HGA5" s="2" t="n"/>
      <c r="HGB5" s="2" t="n"/>
      <c r="HGC5" s="2" t="n"/>
      <c r="HGD5" s="2" t="n"/>
      <c r="HGE5" s="2" t="n"/>
      <c r="HGF5" s="2" t="n"/>
      <c r="HGG5" s="2" t="n"/>
      <c r="HGH5" s="2" t="n"/>
      <c r="HGI5" s="2" t="n"/>
      <c r="HGJ5" s="2" t="n"/>
      <c r="HGK5" s="2" t="n"/>
      <c r="HGL5" s="2" t="n"/>
      <c r="HGM5" s="2" t="n"/>
      <c r="HGN5" s="2" t="n"/>
      <c r="HGO5" s="2" t="n"/>
      <c r="HGP5" s="2" t="n"/>
      <c r="HGQ5" s="2" t="n"/>
      <c r="HGR5" s="2" t="n"/>
      <c r="HGS5" s="2" t="n"/>
      <c r="HGT5" s="2" t="n"/>
      <c r="HGU5" s="2" t="n"/>
      <c r="HGV5" s="2" t="n"/>
      <c r="HGW5" s="2" t="n"/>
      <c r="HGX5" s="2" t="n"/>
      <c r="HGY5" s="2" t="n"/>
      <c r="HGZ5" s="2" t="n"/>
      <c r="HHA5" s="2" t="n"/>
      <c r="HHB5" s="2" t="n"/>
      <c r="HHC5" s="2" t="n"/>
      <c r="HHD5" s="2" t="n"/>
      <c r="HHE5" s="2" t="n"/>
      <c r="HHF5" s="2" t="n"/>
      <c r="HHG5" s="2" t="n"/>
      <c r="HHH5" s="2" t="n"/>
      <c r="HHI5" s="2" t="n"/>
      <c r="HHJ5" s="2" t="n"/>
      <c r="HHK5" s="2" t="n"/>
      <c r="HHL5" s="2" t="n"/>
      <c r="HHM5" s="2" t="n"/>
      <c r="HHN5" s="2" t="n"/>
      <c r="HHO5" s="2" t="n"/>
      <c r="HHP5" s="2" t="n"/>
      <c r="HHQ5" s="2" t="n"/>
      <c r="HHR5" s="2" t="n"/>
      <c r="HHS5" s="2" t="n"/>
      <c r="HHT5" s="2" t="n"/>
      <c r="HHU5" s="2" t="n"/>
      <c r="HHV5" s="2" t="n"/>
      <c r="HHW5" s="2" t="n"/>
      <c r="HHX5" s="2" t="n"/>
      <c r="HHY5" s="2" t="n"/>
      <c r="HHZ5" s="2" t="n"/>
      <c r="HIA5" s="2" t="n"/>
      <c r="HIB5" s="2" t="n"/>
      <c r="HIC5" s="2" t="n"/>
      <c r="HID5" s="2" t="n"/>
      <c r="HIE5" s="2" t="n"/>
      <c r="HIF5" s="2" t="n"/>
      <c r="HIG5" s="2" t="n"/>
      <c r="HIH5" s="2" t="n"/>
      <c r="HII5" s="2" t="n"/>
      <c r="HIJ5" s="2" t="n"/>
      <c r="HIK5" s="2" t="n"/>
      <c r="HIL5" s="2" t="n"/>
      <c r="HIM5" s="2" t="n"/>
      <c r="HIN5" s="2" t="n"/>
      <c r="HIO5" s="2" t="n"/>
      <c r="HIP5" s="2" t="n"/>
      <c r="HIQ5" s="2" t="n"/>
      <c r="HIR5" s="2" t="n"/>
      <c r="HIS5" s="2" t="n"/>
      <c r="HIT5" s="2" t="n"/>
      <c r="HIU5" s="2" t="n"/>
      <c r="HIV5" s="2" t="n"/>
      <c r="HIW5" s="2" t="n"/>
      <c r="HIX5" s="2" t="n"/>
      <c r="HIY5" s="2" t="n"/>
      <c r="HIZ5" s="2" t="n"/>
      <c r="HJA5" s="2" t="n"/>
      <c r="HJB5" s="2" t="n"/>
      <c r="HJC5" s="2" t="n"/>
      <c r="HJD5" s="2" t="n"/>
      <c r="HJE5" s="2" t="n"/>
      <c r="HJF5" s="2" t="n"/>
      <c r="HJG5" s="2" t="n"/>
      <c r="HJH5" s="2" t="n"/>
      <c r="HJI5" s="2" t="n"/>
      <c r="HJJ5" s="2" t="n"/>
      <c r="HJK5" s="2" t="n"/>
      <c r="HJL5" s="2" t="n"/>
      <c r="HJM5" s="2" t="n"/>
      <c r="HJN5" s="2" t="n"/>
      <c r="HJO5" s="2" t="n"/>
      <c r="HJP5" s="2" t="n"/>
      <c r="HJQ5" s="2" t="n"/>
      <c r="HJR5" s="2" t="n"/>
      <c r="HJS5" s="2" t="n"/>
      <c r="HJT5" s="2" t="n"/>
      <c r="HJU5" s="2" t="n"/>
      <c r="HJV5" s="2" t="n"/>
      <c r="HJW5" s="2" t="n"/>
      <c r="HJX5" s="2" t="n"/>
      <c r="HJY5" s="2" t="n"/>
      <c r="HJZ5" s="2" t="n"/>
      <c r="HKA5" s="2" t="n"/>
      <c r="HKB5" s="2" t="n"/>
      <c r="HKC5" s="2" t="n"/>
      <c r="HKD5" s="2" t="n"/>
      <c r="HKE5" s="2" t="n"/>
      <c r="HKF5" s="2" t="n"/>
      <c r="HKG5" s="2" t="n"/>
      <c r="HKH5" s="2" t="n"/>
      <c r="HKI5" s="2" t="n"/>
      <c r="HKJ5" s="2" t="n"/>
      <c r="HKK5" s="2" t="n"/>
      <c r="HKL5" s="2" t="n"/>
      <c r="HKM5" s="2" t="n"/>
      <c r="HKN5" s="2" t="n"/>
      <c r="HKO5" s="2" t="n"/>
      <c r="HKP5" s="2" t="n"/>
      <c r="HKQ5" s="2" t="n"/>
      <c r="HKR5" s="2" t="n"/>
      <c r="HKS5" s="2" t="n"/>
      <c r="HKT5" s="2" t="n"/>
      <c r="HKU5" s="2" t="n"/>
      <c r="HKV5" s="2" t="n"/>
      <c r="HKW5" s="2" t="n"/>
      <c r="HKX5" s="2" t="n"/>
      <c r="HKY5" s="2" t="n"/>
      <c r="HKZ5" s="2" t="n"/>
      <c r="HLA5" s="2" t="n"/>
      <c r="HLB5" s="2" t="n"/>
      <c r="HLC5" s="2" t="n"/>
      <c r="HLD5" s="2" t="n"/>
      <c r="HLE5" s="2" t="n"/>
      <c r="HLF5" s="2" t="n"/>
      <c r="HLG5" s="2" t="n"/>
      <c r="HLH5" s="2" t="n"/>
      <c r="HLI5" s="2" t="n"/>
      <c r="HLJ5" s="2" t="n"/>
      <c r="HLK5" s="2" t="n"/>
      <c r="HLL5" s="2" t="n"/>
      <c r="HLM5" s="2" t="n"/>
      <c r="HLN5" s="2" t="n"/>
      <c r="HLO5" s="2" t="n"/>
      <c r="HLP5" s="2" t="n"/>
      <c r="HLQ5" s="2" t="n"/>
      <c r="HLR5" s="2" t="n"/>
      <c r="HLS5" s="2" t="n"/>
      <c r="HLT5" s="2" t="n"/>
      <c r="HLU5" s="2" t="n"/>
      <c r="HLV5" s="2" t="n"/>
      <c r="HLW5" s="2" t="n"/>
      <c r="HLX5" s="2" t="n"/>
      <c r="HLY5" s="2" t="n"/>
      <c r="HLZ5" s="2" t="n"/>
      <c r="HMA5" s="2" t="n"/>
      <c r="HMB5" s="2" t="n"/>
      <c r="HMC5" s="2" t="n"/>
      <c r="HMD5" s="2" t="n"/>
      <c r="HME5" s="2" t="n"/>
      <c r="HMF5" s="2" t="n"/>
      <c r="HMG5" s="2" t="n"/>
      <c r="HMH5" s="2" t="n"/>
      <c r="HMI5" s="2" t="n"/>
      <c r="HMJ5" s="2" t="n"/>
      <c r="HMK5" s="2" t="n"/>
      <c r="HML5" s="2" t="n"/>
      <c r="HMM5" s="2" t="n"/>
      <c r="HMN5" s="2" t="n"/>
      <c r="HMO5" s="2" t="n"/>
      <c r="HMP5" s="2" t="n"/>
      <c r="HMQ5" s="2" t="n"/>
      <c r="HMR5" s="2" t="n"/>
      <c r="HMS5" s="2" t="n"/>
      <c r="HMT5" s="2" t="n"/>
      <c r="HMU5" s="2" t="n"/>
      <c r="HMV5" s="2" t="n"/>
      <c r="HMW5" s="2" t="n"/>
      <c r="HMX5" s="2" t="n"/>
      <c r="HMY5" s="2" t="n"/>
      <c r="HMZ5" s="2" t="n"/>
      <c r="HNA5" s="2" t="n"/>
      <c r="HNB5" s="2" t="n"/>
      <c r="HNC5" s="2" t="n"/>
      <c r="HND5" s="2" t="n"/>
      <c r="HNE5" s="2" t="n"/>
      <c r="HNF5" s="2" t="n"/>
      <c r="HNG5" s="2" t="n"/>
      <c r="HNH5" s="2" t="n"/>
      <c r="HNI5" s="2" t="n"/>
      <c r="HNJ5" s="2" t="n"/>
      <c r="HNK5" s="2" t="n"/>
      <c r="HNL5" s="2" t="n"/>
      <c r="HNM5" s="2" t="n"/>
      <c r="HNN5" s="2" t="n"/>
      <c r="HNO5" s="2" t="n"/>
      <c r="HNP5" s="2" t="n"/>
      <c r="HNQ5" s="2" t="n"/>
      <c r="HNR5" s="2" t="n"/>
      <c r="HNS5" s="2" t="n"/>
      <c r="HNT5" s="2" t="n"/>
      <c r="HNU5" s="2" t="n"/>
      <c r="HNV5" s="2" t="n"/>
      <c r="HNW5" s="2" t="n"/>
      <c r="HNX5" s="2" t="n"/>
      <c r="HNY5" s="2" t="n"/>
      <c r="HNZ5" s="2" t="n"/>
      <c r="HOA5" s="2" t="n"/>
      <c r="HOB5" s="2" t="n"/>
      <c r="HOC5" s="2" t="n"/>
      <c r="HOD5" s="2" t="n"/>
      <c r="HOE5" s="2" t="n"/>
      <c r="HOF5" s="2" t="n"/>
      <c r="HOG5" s="2" t="n"/>
      <c r="HOH5" s="2" t="n"/>
      <c r="HOI5" s="2" t="n"/>
      <c r="HOJ5" s="2" t="n"/>
      <c r="HOK5" s="2" t="n"/>
      <c r="HOL5" s="2" t="n"/>
      <c r="HOM5" s="2" t="n"/>
      <c r="HON5" s="2" t="n"/>
      <c r="HOO5" s="2" t="n"/>
      <c r="HOP5" s="2" t="n"/>
      <c r="HOQ5" s="2" t="n"/>
      <c r="HOR5" s="2" t="n"/>
      <c r="HOS5" s="2" t="n"/>
      <c r="HOT5" s="2" t="n"/>
      <c r="HOU5" s="2" t="n"/>
      <c r="HOV5" s="2" t="n"/>
      <c r="HOW5" s="2" t="n"/>
      <c r="HOX5" s="2" t="n"/>
      <c r="HOY5" s="2" t="n"/>
      <c r="HOZ5" s="2" t="n"/>
      <c r="HPA5" s="2" t="n"/>
      <c r="HPB5" s="2" t="n"/>
      <c r="HPC5" s="2" t="n"/>
      <c r="HPD5" s="2" t="n"/>
      <c r="HPE5" s="2" t="n"/>
      <c r="HPF5" s="2" t="n"/>
      <c r="HPG5" s="2" t="n"/>
      <c r="HPH5" s="2" t="n"/>
      <c r="HPI5" s="2" t="n"/>
      <c r="HPJ5" s="2" t="n"/>
      <c r="HPK5" s="2" t="n"/>
      <c r="HPL5" s="2" t="n"/>
      <c r="HPM5" s="2" t="n"/>
      <c r="HPN5" s="2" t="n"/>
      <c r="HPO5" s="2" t="n"/>
      <c r="HPP5" s="2" t="n"/>
      <c r="HPQ5" s="2" t="n"/>
      <c r="HPR5" s="2" t="n"/>
      <c r="HPS5" s="2" t="n"/>
      <c r="HPT5" s="2" t="n"/>
      <c r="HPU5" s="2" t="n"/>
      <c r="HPV5" s="2" t="n"/>
      <c r="HPW5" s="2" t="n"/>
      <c r="HPX5" s="2" t="n"/>
      <c r="HPY5" s="2" t="n"/>
      <c r="HPZ5" s="2" t="n"/>
      <c r="HQA5" s="2" t="n"/>
      <c r="HQB5" s="2" t="n"/>
      <c r="HQC5" s="2" t="n"/>
      <c r="HQD5" s="2" t="n"/>
      <c r="HQE5" s="2" t="n"/>
      <c r="HQF5" s="2" t="n"/>
      <c r="HQG5" s="2" t="n"/>
      <c r="HQH5" s="2" t="n"/>
      <c r="HQI5" s="2" t="n"/>
      <c r="HQJ5" s="2" t="n"/>
      <c r="HQK5" s="2" t="n"/>
      <c r="HQL5" s="2" t="n"/>
      <c r="HQM5" s="2" t="n"/>
      <c r="HQN5" s="2" t="n"/>
      <c r="HQO5" s="2" t="n"/>
      <c r="HQP5" s="2" t="n"/>
      <c r="HQQ5" s="2" t="n"/>
      <c r="HQR5" s="2" t="n"/>
      <c r="HQS5" s="2" t="n"/>
      <c r="HQT5" s="2" t="n"/>
      <c r="HQU5" s="2" t="n"/>
      <c r="HQV5" s="2" t="n"/>
      <c r="HQW5" s="2" t="n"/>
      <c r="HQX5" s="2" t="n"/>
      <c r="HQY5" s="2" t="n"/>
      <c r="HQZ5" s="2" t="n"/>
      <c r="HRA5" s="2" t="n"/>
      <c r="HRB5" s="2" t="n"/>
      <c r="HRC5" s="2" t="n"/>
      <c r="HRD5" s="2" t="n"/>
      <c r="HRE5" s="2" t="n"/>
      <c r="HRF5" s="2" t="n"/>
      <c r="HRG5" s="2" t="n"/>
      <c r="HRH5" s="2" t="n"/>
      <c r="HRI5" s="2" t="n"/>
      <c r="HRJ5" s="2" t="n"/>
      <c r="HRK5" s="2" t="n"/>
      <c r="HRL5" s="2" t="n"/>
      <c r="HRM5" s="2" t="n"/>
      <c r="HRN5" s="2" t="n"/>
      <c r="HRO5" s="2" t="n"/>
      <c r="HRP5" s="2" t="n"/>
      <c r="HRQ5" s="2" t="n"/>
      <c r="HRR5" s="2" t="n"/>
      <c r="HRS5" s="2" t="n"/>
      <c r="HRT5" s="2" t="n"/>
      <c r="HRU5" s="2" t="n"/>
      <c r="HRV5" s="2" t="n"/>
      <c r="HRW5" s="2" t="n"/>
      <c r="HRX5" s="2" t="n"/>
      <c r="HRY5" s="2" t="n"/>
      <c r="HRZ5" s="2" t="n"/>
      <c r="HSA5" s="2" t="n"/>
      <c r="HSB5" s="2" t="n"/>
      <c r="HSC5" s="2" t="n"/>
      <c r="HSD5" s="2" t="n"/>
      <c r="HSE5" s="2" t="n"/>
      <c r="HSF5" s="2" t="n"/>
      <c r="HSG5" s="2" t="n"/>
      <c r="HSH5" s="2" t="n"/>
      <c r="HSI5" s="2" t="n"/>
      <c r="HSJ5" s="2" t="n"/>
      <c r="HSK5" s="2" t="n"/>
      <c r="HSL5" s="2" t="n"/>
      <c r="HSM5" s="2" t="n"/>
      <c r="HSN5" s="2" t="n"/>
      <c r="HSO5" s="2" t="n"/>
      <c r="HSP5" s="2" t="n"/>
      <c r="HSQ5" s="2" t="n"/>
      <c r="HSR5" s="2" t="n"/>
      <c r="HSS5" s="2" t="n"/>
      <c r="HST5" s="2" t="n"/>
      <c r="HSU5" s="2" t="n"/>
      <c r="HSV5" s="2" t="n"/>
      <c r="HSW5" s="2" t="n"/>
      <c r="HSX5" s="2" t="n"/>
      <c r="HSY5" s="2" t="n"/>
      <c r="HSZ5" s="2" t="n"/>
      <c r="HTA5" s="2" t="n"/>
      <c r="HTB5" s="2" t="n"/>
      <c r="HTC5" s="2" t="n"/>
      <c r="HTD5" s="2" t="n"/>
      <c r="HTE5" s="2" t="n"/>
      <c r="HTF5" s="2" t="n"/>
      <c r="HTG5" s="2" t="n"/>
      <c r="HTH5" s="2" t="n"/>
      <c r="HTI5" s="2" t="n"/>
      <c r="HTJ5" s="2" t="n"/>
      <c r="HTK5" s="2" t="n"/>
      <c r="HTL5" s="2" t="n"/>
      <c r="HTM5" s="2" t="n"/>
      <c r="HTN5" s="2" t="n"/>
      <c r="HTO5" s="2" t="n"/>
      <c r="HTP5" s="2" t="n"/>
      <c r="HTQ5" s="2" t="n"/>
      <c r="HTR5" s="2" t="n"/>
      <c r="HTS5" s="2" t="n"/>
      <c r="HTT5" s="2" t="n"/>
      <c r="HTU5" s="2" t="n"/>
      <c r="HTV5" s="2" t="n"/>
      <c r="HTW5" s="2" t="n"/>
      <c r="HTX5" s="2" t="n"/>
      <c r="HTY5" s="2" t="n"/>
      <c r="HTZ5" s="2" t="n"/>
      <c r="HUA5" s="2" t="n"/>
      <c r="HUB5" s="2" t="n"/>
      <c r="HUC5" s="2" t="n"/>
      <c r="HUD5" s="2" t="n"/>
      <c r="HUE5" s="2" t="n"/>
      <c r="HUF5" s="2" t="n"/>
      <c r="HUG5" s="2" t="n"/>
      <c r="HUH5" s="2" t="n"/>
      <c r="HUI5" s="2" t="n"/>
      <c r="HUJ5" s="2" t="n"/>
      <c r="HUK5" s="2" t="n"/>
      <c r="HUL5" s="2" t="n"/>
      <c r="HUM5" s="2" t="n"/>
      <c r="HUN5" s="2" t="n"/>
      <c r="HUO5" s="2" t="n"/>
      <c r="HUP5" s="2" t="n"/>
      <c r="HUQ5" s="2" t="n"/>
      <c r="HUR5" s="2" t="n"/>
      <c r="HUS5" s="2" t="n"/>
      <c r="HUT5" s="2" t="n"/>
      <c r="HUU5" s="2" t="n"/>
      <c r="HUV5" s="2" t="n"/>
      <c r="HUW5" s="2" t="n"/>
      <c r="HUX5" s="2" t="n"/>
      <c r="HUY5" s="2" t="n"/>
      <c r="HUZ5" s="2" t="n"/>
      <c r="HVA5" s="2" t="n"/>
      <c r="HVB5" s="2" t="n"/>
      <c r="HVC5" s="2" t="n"/>
      <c r="HVD5" s="2" t="n"/>
      <c r="HVE5" s="2" t="n"/>
      <c r="HVF5" s="2" t="n"/>
      <c r="HVG5" s="2" t="n"/>
      <c r="HVH5" s="2" t="n"/>
      <c r="HVI5" s="2" t="n"/>
      <c r="HVJ5" s="2" t="n"/>
      <c r="HVK5" s="2" t="n"/>
      <c r="HVL5" s="2" t="n"/>
      <c r="HVM5" s="2" t="n"/>
      <c r="HVN5" s="2" t="n"/>
      <c r="HVO5" s="2" t="n"/>
      <c r="HVP5" s="2" t="n"/>
      <c r="HVQ5" s="2" t="n"/>
      <c r="HVR5" s="2" t="n"/>
      <c r="HVS5" s="2" t="n"/>
      <c r="HVT5" s="2" t="n"/>
      <c r="HVU5" s="2" t="n"/>
      <c r="HVV5" s="2" t="n"/>
      <c r="HVW5" s="2" t="n"/>
      <c r="HVX5" s="2" t="n"/>
      <c r="HVY5" s="2" t="n"/>
      <c r="HVZ5" s="2" t="n"/>
      <c r="HWA5" s="2" t="n"/>
      <c r="HWB5" s="2" t="n"/>
      <c r="HWC5" s="2" t="n"/>
      <c r="HWD5" s="2" t="n"/>
      <c r="HWE5" s="2" t="n"/>
      <c r="HWF5" s="2" t="n"/>
      <c r="HWG5" s="2" t="n"/>
      <c r="HWH5" s="2" t="n"/>
      <c r="HWI5" s="2" t="n"/>
      <c r="HWJ5" s="2" t="n"/>
      <c r="HWK5" s="2" t="n"/>
      <c r="HWL5" s="2" t="n"/>
      <c r="HWM5" s="2" t="n"/>
      <c r="HWN5" s="2" t="n"/>
      <c r="HWO5" s="2" t="n"/>
      <c r="HWP5" s="2" t="n"/>
      <c r="HWQ5" s="2" t="n"/>
      <c r="HWR5" s="2" t="n"/>
      <c r="HWS5" s="2" t="n"/>
      <c r="HWT5" s="2" t="n"/>
      <c r="HWU5" s="2" t="n"/>
      <c r="HWV5" s="2" t="n"/>
      <c r="HWW5" s="2" t="n"/>
      <c r="HWX5" s="2" t="n"/>
      <c r="HWY5" s="2" t="n"/>
      <c r="HWZ5" s="2" t="n"/>
      <c r="HXA5" s="2" t="n"/>
      <c r="HXB5" s="2" t="n"/>
      <c r="HXC5" s="2" t="n"/>
      <c r="HXD5" s="2" t="n"/>
      <c r="HXE5" s="2" t="n"/>
      <c r="HXF5" s="2" t="n"/>
      <c r="HXG5" s="2" t="n"/>
      <c r="HXH5" s="2" t="n"/>
      <c r="HXI5" s="2" t="n"/>
      <c r="HXJ5" s="2" t="n"/>
      <c r="HXK5" s="2" t="n"/>
      <c r="HXL5" s="2" t="n"/>
      <c r="HXM5" s="2" t="n"/>
      <c r="HXN5" s="2" t="n"/>
      <c r="HXO5" s="2" t="n"/>
      <c r="HXP5" s="2" t="n"/>
      <c r="HXQ5" s="2" t="n"/>
      <c r="HXR5" s="2" t="n"/>
      <c r="HXS5" s="2" t="n"/>
      <c r="HXT5" s="2" t="n"/>
      <c r="HXU5" s="2" t="n"/>
      <c r="HXV5" s="2" t="n"/>
      <c r="HXW5" s="2" t="n"/>
      <c r="HXX5" s="2" t="n"/>
      <c r="HXY5" s="2" t="n"/>
      <c r="HXZ5" s="2" t="n"/>
      <c r="HYA5" s="2" t="n"/>
      <c r="HYB5" s="2" t="n"/>
      <c r="HYC5" s="2" t="n"/>
      <c r="HYD5" s="2" t="n"/>
      <c r="HYE5" s="2" t="n"/>
      <c r="HYF5" s="2" t="n"/>
      <c r="HYG5" s="2" t="n"/>
      <c r="HYH5" s="2" t="n"/>
      <c r="HYI5" s="2" t="n"/>
      <c r="HYJ5" s="2" t="n"/>
      <c r="HYK5" s="2" t="n"/>
      <c r="HYL5" s="2" t="n"/>
      <c r="HYM5" s="2" t="n"/>
      <c r="HYN5" s="2" t="n"/>
      <c r="HYO5" s="2" t="n"/>
      <c r="HYP5" s="2" t="n"/>
      <c r="HYQ5" s="2" t="n"/>
      <c r="HYR5" s="2" t="n"/>
      <c r="HYS5" s="2" t="n"/>
      <c r="HYT5" s="2" t="n"/>
      <c r="HYU5" s="2" t="n"/>
      <c r="HYV5" s="2" t="n"/>
      <c r="HYW5" s="2" t="n"/>
      <c r="HYX5" s="2" t="n"/>
      <c r="HYY5" s="2" t="n"/>
      <c r="HYZ5" s="2" t="n"/>
      <c r="HZA5" s="2" t="n"/>
      <c r="HZB5" s="2" t="n"/>
      <c r="HZC5" s="2" t="n"/>
      <c r="HZD5" s="2" t="n"/>
      <c r="HZE5" s="2" t="n"/>
      <c r="HZF5" s="2" t="n"/>
      <c r="HZG5" s="2" t="n"/>
      <c r="HZH5" s="2" t="n"/>
      <c r="HZI5" s="2" t="n"/>
      <c r="HZJ5" s="2" t="n"/>
      <c r="HZK5" s="2" t="n"/>
      <c r="HZL5" s="2" t="n"/>
      <c r="HZM5" s="2" t="n"/>
      <c r="HZN5" s="2" t="n"/>
      <c r="HZO5" s="2" t="n"/>
      <c r="HZP5" s="2" t="n"/>
      <c r="HZQ5" s="2" t="n"/>
      <c r="HZR5" s="2" t="n"/>
      <c r="HZS5" s="2" t="n"/>
      <c r="HZT5" s="2" t="n"/>
      <c r="HZU5" s="2" t="n"/>
      <c r="HZV5" s="2" t="n"/>
      <c r="HZW5" s="2" t="n"/>
      <c r="HZX5" s="2" t="n"/>
      <c r="HZY5" s="2" t="n"/>
      <c r="HZZ5" s="2" t="n"/>
      <c r="IAA5" s="2" t="n"/>
      <c r="IAB5" s="2" t="n"/>
      <c r="IAC5" s="2" t="n"/>
      <c r="IAD5" s="2" t="n"/>
      <c r="IAE5" s="2" t="n"/>
      <c r="IAF5" s="2" t="n"/>
      <c r="IAG5" s="2" t="n"/>
      <c r="IAH5" s="2" t="n"/>
      <c r="IAI5" s="2" t="n"/>
      <c r="IAJ5" s="2" t="n"/>
      <c r="IAK5" s="2" t="n"/>
      <c r="IAL5" s="2" t="n"/>
      <c r="IAM5" s="2" t="n"/>
      <c r="IAN5" s="2" t="n"/>
      <c r="IAO5" s="2" t="n"/>
      <c r="IAP5" s="2" t="n"/>
      <c r="IAQ5" s="2" t="n"/>
      <c r="IAR5" s="2" t="n"/>
      <c r="IAS5" s="2" t="n"/>
      <c r="IAT5" s="2" t="n"/>
      <c r="IAU5" s="2" t="n"/>
      <c r="IAV5" s="2" t="n"/>
      <c r="IAW5" s="2" t="n"/>
      <c r="IAX5" s="2" t="n"/>
      <c r="IAY5" s="2" t="n"/>
      <c r="IAZ5" s="2" t="n"/>
      <c r="IBA5" s="2" t="n"/>
      <c r="IBB5" s="2" t="n"/>
      <c r="IBC5" s="2" t="n"/>
      <c r="IBD5" s="2" t="n"/>
      <c r="IBE5" s="2" t="n"/>
      <c r="IBF5" s="2" t="n"/>
      <c r="IBG5" s="2" t="n"/>
      <c r="IBH5" s="2" t="n"/>
      <c r="IBI5" s="2" t="n"/>
      <c r="IBJ5" s="2" t="n"/>
      <c r="IBK5" s="2" t="n"/>
      <c r="IBL5" s="2" t="n"/>
      <c r="IBM5" s="2" t="n"/>
      <c r="IBN5" s="2" t="n"/>
      <c r="IBO5" s="2" t="n"/>
      <c r="IBP5" s="2" t="n"/>
      <c r="IBQ5" s="2" t="n"/>
      <c r="IBR5" s="2" t="n"/>
      <c r="IBS5" s="2" t="n"/>
      <c r="IBT5" s="2" t="n"/>
      <c r="IBU5" s="2" t="n"/>
      <c r="IBV5" s="2" t="n"/>
      <c r="IBW5" s="2" t="n"/>
      <c r="IBX5" s="2" t="n"/>
      <c r="IBY5" s="2" t="n"/>
      <c r="IBZ5" s="2" t="n"/>
      <c r="ICA5" s="2" t="n"/>
      <c r="ICB5" s="2" t="n"/>
      <c r="ICC5" s="2" t="n"/>
      <c r="ICD5" s="2" t="n"/>
      <c r="ICE5" s="2" t="n"/>
      <c r="ICF5" s="2" t="n"/>
      <c r="ICG5" s="2" t="n"/>
      <c r="ICH5" s="2" t="n"/>
      <c r="ICI5" s="2" t="n"/>
      <c r="ICJ5" s="2" t="n"/>
      <c r="ICK5" s="2" t="n"/>
      <c r="ICL5" s="2" t="n"/>
      <c r="ICM5" s="2" t="n"/>
      <c r="ICN5" s="2" t="n"/>
      <c r="ICO5" s="2" t="n"/>
      <c r="ICP5" s="2" t="n"/>
      <c r="ICQ5" s="2" t="n"/>
      <c r="ICR5" s="2" t="n"/>
      <c r="ICS5" s="2" t="n"/>
      <c r="ICT5" s="2" t="n"/>
      <c r="ICU5" s="2" t="n"/>
      <c r="ICV5" s="2" t="n"/>
      <c r="ICW5" s="2" t="n"/>
      <c r="ICX5" s="2" t="n"/>
      <c r="ICY5" s="2" t="n"/>
      <c r="ICZ5" s="2" t="n"/>
      <c r="IDA5" s="2" t="n"/>
      <c r="IDB5" s="2" t="n"/>
      <c r="IDC5" s="2" t="n"/>
      <c r="IDD5" s="2" t="n"/>
      <c r="IDE5" s="2" t="n"/>
      <c r="IDF5" s="2" t="n"/>
      <c r="IDG5" s="2" t="n"/>
      <c r="IDH5" s="2" t="n"/>
      <c r="IDI5" s="2" t="n"/>
      <c r="IDJ5" s="2" t="n"/>
      <c r="IDK5" s="2" t="n"/>
      <c r="IDL5" s="2" t="n"/>
      <c r="IDM5" s="2" t="n"/>
      <c r="IDN5" s="2" t="n"/>
      <c r="IDO5" s="2" t="n"/>
      <c r="IDP5" s="2" t="n"/>
      <c r="IDQ5" s="2" t="n"/>
      <c r="IDR5" s="2" t="n"/>
      <c r="IDS5" s="2" t="n"/>
      <c r="IDT5" s="2" t="n"/>
      <c r="IDU5" s="2" t="n"/>
      <c r="IDV5" s="2" t="n"/>
      <c r="IDW5" s="2" t="n"/>
      <c r="IDX5" s="2" t="n"/>
      <c r="IDY5" s="2" t="n"/>
      <c r="IDZ5" s="2" t="n"/>
      <c r="IEA5" s="2" t="n"/>
      <c r="IEB5" s="2" t="n"/>
      <c r="IEC5" s="2" t="n"/>
      <c r="IED5" s="2" t="n"/>
      <c r="IEE5" s="2" t="n"/>
      <c r="IEF5" s="2" t="n"/>
      <c r="IEG5" s="2" t="n"/>
      <c r="IEH5" s="2" t="n"/>
      <c r="IEI5" s="2" t="n"/>
      <c r="IEJ5" s="2" t="n"/>
      <c r="IEK5" s="2" t="n"/>
      <c r="IEL5" s="2" t="n"/>
      <c r="IEM5" s="2" t="n"/>
      <c r="IEN5" s="2" t="n"/>
      <c r="IEO5" s="2" t="n"/>
      <c r="IEP5" s="2" t="n"/>
      <c r="IEQ5" s="2" t="n"/>
      <c r="IER5" s="2" t="n"/>
      <c r="IES5" s="2" t="n"/>
      <c r="IET5" s="2" t="n"/>
      <c r="IEU5" s="2" t="n"/>
      <c r="IEV5" s="2" t="n"/>
      <c r="IEW5" s="2" t="n"/>
      <c r="IEX5" s="2" t="n"/>
      <c r="IEY5" s="2" t="n"/>
      <c r="IEZ5" s="2" t="n"/>
      <c r="IFA5" s="2" t="n"/>
      <c r="IFB5" s="2" t="n"/>
      <c r="IFC5" s="2" t="n"/>
      <c r="IFD5" s="2" t="n"/>
      <c r="IFE5" s="2" t="n"/>
      <c r="IFF5" s="2" t="n"/>
      <c r="IFG5" s="2" t="n"/>
      <c r="IFH5" s="2" t="n"/>
      <c r="IFI5" s="2" t="n"/>
      <c r="IFJ5" s="2" t="n"/>
      <c r="IFK5" s="2" t="n"/>
      <c r="IFL5" s="2" t="n"/>
      <c r="IFM5" s="2" t="n"/>
      <c r="IFN5" s="2" t="n"/>
      <c r="IFO5" s="2" t="n"/>
      <c r="IFP5" s="2" t="n"/>
      <c r="IFQ5" s="2" t="n"/>
      <c r="IFR5" s="2" t="n"/>
      <c r="IFS5" s="2" t="n"/>
      <c r="IFT5" s="2" t="n"/>
      <c r="IFU5" s="2" t="n"/>
      <c r="IFV5" s="2" t="n"/>
      <c r="IFW5" s="2" t="n"/>
      <c r="IFX5" s="2" t="n"/>
      <c r="IFY5" s="2" t="n"/>
      <c r="IFZ5" s="2" t="n"/>
      <c r="IGA5" s="2" t="n"/>
      <c r="IGB5" s="2" t="n"/>
      <c r="IGC5" s="2" t="n"/>
      <c r="IGD5" s="2" t="n"/>
      <c r="IGE5" s="2" t="n"/>
      <c r="IGF5" s="2" t="n"/>
      <c r="IGG5" s="2" t="n"/>
      <c r="IGH5" s="2" t="n"/>
      <c r="IGI5" s="2" t="n"/>
      <c r="IGJ5" s="2" t="n"/>
      <c r="IGK5" s="2" t="n"/>
      <c r="IGL5" s="2" t="n"/>
      <c r="IGM5" s="2" t="n"/>
      <c r="IGN5" s="2" t="n"/>
      <c r="IGO5" s="2" t="n"/>
      <c r="IGP5" s="2" t="n"/>
      <c r="IGQ5" s="2" t="n"/>
      <c r="IGR5" s="2" t="n"/>
      <c r="IGS5" s="2" t="n"/>
      <c r="IGT5" s="2" t="n"/>
      <c r="IGU5" s="2" t="n"/>
      <c r="IGV5" s="2" t="n"/>
      <c r="IGW5" s="2" t="n"/>
      <c r="IGX5" s="2" t="n"/>
      <c r="IGY5" s="2" t="n"/>
      <c r="IGZ5" s="2" t="n"/>
      <c r="IHA5" s="2" t="n"/>
      <c r="IHB5" s="2" t="n"/>
      <c r="IHC5" s="2" t="n"/>
      <c r="IHD5" s="2" t="n"/>
      <c r="IHE5" s="2" t="n"/>
      <c r="IHF5" s="2" t="n"/>
      <c r="IHG5" s="2" t="n"/>
      <c r="IHH5" s="2" t="n"/>
      <c r="IHI5" s="2" t="n"/>
      <c r="IHJ5" s="2" t="n"/>
      <c r="IHK5" s="2" t="n"/>
      <c r="IHL5" s="2" t="n"/>
      <c r="IHM5" s="2" t="n"/>
      <c r="IHN5" s="2" t="n"/>
      <c r="IHO5" s="2" t="n"/>
      <c r="IHP5" s="2" t="n"/>
      <c r="IHQ5" s="2" t="n"/>
      <c r="IHR5" s="2" t="n"/>
      <c r="IHS5" s="2" t="n"/>
      <c r="IHT5" s="2" t="n"/>
      <c r="IHU5" s="2" t="n"/>
      <c r="IHV5" s="2" t="n"/>
      <c r="IHW5" s="2" t="n"/>
      <c r="IHX5" s="2" t="n"/>
      <c r="IHY5" s="2" t="n"/>
      <c r="IHZ5" s="2" t="n"/>
      <c r="IIA5" s="2" t="n"/>
      <c r="IIB5" s="2" t="n"/>
      <c r="IIC5" s="2" t="n"/>
      <c r="IID5" s="2" t="n"/>
      <c r="IIE5" s="2" t="n"/>
      <c r="IIF5" s="2" t="n"/>
      <c r="IIG5" s="2" t="n"/>
      <c r="IIH5" s="2" t="n"/>
      <c r="III5" s="2" t="n"/>
      <c r="IIJ5" s="2" t="n"/>
      <c r="IIK5" s="2" t="n"/>
      <c r="IIL5" s="2" t="n"/>
      <c r="IIM5" s="2" t="n"/>
      <c r="IIN5" s="2" t="n"/>
      <c r="IIO5" s="2" t="n"/>
      <c r="IIP5" s="2" t="n"/>
      <c r="IIQ5" s="2" t="n"/>
      <c r="IIR5" s="2" t="n"/>
      <c r="IIS5" s="2" t="n"/>
      <c r="IIT5" s="2" t="n"/>
      <c r="IIU5" s="2" t="n"/>
      <c r="IIV5" s="2" t="n"/>
      <c r="IIW5" s="2" t="n"/>
      <c r="IIX5" s="2" t="n"/>
      <c r="IIY5" s="2" t="n"/>
      <c r="IIZ5" s="2" t="n"/>
      <c r="IJA5" s="2" t="n"/>
      <c r="IJB5" s="2" t="n"/>
      <c r="IJC5" s="2" t="n"/>
      <c r="IJD5" s="2" t="n"/>
      <c r="IJE5" s="2" t="n"/>
      <c r="IJF5" s="2" t="n"/>
      <c r="IJG5" s="2" t="n"/>
      <c r="IJH5" s="2" t="n"/>
      <c r="IJI5" s="2" t="n"/>
      <c r="IJJ5" s="2" t="n"/>
      <c r="IJK5" s="2" t="n"/>
      <c r="IJL5" s="2" t="n"/>
      <c r="IJM5" s="2" t="n"/>
      <c r="IJN5" s="2" t="n"/>
      <c r="IJO5" s="2" t="n"/>
      <c r="IJP5" s="2" t="n"/>
      <c r="IJQ5" s="2" t="n"/>
      <c r="IJR5" s="2" t="n"/>
      <c r="IJS5" s="2" t="n"/>
      <c r="IJT5" s="2" t="n"/>
      <c r="IJU5" s="2" t="n"/>
      <c r="IJV5" s="2" t="n"/>
      <c r="IJW5" s="2" t="n"/>
      <c r="IJX5" s="2" t="n"/>
      <c r="IJY5" s="2" t="n"/>
      <c r="IJZ5" s="2" t="n"/>
      <c r="IKA5" s="2" t="n"/>
      <c r="IKB5" s="2" t="n"/>
      <c r="IKC5" s="2" t="n"/>
      <c r="IKD5" s="2" t="n"/>
      <c r="IKE5" s="2" t="n"/>
      <c r="IKF5" s="2" t="n"/>
      <c r="IKG5" s="2" t="n"/>
      <c r="IKH5" s="2" t="n"/>
      <c r="IKI5" s="2" t="n"/>
      <c r="IKJ5" s="2" t="n"/>
      <c r="IKK5" s="2" t="n"/>
      <c r="IKL5" s="2" t="n"/>
      <c r="IKM5" s="2" t="n"/>
      <c r="IKN5" s="2" t="n"/>
      <c r="IKO5" s="2" t="n"/>
      <c r="IKP5" s="2" t="n"/>
      <c r="IKQ5" s="2" t="n"/>
      <c r="IKR5" s="2" t="n"/>
      <c r="IKS5" s="2" t="n"/>
      <c r="IKT5" s="2" t="n"/>
      <c r="IKU5" s="2" t="n"/>
      <c r="IKV5" s="2" t="n"/>
      <c r="IKW5" s="2" t="n"/>
      <c r="IKX5" s="2" t="n"/>
      <c r="IKY5" s="2" t="n"/>
      <c r="IKZ5" s="2" t="n"/>
      <c r="ILA5" s="2" t="n"/>
      <c r="ILB5" s="2" t="n"/>
      <c r="ILC5" s="2" t="n"/>
      <c r="ILD5" s="2" t="n"/>
      <c r="ILE5" s="2" t="n"/>
      <c r="ILF5" s="2" t="n"/>
      <c r="ILG5" s="2" t="n"/>
      <c r="ILH5" s="2" t="n"/>
      <c r="ILI5" s="2" t="n"/>
      <c r="ILJ5" s="2" t="n"/>
      <c r="ILK5" s="2" t="n"/>
      <c r="ILL5" s="2" t="n"/>
      <c r="ILM5" s="2" t="n"/>
      <c r="ILN5" s="2" t="n"/>
      <c r="ILO5" s="2" t="n"/>
      <c r="ILP5" s="2" t="n"/>
      <c r="ILQ5" s="2" t="n"/>
      <c r="ILR5" s="2" t="n"/>
      <c r="ILS5" s="2" t="n"/>
      <c r="ILT5" s="2" t="n"/>
      <c r="ILU5" s="2" t="n"/>
      <c r="ILV5" s="2" t="n"/>
      <c r="ILW5" s="2" t="n"/>
      <c r="ILX5" s="2" t="n"/>
      <c r="ILY5" s="2" t="n"/>
      <c r="ILZ5" s="2" t="n"/>
      <c r="IMA5" s="2" t="n"/>
      <c r="IMB5" s="2" t="n"/>
      <c r="IMC5" s="2" t="n"/>
      <c r="IMD5" s="2" t="n"/>
      <c r="IME5" s="2" t="n"/>
      <c r="IMF5" s="2" t="n"/>
      <c r="IMG5" s="2" t="n"/>
      <c r="IMH5" s="2" t="n"/>
      <c r="IMI5" s="2" t="n"/>
      <c r="IMJ5" s="2" t="n"/>
      <c r="IMK5" s="2" t="n"/>
      <c r="IML5" s="2" t="n"/>
      <c r="IMM5" s="2" t="n"/>
      <c r="IMN5" s="2" t="n"/>
      <c r="IMO5" s="2" t="n"/>
      <c r="IMP5" s="2" t="n"/>
      <c r="IMQ5" s="2" t="n"/>
      <c r="IMR5" s="2" t="n"/>
      <c r="IMS5" s="2" t="n"/>
      <c r="IMT5" s="2" t="n"/>
      <c r="IMU5" s="2" t="n"/>
      <c r="IMV5" s="2" t="n"/>
      <c r="IMW5" s="2" t="n"/>
      <c r="IMX5" s="2" t="n"/>
      <c r="IMY5" s="2" t="n"/>
      <c r="IMZ5" s="2" t="n"/>
      <c r="INA5" s="2" t="n"/>
      <c r="INB5" s="2" t="n"/>
      <c r="INC5" s="2" t="n"/>
      <c r="IND5" s="2" t="n"/>
      <c r="INE5" s="2" t="n"/>
      <c r="INF5" s="2" t="n"/>
      <c r="ING5" s="2" t="n"/>
      <c r="INH5" s="2" t="n"/>
      <c r="INI5" s="2" t="n"/>
      <c r="INJ5" s="2" t="n"/>
      <c r="INK5" s="2" t="n"/>
      <c r="INL5" s="2" t="n"/>
      <c r="INM5" s="2" t="n"/>
      <c r="INN5" s="2" t="n"/>
      <c r="INO5" s="2" t="n"/>
      <c r="INP5" s="2" t="n"/>
      <c r="INQ5" s="2" t="n"/>
      <c r="INR5" s="2" t="n"/>
      <c r="INS5" s="2" t="n"/>
      <c r="INT5" s="2" t="n"/>
      <c r="INU5" s="2" t="n"/>
      <c r="INV5" s="2" t="n"/>
      <c r="INW5" s="2" t="n"/>
      <c r="INX5" s="2" t="n"/>
      <c r="INY5" s="2" t="n"/>
      <c r="INZ5" s="2" t="n"/>
      <c r="IOA5" s="2" t="n"/>
      <c r="IOB5" s="2" t="n"/>
      <c r="IOC5" s="2" t="n"/>
      <c r="IOD5" s="2" t="n"/>
      <c r="IOE5" s="2" t="n"/>
      <c r="IOF5" s="2" t="n"/>
      <c r="IOG5" s="2" t="n"/>
      <c r="IOH5" s="2" t="n"/>
      <c r="IOI5" s="2" t="n"/>
      <c r="IOJ5" s="2" t="n"/>
      <c r="IOK5" s="2" t="n"/>
      <c r="IOL5" s="2" t="n"/>
      <c r="IOM5" s="2" t="n"/>
      <c r="ION5" s="2" t="n"/>
      <c r="IOO5" s="2" t="n"/>
      <c r="IOP5" s="2" t="n"/>
      <c r="IOQ5" s="2" t="n"/>
      <c r="IOR5" s="2" t="n"/>
      <c r="IOS5" s="2" t="n"/>
      <c r="IOT5" s="2" t="n"/>
      <c r="IOU5" s="2" t="n"/>
      <c r="IOV5" s="2" t="n"/>
      <c r="IOW5" s="2" t="n"/>
      <c r="IOX5" s="2" t="n"/>
      <c r="IOY5" s="2" t="n"/>
      <c r="IOZ5" s="2" t="n"/>
      <c r="IPA5" s="2" t="n"/>
      <c r="IPB5" s="2" t="n"/>
      <c r="IPC5" s="2" t="n"/>
      <c r="IPD5" s="2" t="n"/>
      <c r="IPE5" s="2" t="n"/>
      <c r="IPF5" s="2" t="n"/>
      <c r="IPG5" s="2" t="n"/>
      <c r="IPH5" s="2" t="n"/>
      <c r="IPI5" s="2" t="n"/>
      <c r="IPJ5" s="2" t="n"/>
      <c r="IPK5" s="2" t="n"/>
      <c r="IPL5" s="2" t="n"/>
      <c r="IPM5" s="2" t="n"/>
      <c r="IPN5" s="2" t="n"/>
      <c r="IPO5" s="2" t="n"/>
      <c r="IPP5" s="2" t="n"/>
      <c r="IPQ5" s="2" t="n"/>
      <c r="IPR5" s="2" t="n"/>
      <c r="IPS5" s="2" t="n"/>
      <c r="IPT5" s="2" t="n"/>
      <c r="IPU5" s="2" t="n"/>
      <c r="IPV5" s="2" t="n"/>
      <c r="IPW5" s="2" t="n"/>
      <c r="IPX5" s="2" t="n"/>
      <c r="IPY5" s="2" t="n"/>
      <c r="IPZ5" s="2" t="n"/>
      <c r="IQA5" s="2" t="n"/>
      <c r="IQB5" s="2" t="n"/>
      <c r="IQC5" s="2" t="n"/>
      <c r="IQD5" s="2" t="n"/>
      <c r="IQE5" s="2" t="n"/>
      <c r="IQF5" s="2" t="n"/>
      <c r="IQG5" s="2" t="n"/>
      <c r="IQH5" s="2" t="n"/>
      <c r="IQI5" s="2" t="n"/>
      <c r="IQJ5" s="2" t="n"/>
      <c r="IQK5" s="2" t="n"/>
      <c r="IQL5" s="2" t="n"/>
      <c r="IQM5" s="2" t="n"/>
      <c r="IQN5" s="2" t="n"/>
      <c r="IQO5" s="2" t="n"/>
      <c r="IQP5" s="2" t="n"/>
      <c r="IQQ5" s="2" t="n"/>
      <c r="IQR5" s="2" t="n"/>
      <c r="IQS5" s="2" t="n"/>
      <c r="IQT5" s="2" t="n"/>
      <c r="IQU5" s="2" t="n"/>
      <c r="IQV5" s="2" t="n"/>
      <c r="IQW5" s="2" t="n"/>
      <c r="IQX5" s="2" t="n"/>
      <c r="IQY5" s="2" t="n"/>
      <c r="IQZ5" s="2" t="n"/>
      <c r="IRA5" s="2" t="n"/>
      <c r="IRB5" s="2" t="n"/>
      <c r="IRC5" s="2" t="n"/>
      <c r="IRD5" s="2" t="n"/>
      <c r="IRE5" s="2" t="n"/>
      <c r="IRF5" s="2" t="n"/>
      <c r="IRG5" s="2" t="n"/>
      <c r="IRH5" s="2" t="n"/>
      <c r="IRI5" s="2" t="n"/>
      <c r="IRJ5" s="2" t="n"/>
      <c r="IRK5" s="2" t="n"/>
      <c r="IRL5" s="2" t="n"/>
      <c r="IRM5" s="2" t="n"/>
      <c r="IRN5" s="2" t="n"/>
      <c r="IRO5" s="2" t="n"/>
      <c r="IRP5" s="2" t="n"/>
      <c r="IRQ5" s="2" t="n"/>
      <c r="IRR5" s="2" t="n"/>
      <c r="IRS5" s="2" t="n"/>
      <c r="IRT5" s="2" t="n"/>
      <c r="IRU5" s="2" t="n"/>
      <c r="IRV5" s="2" t="n"/>
      <c r="IRW5" s="2" t="n"/>
      <c r="IRX5" s="2" t="n"/>
      <c r="IRY5" s="2" t="n"/>
      <c r="IRZ5" s="2" t="n"/>
      <c r="ISA5" s="2" t="n"/>
      <c r="ISB5" s="2" t="n"/>
      <c r="ISC5" s="2" t="n"/>
      <c r="ISD5" s="2" t="n"/>
      <c r="ISE5" s="2" t="n"/>
      <c r="ISF5" s="2" t="n"/>
      <c r="ISG5" s="2" t="n"/>
      <c r="ISH5" s="2" t="n"/>
      <c r="ISI5" s="2" t="n"/>
      <c r="ISJ5" s="2" t="n"/>
      <c r="ISK5" s="2" t="n"/>
      <c r="ISL5" s="2" t="n"/>
      <c r="ISM5" s="2" t="n"/>
      <c r="ISN5" s="2" t="n"/>
      <c r="ISO5" s="2" t="n"/>
      <c r="ISP5" s="2" t="n"/>
      <c r="ISQ5" s="2" t="n"/>
      <c r="ISR5" s="2" t="n"/>
      <c r="ISS5" s="2" t="n"/>
      <c r="IST5" s="2" t="n"/>
      <c r="ISU5" s="2" t="n"/>
      <c r="ISV5" s="2" t="n"/>
      <c r="ISW5" s="2" t="n"/>
      <c r="ISX5" s="2" t="n"/>
      <c r="ISY5" s="2" t="n"/>
      <c r="ISZ5" s="2" t="n"/>
      <c r="ITA5" s="2" t="n"/>
      <c r="ITB5" s="2" t="n"/>
      <c r="ITC5" s="2" t="n"/>
      <c r="ITD5" s="2" t="n"/>
      <c r="ITE5" s="2" t="n"/>
      <c r="ITF5" s="2" t="n"/>
      <c r="ITG5" s="2" t="n"/>
      <c r="ITH5" s="2" t="n"/>
      <c r="ITI5" s="2" t="n"/>
      <c r="ITJ5" s="2" t="n"/>
      <c r="ITK5" s="2" t="n"/>
      <c r="ITL5" s="2" t="n"/>
      <c r="ITM5" s="2" t="n"/>
      <c r="ITN5" s="2" t="n"/>
      <c r="ITO5" s="2" t="n"/>
      <c r="ITP5" s="2" t="n"/>
      <c r="ITQ5" s="2" t="n"/>
      <c r="ITR5" s="2" t="n"/>
      <c r="ITS5" s="2" t="n"/>
      <c r="ITT5" s="2" t="n"/>
      <c r="ITU5" s="2" t="n"/>
      <c r="ITV5" s="2" t="n"/>
      <c r="ITW5" s="2" t="n"/>
      <c r="ITX5" s="2" t="n"/>
      <c r="ITY5" s="2" t="n"/>
      <c r="ITZ5" s="2" t="n"/>
      <c r="IUA5" s="2" t="n"/>
      <c r="IUB5" s="2" t="n"/>
      <c r="IUC5" s="2" t="n"/>
      <c r="IUD5" s="2" t="n"/>
      <c r="IUE5" s="2" t="n"/>
      <c r="IUF5" s="2" t="n"/>
      <c r="IUG5" s="2" t="n"/>
      <c r="IUH5" s="2" t="n"/>
      <c r="IUI5" s="2" t="n"/>
      <c r="IUJ5" s="2" t="n"/>
      <c r="IUK5" s="2" t="n"/>
      <c r="IUL5" s="2" t="n"/>
      <c r="IUM5" s="2" t="n"/>
      <c r="IUN5" s="2" t="n"/>
      <c r="IUO5" s="2" t="n"/>
      <c r="IUP5" s="2" t="n"/>
      <c r="IUQ5" s="2" t="n"/>
      <c r="IUR5" s="2" t="n"/>
      <c r="IUS5" s="2" t="n"/>
      <c r="IUT5" s="2" t="n"/>
      <c r="IUU5" s="2" t="n"/>
      <c r="IUV5" s="2" t="n"/>
      <c r="IUW5" s="2" t="n"/>
      <c r="IUX5" s="2" t="n"/>
      <c r="IUY5" s="2" t="n"/>
      <c r="IUZ5" s="2" t="n"/>
      <c r="IVA5" s="2" t="n"/>
      <c r="IVB5" s="2" t="n"/>
      <c r="IVC5" s="2" t="n"/>
      <c r="IVD5" s="2" t="n"/>
      <c r="IVE5" s="2" t="n"/>
      <c r="IVF5" s="2" t="n"/>
      <c r="IVG5" s="2" t="n"/>
      <c r="IVH5" s="2" t="n"/>
      <c r="IVI5" s="2" t="n"/>
      <c r="IVJ5" s="2" t="n"/>
      <c r="IVK5" s="2" t="n"/>
      <c r="IVL5" s="2" t="n"/>
      <c r="IVM5" s="2" t="n"/>
      <c r="IVN5" s="2" t="n"/>
      <c r="IVO5" s="2" t="n"/>
      <c r="IVP5" s="2" t="n"/>
      <c r="IVQ5" s="2" t="n"/>
      <c r="IVR5" s="2" t="n"/>
      <c r="IVS5" s="2" t="n"/>
      <c r="IVT5" s="2" t="n"/>
      <c r="IVU5" s="2" t="n"/>
      <c r="IVV5" s="2" t="n"/>
      <c r="IVW5" s="2" t="n"/>
      <c r="IVX5" s="2" t="n"/>
      <c r="IVY5" s="2" t="n"/>
      <c r="IVZ5" s="2" t="n"/>
      <c r="IWA5" s="2" t="n"/>
      <c r="IWB5" s="2" t="n"/>
      <c r="IWC5" s="2" t="n"/>
      <c r="IWD5" s="2" t="n"/>
      <c r="IWE5" s="2" t="n"/>
      <c r="IWF5" s="2" t="n"/>
      <c r="IWG5" s="2" t="n"/>
      <c r="IWH5" s="2" t="n"/>
      <c r="IWI5" s="2" t="n"/>
      <c r="IWJ5" s="2" t="n"/>
      <c r="IWK5" s="2" t="n"/>
      <c r="IWL5" s="2" t="n"/>
      <c r="IWM5" s="2" t="n"/>
      <c r="IWN5" s="2" t="n"/>
      <c r="IWO5" s="2" t="n"/>
      <c r="IWP5" s="2" t="n"/>
      <c r="IWQ5" s="2" t="n"/>
      <c r="IWR5" s="2" t="n"/>
      <c r="IWS5" s="2" t="n"/>
      <c r="IWT5" s="2" t="n"/>
      <c r="IWU5" s="2" t="n"/>
      <c r="IWV5" s="2" t="n"/>
      <c r="IWW5" s="2" t="n"/>
      <c r="IWX5" s="2" t="n"/>
      <c r="IWY5" s="2" t="n"/>
      <c r="IWZ5" s="2" t="n"/>
      <c r="IXA5" s="2" t="n"/>
      <c r="IXB5" s="2" t="n"/>
      <c r="IXC5" s="2" t="n"/>
      <c r="IXD5" s="2" t="n"/>
      <c r="IXE5" s="2" t="n"/>
      <c r="IXF5" s="2" t="n"/>
      <c r="IXG5" s="2" t="n"/>
      <c r="IXH5" s="2" t="n"/>
      <c r="IXI5" s="2" t="n"/>
      <c r="IXJ5" s="2" t="n"/>
      <c r="IXK5" s="2" t="n"/>
      <c r="IXL5" s="2" t="n"/>
      <c r="IXM5" s="2" t="n"/>
      <c r="IXN5" s="2" t="n"/>
      <c r="IXO5" s="2" t="n"/>
      <c r="IXP5" s="2" t="n"/>
      <c r="IXQ5" s="2" t="n"/>
      <c r="IXR5" s="2" t="n"/>
      <c r="IXS5" s="2" t="n"/>
      <c r="IXT5" s="2" t="n"/>
      <c r="IXU5" s="2" t="n"/>
      <c r="IXV5" s="2" t="n"/>
      <c r="IXW5" s="2" t="n"/>
      <c r="IXX5" s="2" t="n"/>
      <c r="IXY5" s="2" t="n"/>
      <c r="IXZ5" s="2" t="n"/>
      <c r="IYA5" s="2" t="n"/>
      <c r="IYB5" s="2" t="n"/>
      <c r="IYC5" s="2" t="n"/>
      <c r="IYD5" s="2" t="n"/>
      <c r="IYE5" s="2" t="n"/>
      <c r="IYF5" s="2" t="n"/>
      <c r="IYG5" s="2" t="n"/>
      <c r="IYH5" s="2" t="n"/>
      <c r="IYI5" s="2" t="n"/>
      <c r="IYJ5" s="2" t="n"/>
      <c r="IYK5" s="2" t="n"/>
      <c r="IYL5" s="2" t="n"/>
      <c r="IYM5" s="2" t="n"/>
      <c r="IYN5" s="2" t="n"/>
      <c r="IYO5" s="2" t="n"/>
      <c r="IYP5" s="2" t="n"/>
      <c r="IYQ5" s="2" t="n"/>
      <c r="IYR5" s="2" t="n"/>
      <c r="IYS5" s="2" t="n"/>
      <c r="IYT5" s="2" t="n"/>
      <c r="IYU5" s="2" t="n"/>
      <c r="IYV5" s="2" t="n"/>
      <c r="IYW5" s="2" t="n"/>
      <c r="IYX5" s="2" t="n"/>
      <c r="IYY5" s="2" t="n"/>
      <c r="IYZ5" s="2" t="n"/>
      <c r="IZA5" s="2" t="n"/>
      <c r="IZB5" s="2" t="n"/>
      <c r="IZC5" s="2" t="n"/>
      <c r="IZD5" s="2" t="n"/>
      <c r="IZE5" s="2" t="n"/>
      <c r="IZF5" s="2" t="n"/>
      <c r="IZG5" s="2" t="n"/>
      <c r="IZH5" s="2" t="n"/>
      <c r="IZI5" s="2" t="n"/>
      <c r="IZJ5" s="2" t="n"/>
      <c r="IZK5" s="2" t="n"/>
      <c r="IZL5" s="2" t="n"/>
      <c r="IZM5" s="2" t="n"/>
      <c r="IZN5" s="2" t="n"/>
      <c r="IZO5" s="2" t="n"/>
      <c r="IZP5" s="2" t="n"/>
      <c r="IZQ5" s="2" t="n"/>
      <c r="IZR5" s="2" t="n"/>
      <c r="IZS5" s="2" t="n"/>
      <c r="IZT5" s="2" t="n"/>
      <c r="IZU5" s="2" t="n"/>
      <c r="IZV5" s="2" t="n"/>
      <c r="IZW5" s="2" t="n"/>
      <c r="IZX5" s="2" t="n"/>
      <c r="IZY5" s="2" t="n"/>
      <c r="IZZ5" s="2" t="n"/>
      <c r="JAA5" s="2" t="n"/>
      <c r="JAB5" s="2" t="n"/>
      <c r="JAC5" s="2" t="n"/>
      <c r="JAD5" s="2" t="n"/>
      <c r="JAE5" s="2" t="n"/>
      <c r="JAF5" s="2" t="n"/>
      <c r="JAG5" s="2" t="n"/>
      <c r="JAH5" s="2" t="n"/>
      <c r="JAI5" s="2" t="n"/>
      <c r="JAJ5" s="2" t="n"/>
      <c r="JAK5" s="2" t="n"/>
      <c r="JAL5" s="2" t="n"/>
      <c r="JAM5" s="2" t="n"/>
      <c r="JAN5" s="2" t="n"/>
      <c r="JAO5" s="2" t="n"/>
      <c r="JAP5" s="2" t="n"/>
      <c r="JAQ5" s="2" t="n"/>
      <c r="JAR5" s="2" t="n"/>
      <c r="JAS5" s="2" t="n"/>
      <c r="JAT5" s="2" t="n"/>
      <c r="JAU5" s="2" t="n"/>
      <c r="JAV5" s="2" t="n"/>
      <c r="JAW5" s="2" t="n"/>
      <c r="JAX5" s="2" t="n"/>
      <c r="JAY5" s="2" t="n"/>
      <c r="JAZ5" s="2" t="n"/>
      <c r="JBA5" s="2" t="n"/>
      <c r="JBB5" s="2" t="n"/>
      <c r="JBC5" s="2" t="n"/>
      <c r="JBD5" s="2" t="n"/>
      <c r="JBE5" s="2" t="n"/>
      <c r="JBF5" s="2" t="n"/>
      <c r="JBG5" s="2" t="n"/>
      <c r="JBH5" s="2" t="n"/>
      <c r="JBI5" s="2" t="n"/>
      <c r="JBJ5" s="2" t="n"/>
      <c r="JBK5" s="2" t="n"/>
      <c r="JBL5" s="2" t="n"/>
      <c r="JBM5" s="2" t="n"/>
      <c r="JBN5" s="2" t="n"/>
      <c r="JBO5" s="2" t="n"/>
      <c r="JBP5" s="2" t="n"/>
      <c r="JBQ5" s="2" t="n"/>
      <c r="JBR5" s="2" t="n"/>
      <c r="JBS5" s="2" t="n"/>
      <c r="JBT5" s="2" t="n"/>
      <c r="JBU5" s="2" t="n"/>
      <c r="JBV5" s="2" t="n"/>
      <c r="JBW5" s="2" t="n"/>
      <c r="JBX5" s="2" t="n"/>
      <c r="JBY5" s="2" t="n"/>
      <c r="JBZ5" s="2" t="n"/>
      <c r="JCA5" s="2" t="n"/>
      <c r="JCB5" s="2" t="n"/>
      <c r="JCC5" s="2" t="n"/>
      <c r="JCD5" s="2" t="n"/>
      <c r="JCE5" s="2" t="n"/>
      <c r="JCF5" s="2" t="n"/>
      <c r="JCG5" s="2" t="n"/>
      <c r="JCH5" s="2" t="n"/>
      <c r="JCI5" s="2" t="n"/>
      <c r="JCJ5" s="2" t="n"/>
      <c r="JCK5" s="2" t="n"/>
      <c r="JCL5" s="2" t="n"/>
      <c r="JCM5" s="2" t="n"/>
      <c r="JCN5" s="2" t="n"/>
      <c r="JCO5" s="2" t="n"/>
      <c r="JCP5" s="2" t="n"/>
      <c r="JCQ5" s="2" t="n"/>
      <c r="JCR5" s="2" t="n"/>
      <c r="JCS5" s="2" t="n"/>
      <c r="JCT5" s="2" t="n"/>
      <c r="JCU5" s="2" t="n"/>
      <c r="JCV5" s="2" t="n"/>
      <c r="JCW5" s="2" t="n"/>
      <c r="JCX5" s="2" t="n"/>
      <c r="JCY5" s="2" t="n"/>
      <c r="JCZ5" s="2" t="n"/>
      <c r="JDA5" s="2" t="n"/>
      <c r="JDB5" s="2" t="n"/>
      <c r="JDC5" s="2" t="n"/>
      <c r="JDD5" s="2" t="n"/>
      <c r="JDE5" s="2" t="n"/>
      <c r="JDF5" s="2" t="n"/>
      <c r="JDG5" s="2" t="n"/>
      <c r="JDH5" s="2" t="n"/>
      <c r="JDI5" s="2" t="n"/>
      <c r="JDJ5" s="2" t="n"/>
      <c r="JDK5" s="2" t="n"/>
      <c r="JDL5" s="2" t="n"/>
      <c r="JDM5" s="2" t="n"/>
      <c r="JDN5" s="2" t="n"/>
      <c r="JDO5" s="2" t="n"/>
      <c r="JDP5" s="2" t="n"/>
      <c r="JDQ5" s="2" t="n"/>
      <c r="JDR5" s="2" t="n"/>
      <c r="JDS5" s="2" t="n"/>
      <c r="JDT5" s="2" t="n"/>
      <c r="JDU5" s="2" t="n"/>
      <c r="JDV5" s="2" t="n"/>
      <c r="JDW5" s="2" t="n"/>
      <c r="JDX5" s="2" t="n"/>
      <c r="JDY5" s="2" t="n"/>
      <c r="JDZ5" s="2" t="n"/>
      <c r="JEA5" s="2" t="n"/>
      <c r="JEB5" s="2" t="n"/>
      <c r="JEC5" s="2" t="n"/>
      <c r="JED5" s="2" t="n"/>
      <c r="JEE5" s="2" t="n"/>
      <c r="JEF5" s="2" t="n"/>
      <c r="JEG5" s="2" t="n"/>
      <c r="JEH5" s="2" t="n"/>
      <c r="JEI5" s="2" t="n"/>
      <c r="JEJ5" s="2" t="n"/>
      <c r="JEK5" s="2" t="n"/>
      <c r="JEL5" s="2" t="n"/>
      <c r="JEM5" s="2" t="n"/>
      <c r="JEN5" s="2" t="n"/>
      <c r="JEO5" s="2" t="n"/>
      <c r="JEP5" s="2" t="n"/>
      <c r="JEQ5" s="2" t="n"/>
      <c r="JER5" s="2" t="n"/>
      <c r="JES5" s="2" t="n"/>
      <c r="JET5" s="2" t="n"/>
      <c r="JEU5" s="2" t="n"/>
      <c r="JEV5" s="2" t="n"/>
      <c r="JEW5" s="2" t="n"/>
      <c r="JEX5" s="2" t="n"/>
      <c r="JEY5" s="2" t="n"/>
      <c r="JEZ5" s="2" t="n"/>
      <c r="JFA5" s="2" t="n"/>
      <c r="JFB5" s="2" t="n"/>
      <c r="JFC5" s="2" t="n"/>
      <c r="JFD5" s="2" t="n"/>
      <c r="JFE5" s="2" t="n"/>
      <c r="JFF5" s="2" t="n"/>
      <c r="JFG5" s="2" t="n"/>
      <c r="JFH5" s="2" t="n"/>
      <c r="JFI5" s="2" t="n"/>
      <c r="JFJ5" s="2" t="n"/>
      <c r="JFK5" s="2" t="n"/>
      <c r="JFL5" s="2" t="n"/>
      <c r="JFM5" s="2" t="n"/>
      <c r="JFN5" s="2" t="n"/>
      <c r="JFO5" s="2" t="n"/>
      <c r="JFP5" s="2" t="n"/>
      <c r="JFQ5" s="2" t="n"/>
      <c r="JFR5" s="2" t="n"/>
      <c r="JFS5" s="2" t="n"/>
      <c r="JFT5" s="2" t="n"/>
      <c r="JFU5" s="2" t="n"/>
      <c r="JFV5" s="2" t="n"/>
      <c r="JFW5" s="2" t="n"/>
      <c r="JFX5" s="2" t="n"/>
      <c r="JFY5" s="2" t="n"/>
      <c r="JFZ5" s="2" t="n"/>
      <c r="JGA5" s="2" t="n"/>
      <c r="JGB5" s="2" t="n"/>
      <c r="JGC5" s="2" t="n"/>
      <c r="JGD5" s="2" t="n"/>
      <c r="JGE5" s="2" t="n"/>
      <c r="JGF5" s="2" t="n"/>
      <c r="JGG5" s="2" t="n"/>
      <c r="JGH5" s="2" t="n"/>
      <c r="JGI5" s="2" t="n"/>
      <c r="JGJ5" s="2" t="n"/>
      <c r="JGK5" s="2" t="n"/>
      <c r="JGL5" s="2" t="n"/>
      <c r="JGM5" s="2" t="n"/>
      <c r="JGN5" s="2" t="n"/>
      <c r="JGO5" s="2" t="n"/>
      <c r="JGP5" s="2" t="n"/>
      <c r="JGQ5" s="2" t="n"/>
      <c r="JGR5" s="2" t="n"/>
      <c r="JGS5" s="2" t="n"/>
      <c r="JGT5" s="2" t="n"/>
      <c r="JGU5" s="2" t="n"/>
      <c r="JGV5" s="2" t="n"/>
      <c r="JGW5" s="2" t="n"/>
      <c r="JGX5" s="2" t="n"/>
      <c r="JGY5" s="2" t="n"/>
      <c r="JGZ5" s="2" t="n"/>
      <c r="JHA5" s="2" t="n"/>
      <c r="JHB5" s="2" t="n"/>
      <c r="JHC5" s="2" t="n"/>
      <c r="JHD5" s="2" t="n"/>
      <c r="JHE5" s="2" t="n"/>
      <c r="JHF5" s="2" t="n"/>
      <c r="JHG5" s="2" t="n"/>
      <c r="JHH5" s="2" t="n"/>
      <c r="JHI5" s="2" t="n"/>
      <c r="JHJ5" s="2" t="n"/>
      <c r="JHK5" s="2" t="n"/>
      <c r="JHL5" s="2" t="n"/>
      <c r="JHM5" s="2" t="n"/>
      <c r="JHN5" s="2" t="n"/>
      <c r="JHO5" s="2" t="n"/>
      <c r="JHP5" s="2" t="n"/>
      <c r="JHQ5" s="2" t="n"/>
      <c r="JHR5" s="2" t="n"/>
      <c r="JHS5" s="2" t="n"/>
      <c r="JHT5" s="2" t="n"/>
      <c r="JHU5" s="2" t="n"/>
      <c r="JHV5" s="2" t="n"/>
      <c r="JHW5" s="2" t="n"/>
      <c r="JHX5" s="2" t="n"/>
      <c r="JHY5" s="2" t="n"/>
      <c r="JHZ5" s="2" t="n"/>
      <c r="JIA5" s="2" t="n"/>
      <c r="JIB5" s="2" t="n"/>
      <c r="JIC5" s="2" t="n"/>
      <c r="JID5" s="2" t="n"/>
      <c r="JIE5" s="2" t="n"/>
      <c r="JIF5" s="2" t="n"/>
      <c r="JIG5" s="2" t="n"/>
      <c r="JIH5" s="2" t="n"/>
      <c r="JII5" s="2" t="n"/>
      <c r="JIJ5" s="2" t="n"/>
      <c r="JIK5" s="2" t="n"/>
      <c r="JIL5" s="2" t="n"/>
      <c r="JIM5" s="2" t="n"/>
      <c r="JIN5" s="2" t="n"/>
      <c r="JIO5" s="2" t="n"/>
      <c r="JIP5" s="2" t="n"/>
      <c r="JIQ5" s="2" t="n"/>
      <c r="JIR5" s="2" t="n"/>
      <c r="JIS5" s="2" t="n"/>
      <c r="JIT5" s="2" t="n"/>
      <c r="JIU5" s="2" t="n"/>
      <c r="JIV5" s="2" t="n"/>
      <c r="JIW5" s="2" t="n"/>
      <c r="JIX5" s="2" t="n"/>
      <c r="JIY5" s="2" t="n"/>
      <c r="JIZ5" s="2" t="n"/>
      <c r="JJA5" s="2" t="n"/>
      <c r="JJB5" s="2" t="n"/>
      <c r="JJC5" s="2" t="n"/>
      <c r="JJD5" s="2" t="n"/>
      <c r="JJE5" s="2" t="n"/>
      <c r="JJF5" s="2" t="n"/>
      <c r="JJG5" s="2" t="n"/>
      <c r="JJH5" s="2" t="n"/>
      <c r="JJI5" s="2" t="n"/>
      <c r="JJJ5" s="2" t="n"/>
      <c r="JJK5" s="2" t="n"/>
      <c r="JJL5" s="2" t="n"/>
      <c r="JJM5" s="2" t="n"/>
      <c r="JJN5" s="2" t="n"/>
      <c r="JJO5" s="2" t="n"/>
      <c r="JJP5" s="2" t="n"/>
      <c r="JJQ5" s="2" t="n"/>
      <c r="JJR5" s="2" t="n"/>
      <c r="JJS5" s="2" t="n"/>
      <c r="JJT5" s="2" t="n"/>
      <c r="JJU5" s="2" t="n"/>
      <c r="JJV5" s="2" t="n"/>
      <c r="JJW5" s="2" t="n"/>
      <c r="JJX5" s="2" t="n"/>
      <c r="JJY5" s="2" t="n"/>
      <c r="JJZ5" s="2" t="n"/>
      <c r="JKA5" s="2" t="n"/>
      <c r="JKB5" s="2" t="n"/>
      <c r="JKC5" s="2" t="n"/>
      <c r="JKD5" s="2" t="n"/>
      <c r="JKE5" s="2" t="n"/>
      <c r="JKF5" s="2" t="n"/>
      <c r="JKG5" s="2" t="n"/>
      <c r="JKH5" s="2" t="n"/>
      <c r="JKI5" s="2" t="n"/>
      <c r="JKJ5" s="2" t="n"/>
      <c r="JKK5" s="2" t="n"/>
      <c r="JKL5" s="2" t="n"/>
      <c r="JKM5" s="2" t="n"/>
      <c r="JKN5" s="2" t="n"/>
      <c r="JKO5" s="2" t="n"/>
      <c r="JKP5" s="2" t="n"/>
      <c r="JKQ5" s="2" t="n"/>
      <c r="JKR5" s="2" t="n"/>
      <c r="JKS5" s="2" t="n"/>
      <c r="JKT5" s="2" t="n"/>
      <c r="JKU5" s="2" t="n"/>
      <c r="JKV5" s="2" t="n"/>
      <c r="JKW5" s="2" t="n"/>
      <c r="JKX5" s="2" t="n"/>
      <c r="JKY5" s="2" t="n"/>
      <c r="JKZ5" s="2" t="n"/>
      <c r="JLA5" s="2" t="n"/>
      <c r="JLB5" s="2" t="n"/>
      <c r="JLC5" s="2" t="n"/>
      <c r="JLD5" s="2" t="n"/>
      <c r="JLE5" s="2" t="n"/>
      <c r="JLF5" s="2" t="n"/>
      <c r="JLG5" s="2" t="n"/>
      <c r="JLH5" s="2" t="n"/>
      <c r="JLI5" s="2" t="n"/>
      <c r="JLJ5" s="2" t="n"/>
      <c r="JLK5" s="2" t="n"/>
      <c r="JLL5" s="2" t="n"/>
      <c r="JLM5" s="2" t="n"/>
      <c r="JLN5" s="2" t="n"/>
      <c r="JLO5" s="2" t="n"/>
      <c r="JLP5" s="2" t="n"/>
      <c r="JLQ5" s="2" t="n"/>
      <c r="JLR5" s="2" t="n"/>
      <c r="JLS5" s="2" t="n"/>
      <c r="JLT5" s="2" t="n"/>
      <c r="JLU5" s="2" t="n"/>
      <c r="JLV5" s="2" t="n"/>
      <c r="JLW5" s="2" t="n"/>
      <c r="JLX5" s="2" t="n"/>
      <c r="JLY5" s="2" t="n"/>
      <c r="JLZ5" s="2" t="n"/>
      <c r="JMA5" s="2" t="n"/>
      <c r="JMB5" s="2" t="n"/>
      <c r="JMC5" s="2" t="n"/>
      <c r="JMD5" s="2" t="n"/>
      <c r="JME5" s="2" t="n"/>
      <c r="JMF5" s="2" t="n"/>
      <c r="JMG5" s="2" t="n"/>
      <c r="JMH5" s="2" t="n"/>
      <c r="JMI5" s="2" t="n"/>
      <c r="JMJ5" s="2" t="n"/>
      <c r="JMK5" s="2" t="n"/>
      <c r="JML5" s="2" t="n"/>
      <c r="JMM5" s="2" t="n"/>
      <c r="JMN5" s="2" t="n"/>
      <c r="JMO5" s="2" t="n"/>
      <c r="JMP5" s="2" t="n"/>
      <c r="JMQ5" s="2" t="n"/>
      <c r="JMR5" s="2" t="n"/>
      <c r="JMS5" s="2" t="n"/>
      <c r="JMT5" s="2" t="n"/>
      <c r="JMU5" s="2" t="n"/>
      <c r="JMV5" s="2" t="n"/>
      <c r="JMW5" s="2" t="n"/>
      <c r="JMX5" s="2" t="n"/>
      <c r="JMY5" s="2" t="n"/>
      <c r="JMZ5" s="2" t="n"/>
      <c r="JNA5" s="2" t="n"/>
      <c r="JNB5" s="2" t="n"/>
      <c r="JNC5" s="2" t="n"/>
      <c r="JND5" s="2" t="n"/>
      <c r="JNE5" s="2" t="n"/>
      <c r="JNF5" s="2" t="n"/>
      <c r="JNG5" s="2" t="n"/>
      <c r="JNH5" s="2" t="n"/>
      <c r="JNI5" s="2" t="n"/>
      <c r="JNJ5" s="2" t="n"/>
      <c r="JNK5" s="2" t="n"/>
      <c r="JNL5" s="2" t="n"/>
      <c r="JNM5" s="2" t="n"/>
      <c r="JNN5" s="2" t="n"/>
      <c r="JNO5" s="2" t="n"/>
      <c r="JNP5" s="2" t="n"/>
      <c r="JNQ5" s="2" t="n"/>
      <c r="JNR5" s="2" t="n"/>
      <c r="JNS5" s="2" t="n"/>
      <c r="JNT5" s="2" t="n"/>
      <c r="JNU5" s="2" t="n"/>
      <c r="JNV5" s="2" t="n"/>
      <c r="JNW5" s="2" t="n"/>
      <c r="JNX5" s="2" t="n"/>
      <c r="JNY5" s="2" t="n"/>
      <c r="JNZ5" s="2" t="n"/>
      <c r="JOA5" s="2" t="n"/>
      <c r="JOB5" s="2" t="n"/>
      <c r="JOC5" s="2" t="n"/>
      <c r="JOD5" s="2" t="n"/>
      <c r="JOE5" s="2" t="n"/>
      <c r="JOF5" s="2" t="n"/>
      <c r="JOG5" s="2" t="n"/>
      <c r="JOH5" s="2" t="n"/>
      <c r="JOI5" s="2" t="n"/>
      <c r="JOJ5" s="2" t="n"/>
      <c r="JOK5" s="2" t="n"/>
      <c r="JOL5" s="2" t="n"/>
      <c r="JOM5" s="2" t="n"/>
      <c r="JON5" s="2" t="n"/>
      <c r="JOO5" s="2" t="n"/>
      <c r="JOP5" s="2" t="n"/>
      <c r="JOQ5" s="2" t="n"/>
      <c r="JOR5" s="2" t="n"/>
      <c r="JOS5" s="2" t="n"/>
      <c r="JOT5" s="2" t="n"/>
      <c r="JOU5" s="2" t="n"/>
      <c r="JOV5" s="2" t="n"/>
      <c r="JOW5" s="2" t="n"/>
      <c r="JOX5" s="2" t="n"/>
      <c r="JOY5" s="2" t="n"/>
      <c r="JOZ5" s="2" t="n"/>
      <c r="JPA5" s="2" t="n"/>
      <c r="JPB5" s="2" t="n"/>
      <c r="JPC5" s="2" t="n"/>
      <c r="JPD5" s="2" t="n"/>
      <c r="JPE5" s="2" t="n"/>
      <c r="JPF5" s="2" t="n"/>
      <c r="JPG5" s="2" t="n"/>
      <c r="JPH5" s="2" t="n"/>
      <c r="JPI5" s="2" t="n"/>
      <c r="JPJ5" s="2" t="n"/>
      <c r="JPK5" s="2" t="n"/>
      <c r="JPL5" s="2" t="n"/>
      <c r="JPM5" s="2" t="n"/>
      <c r="JPN5" s="2" t="n"/>
      <c r="JPO5" s="2" t="n"/>
      <c r="JPP5" s="2" t="n"/>
      <c r="JPQ5" s="2" t="n"/>
      <c r="JPR5" s="2" t="n"/>
      <c r="JPS5" s="2" t="n"/>
      <c r="JPT5" s="2" t="n"/>
      <c r="JPU5" s="2" t="n"/>
      <c r="JPV5" s="2" t="n"/>
      <c r="JPW5" s="2" t="n"/>
      <c r="JPX5" s="2" t="n"/>
      <c r="JPY5" s="2" t="n"/>
      <c r="JPZ5" s="2" t="n"/>
      <c r="JQA5" s="2" t="n"/>
      <c r="JQB5" s="2" t="n"/>
      <c r="JQC5" s="2" t="n"/>
      <c r="JQD5" s="2" t="n"/>
      <c r="JQE5" s="2" t="n"/>
      <c r="JQF5" s="2" t="n"/>
      <c r="JQG5" s="2" t="n"/>
      <c r="JQH5" s="2" t="n"/>
      <c r="JQI5" s="2" t="n"/>
      <c r="JQJ5" s="2" t="n"/>
      <c r="JQK5" s="2" t="n"/>
      <c r="JQL5" s="2" t="n"/>
      <c r="JQM5" s="2" t="n"/>
      <c r="JQN5" s="2" t="n"/>
      <c r="JQO5" s="2" t="n"/>
      <c r="JQP5" s="2" t="n"/>
      <c r="JQQ5" s="2" t="n"/>
      <c r="JQR5" s="2" t="n"/>
      <c r="JQS5" s="2" t="n"/>
      <c r="JQT5" s="2" t="n"/>
      <c r="JQU5" s="2" t="n"/>
      <c r="JQV5" s="2" t="n"/>
      <c r="JQW5" s="2" t="n"/>
      <c r="JQX5" s="2" t="n"/>
      <c r="JQY5" s="2" t="n"/>
      <c r="JQZ5" s="2" t="n"/>
      <c r="JRA5" s="2" t="n"/>
      <c r="JRB5" s="2" t="n"/>
      <c r="JRC5" s="2" t="n"/>
      <c r="JRD5" s="2" t="n"/>
      <c r="JRE5" s="2" t="n"/>
      <c r="JRF5" s="2" t="n"/>
      <c r="JRG5" s="2" t="n"/>
      <c r="JRH5" s="2" t="n"/>
      <c r="JRI5" s="2" t="n"/>
      <c r="JRJ5" s="2" t="n"/>
      <c r="JRK5" s="2" t="n"/>
      <c r="JRL5" s="2" t="n"/>
      <c r="JRM5" s="2" t="n"/>
      <c r="JRN5" s="2" t="n"/>
      <c r="JRO5" s="2" t="n"/>
      <c r="JRP5" s="2" t="n"/>
      <c r="JRQ5" s="2" t="n"/>
      <c r="JRR5" s="2" t="n"/>
      <c r="JRS5" s="2" t="n"/>
      <c r="JRT5" s="2" t="n"/>
      <c r="JRU5" s="2" t="n"/>
      <c r="JRV5" s="2" t="n"/>
      <c r="JRW5" s="2" t="n"/>
      <c r="JRX5" s="2" t="n"/>
      <c r="JRY5" s="2" t="n"/>
      <c r="JRZ5" s="2" t="n"/>
      <c r="JSA5" s="2" t="n"/>
      <c r="JSB5" s="2" t="n"/>
      <c r="JSC5" s="2" t="n"/>
      <c r="JSD5" s="2" t="n"/>
      <c r="JSE5" s="2" t="n"/>
      <c r="JSF5" s="2" t="n"/>
      <c r="JSG5" s="2" t="n"/>
      <c r="JSH5" s="2" t="n"/>
      <c r="JSI5" s="2" t="n"/>
      <c r="JSJ5" s="2" t="n"/>
      <c r="JSK5" s="2" t="n"/>
      <c r="JSL5" s="2" t="n"/>
      <c r="JSM5" s="2" t="n"/>
      <c r="JSN5" s="2" t="n"/>
      <c r="JSO5" s="2" t="n"/>
      <c r="JSP5" s="2" t="n"/>
      <c r="JSQ5" s="2" t="n"/>
      <c r="JSR5" s="2" t="n"/>
      <c r="JSS5" s="2" t="n"/>
      <c r="JST5" s="2" t="n"/>
      <c r="JSU5" s="2" t="n"/>
      <c r="JSV5" s="2" t="n"/>
      <c r="JSW5" s="2" t="n"/>
      <c r="JSX5" s="2" t="n"/>
      <c r="JSY5" s="2" t="n"/>
      <c r="JSZ5" s="2" t="n"/>
      <c r="JTA5" s="2" t="n"/>
      <c r="JTB5" s="2" t="n"/>
      <c r="JTC5" s="2" t="n"/>
      <c r="JTD5" s="2" t="n"/>
      <c r="JTE5" s="2" t="n"/>
      <c r="JTF5" s="2" t="n"/>
      <c r="JTG5" s="2" t="n"/>
      <c r="JTH5" s="2" t="n"/>
      <c r="JTI5" s="2" t="n"/>
      <c r="JTJ5" s="2" t="n"/>
      <c r="JTK5" s="2" t="n"/>
      <c r="JTL5" s="2" t="n"/>
      <c r="JTM5" s="2" t="n"/>
      <c r="JTN5" s="2" t="n"/>
      <c r="JTO5" s="2" t="n"/>
      <c r="JTP5" s="2" t="n"/>
      <c r="JTQ5" s="2" t="n"/>
      <c r="JTR5" s="2" t="n"/>
      <c r="JTS5" s="2" t="n"/>
      <c r="JTT5" s="2" t="n"/>
      <c r="JTU5" s="2" t="n"/>
      <c r="JTV5" s="2" t="n"/>
      <c r="JTW5" s="2" t="n"/>
      <c r="JTX5" s="2" t="n"/>
      <c r="JTY5" s="2" t="n"/>
      <c r="JTZ5" s="2" t="n"/>
      <c r="JUA5" s="2" t="n"/>
      <c r="JUB5" s="2" t="n"/>
      <c r="JUC5" s="2" t="n"/>
      <c r="JUD5" s="2" t="n"/>
      <c r="JUE5" s="2" t="n"/>
      <c r="JUF5" s="2" t="n"/>
      <c r="JUG5" s="2" t="n"/>
      <c r="JUH5" s="2" t="n"/>
      <c r="JUI5" s="2" t="n"/>
      <c r="JUJ5" s="2" t="n"/>
      <c r="JUK5" s="2" t="n"/>
      <c r="JUL5" s="2" t="n"/>
      <c r="JUM5" s="2" t="n"/>
      <c r="JUN5" s="2" t="n"/>
      <c r="JUO5" s="2" t="n"/>
      <c r="JUP5" s="2" t="n"/>
      <c r="JUQ5" s="2" t="n"/>
      <c r="JUR5" s="2" t="n"/>
      <c r="JUS5" s="2" t="n"/>
      <c r="JUT5" s="2" t="n"/>
      <c r="JUU5" s="2" t="n"/>
      <c r="JUV5" s="2" t="n"/>
      <c r="JUW5" s="2" t="n"/>
      <c r="JUX5" s="2" t="n"/>
      <c r="JUY5" s="2" t="n"/>
      <c r="JUZ5" s="2" t="n"/>
      <c r="JVA5" s="2" t="n"/>
      <c r="JVB5" s="2" t="n"/>
      <c r="JVC5" s="2" t="n"/>
      <c r="JVD5" s="2" t="n"/>
      <c r="JVE5" s="2" t="n"/>
      <c r="JVF5" s="2" t="n"/>
      <c r="JVG5" s="2" t="n"/>
      <c r="JVH5" s="2" t="n"/>
      <c r="JVI5" s="2" t="n"/>
      <c r="JVJ5" s="2" t="n"/>
      <c r="JVK5" s="2" t="n"/>
      <c r="JVL5" s="2" t="n"/>
      <c r="JVM5" s="2" t="n"/>
      <c r="JVN5" s="2" t="n"/>
      <c r="JVO5" s="2" t="n"/>
      <c r="JVP5" s="2" t="n"/>
      <c r="JVQ5" s="2" t="n"/>
      <c r="JVR5" s="2" t="n"/>
      <c r="JVS5" s="2" t="n"/>
      <c r="JVT5" s="2" t="n"/>
      <c r="JVU5" s="2" t="n"/>
      <c r="JVV5" s="2" t="n"/>
      <c r="JVW5" s="2" t="n"/>
      <c r="JVX5" s="2" t="n"/>
      <c r="JVY5" s="2" t="n"/>
      <c r="JVZ5" s="2" t="n"/>
      <c r="JWA5" s="2" t="n"/>
      <c r="JWB5" s="2" t="n"/>
      <c r="JWC5" s="2" t="n"/>
      <c r="JWD5" s="2" t="n"/>
      <c r="JWE5" s="2" t="n"/>
      <c r="JWF5" s="2" t="n"/>
      <c r="JWG5" s="2" t="n"/>
      <c r="JWH5" s="2" t="n"/>
      <c r="JWI5" s="2" t="n"/>
      <c r="JWJ5" s="2" t="n"/>
      <c r="JWK5" s="2" t="n"/>
      <c r="JWL5" s="2" t="n"/>
      <c r="JWM5" s="2" t="n"/>
      <c r="JWN5" s="2" t="n"/>
      <c r="JWO5" s="2" t="n"/>
      <c r="JWP5" s="2" t="n"/>
      <c r="JWQ5" s="2" t="n"/>
      <c r="JWR5" s="2" t="n"/>
      <c r="JWS5" s="2" t="n"/>
      <c r="JWT5" s="2" t="n"/>
      <c r="JWU5" s="2" t="n"/>
      <c r="JWV5" s="2" t="n"/>
      <c r="JWW5" s="2" t="n"/>
      <c r="JWX5" s="2" t="n"/>
      <c r="JWY5" s="2" t="n"/>
      <c r="JWZ5" s="2" t="n"/>
      <c r="JXA5" s="2" t="n"/>
      <c r="JXB5" s="2" t="n"/>
      <c r="JXC5" s="2" t="n"/>
      <c r="JXD5" s="2" t="n"/>
      <c r="JXE5" s="2" t="n"/>
      <c r="JXF5" s="2" t="n"/>
      <c r="JXG5" s="2" t="n"/>
      <c r="JXH5" s="2" t="n"/>
      <c r="JXI5" s="2" t="n"/>
      <c r="JXJ5" s="2" t="n"/>
      <c r="JXK5" s="2" t="n"/>
      <c r="JXL5" s="2" t="n"/>
      <c r="JXM5" s="2" t="n"/>
      <c r="JXN5" s="2" t="n"/>
      <c r="JXO5" s="2" t="n"/>
      <c r="JXP5" s="2" t="n"/>
      <c r="JXQ5" s="2" t="n"/>
      <c r="JXR5" s="2" t="n"/>
      <c r="JXS5" s="2" t="n"/>
      <c r="JXT5" s="2" t="n"/>
      <c r="JXU5" s="2" t="n"/>
      <c r="JXV5" s="2" t="n"/>
      <c r="JXW5" s="2" t="n"/>
      <c r="JXX5" s="2" t="n"/>
      <c r="JXY5" s="2" t="n"/>
      <c r="JXZ5" s="2" t="n"/>
      <c r="JYA5" s="2" t="n"/>
      <c r="JYB5" s="2" t="n"/>
      <c r="JYC5" s="2" t="n"/>
      <c r="JYD5" s="2" t="n"/>
      <c r="JYE5" s="2" t="n"/>
      <c r="JYF5" s="2" t="n"/>
      <c r="JYG5" s="2" t="n"/>
      <c r="JYH5" s="2" t="n"/>
      <c r="JYI5" s="2" t="n"/>
      <c r="JYJ5" s="2" t="n"/>
      <c r="JYK5" s="2" t="n"/>
      <c r="JYL5" s="2" t="n"/>
      <c r="JYM5" s="2" t="n"/>
      <c r="JYN5" s="2" t="n"/>
      <c r="JYO5" s="2" t="n"/>
      <c r="JYP5" s="2" t="n"/>
      <c r="JYQ5" s="2" t="n"/>
      <c r="JYR5" s="2" t="n"/>
      <c r="JYS5" s="2" t="n"/>
      <c r="JYT5" s="2" t="n"/>
      <c r="JYU5" s="2" t="n"/>
      <c r="JYV5" s="2" t="n"/>
      <c r="JYW5" s="2" t="n"/>
      <c r="JYX5" s="2" t="n"/>
      <c r="JYY5" s="2" t="n"/>
      <c r="JYZ5" s="2" t="n"/>
      <c r="JZA5" s="2" t="n"/>
      <c r="JZB5" s="2" t="n"/>
      <c r="JZC5" s="2" t="n"/>
      <c r="JZD5" s="2" t="n"/>
      <c r="JZE5" s="2" t="n"/>
      <c r="JZF5" s="2" t="n"/>
      <c r="JZG5" s="2" t="n"/>
      <c r="JZH5" s="2" t="n"/>
      <c r="JZI5" s="2" t="n"/>
      <c r="JZJ5" s="2" t="n"/>
      <c r="JZK5" s="2" t="n"/>
      <c r="JZL5" s="2" t="n"/>
      <c r="JZM5" s="2" t="n"/>
      <c r="JZN5" s="2" t="n"/>
      <c r="JZO5" s="2" t="n"/>
      <c r="JZP5" s="2" t="n"/>
      <c r="JZQ5" s="2" t="n"/>
      <c r="JZR5" s="2" t="n"/>
      <c r="JZS5" s="2" t="n"/>
      <c r="JZT5" s="2" t="n"/>
      <c r="JZU5" s="2" t="n"/>
      <c r="JZV5" s="2" t="n"/>
      <c r="JZW5" s="2" t="n"/>
      <c r="JZX5" s="2" t="n"/>
      <c r="JZY5" s="2" t="n"/>
      <c r="JZZ5" s="2" t="n"/>
      <c r="KAA5" s="2" t="n"/>
      <c r="KAB5" s="2" t="n"/>
      <c r="KAC5" s="2" t="n"/>
      <c r="KAD5" s="2" t="n"/>
      <c r="KAE5" s="2" t="n"/>
      <c r="KAF5" s="2" t="n"/>
      <c r="KAG5" s="2" t="n"/>
      <c r="KAH5" s="2" t="n"/>
      <c r="KAI5" s="2" t="n"/>
      <c r="KAJ5" s="2" t="n"/>
      <c r="KAK5" s="2" t="n"/>
      <c r="KAL5" s="2" t="n"/>
      <c r="KAM5" s="2" t="n"/>
      <c r="KAN5" s="2" t="n"/>
      <c r="KAO5" s="2" t="n"/>
      <c r="KAP5" s="2" t="n"/>
      <c r="KAQ5" s="2" t="n"/>
      <c r="KAR5" s="2" t="n"/>
      <c r="KAS5" s="2" t="n"/>
      <c r="KAT5" s="2" t="n"/>
      <c r="KAU5" s="2" t="n"/>
      <c r="KAV5" s="2" t="n"/>
      <c r="KAW5" s="2" t="n"/>
      <c r="KAX5" s="2" t="n"/>
      <c r="KAY5" s="2" t="n"/>
      <c r="KAZ5" s="2" t="n"/>
      <c r="KBA5" s="2" t="n"/>
      <c r="KBB5" s="2" t="n"/>
      <c r="KBC5" s="2" t="n"/>
      <c r="KBD5" s="2" t="n"/>
      <c r="KBE5" s="2" t="n"/>
      <c r="KBF5" s="2" t="n"/>
      <c r="KBG5" s="2" t="n"/>
      <c r="KBH5" s="2" t="n"/>
      <c r="KBI5" s="2" t="n"/>
      <c r="KBJ5" s="2" t="n"/>
      <c r="KBK5" s="2" t="n"/>
      <c r="KBL5" s="2" t="n"/>
      <c r="KBM5" s="2" t="n"/>
      <c r="KBN5" s="2" t="n"/>
      <c r="KBO5" s="2" t="n"/>
      <c r="KBP5" s="2" t="n"/>
      <c r="KBQ5" s="2" t="n"/>
      <c r="KBR5" s="2" t="n"/>
      <c r="KBS5" s="2" t="n"/>
      <c r="KBT5" s="2" t="n"/>
      <c r="KBU5" s="2" t="n"/>
      <c r="KBV5" s="2" t="n"/>
      <c r="KBW5" s="2" t="n"/>
      <c r="KBX5" s="2" t="n"/>
      <c r="KBY5" s="2" t="n"/>
      <c r="KBZ5" s="2" t="n"/>
      <c r="KCA5" s="2" t="n"/>
      <c r="KCB5" s="2" t="n"/>
      <c r="KCC5" s="2" t="n"/>
      <c r="KCD5" s="2" t="n"/>
      <c r="KCE5" s="2" t="n"/>
      <c r="KCF5" s="2" t="n"/>
      <c r="KCG5" s="2" t="n"/>
      <c r="KCH5" s="2" t="n"/>
      <c r="KCI5" s="2" t="n"/>
      <c r="KCJ5" s="2" t="n"/>
      <c r="KCK5" s="2" t="n"/>
      <c r="KCL5" s="2" t="n"/>
      <c r="KCM5" s="2" t="n"/>
      <c r="KCN5" s="2" t="n"/>
      <c r="KCO5" s="2" t="n"/>
      <c r="KCP5" s="2" t="n"/>
      <c r="KCQ5" s="2" t="n"/>
      <c r="KCR5" s="2" t="n"/>
      <c r="KCS5" s="2" t="n"/>
      <c r="KCT5" s="2" t="n"/>
      <c r="KCU5" s="2" t="n"/>
      <c r="KCV5" s="2" t="n"/>
      <c r="KCW5" s="2" t="n"/>
      <c r="KCX5" s="2" t="n"/>
      <c r="KCY5" s="2" t="n"/>
      <c r="KCZ5" s="2" t="n"/>
      <c r="KDA5" s="2" t="n"/>
      <c r="KDB5" s="2" t="n"/>
      <c r="KDC5" s="2" t="n"/>
      <c r="KDD5" s="2" t="n"/>
      <c r="KDE5" s="2" t="n"/>
      <c r="KDF5" s="2" t="n"/>
      <c r="KDG5" s="2" t="n"/>
      <c r="KDH5" s="2" t="n"/>
      <c r="KDI5" s="2" t="n"/>
      <c r="KDJ5" s="2" t="n"/>
      <c r="KDK5" s="2" t="n"/>
      <c r="KDL5" s="2" t="n"/>
      <c r="KDM5" s="2" t="n"/>
      <c r="KDN5" s="2" t="n"/>
      <c r="KDO5" s="2" t="n"/>
      <c r="KDP5" s="2" t="n"/>
      <c r="KDQ5" s="2" t="n"/>
      <c r="KDR5" s="2" t="n"/>
      <c r="KDS5" s="2" t="n"/>
      <c r="KDT5" s="2" t="n"/>
      <c r="KDU5" s="2" t="n"/>
      <c r="KDV5" s="2" t="n"/>
      <c r="KDW5" s="2" t="n"/>
      <c r="KDX5" s="2" t="n"/>
      <c r="KDY5" s="2" t="n"/>
      <c r="KDZ5" s="2" t="n"/>
      <c r="KEA5" s="2" t="n"/>
      <c r="KEB5" s="2" t="n"/>
      <c r="KEC5" s="2" t="n"/>
      <c r="KED5" s="2" t="n"/>
      <c r="KEE5" s="2" t="n"/>
      <c r="KEF5" s="2" t="n"/>
      <c r="KEG5" s="2" t="n"/>
      <c r="KEH5" s="2" t="n"/>
      <c r="KEI5" s="2" t="n"/>
      <c r="KEJ5" s="2" t="n"/>
      <c r="KEK5" s="2" t="n"/>
      <c r="KEL5" s="2" t="n"/>
      <c r="KEM5" s="2" t="n"/>
      <c r="KEN5" s="2" t="n"/>
      <c r="KEO5" s="2" t="n"/>
      <c r="KEP5" s="2" t="n"/>
      <c r="KEQ5" s="2" t="n"/>
      <c r="KER5" s="2" t="n"/>
      <c r="KES5" s="2" t="n"/>
      <c r="KET5" s="2" t="n"/>
      <c r="KEU5" s="2" t="n"/>
      <c r="KEV5" s="2" t="n"/>
      <c r="KEW5" s="2" t="n"/>
      <c r="KEX5" s="2" t="n"/>
      <c r="KEY5" s="2" t="n"/>
      <c r="KEZ5" s="2" t="n"/>
      <c r="KFA5" s="2" t="n"/>
      <c r="KFB5" s="2" t="n"/>
      <c r="KFC5" s="2" t="n"/>
      <c r="KFD5" s="2" t="n"/>
      <c r="KFE5" s="2" t="n"/>
      <c r="KFF5" s="2" t="n"/>
      <c r="KFG5" s="2" t="n"/>
      <c r="KFH5" s="2" t="n"/>
      <c r="KFI5" s="2" t="n"/>
      <c r="KFJ5" s="2" t="n"/>
      <c r="KFK5" s="2" t="n"/>
      <c r="KFL5" s="2" t="n"/>
      <c r="KFM5" s="2" t="n"/>
      <c r="KFN5" s="2" t="n"/>
      <c r="KFO5" s="2" t="n"/>
      <c r="KFP5" s="2" t="n"/>
      <c r="KFQ5" s="2" t="n"/>
      <c r="KFR5" s="2" t="n"/>
      <c r="KFS5" s="2" t="n"/>
      <c r="KFT5" s="2" t="n"/>
      <c r="KFU5" s="2" t="n"/>
      <c r="KFV5" s="2" t="n"/>
      <c r="KFW5" s="2" t="n"/>
      <c r="KFX5" s="2" t="n"/>
      <c r="KFY5" s="2" t="n"/>
      <c r="KFZ5" s="2" t="n"/>
      <c r="KGA5" s="2" t="n"/>
      <c r="KGB5" s="2" t="n"/>
      <c r="KGC5" s="2" t="n"/>
      <c r="KGD5" s="2" t="n"/>
      <c r="KGE5" s="2" t="n"/>
      <c r="KGF5" s="2" t="n"/>
      <c r="KGG5" s="2" t="n"/>
      <c r="KGH5" s="2" t="n"/>
      <c r="KGI5" s="2" t="n"/>
      <c r="KGJ5" s="2" t="n"/>
      <c r="KGK5" s="2" t="n"/>
      <c r="KGL5" s="2" t="n"/>
      <c r="KGM5" s="2" t="n"/>
      <c r="KGN5" s="2" t="n"/>
      <c r="KGO5" s="2" t="n"/>
      <c r="KGP5" s="2" t="n"/>
      <c r="KGQ5" s="2" t="n"/>
      <c r="KGR5" s="2" t="n"/>
      <c r="KGS5" s="2" t="n"/>
      <c r="KGT5" s="2" t="n"/>
      <c r="KGU5" s="2" t="n"/>
      <c r="KGV5" s="2" t="n"/>
      <c r="KGW5" s="2" t="n"/>
      <c r="KGX5" s="2" t="n"/>
      <c r="KGY5" s="2" t="n"/>
      <c r="KGZ5" s="2" t="n"/>
      <c r="KHA5" s="2" t="n"/>
      <c r="KHB5" s="2" t="n"/>
      <c r="KHC5" s="2" t="n"/>
      <c r="KHD5" s="2" t="n"/>
      <c r="KHE5" s="2" t="n"/>
      <c r="KHF5" s="2" t="n"/>
      <c r="KHG5" s="2" t="n"/>
      <c r="KHH5" s="2" t="n"/>
      <c r="KHI5" s="2" t="n"/>
      <c r="KHJ5" s="2" t="n"/>
      <c r="KHK5" s="2" t="n"/>
      <c r="KHL5" s="2" t="n"/>
      <c r="KHM5" s="2" t="n"/>
      <c r="KHN5" s="2" t="n"/>
      <c r="KHO5" s="2" t="n"/>
      <c r="KHP5" s="2" t="n"/>
      <c r="KHQ5" s="2" t="n"/>
      <c r="KHR5" s="2" t="n"/>
      <c r="KHS5" s="2" t="n"/>
      <c r="KHT5" s="2" t="n"/>
      <c r="KHU5" s="2" t="n"/>
      <c r="KHV5" s="2" t="n"/>
      <c r="KHW5" s="2" t="n"/>
      <c r="KHX5" s="2" t="n"/>
      <c r="KHY5" s="2" t="n"/>
      <c r="KHZ5" s="2" t="n"/>
      <c r="KIA5" s="2" t="n"/>
      <c r="KIB5" s="2" t="n"/>
      <c r="KIC5" s="2" t="n"/>
      <c r="KID5" s="2" t="n"/>
      <c r="KIE5" s="2" t="n"/>
      <c r="KIF5" s="2" t="n"/>
      <c r="KIG5" s="2" t="n"/>
      <c r="KIH5" s="2" t="n"/>
      <c r="KII5" s="2" t="n"/>
      <c r="KIJ5" s="2" t="n"/>
      <c r="KIK5" s="2" t="n"/>
      <c r="KIL5" s="2" t="n"/>
      <c r="KIM5" s="2" t="n"/>
      <c r="KIN5" s="2" t="n"/>
      <c r="KIO5" s="2" t="n"/>
      <c r="KIP5" s="2" t="n"/>
      <c r="KIQ5" s="2" t="n"/>
      <c r="KIR5" s="2" t="n"/>
      <c r="KIS5" s="2" t="n"/>
      <c r="KIT5" s="2" t="n"/>
      <c r="KIU5" s="2" t="n"/>
      <c r="KIV5" s="2" t="n"/>
      <c r="KIW5" s="2" t="n"/>
      <c r="KIX5" s="2" t="n"/>
      <c r="KIY5" s="2" t="n"/>
      <c r="KIZ5" s="2" t="n"/>
      <c r="KJA5" s="2" t="n"/>
      <c r="KJB5" s="2" t="n"/>
      <c r="KJC5" s="2" t="n"/>
      <c r="KJD5" s="2" t="n"/>
      <c r="KJE5" s="2" t="n"/>
      <c r="KJF5" s="2" t="n"/>
      <c r="KJG5" s="2" t="n"/>
      <c r="KJH5" s="2" t="n"/>
      <c r="KJI5" s="2" t="n"/>
      <c r="KJJ5" s="2" t="n"/>
      <c r="KJK5" s="2" t="n"/>
      <c r="KJL5" s="2" t="n"/>
      <c r="KJM5" s="2" t="n"/>
      <c r="KJN5" s="2" t="n"/>
      <c r="KJO5" s="2" t="n"/>
      <c r="KJP5" s="2" t="n"/>
      <c r="KJQ5" s="2" t="n"/>
      <c r="KJR5" s="2" t="n"/>
      <c r="KJS5" s="2" t="n"/>
      <c r="KJT5" s="2" t="n"/>
      <c r="KJU5" s="2" t="n"/>
      <c r="KJV5" s="2" t="n"/>
      <c r="KJW5" s="2" t="n"/>
      <c r="KJX5" s="2" t="n"/>
      <c r="KJY5" s="2" t="n"/>
      <c r="KJZ5" s="2" t="n"/>
      <c r="KKA5" s="2" t="n"/>
      <c r="KKB5" s="2" t="n"/>
      <c r="KKC5" s="2" t="n"/>
      <c r="KKD5" s="2" t="n"/>
      <c r="KKE5" s="2" t="n"/>
      <c r="KKF5" s="2" t="n"/>
      <c r="KKG5" s="2" t="n"/>
      <c r="KKH5" s="2" t="n"/>
      <c r="KKI5" s="2" t="n"/>
      <c r="KKJ5" s="2" t="n"/>
      <c r="KKK5" s="2" t="n"/>
      <c r="KKL5" s="2" t="n"/>
      <c r="KKM5" s="2" t="n"/>
      <c r="KKN5" s="2" t="n"/>
      <c r="KKO5" s="2" t="n"/>
      <c r="KKP5" s="2" t="n"/>
      <c r="KKQ5" s="2" t="n"/>
      <c r="KKR5" s="2" t="n"/>
      <c r="KKS5" s="2" t="n"/>
      <c r="KKT5" s="2" t="n"/>
      <c r="KKU5" s="2" t="n"/>
      <c r="KKV5" s="2" t="n"/>
      <c r="KKW5" s="2" t="n"/>
      <c r="KKX5" s="2" t="n"/>
      <c r="KKY5" s="2" t="n"/>
      <c r="KKZ5" s="2" t="n"/>
      <c r="KLA5" s="2" t="n"/>
      <c r="KLB5" s="2" t="n"/>
      <c r="KLC5" s="2" t="n"/>
      <c r="KLD5" s="2" t="n"/>
      <c r="KLE5" s="2" t="n"/>
      <c r="KLF5" s="2" t="n"/>
      <c r="KLG5" s="2" t="n"/>
      <c r="KLH5" s="2" t="n"/>
      <c r="KLI5" s="2" t="n"/>
      <c r="KLJ5" s="2" t="n"/>
      <c r="KLK5" s="2" t="n"/>
      <c r="KLL5" s="2" t="n"/>
      <c r="KLM5" s="2" t="n"/>
      <c r="KLN5" s="2" t="n"/>
      <c r="KLO5" s="2" t="n"/>
      <c r="KLP5" s="2" t="n"/>
      <c r="KLQ5" s="2" t="n"/>
      <c r="KLR5" s="2" t="n"/>
      <c r="KLS5" s="2" t="n"/>
      <c r="KLT5" s="2" t="n"/>
      <c r="KLU5" s="2" t="n"/>
      <c r="KLV5" s="2" t="n"/>
      <c r="KLW5" s="2" t="n"/>
      <c r="KLX5" s="2" t="n"/>
      <c r="KLY5" s="2" t="n"/>
      <c r="KLZ5" s="2" t="n"/>
      <c r="KMA5" s="2" t="n"/>
      <c r="KMB5" s="2" t="n"/>
      <c r="KMC5" s="2" t="n"/>
      <c r="KMD5" s="2" t="n"/>
      <c r="KME5" s="2" t="n"/>
      <c r="KMF5" s="2" t="n"/>
      <c r="KMG5" s="2" t="n"/>
      <c r="KMH5" s="2" t="n"/>
      <c r="KMI5" s="2" t="n"/>
      <c r="KMJ5" s="2" t="n"/>
      <c r="KMK5" s="2" t="n"/>
      <c r="KML5" s="2" t="n"/>
      <c r="KMM5" s="2" t="n"/>
      <c r="KMN5" s="2" t="n"/>
      <c r="KMO5" s="2" t="n"/>
      <c r="KMP5" s="2" t="n"/>
      <c r="KMQ5" s="2" t="n"/>
      <c r="KMR5" s="2" t="n"/>
      <c r="KMS5" s="2" t="n"/>
      <c r="KMT5" s="2" t="n"/>
      <c r="KMU5" s="2" t="n"/>
      <c r="KMV5" s="2" t="n"/>
      <c r="KMW5" s="2" t="n"/>
      <c r="KMX5" s="2" t="n"/>
      <c r="KMY5" s="2" t="n"/>
      <c r="KMZ5" s="2" t="n"/>
      <c r="KNA5" s="2" t="n"/>
      <c r="KNB5" s="2" t="n"/>
      <c r="KNC5" s="2" t="n"/>
      <c r="KND5" s="2" t="n"/>
      <c r="KNE5" s="2" t="n"/>
      <c r="KNF5" s="2" t="n"/>
      <c r="KNG5" s="2" t="n"/>
      <c r="KNH5" s="2" t="n"/>
      <c r="KNI5" s="2" t="n"/>
      <c r="KNJ5" s="2" t="n"/>
      <c r="KNK5" s="2" t="n"/>
      <c r="KNL5" s="2" t="n"/>
      <c r="KNM5" s="2" t="n"/>
      <c r="KNN5" s="2" t="n"/>
      <c r="KNO5" s="2" t="n"/>
      <c r="KNP5" s="2" t="n"/>
      <c r="KNQ5" s="2" t="n"/>
      <c r="KNR5" s="2" t="n"/>
      <c r="KNS5" s="2" t="n"/>
      <c r="KNT5" s="2" t="n"/>
      <c r="KNU5" s="2" t="n"/>
      <c r="KNV5" s="2" t="n"/>
      <c r="KNW5" s="2" t="n"/>
      <c r="KNX5" s="2" t="n"/>
      <c r="KNY5" s="2" t="n"/>
      <c r="KNZ5" s="2" t="n"/>
      <c r="KOA5" s="2" t="n"/>
      <c r="KOB5" s="2" t="n"/>
      <c r="KOC5" s="2" t="n"/>
      <c r="KOD5" s="2" t="n"/>
      <c r="KOE5" s="2" t="n"/>
      <c r="KOF5" s="2" t="n"/>
      <c r="KOG5" s="2" t="n"/>
      <c r="KOH5" s="2" t="n"/>
      <c r="KOI5" s="2" t="n"/>
      <c r="KOJ5" s="2" t="n"/>
      <c r="KOK5" s="2" t="n"/>
      <c r="KOL5" s="2" t="n"/>
      <c r="KOM5" s="2" t="n"/>
      <c r="KON5" s="2" t="n"/>
      <c r="KOO5" s="2" t="n"/>
      <c r="KOP5" s="2" t="n"/>
      <c r="KOQ5" s="2" t="n"/>
      <c r="KOR5" s="2" t="n"/>
      <c r="KOS5" s="2" t="n"/>
      <c r="KOT5" s="2" t="n"/>
      <c r="KOU5" s="2" t="n"/>
      <c r="KOV5" s="2" t="n"/>
      <c r="KOW5" s="2" t="n"/>
      <c r="KOX5" s="2" t="n"/>
      <c r="KOY5" s="2" t="n"/>
      <c r="KOZ5" s="2" t="n"/>
      <c r="KPA5" s="2" t="n"/>
      <c r="KPB5" s="2" t="n"/>
      <c r="KPC5" s="2" t="n"/>
      <c r="KPD5" s="2" t="n"/>
      <c r="KPE5" s="2" t="n"/>
      <c r="KPF5" s="2" t="n"/>
      <c r="KPG5" s="2" t="n"/>
      <c r="KPH5" s="2" t="n"/>
      <c r="KPI5" s="2" t="n"/>
      <c r="KPJ5" s="2" t="n"/>
      <c r="KPK5" s="2" t="n"/>
      <c r="KPL5" s="2" t="n"/>
      <c r="KPM5" s="2" t="n"/>
      <c r="KPN5" s="2" t="n"/>
      <c r="KPO5" s="2" t="n"/>
      <c r="KPP5" s="2" t="n"/>
      <c r="KPQ5" s="2" t="n"/>
      <c r="KPR5" s="2" t="n"/>
      <c r="KPS5" s="2" t="n"/>
      <c r="KPT5" s="2" t="n"/>
      <c r="KPU5" s="2" t="n"/>
      <c r="KPV5" s="2" t="n"/>
      <c r="KPW5" s="2" t="n"/>
      <c r="KPX5" s="2" t="n"/>
      <c r="KPY5" s="2" t="n"/>
      <c r="KPZ5" s="2" t="n"/>
      <c r="KQA5" s="2" t="n"/>
      <c r="KQB5" s="2" t="n"/>
      <c r="KQC5" s="2" t="n"/>
      <c r="KQD5" s="2" t="n"/>
      <c r="KQE5" s="2" t="n"/>
      <c r="KQF5" s="2" t="n"/>
      <c r="KQG5" s="2" t="n"/>
      <c r="KQH5" s="2" t="n"/>
      <c r="KQI5" s="2" t="n"/>
      <c r="KQJ5" s="2" t="n"/>
      <c r="KQK5" s="2" t="n"/>
      <c r="KQL5" s="2" t="n"/>
      <c r="KQM5" s="2" t="n"/>
      <c r="KQN5" s="2" t="n"/>
      <c r="KQO5" s="2" t="n"/>
      <c r="KQP5" s="2" t="n"/>
      <c r="KQQ5" s="2" t="n"/>
      <c r="KQR5" s="2" t="n"/>
      <c r="KQS5" s="2" t="n"/>
      <c r="KQT5" s="2" t="n"/>
      <c r="KQU5" s="2" t="n"/>
      <c r="KQV5" s="2" t="n"/>
      <c r="KQW5" s="2" t="n"/>
      <c r="KQX5" s="2" t="n"/>
      <c r="KQY5" s="2" t="n"/>
      <c r="KQZ5" s="2" t="n"/>
      <c r="KRA5" s="2" t="n"/>
      <c r="KRB5" s="2" t="n"/>
      <c r="KRC5" s="2" t="n"/>
      <c r="KRD5" s="2" t="n"/>
      <c r="KRE5" s="2" t="n"/>
      <c r="KRF5" s="2" t="n"/>
      <c r="KRG5" s="2" t="n"/>
      <c r="KRH5" s="2" t="n"/>
      <c r="KRI5" s="2" t="n"/>
      <c r="KRJ5" s="2" t="n"/>
      <c r="KRK5" s="2" t="n"/>
      <c r="KRL5" s="2" t="n"/>
      <c r="KRM5" s="2" t="n"/>
      <c r="KRN5" s="2" t="n"/>
      <c r="KRO5" s="2" t="n"/>
      <c r="KRP5" s="2" t="n"/>
      <c r="KRQ5" s="2" t="n"/>
      <c r="KRR5" s="2" t="n"/>
      <c r="KRS5" s="2" t="n"/>
      <c r="KRT5" s="2" t="n"/>
      <c r="KRU5" s="2" t="n"/>
      <c r="KRV5" s="2" t="n"/>
      <c r="KRW5" s="2" t="n"/>
      <c r="KRX5" s="2" t="n"/>
      <c r="KRY5" s="2" t="n"/>
      <c r="KRZ5" s="2" t="n"/>
      <c r="KSA5" s="2" t="n"/>
      <c r="KSB5" s="2" t="n"/>
      <c r="KSC5" s="2" t="n"/>
      <c r="KSD5" s="2" t="n"/>
      <c r="KSE5" s="2" t="n"/>
      <c r="KSF5" s="2" t="n"/>
      <c r="KSG5" s="2" t="n"/>
      <c r="KSH5" s="2" t="n"/>
      <c r="KSI5" s="2" t="n"/>
      <c r="KSJ5" s="2" t="n"/>
      <c r="KSK5" s="2" t="n"/>
      <c r="KSL5" s="2" t="n"/>
      <c r="KSM5" s="2" t="n"/>
      <c r="KSN5" s="2" t="n"/>
      <c r="KSO5" s="2" t="n"/>
      <c r="KSP5" s="2" t="n"/>
      <c r="KSQ5" s="2" t="n"/>
      <c r="KSR5" s="2" t="n"/>
      <c r="KSS5" s="2" t="n"/>
      <c r="KST5" s="2" t="n"/>
      <c r="KSU5" s="2" t="n"/>
      <c r="KSV5" s="2" t="n"/>
      <c r="KSW5" s="2" t="n"/>
      <c r="KSX5" s="2" t="n"/>
      <c r="KSY5" s="2" t="n"/>
      <c r="KSZ5" s="2" t="n"/>
      <c r="KTA5" s="2" t="n"/>
      <c r="KTB5" s="2" t="n"/>
      <c r="KTC5" s="2" t="n"/>
      <c r="KTD5" s="2" t="n"/>
      <c r="KTE5" s="2" t="n"/>
      <c r="KTF5" s="2" t="n"/>
      <c r="KTG5" s="2" t="n"/>
      <c r="KTH5" s="2" t="n"/>
      <c r="KTI5" s="2" t="n"/>
      <c r="KTJ5" s="2" t="n"/>
      <c r="KTK5" s="2" t="n"/>
      <c r="KTL5" s="2" t="n"/>
      <c r="KTM5" s="2" t="n"/>
      <c r="KTN5" s="2" t="n"/>
      <c r="KTO5" s="2" t="n"/>
      <c r="KTP5" s="2" t="n"/>
      <c r="KTQ5" s="2" t="n"/>
      <c r="KTR5" s="2" t="n"/>
      <c r="KTS5" s="2" t="n"/>
      <c r="KTT5" s="2" t="n"/>
      <c r="KTU5" s="2" t="n"/>
      <c r="KTV5" s="2" t="n"/>
      <c r="KTW5" s="2" t="n"/>
      <c r="KTX5" s="2" t="n"/>
      <c r="KTY5" s="2" t="n"/>
      <c r="KTZ5" s="2" t="n"/>
      <c r="KUA5" s="2" t="n"/>
      <c r="KUB5" s="2" t="n"/>
      <c r="KUC5" s="2" t="n"/>
      <c r="KUD5" s="2" t="n"/>
      <c r="KUE5" s="2" t="n"/>
      <c r="KUF5" s="2" t="n"/>
      <c r="KUG5" s="2" t="n"/>
      <c r="KUH5" s="2" t="n"/>
      <c r="KUI5" s="2" t="n"/>
      <c r="KUJ5" s="2" t="n"/>
      <c r="KUK5" s="2" t="n"/>
      <c r="KUL5" s="2" t="n"/>
      <c r="KUM5" s="2" t="n"/>
      <c r="KUN5" s="2" t="n"/>
      <c r="KUO5" s="2" t="n"/>
      <c r="KUP5" s="2" t="n"/>
      <c r="KUQ5" s="2" t="n"/>
      <c r="KUR5" s="2" t="n"/>
      <c r="KUS5" s="2" t="n"/>
      <c r="KUT5" s="2" t="n"/>
      <c r="KUU5" s="2" t="n"/>
      <c r="KUV5" s="2" t="n"/>
      <c r="KUW5" s="2" t="n"/>
      <c r="KUX5" s="2" t="n"/>
      <c r="KUY5" s="2" t="n"/>
      <c r="KUZ5" s="2" t="n"/>
      <c r="KVA5" s="2" t="n"/>
      <c r="KVB5" s="2" t="n"/>
      <c r="KVC5" s="2" t="n"/>
      <c r="KVD5" s="2" t="n"/>
      <c r="KVE5" s="2" t="n"/>
      <c r="KVF5" s="2" t="n"/>
      <c r="KVG5" s="2" t="n"/>
      <c r="KVH5" s="2" t="n"/>
      <c r="KVI5" s="2" t="n"/>
      <c r="KVJ5" s="2" t="n"/>
      <c r="KVK5" s="2" t="n"/>
      <c r="KVL5" s="2" t="n"/>
      <c r="KVM5" s="2" t="n"/>
      <c r="KVN5" s="2" t="n"/>
      <c r="KVO5" s="2" t="n"/>
      <c r="KVP5" s="2" t="n"/>
      <c r="KVQ5" s="2" t="n"/>
      <c r="KVR5" s="2" t="n"/>
      <c r="KVS5" s="2" t="n"/>
      <c r="KVT5" s="2" t="n"/>
      <c r="KVU5" s="2" t="n"/>
      <c r="KVV5" s="2" t="n"/>
      <c r="KVW5" s="2" t="n"/>
      <c r="KVX5" s="2" t="n"/>
      <c r="KVY5" s="2" t="n"/>
      <c r="KVZ5" s="2" t="n"/>
      <c r="KWA5" s="2" t="n"/>
      <c r="KWB5" s="2" t="n"/>
      <c r="KWC5" s="2" t="n"/>
      <c r="KWD5" s="2" t="n"/>
      <c r="KWE5" s="2" t="n"/>
      <c r="KWF5" s="2" t="n"/>
      <c r="KWG5" s="2" t="n"/>
      <c r="KWH5" s="2" t="n"/>
      <c r="KWI5" s="2" t="n"/>
      <c r="KWJ5" s="2" t="n"/>
      <c r="KWK5" s="2" t="n"/>
      <c r="KWL5" s="2" t="n"/>
      <c r="KWM5" s="2" t="n"/>
      <c r="KWN5" s="2" t="n"/>
      <c r="KWO5" s="2" t="n"/>
      <c r="KWP5" s="2" t="n"/>
      <c r="KWQ5" s="2" t="n"/>
      <c r="KWR5" s="2" t="n"/>
      <c r="KWS5" s="2" t="n"/>
      <c r="KWT5" s="2" t="n"/>
      <c r="KWU5" s="2" t="n"/>
      <c r="KWV5" s="2" t="n"/>
      <c r="KWW5" s="2" t="n"/>
      <c r="KWX5" s="2" t="n"/>
      <c r="KWY5" s="2" t="n"/>
      <c r="KWZ5" s="2" t="n"/>
      <c r="KXA5" s="2" t="n"/>
      <c r="KXB5" s="2" t="n"/>
      <c r="KXC5" s="2" t="n"/>
      <c r="KXD5" s="2" t="n"/>
      <c r="KXE5" s="2" t="n"/>
      <c r="KXF5" s="2" t="n"/>
      <c r="KXG5" s="2" t="n"/>
      <c r="KXH5" s="2" t="n"/>
      <c r="KXI5" s="2" t="n"/>
      <c r="KXJ5" s="2" t="n"/>
      <c r="KXK5" s="2" t="n"/>
      <c r="KXL5" s="2" t="n"/>
      <c r="KXM5" s="2" t="n"/>
      <c r="KXN5" s="2" t="n"/>
      <c r="KXO5" s="2" t="n"/>
      <c r="KXP5" s="2" t="n"/>
      <c r="KXQ5" s="2" t="n"/>
      <c r="KXR5" s="2" t="n"/>
      <c r="KXS5" s="2" t="n"/>
      <c r="KXT5" s="2" t="n"/>
      <c r="KXU5" s="2" t="n"/>
      <c r="KXV5" s="2" t="n"/>
      <c r="KXW5" s="2" t="n"/>
      <c r="KXX5" s="2" t="n"/>
      <c r="KXY5" s="2" t="n"/>
      <c r="KXZ5" s="2" t="n"/>
      <c r="KYA5" s="2" t="n"/>
      <c r="KYB5" s="2" t="n"/>
      <c r="KYC5" s="2" t="n"/>
      <c r="KYD5" s="2" t="n"/>
      <c r="KYE5" s="2" t="n"/>
      <c r="KYF5" s="2" t="n"/>
      <c r="KYG5" s="2" t="n"/>
      <c r="KYH5" s="2" t="n"/>
      <c r="KYI5" s="2" t="n"/>
      <c r="KYJ5" s="2" t="n"/>
      <c r="KYK5" s="2" t="n"/>
      <c r="KYL5" s="2" t="n"/>
      <c r="KYM5" s="2" t="n"/>
      <c r="KYN5" s="2" t="n"/>
      <c r="KYO5" s="2" t="n"/>
      <c r="KYP5" s="2" t="n"/>
      <c r="KYQ5" s="2" t="n"/>
      <c r="KYR5" s="2" t="n"/>
      <c r="KYS5" s="2" t="n"/>
      <c r="KYT5" s="2" t="n"/>
      <c r="KYU5" s="2" t="n"/>
      <c r="KYV5" s="2" t="n"/>
      <c r="KYW5" s="2" t="n"/>
      <c r="KYX5" s="2" t="n"/>
      <c r="KYY5" s="2" t="n"/>
      <c r="KYZ5" s="2" t="n"/>
      <c r="KZA5" s="2" t="n"/>
      <c r="KZB5" s="2" t="n"/>
      <c r="KZC5" s="2" t="n"/>
      <c r="KZD5" s="2" t="n"/>
      <c r="KZE5" s="2" t="n"/>
      <c r="KZF5" s="2" t="n"/>
      <c r="KZG5" s="2" t="n"/>
      <c r="KZH5" s="2" t="n"/>
      <c r="KZI5" s="2" t="n"/>
      <c r="KZJ5" s="2" t="n"/>
      <c r="KZK5" s="2" t="n"/>
      <c r="KZL5" s="2" t="n"/>
      <c r="KZM5" s="2" t="n"/>
      <c r="KZN5" s="2" t="n"/>
      <c r="KZO5" s="2" t="n"/>
      <c r="KZP5" s="2" t="n"/>
      <c r="KZQ5" s="2" t="n"/>
      <c r="KZR5" s="2" t="n"/>
      <c r="KZS5" s="2" t="n"/>
      <c r="KZT5" s="2" t="n"/>
      <c r="KZU5" s="2" t="n"/>
      <c r="KZV5" s="2" t="n"/>
      <c r="KZW5" s="2" t="n"/>
      <c r="KZX5" s="2" t="n"/>
      <c r="KZY5" s="2" t="n"/>
      <c r="KZZ5" s="2" t="n"/>
      <c r="LAA5" s="2" t="n"/>
      <c r="LAB5" s="2" t="n"/>
      <c r="LAC5" s="2" t="n"/>
      <c r="LAD5" s="2" t="n"/>
      <c r="LAE5" s="2" t="n"/>
      <c r="LAF5" s="2" t="n"/>
      <c r="LAG5" s="2" t="n"/>
      <c r="LAH5" s="2" t="n"/>
      <c r="LAI5" s="2" t="n"/>
      <c r="LAJ5" s="2" t="n"/>
      <c r="LAK5" s="2" t="n"/>
      <c r="LAL5" s="2" t="n"/>
      <c r="LAM5" s="2" t="n"/>
      <c r="LAN5" s="2" t="n"/>
      <c r="LAO5" s="2" t="n"/>
      <c r="LAP5" s="2" t="n"/>
      <c r="LAQ5" s="2" t="n"/>
      <c r="LAR5" s="2" t="n"/>
      <c r="LAS5" s="2" t="n"/>
      <c r="LAT5" s="2" t="n"/>
      <c r="LAU5" s="2" t="n"/>
      <c r="LAV5" s="2" t="n"/>
      <c r="LAW5" s="2" t="n"/>
      <c r="LAX5" s="2" t="n"/>
      <c r="LAY5" s="2" t="n"/>
      <c r="LAZ5" s="2" t="n"/>
      <c r="LBA5" s="2" t="n"/>
      <c r="LBB5" s="2" t="n"/>
      <c r="LBC5" s="2" t="n"/>
      <c r="LBD5" s="2" t="n"/>
      <c r="LBE5" s="2" t="n"/>
      <c r="LBF5" s="2" t="n"/>
      <c r="LBG5" s="2" t="n"/>
      <c r="LBH5" s="2" t="n"/>
      <c r="LBI5" s="2" t="n"/>
      <c r="LBJ5" s="2" t="n"/>
      <c r="LBK5" s="2" t="n"/>
      <c r="LBL5" s="2" t="n"/>
      <c r="LBM5" s="2" t="n"/>
      <c r="LBN5" s="2" t="n"/>
      <c r="LBO5" s="2" t="n"/>
      <c r="LBP5" s="2" t="n"/>
      <c r="LBQ5" s="2" t="n"/>
      <c r="LBR5" s="2" t="n"/>
      <c r="LBS5" s="2" t="n"/>
      <c r="LBT5" s="2" t="n"/>
      <c r="LBU5" s="2" t="n"/>
      <c r="LBV5" s="2" t="n"/>
      <c r="LBW5" s="2" t="n"/>
      <c r="LBX5" s="2" t="n"/>
      <c r="LBY5" s="2" t="n"/>
      <c r="LBZ5" s="2" t="n"/>
      <c r="LCA5" s="2" t="n"/>
      <c r="LCB5" s="2" t="n"/>
      <c r="LCC5" s="2" t="n"/>
      <c r="LCD5" s="2" t="n"/>
      <c r="LCE5" s="2" t="n"/>
      <c r="LCF5" s="2" t="n"/>
      <c r="LCG5" s="2" t="n"/>
      <c r="LCH5" s="2" t="n"/>
      <c r="LCI5" s="2" t="n"/>
      <c r="LCJ5" s="2" t="n"/>
      <c r="LCK5" s="2" t="n"/>
      <c r="LCL5" s="2" t="n"/>
      <c r="LCM5" s="2" t="n"/>
      <c r="LCN5" s="2" t="n"/>
      <c r="LCO5" s="2" t="n"/>
      <c r="LCP5" s="2" t="n"/>
      <c r="LCQ5" s="2" t="n"/>
      <c r="LCR5" s="2" t="n"/>
      <c r="LCS5" s="2" t="n"/>
      <c r="LCT5" s="2" t="n"/>
      <c r="LCU5" s="2" t="n"/>
      <c r="LCV5" s="2" t="n"/>
      <c r="LCW5" s="2" t="n"/>
      <c r="LCX5" s="2" t="n"/>
      <c r="LCY5" s="2" t="n"/>
      <c r="LCZ5" s="2" t="n"/>
      <c r="LDA5" s="2" t="n"/>
      <c r="LDB5" s="2" t="n"/>
      <c r="LDC5" s="2" t="n"/>
      <c r="LDD5" s="2" t="n"/>
      <c r="LDE5" s="2" t="n"/>
      <c r="LDF5" s="2" t="n"/>
      <c r="LDG5" s="2" t="n"/>
      <c r="LDH5" s="2" t="n"/>
      <c r="LDI5" s="2" t="n"/>
      <c r="LDJ5" s="2" t="n"/>
      <c r="LDK5" s="2" t="n"/>
      <c r="LDL5" s="2" t="n"/>
      <c r="LDM5" s="2" t="n"/>
      <c r="LDN5" s="2" t="n"/>
      <c r="LDO5" s="2" t="n"/>
      <c r="LDP5" s="2" t="n"/>
      <c r="LDQ5" s="2" t="n"/>
      <c r="LDR5" s="2" t="n"/>
      <c r="LDS5" s="2" t="n"/>
      <c r="LDT5" s="2" t="n"/>
      <c r="LDU5" s="2" t="n"/>
      <c r="LDV5" s="2" t="n"/>
      <c r="LDW5" s="2" t="n"/>
      <c r="LDX5" s="2" t="n"/>
      <c r="LDY5" s="2" t="n"/>
      <c r="LDZ5" s="2" t="n"/>
      <c r="LEA5" s="2" t="n"/>
      <c r="LEB5" s="2" t="n"/>
      <c r="LEC5" s="2" t="n"/>
      <c r="LED5" s="2" t="n"/>
      <c r="LEE5" s="2" t="n"/>
      <c r="LEF5" s="2" t="n"/>
      <c r="LEG5" s="2" t="n"/>
      <c r="LEH5" s="2" t="n"/>
      <c r="LEI5" s="2" t="n"/>
      <c r="LEJ5" s="2" t="n"/>
      <c r="LEK5" s="2" t="n"/>
      <c r="LEL5" s="2" t="n"/>
      <c r="LEM5" s="2" t="n"/>
      <c r="LEN5" s="2" t="n"/>
      <c r="LEO5" s="2" t="n"/>
      <c r="LEP5" s="2" t="n"/>
      <c r="LEQ5" s="2" t="n"/>
      <c r="LER5" s="2" t="n"/>
      <c r="LES5" s="2" t="n"/>
      <c r="LET5" s="2" t="n"/>
      <c r="LEU5" s="2" t="n"/>
      <c r="LEV5" s="2" t="n"/>
      <c r="LEW5" s="2" t="n"/>
      <c r="LEX5" s="2" t="n"/>
      <c r="LEY5" s="2" t="n"/>
      <c r="LEZ5" s="2" t="n"/>
      <c r="LFA5" s="2" t="n"/>
      <c r="LFB5" s="2" t="n"/>
      <c r="LFC5" s="2" t="n"/>
      <c r="LFD5" s="2" t="n"/>
      <c r="LFE5" s="2" t="n"/>
      <c r="LFF5" s="2" t="n"/>
      <c r="LFG5" s="2" t="n"/>
      <c r="LFH5" s="2" t="n"/>
      <c r="LFI5" s="2" t="n"/>
      <c r="LFJ5" s="2" t="n"/>
      <c r="LFK5" s="2" t="n"/>
      <c r="LFL5" s="2" t="n"/>
      <c r="LFM5" s="2" t="n"/>
      <c r="LFN5" s="2" t="n"/>
      <c r="LFO5" s="2" t="n"/>
      <c r="LFP5" s="2" t="n"/>
      <c r="LFQ5" s="2" t="n"/>
      <c r="LFR5" s="2" t="n"/>
      <c r="LFS5" s="2" t="n"/>
      <c r="LFT5" s="2" t="n"/>
      <c r="LFU5" s="2" t="n"/>
      <c r="LFV5" s="2" t="n"/>
      <c r="LFW5" s="2" t="n"/>
      <c r="LFX5" s="2" t="n"/>
      <c r="LFY5" s="2" t="n"/>
      <c r="LFZ5" s="2" t="n"/>
      <c r="LGA5" s="2" t="n"/>
      <c r="LGB5" s="2" t="n"/>
      <c r="LGC5" s="2" t="n"/>
      <c r="LGD5" s="2" t="n"/>
      <c r="LGE5" s="2" t="n"/>
      <c r="LGF5" s="2" t="n"/>
      <c r="LGG5" s="2" t="n"/>
      <c r="LGH5" s="2" t="n"/>
      <c r="LGI5" s="2" t="n"/>
      <c r="LGJ5" s="2" t="n"/>
      <c r="LGK5" s="2" t="n"/>
      <c r="LGL5" s="2" t="n"/>
      <c r="LGM5" s="2" t="n"/>
      <c r="LGN5" s="2" t="n"/>
      <c r="LGO5" s="2" t="n"/>
      <c r="LGP5" s="2" t="n"/>
      <c r="LGQ5" s="2" t="n"/>
      <c r="LGR5" s="2" t="n"/>
      <c r="LGS5" s="2" t="n"/>
      <c r="LGT5" s="2" t="n"/>
      <c r="LGU5" s="2" t="n"/>
      <c r="LGV5" s="2" t="n"/>
      <c r="LGW5" s="2" t="n"/>
      <c r="LGX5" s="2" t="n"/>
      <c r="LGY5" s="2" t="n"/>
      <c r="LGZ5" s="2" t="n"/>
      <c r="LHA5" s="2" t="n"/>
      <c r="LHB5" s="2" t="n"/>
      <c r="LHC5" s="2" t="n"/>
      <c r="LHD5" s="2" t="n"/>
      <c r="LHE5" s="2" t="n"/>
      <c r="LHF5" s="2" t="n"/>
      <c r="LHG5" s="2" t="n"/>
      <c r="LHH5" s="2" t="n"/>
      <c r="LHI5" s="2" t="n"/>
      <c r="LHJ5" s="2" t="n"/>
      <c r="LHK5" s="2" t="n"/>
      <c r="LHL5" s="2" t="n"/>
      <c r="LHM5" s="2" t="n"/>
      <c r="LHN5" s="2" t="n"/>
      <c r="LHO5" s="2" t="n"/>
      <c r="LHP5" s="2" t="n"/>
      <c r="LHQ5" s="2" t="n"/>
      <c r="LHR5" s="2" t="n"/>
      <c r="LHS5" s="2" t="n"/>
      <c r="LHT5" s="2" t="n"/>
      <c r="LHU5" s="2" t="n"/>
      <c r="LHV5" s="2" t="n"/>
      <c r="LHW5" s="2" t="n"/>
      <c r="LHX5" s="2" t="n"/>
      <c r="LHY5" s="2" t="n"/>
      <c r="LHZ5" s="2" t="n"/>
      <c r="LIA5" s="2" t="n"/>
      <c r="LIB5" s="2" t="n"/>
      <c r="LIC5" s="2" t="n"/>
      <c r="LID5" s="2" t="n"/>
      <c r="LIE5" s="2" t="n"/>
      <c r="LIF5" s="2" t="n"/>
      <c r="LIG5" s="2" t="n"/>
      <c r="LIH5" s="2" t="n"/>
      <c r="LII5" s="2" t="n"/>
      <c r="LIJ5" s="2" t="n"/>
      <c r="LIK5" s="2" t="n"/>
      <c r="LIL5" s="2" t="n"/>
      <c r="LIM5" s="2" t="n"/>
      <c r="LIN5" s="2" t="n"/>
      <c r="LIO5" s="2" t="n"/>
      <c r="LIP5" s="2" t="n"/>
      <c r="LIQ5" s="2" t="n"/>
      <c r="LIR5" s="2" t="n"/>
      <c r="LIS5" s="2" t="n"/>
      <c r="LIT5" s="2" t="n"/>
      <c r="LIU5" s="2" t="n"/>
      <c r="LIV5" s="2" t="n"/>
      <c r="LIW5" s="2" t="n"/>
      <c r="LIX5" s="2" t="n"/>
      <c r="LIY5" s="2" t="n"/>
      <c r="LIZ5" s="2" t="n"/>
      <c r="LJA5" s="2" t="n"/>
      <c r="LJB5" s="2" t="n"/>
      <c r="LJC5" s="2" t="n"/>
      <c r="LJD5" s="2" t="n"/>
      <c r="LJE5" s="2" t="n"/>
      <c r="LJF5" s="2" t="n"/>
      <c r="LJG5" s="2" t="n"/>
      <c r="LJH5" s="2" t="n"/>
      <c r="LJI5" s="2" t="n"/>
      <c r="LJJ5" s="2" t="n"/>
      <c r="LJK5" s="2" t="n"/>
      <c r="LJL5" s="2" t="n"/>
      <c r="LJM5" s="2" t="n"/>
      <c r="LJN5" s="2" t="n"/>
      <c r="LJO5" s="2" t="n"/>
      <c r="LJP5" s="2" t="n"/>
      <c r="LJQ5" s="2" t="n"/>
      <c r="LJR5" s="2" t="n"/>
      <c r="LJS5" s="2" t="n"/>
      <c r="LJT5" s="2" t="n"/>
      <c r="LJU5" s="2" t="n"/>
      <c r="LJV5" s="2" t="n"/>
      <c r="LJW5" s="2" t="n"/>
      <c r="LJX5" s="2" t="n"/>
      <c r="LJY5" s="2" t="n"/>
      <c r="LJZ5" s="2" t="n"/>
      <c r="LKA5" s="2" t="n"/>
      <c r="LKB5" s="2" t="n"/>
      <c r="LKC5" s="2" t="n"/>
      <c r="LKD5" s="2" t="n"/>
      <c r="LKE5" s="2" t="n"/>
      <c r="LKF5" s="2" t="n"/>
      <c r="LKG5" s="2" t="n"/>
      <c r="LKH5" s="2" t="n"/>
      <c r="LKI5" s="2" t="n"/>
      <c r="LKJ5" s="2" t="n"/>
      <c r="LKK5" s="2" t="n"/>
      <c r="LKL5" s="2" t="n"/>
      <c r="LKM5" s="2" t="n"/>
      <c r="LKN5" s="2" t="n"/>
      <c r="LKO5" s="2" t="n"/>
      <c r="LKP5" s="2" t="n"/>
      <c r="LKQ5" s="2" t="n"/>
      <c r="LKR5" s="2" t="n"/>
      <c r="LKS5" s="2" t="n"/>
      <c r="LKT5" s="2" t="n"/>
      <c r="LKU5" s="2" t="n"/>
      <c r="LKV5" s="2" t="n"/>
      <c r="LKW5" s="2" t="n"/>
      <c r="LKX5" s="2" t="n"/>
      <c r="LKY5" s="2" t="n"/>
      <c r="LKZ5" s="2" t="n"/>
      <c r="LLA5" s="2" t="n"/>
      <c r="LLB5" s="2" t="n"/>
      <c r="LLC5" s="2" t="n"/>
      <c r="LLD5" s="2" t="n"/>
      <c r="LLE5" s="2" t="n"/>
      <c r="LLF5" s="2" t="n"/>
      <c r="LLG5" s="2" t="n"/>
      <c r="LLH5" s="2" t="n"/>
      <c r="LLI5" s="2" t="n"/>
      <c r="LLJ5" s="2" t="n"/>
      <c r="LLK5" s="2" t="n"/>
      <c r="LLL5" s="2" t="n"/>
      <c r="LLM5" s="2" t="n"/>
      <c r="LLN5" s="2" t="n"/>
      <c r="LLO5" s="2" t="n"/>
      <c r="LLP5" s="2" t="n"/>
      <c r="LLQ5" s="2" t="n"/>
      <c r="LLR5" s="2" t="n"/>
      <c r="LLS5" s="2" t="n"/>
      <c r="LLT5" s="2" t="n"/>
      <c r="LLU5" s="2" t="n"/>
      <c r="LLV5" s="2" t="n"/>
      <c r="LLW5" s="2" t="n"/>
      <c r="LLX5" s="2" t="n"/>
      <c r="LLY5" s="2" t="n"/>
      <c r="LLZ5" s="2" t="n"/>
      <c r="LMA5" s="2" t="n"/>
      <c r="LMB5" s="2" t="n"/>
      <c r="LMC5" s="2" t="n"/>
      <c r="LMD5" s="2" t="n"/>
      <c r="LME5" s="2" t="n"/>
      <c r="LMF5" s="2" t="n"/>
      <c r="LMG5" s="2" t="n"/>
      <c r="LMH5" s="2" t="n"/>
      <c r="LMI5" s="2" t="n"/>
      <c r="LMJ5" s="2" t="n"/>
      <c r="LMK5" s="2" t="n"/>
      <c r="LML5" s="2" t="n"/>
      <c r="LMM5" s="2" t="n"/>
      <c r="LMN5" s="2" t="n"/>
      <c r="LMO5" s="2" t="n"/>
      <c r="LMP5" s="2" t="n"/>
      <c r="LMQ5" s="2" t="n"/>
      <c r="LMR5" s="2" t="n"/>
      <c r="LMS5" s="2" t="n"/>
      <c r="LMT5" s="2" t="n"/>
      <c r="LMU5" s="2" t="n"/>
      <c r="LMV5" s="2" t="n"/>
      <c r="LMW5" s="2" t="n"/>
      <c r="LMX5" s="2" t="n"/>
      <c r="LMY5" s="2" t="n"/>
      <c r="LMZ5" s="2" t="n"/>
      <c r="LNA5" s="2" t="n"/>
      <c r="LNB5" s="2" t="n"/>
      <c r="LNC5" s="2" t="n"/>
      <c r="LND5" s="2" t="n"/>
      <c r="LNE5" s="2" t="n"/>
      <c r="LNF5" s="2" t="n"/>
      <c r="LNG5" s="2" t="n"/>
      <c r="LNH5" s="2" t="n"/>
      <c r="LNI5" s="2" t="n"/>
      <c r="LNJ5" s="2" t="n"/>
      <c r="LNK5" s="2" t="n"/>
      <c r="LNL5" s="2" t="n"/>
      <c r="LNM5" s="2" t="n"/>
      <c r="LNN5" s="2" t="n"/>
      <c r="LNO5" s="2" t="n"/>
      <c r="LNP5" s="2" t="n"/>
      <c r="LNQ5" s="2" t="n"/>
      <c r="LNR5" s="2" t="n"/>
      <c r="LNS5" s="2" t="n"/>
      <c r="LNT5" s="2" t="n"/>
      <c r="LNU5" s="2" t="n"/>
      <c r="LNV5" s="2" t="n"/>
      <c r="LNW5" s="2" t="n"/>
      <c r="LNX5" s="2" t="n"/>
      <c r="LNY5" s="2" t="n"/>
      <c r="LNZ5" s="2" t="n"/>
      <c r="LOA5" s="2" t="n"/>
      <c r="LOB5" s="2" t="n"/>
      <c r="LOC5" s="2" t="n"/>
      <c r="LOD5" s="2" t="n"/>
      <c r="LOE5" s="2" t="n"/>
      <c r="LOF5" s="2" t="n"/>
      <c r="LOG5" s="2" t="n"/>
      <c r="LOH5" s="2" t="n"/>
      <c r="LOI5" s="2" t="n"/>
      <c r="LOJ5" s="2" t="n"/>
      <c r="LOK5" s="2" t="n"/>
      <c r="LOL5" s="2" t="n"/>
      <c r="LOM5" s="2" t="n"/>
      <c r="LON5" s="2" t="n"/>
      <c r="LOO5" s="2" t="n"/>
      <c r="LOP5" s="2" t="n"/>
      <c r="LOQ5" s="2" t="n"/>
      <c r="LOR5" s="2" t="n"/>
      <c r="LOS5" s="2" t="n"/>
      <c r="LOT5" s="2" t="n"/>
      <c r="LOU5" s="2" t="n"/>
      <c r="LOV5" s="2" t="n"/>
      <c r="LOW5" s="2" t="n"/>
      <c r="LOX5" s="2" t="n"/>
      <c r="LOY5" s="2" t="n"/>
      <c r="LOZ5" s="2" t="n"/>
      <c r="LPA5" s="2" t="n"/>
      <c r="LPB5" s="2" t="n"/>
      <c r="LPC5" s="2" t="n"/>
      <c r="LPD5" s="2" t="n"/>
      <c r="LPE5" s="2" t="n"/>
      <c r="LPF5" s="2" t="n"/>
      <c r="LPG5" s="2" t="n"/>
      <c r="LPH5" s="2" t="n"/>
      <c r="LPI5" s="2" t="n"/>
      <c r="LPJ5" s="2" t="n"/>
      <c r="LPK5" s="2" t="n"/>
      <c r="LPL5" s="2" t="n"/>
      <c r="LPM5" s="2" t="n"/>
      <c r="LPN5" s="2" t="n"/>
      <c r="LPO5" s="2" t="n"/>
      <c r="LPP5" s="2" t="n"/>
      <c r="LPQ5" s="2" t="n"/>
      <c r="LPR5" s="2" t="n"/>
      <c r="LPS5" s="2" t="n"/>
      <c r="LPT5" s="2" t="n"/>
      <c r="LPU5" s="2" t="n"/>
      <c r="LPV5" s="2" t="n"/>
      <c r="LPW5" s="2" t="n"/>
      <c r="LPX5" s="2" t="n"/>
      <c r="LPY5" s="2" t="n"/>
      <c r="LPZ5" s="2" t="n"/>
      <c r="LQA5" s="2" t="n"/>
      <c r="LQB5" s="2" t="n"/>
      <c r="LQC5" s="2" t="n"/>
      <c r="LQD5" s="2" t="n"/>
      <c r="LQE5" s="2" t="n"/>
      <c r="LQF5" s="2" t="n"/>
      <c r="LQG5" s="2" t="n"/>
      <c r="LQH5" s="2" t="n"/>
      <c r="LQI5" s="2" t="n"/>
      <c r="LQJ5" s="2" t="n"/>
      <c r="LQK5" s="2" t="n"/>
      <c r="LQL5" s="2" t="n"/>
      <c r="LQM5" s="2" t="n"/>
      <c r="LQN5" s="2" t="n"/>
      <c r="LQO5" s="2" t="n"/>
      <c r="LQP5" s="2" t="n"/>
      <c r="LQQ5" s="2" t="n"/>
      <c r="LQR5" s="2" t="n"/>
      <c r="LQS5" s="2" t="n"/>
      <c r="LQT5" s="2" t="n"/>
      <c r="LQU5" s="2" t="n"/>
      <c r="LQV5" s="2" t="n"/>
      <c r="LQW5" s="2" t="n"/>
      <c r="LQX5" s="2" t="n"/>
      <c r="LQY5" s="2" t="n"/>
      <c r="LQZ5" s="2" t="n"/>
      <c r="LRA5" s="2" t="n"/>
      <c r="LRB5" s="2" t="n"/>
      <c r="LRC5" s="2" t="n"/>
      <c r="LRD5" s="2" t="n"/>
      <c r="LRE5" s="2" t="n"/>
      <c r="LRF5" s="2" t="n"/>
      <c r="LRG5" s="2" t="n"/>
      <c r="LRH5" s="2" t="n"/>
      <c r="LRI5" s="2" t="n"/>
      <c r="LRJ5" s="2" t="n"/>
      <c r="LRK5" s="2" t="n"/>
      <c r="LRL5" s="2" t="n"/>
      <c r="LRM5" s="2" t="n"/>
      <c r="LRN5" s="2" t="n"/>
      <c r="LRO5" s="2" t="n"/>
      <c r="LRP5" s="2" t="n"/>
      <c r="LRQ5" s="2" t="n"/>
      <c r="LRR5" s="2" t="n"/>
      <c r="LRS5" s="2" t="n"/>
      <c r="LRT5" s="2" t="n"/>
      <c r="LRU5" s="2" t="n"/>
      <c r="LRV5" s="2" t="n"/>
      <c r="LRW5" s="2" t="n"/>
      <c r="LRX5" s="2" t="n"/>
      <c r="LRY5" s="2" t="n"/>
      <c r="LRZ5" s="2" t="n"/>
      <c r="LSA5" s="2" t="n"/>
      <c r="LSB5" s="2" t="n"/>
      <c r="LSC5" s="2" t="n"/>
      <c r="LSD5" s="2" t="n"/>
      <c r="LSE5" s="2" t="n"/>
      <c r="LSF5" s="2" t="n"/>
      <c r="LSG5" s="2" t="n"/>
      <c r="LSH5" s="2" t="n"/>
      <c r="LSI5" s="2" t="n"/>
      <c r="LSJ5" s="2" t="n"/>
      <c r="LSK5" s="2" t="n"/>
      <c r="LSL5" s="2" t="n"/>
      <c r="LSM5" s="2" t="n"/>
      <c r="LSN5" s="2" t="n"/>
      <c r="LSO5" s="2" t="n"/>
      <c r="LSP5" s="2" t="n"/>
      <c r="LSQ5" s="2" t="n"/>
      <c r="LSR5" s="2" t="n"/>
      <c r="LSS5" s="2" t="n"/>
      <c r="LST5" s="2" t="n"/>
      <c r="LSU5" s="2" t="n"/>
      <c r="LSV5" s="2" t="n"/>
      <c r="LSW5" s="2" t="n"/>
      <c r="LSX5" s="2" t="n"/>
      <c r="LSY5" s="2" t="n"/>
      <c r="LSZ5" s="2" t="n"/>
      <c r="LTA5" s="2" t="n"/>
      <c r="LTB5" s="2" t="n"/>
      <c r="LTC5" s="2" t="n"/>
      <c r="LTD5" s="2" t="n"/>
      <c r="LTE5" s="2" t="n"/>
      <c r="LTF5" s="2" t="n"/>
      <c r="LTG5" s="2" t="n"/>
      <c r="LTH5" s="2" t="n"/>
      <c r="LTI5" s="2" t="n"/>
      <c r="LTJ5" s="2" t="n"/>
      <c r="LTK5" s="2" t="n"/>
      <c r="LTL5" s="2" t="n"/>
      <c r="LTM5" s="2" t="n"/>
      <c r="LTN5" s="2" t="n"/>
      <c r="LTO5" s="2" t="n"/>
      <c r="LTP5" s="2" t="n"/>
      <c r="LTQ5" s="2" t="n"/>
      <c r="LTR5" s="2" t="n"/>
      <c r="LTS5" s="2" t="n"/>
      <c r="LTT5" s="2" t="n"/>
      <c r="LTU5" s="2" t="n"/>
      <c r="LTV5" s="2" t="n"/>
      <c r="LTW5" s="2" t="n"/>
      <c r="LTX5" s="2" t="n"/>
      <c r="LTY5" s="2" t="n"/>
      <c r="LTZ5" s="2" t="n"/>
      <c r="LUA5" s="2" t="n"/>
      <c r="LUB5" s="2" t="n"/>
      <c r="LUC5" s="2" t="n"/>
      <c r="LUD5" s="2" t="n"/>
      <c r="LUE5" s="2" t="n"/>
      <c r="LUF5" s="2" t="n"/>
      <c r="LUG5" s="2" t="n"/>
      <c r="LUH5" s="2" t="n"/>
      <c r="LUI5" s="2" t="n"/>
      <c r="LUJ5" s="2" t="n"/>
      <c r="LUK5" s="2" t="n"/>
      <c r="LUL5" s="2" t="n"/>
      <c r="LUM5" s="2" t="n"/>
      <c r="LUN5" s="2" t="n"/>
      <c r="LUO5" s="2" t="n"/>
      <c r="LUP5" s="2" t="n"/>
      <c r="LUQ5" s="2" t="n"/>
      <c r="LUR5" s="2" t="n"/>
      <c r="LUS5" s="2" t="n"/>
      <c r="LUT5" s="2" t="n"/>
      <c r="LUU5" s="2" t="n"/>
      <c r="LUV5" s="2" t="n"/>
      <c r="LUW5" s="2" t="n"/>
      <c r="LUX5" s="2" t="n"/>
      <c r="LUY5" s="2" t="n"/>
      <c r="LUZ5" s="2" t="n"/>
      <c r="LVA5" s="2" t="n"/>
      <c r="LVB5" s="2" t="n"/>
      <c r="LVC5" s="2" t="n"/>
      <c r="LVD5" s="2" t="n"/>
      <c r="LVE5" s="2" t="n"/>
      <c r="LVF5" s="2" t="n"/>
      <c r="LVG5" s="2" t="n"/>
      <c r="LVH5" s="2" t="n"/>
      <c r="LVI5" s="2" t="n"/>
      <c r="LVJ5" s="2" t="n"/>
      <c r="LVK5" s="2" t="n"/>
      <c r="LVL5" s="2" t="n"/>
      <c r="LVM5" s="2" t="n"/>
      <c r="LVN5" s="2" t="n"/>
      <c r="LVO5" s="2" t="n"/>
      <c r="LVP5" s="2" t="n"/>
      <c r="LVQ5" s="2" t="n"/>
      <c r="LVR5" s="2" t="n"/>
      <c r="LVS5" s="2" t="n"/>
      <c r="LVT5" s="2" t="n"/>
      <c r="LVU5" s="2" t="n"/>
      <c r="LVV5" s="2" t="n"/>
      <c r="LVW5" s="2" t="n"/>
      <c r="LVX5" s="2" t="n"/>
      <c r="LVY5" s="2" t="n"/>
      <c r="LVZ5" s="2" t="n"/>
      <c r="LWA5" s="2" t="n"/>
      <c r="LWB5" s="2" t="n"/>
      <c r="LWC5" s="2" t="n"/>
      <c r="LWD5" s="2" t="n"/>
      <c r="LWE5" s="2" t="n"/>
      <c r="LWF5" s="2" t="n"/>
      <c r="LWG5" s="2" t="n"/>
      <c r="LWH5" s="2" t="n"/>
      <c r="LWI5" s="2" t="n"/>
      <c r="LWJ5" s="2" t="n"/>
      <c r="LWK5" s="2" t="n"/>
      <c r="LWL5" s="2" t="n"/>
      <c r="LWM5" s="2" t="n"/>
      <c r="LWN5" s="2" t="n"/>
      <c r="LWO5" s="2" t="n"/>
      <c r="LWP5" s="2" t="n"/>
      <c r="LWQ5" s="2" t="n"/>
      <c r="LWR5" s="2" t="n"/>
      <c r="LWS5" s="2" t="n"/>
      <c r="LWT5" s="2" t="n"/>
      <c r="LWU5" s="2" t="n"/>
      <c r="LWV5" s="2" t="n"/>
      <c r="LWW5" s="2" t="n"/>
      <c r="LWX5" s="2" t="n"/>
      <c r="LWY5" s="2" t="n"/>
      <c r="LWZ5" s="2" t="n"/>
      <c r="LXA5" s="2" t="n"/>
      <c r="LXB5" s="2" t="n"/>
      <c r="LXC5" s="2" t="n"/>
      <c r="LXD5" s="2" t="n"/>
      <c r="LXE5" s="2" t="n"/>
      <c r="LXF5" s="2" t="n"/>
      <c r="LXG5" s="2" t="n"/>
      <c r="LXH5" s="2" t="n"/>
      <c r="LXI5" s="2" t="n"/>
      <c r="LXJ5" s="2" t="n"/>
      <c r="LXK5" s="2" t="n"/>
      <c r="LXL5" s="2" t="n"/>
      <c r="LXM5" s="2" t="n"/>
      <c r="LXN5" s="2" t="n"/>
      <c r="LXO5" s="2" t="n"/>
      <c r="LXP5" s="2" t="n"/>
      <c r="LXQ5" s="2" t="n"/>
      <c r="LXR5" s="2" t="n"/>
      <c r="LXS5" s="2" t="n"/>
      <c r="LXT5" s="2" t="n"/>
      <c r="LXU5" s="2" t="n"/>
      <c r="LXV5" s="2" t="n"/>
      <c r="LXW5" s="2" t="n"/>
      <c r="LXX5" s="2" t="n"/>
      <c r="LXY5" s="2" t="n"/>
      <c r="LXZ5" s="2" t="n"/>
      <c r="LYA5" s="2" t="n"/>
      <c r="LYB5" s="2" t="n"/>
      <c r="LYC5" s="2" t="n"/>
      <c r="LYD5" s="2" t="n"/>
      <c r="LYE5" s="2" t="n"/>
      <c r="LYF5" s="2" t="n"/>
      <c r="LYG5" s="2" t="n"/>
      <c r="LYH5" s="2" t="n"/>
      <c r="LYI5" s="2" t="n"/>
      <c r="LYJ5" s="2" t="n"/>
      <c r="LYK5" s="2" t="n"/>
      <c r="LYL5" s="2" t="n"/>
      <c r="LYM5" s="2" t="n"/>
      <c r="LYN5" s="2" t="n"/>
      <c r="LYO5" s="2" t="n"/>
      <c r="LYP5" s="2" t="n"/>
      <c r="LYQ5" s="2" t="n"/>
      <c r="LYR5" s="2" t="n"/>
      <c r="LYS5" s="2" t="n"/>
      <c r="LYT5" s="2" t="n"/>
      <c r="LYU5" s="2" t="n"/>
      <c r="LYV5" s="2" t="n"/>
      <c r="LYW5" s="2" t="n"/>
      <c r="LYX5" s="2" t="n"/>
      <c r="LYY5" s="2" t="n"/>
      <c r="LYZ5" s="2" t="n"/>
      <c r="LZA5" s="2" t="n"/>
      <c r="LZB5" s="2" t="n"/>
      <c r="LZC5" s="2" t="n"/>
      <c r="LZD5" s="2" t="n"/>
      <c r="LZE5" s="2" t="n"/>
      <c r="LZF5" s="2" t="n"/>
      <c r="LZG5" s="2" t="n"/>
      <c r="LZH5" s="2" t="n"/>
      <c r="LZI5" s="2" t="n"/>
      <c r="LZJ5" s="2" t="n"/>
      <c r="LZK5" s="2" t="n"/>
      <c r="LZL5" s="2" t="n"/>
      <c r="LZM5" s="2" t="n"/>
      <c r="LZN5" s="2" t="n"/>
      <c r="LZO5" s="2" t="n"/>
      <c r="LZP5" s="2" t="n"/>
      <c r="LZQ5" s="2" t="n"/>
      <c r="LZR5" s="2" t="n"/>
      <c r="LZS5" s="2" t="n"/>
      <c r="LZT5" s="2" t="n"/>
      <c r="LZU5" s="2" t="n"/>
      <c r="LZV5" s="2" t="n"/>
      <c r="LZW5" s="2" t="n"/>
      <c r="LZX5" s="2" t="n"/>
      <c r="LZY5" s="2" t="n"/>
      <c r="LZZ5" s="2" t="n"/>
      <c r="MAA5" s="2" t="n"/>
      <c r="MAB5" s="2" t="n"/>
      <c r="MAC5" s="2" t="n"/>
      <c r="MAD5" s="2" t="n"/>
      <c r="MAE5" s="2" t="n"/>
      <c r="MAF5" s="2" t="n"/>
      <c r="MAG5" s="2" t="n"/>
      <c r="MAH5" s="2" t="n"/>
      <c r="MAI5" s="2" t="n"/>
      <c r="MAJ5" s="2" t="n"/>
      <c r="MAK5" s="2" t="n"/>
      <c r="MAL5" s="2" t="n"/>
      <c r="MAM5" s="2" t="n"/>
      <c r="MAN5" s="2" t="n"/>
      <c r="MAO5" s="2" t="n"/>
      <c r="MAP5" s="2" t="n"/>
      <c r="MAQ5" s="2" t="n"/>
      <c r="MAR5" s="2" t="n"/>
      <c r="MAS5" s="2" t="n"/>
      <c r="MAT5" s="2" t="n"/>
      <c r="MAU5" s="2" t="n"/>
      <c r="MAV5" s="2" t="n"/>
      <c r="MAW5" s="2" t="n"/>
      <c r="MAX5" s="2" t="n"/>
      <c r="MAY5" s="2" t="n"/>
      <c r="MAZ5" s="2" t="n"/>
      <c r="MBA5" s="2" t="n"/>
      <c r="MBB5" s="2" t="n"/>
      <c r="MBC5" s="2" t="n"/>
      <c r="MBD5" s="2" t="n"/>
      <c r="MBE5" s="2" t="n"/>
      <c r="MBF5" s="2" t="n"/>
      <c r="MBG5" s="2" t="n"/>
      <c r="MBH5" s="2" t="n"/>
      <c r="MBI5" s="2" t="n"/>
      <c r="MBJ5" s="2" t="n"/>
      <c r="MBK5" s="2" t="n"/>
      <c r="MBL5" s="2" t="n"/>
      <c r="MBM5" s="2" t="n"/>
      <c r="MBN5" s="2" t="n"/>
      <c r="MBO5" s="2" t="n"/>
      <c r="MBP5" s="2" t="n"/>
      <c r="MBQ5" s="2" t="n"/>
      <c r="MBR5" s="2" t="n"/>
      <c r="MBS5" s="2" t="n"/>
      <c r="MBT5" s="2" t="n"/>
      <c r="MBU5" s="2" t="n"/>
      <c r="MBV5" s="2" t="n"/>
      <c r="MBW5" s="2" t="n"/>
      <c r="MBX5" s="2" t="n"/>
      <c r="MBY5" s="2" t="n"/>
      <c r="MBZ5" s="2" t="n"/>
      <c r="MCA5" s="2" t="n"/>
      <c r="MCB5" s="2" t="n"/>
      <c r="MCC5" s="2" t="n"/>
      <c r="MCD5" s="2" t="n"/>
      <c r="MCE5" s="2" t="n"/>
      <c r="MCF5" s="2" t="n"/>
      <c r="MCG5" s="2" t="n"/>
      <c r="MCH5" s="2" t="n"/>
      <c r="MCI5" s="2" t="n"/>
      <c r="MCJ5" s="2" t="n"/>
      <c r="MCK5" s="2" t="n"/>
      <c r="MCL5" s="2" t="n"/>
      <c r="MCM5" s="2" t="n"/>
      <c r="MCN5" s="2" t="n"/>
      <c r="MCO5" s="2" t="n"/>
      <c r="MCP5" s="2" t="n"/>
      <c r="MCQ5" s="2" t="n"/>
      <c r="MCR5" s="2" t="n"/>
      <c r="MCS5" s="2" t="n"/>
      <c r="MCT5" s="2" t="n"/>
      <c r="MCU5" s="2" t="n"/>
      <c r="MCV5" s="2" t="n"/>
      <c r="MCW5" s="2" t="n"/>
      <c r="MCX5" s="2" t="n"/>
      <c r="MCY5" s="2" t="n"/>
      <c r="MCZ5" s="2" t="n"/>
      <c r="MDA5" s="2" t="n"/>
      <c r="MDB5" s="2" t="n"/>
      <c r="MDC5" s="2" t="n"/>
      <c r="MDD5" s="2" t="n"/>
      <c r="MDE5" s="2" t="n"/>
      <c r="MDF5" s="2" t="n"/>
      <c r="MDG5" s="2" t="n"/>
      <c r="MDH5" s="2" t="n"/>
      <c r="MDI5" s="2" t="n"/>
      <c r="MDJ5" s="2" t="n"/>
      <c r="MDK5" s="2" t="n"/>
      <c r="MDL5" s="2" t="n"/>
      <c r="MDM5" s="2" t="n"/>
      <c r="MDN5" s="2" t="n"/>
      <c r="MDO5" s="2" t="n"/>
      <c r="MDP5" s="2" t="n"/>
      <c r="MDQ5" s="2" t="n"/>
      <c r="MDR5" s="2" t="n"/>
      <c r="MDS5" s="2" t="n"/>
      <c r="MDT5" s="2" t="n"/>
      <c r="MDU5" s="2" t="n"/>
      <c r="MDV5" s="2" t="n"/>
      <c r="MDW5" s="2" t="n"/>
      <c r="MDX5" s="2" t="n"/>
      <c r="MDY5" s="2" t="n"/>
      <c r="MDZ5" s="2" t="n"/>
      <c r="MEA5" s="2" t="n"/>
      <c r="MEB5" s="2" t="n"/>
      <c r="MEC5" s="2" t="n"/>
      <c r="MED5" s="2" t="n"/>
      <c r="MEE5" s="2" t="n"/>
      <c r="MEF5" s="2" t="n"/>
      <c r="MEG5" s="2" t="n"/>
      <c r="MEH5" s="2" t="n"/>
      <c r="MEI5" s="2" t="n"/>
      <c r="MEJ5" s="2" t="n"/>
      <c r="MEK5" s="2" t="n"/>
      <c r="MEL5" s="2" t="n"/>
      <c r="MEM5" s="2" t="n"/>
      <c r="MEN5" s="2" t="n"/>
      <c r="MEO5" s="2" t="n"/>
      <c r="MEP5" s="2" t="n"/>
      <c r="MEQ5" s="2" t="n"/>
      <c r="MER5" s="2" t="n"/>
      <c r="MES5" s="2" t="n"/>
      <c r="MET5" s="2" t="n"/>
      <c r="MEU5" s="2" t="n"/>
      <c r="MEV5" s="2" t="n"/>
      <c r="MEW5" s="2" t="n"/>
      <c r="MEX5" s="2" t="n"/>
      <c r="MEY5" s="2" t="n"/>
      <c r="MEZ5" s="2" t="n"/>
      <c r="MFA5" s="2" t="n"/>
      <c r="MFB5" s="2" t="n"/>
      <c r="MFC5" s="2" t="n"/>
      <c r="MFD5" s="2" t="n"/>
      <c r="MFE5" s="2" t="n"/>
      <c r="MFF5" s="2" t="n"/>
      <c r="MFG5" s="2" t="n"/>
      <c r="MFH5" s="2" t="n"/>
      <c r="MFI5" s="2" t="n"/>
      <c r="MFJ5" s="2" t="n"/>
      <c r="MFK5" s="2" t="n"/>
      <c r="MFL5" s="2" t="n"/>
      <c r="MFM5" s="2" t="n"/>
      <c r="MFN5" s="2" t="n"/>
      <c r="MFO5" s="2" t="n"/>
      <c r="MFP5" s="2" t="n"/>
      <c r="MFQ5" s="2" t="n"/>
      <c r="MFR5" s="2" t="n"/>
      <c r="MFS5" s="2" t="n"/>
      <c r="MFT5" s="2" t="n"/>
      <c r="MFU5" s="2" t="n"/>
      <c r="MFV5" s="2" t="n"/>
      <c r="MFW5" s="2" t="n"/>
      <c r="MFX5" s="2" t="n"/>
      <c r="MFY5" s="2" t="n"/>
      <c r="MFZ5" s="2" t="n"/>
      <c r="MGA5" s="2" t="n"/>
      <c r="MGB5" s="2" t="n"/>
      <c r="MGC5" s="2" t="n"/>
      <c r="MGD5" s="2" t="n"/>
      <c r="MGE5" s="2" t="n"/>
      <c r="MGF5" s="2" t="n"/>
      <c r="MGG5" s="2" t="n"/>
      <c r="MGH5" s="2" t="n"/>
      <c r="MGI5" s="2" t="n"/>
      <c r="MGJ5" s="2" t="n"/>
      <c r="MGK5" s="2" t="n"/>
      <c r="MGL5" s="2" t="n"/>
      <c r="MGM5" s="2" t="n"/>
      <c r="MGN5" s="2" t="n"/>
      <c r="MGO5" s="2" t="n"/>
      <c r="MGP5" s="2" t="n"/>
      <c r="MGQ5" s="2" t="n"/>
      <c r="MGR5" s="2" t="n"/>
      <c r="MGS5" s="2" t="n"/>
      <c r="MGT5" s="2" t="n"/>
      <c r="MGU5" s="2" t="n"/>
      <c r="MGV5" s="2" t="n"/>
      <c r="MGW5" s="2" t="n"/>
      <c r="MGX5" s="2" t="n"/>
      <c r="MGY5" s="2" t="n"/>
      <c r="MGZ5" s="2" t="n"/>
      <c r="MHA5" s="2" t="n"/>
      <c r="MHB5" s="2" t="n"/>
      <c r="MHC5" s="2" t="n"/>
      <c r="MHD5" s="2" t="n"/>
      <c r="MHE5" s="2" t="n"/>
      <c r="MHF5" s="2" t="n"/>
      <c r="MHG5" s="2" t="n"/>
      <c r="MHH5" s="2" t="n"/>
      <c r="MHI5" s="2" t="n"/>
      <c r="MHJ5" s="2" t="n"/>
      <c r="MHK5" s="2" t="n"/>
      <c r="MHL5" s="2" t="n"/>
      <c r="MHM5" s="2" t="n"/>
      <c r="MHN5" s="2" t="n"/>
      <c r="MHO5" s="2" t="n"/>
      <c r="MHP5" s="2" t="n"/>
      <c r="MHQ5" s="2" t="n"/>
      <c r="MHR5" s="2" t="n"/>
      <c r="MHS5" s="2" t="n"/>
      <c r="MHT5" s="2" t="n"/>
      <c r="MHU5" s="2" t="n"/>
      <c r="MHV5" s="2" t="n"/>
      <c r="MHW5" s="2" t="n"/>
      <c r="MHX5" s="2" t="n"/>
      <c r="MHY5" s="2" t="n"/>
      <c r="MHZ5" s="2" t="n"/>
      <c r="MIA5" s="2" t="n"/>
      <c r="MIB5" s="2" t="n"/>
      <c r="MIC5" s="2" t="n"/>
      <c r="MID5" s="2" t="n"/>
      <c r="MIE5" s="2" t="n"/>
      <c r="MIF5" s="2" t="n"/>
      <c r="MIG5" s="2" t="n"/>
      <c r="MIH5" s="2" t="n"/>
      <c r="MII5" s="2" t="n"/>
      <c r="MIJ5" s="2" t="n"/>
      <c r="MIK5" s="2" t="n"/>
      <c r="MIL5" s="2" t="n"/>
      <c r="MIM5" s="2" t="n"/>
      <c r="MIN5" s="2" t="n"/>
      <c r="MIO5" s="2" t="n"/>
      <c r="MIP5" s="2" t="n"/>
      <c r="MIQ5" s="2" t="n"/>
      <c r="MIR5" s="2" t="n"/>
      <c r="MIS5" s="2" t="n"/>
      <c r="MIT5" s="2" t="n"/>
      <c r="MIU5" s="2" t="n"/>
      <c r="MIV5" s="2" t="n"/>
      <c r="MIW5" s="2" t="n"/>
      <c r="MIX5" s="2" t="n"/>
      <c r="MIY5" s="2" t="n"/>
      <c r="MIZ5" s="2" t="n"/>
      <c r="MJA5" s="2" t="n"/>
      <c r="MJB5" s="2" t="n"/>
      <c r="MJC5" s="2" t="n"/>
      <c r="MJD5" s="2" t="n"/>
      <c r="MJE5" s="2" t="n"/>
      <c r="MJF5" s="2" t="n"/>
      <c r="MJG5" s="2" t="n"/>
      <c r="MJH5" s="2" t="n"/>
      <c r="MJI5" s="2" t="n"/>
      <c r="MJJ5" s="2" t="n"/>
      <c r="MJK5" s="2" t="n"/>
      <c r="MJL5" s="2" t="n"/>
      <c r="MJM5" s="2" t="n"/>
      <c r="MJN5" s="2" t="n"/>
      <c r="MJO5" s="2" t="n"/>
      <c r="MJP5" s="2" t="n"/>
      <c r="MJQ5" s="2" t="n"/>
      <c r="MJR5" s="2" t="n"/>
      <c r="MJS5" s="2" t="n"/>
      <c r="MJT5" s="2" t="n"/>
      <c r="MJU5" s="2" t="n"/>
      <c r="MJV5" s="2" t="n"/>
      <c r="MJW5" s="2" t="n"/>
      <c r="MJX5" s="2" t="n"/>
      <c r="MJY5" s="2" t="n"/>
      <c r="MJZ5" s="2" t="n"/>
      <c r="MKA5" s="2" t="n"/>
      <c r="MKB5" s="2" t="n"/>
      <c r="MKC5" s="2" t="n"/>
      <c r="MKD5" s="2" t="n"/>
      <c r="MKE5" s="2" t="n"/>
      <c r="MKF5" s="2" t="n"/>
      <c r="MKG5" s="2" t="n"/>
      <c r="MKH5" s="2" t="n"/>
      <c r="MKI5" s="2" t="n"/>
      <c r="MKJ5" s="2" t="n"/>
      <c r="MKK5" s="2" t="n"/>
      <c r="MKL5" s="2" t="n"/>
      <c r="MKM5" s="2" t="n"/>
      <c r="MKN5" s="2" t="n"/>
      <c r="MKO5" s="2" t="n"/>
      <c r="MKP5" s="2" t="n"/>
      <c r="MKQ5" s="2" t="n"/>
      <c r="MKR5" s="2" t="n"/>
      <c r="MKS5" s="2" t="n"/>
      <c r="MKT5" s="2" t="n"/>
      <c r="MKU5" s="2" t="n"/>
      <c r="MKV5" s="2" t="n"/>
      <c r="MKW5" s="2" t="n"/>
      <c r="MKX5" s="2" t="n"/>
      <c r="MKY5" s="2" t="n"/>
      <c r="MKZ5" s="2" t="n"/>
      <c r="MLA5" s="2" t="n"/>
      <c r="MLB5" s="2" t="n"/>
      <c r="MLC5" s="2" t="n"/>
      <c r="MLD5" s="2" t="n"/>
      <c r="MLE5" s="2" t="n"/>
      <c r="MLF5" s="2" t="n"/>
      <c r="MLG5" s="2" t="n"/>
      <c r="MLH5" s="2" t="n"/>
      <c r="MLI5" s="2" t="n"/>
      <c r="MLJ5" s="2" t="n"/>
      <c r="MLK5" s="2" t="n"/>
      <c r="MLL5" s="2" t="n"/>
      <c r="MLM5" s="2" t="n"/>
      <c r="MLN5" s="2" t="n"/>
      <c r="MLO5" s="2" t="n"/>
      <c r="MLP5" s="2" t="n"/>
      <c r="MLQ5" s="2" t="n"/>
      <c r="MLR5" s="2" t="n"/>
      <c r="MLS5" s="2" t="n"/>
      <c r="MLT5" s="2" t="n"/>
      <c r="MLU5" s="2" t="n"/>
      <c r="MLV5" s="2" t="n"/>
      <c r="MLW5" s="2" t="n"/>
      <c r="MLX5" s="2" t="n"/>
      <c r="MLY5" s="2" t="n"/>
      <c r="MLZ5" s="2" t="n"/>
      <c r="MMA5" s="2" t="n"/>
      <c r="MMB5" s="2" t="n"/>
      <c r="MMC5" s="2" t="n"/>
      <c r="MMD5" s="2" t="n"/>
      <c r="MME5" s="2" t="n"/>
      <c r="MMF5" s="2" t="n"/>
      <c r="MMG5" s="2" t="n"/>
      <c r="MMH5" s="2" t="n"/>
      <c r="MMI5" s="2" t="n"/>
      <c r="MMJ5" s="2" t="n"/>
      <c r="MMK5" s="2" t="n"/>
      <c r="MML5" s="2" t="n"/>
      <c r="MMM5" s="2" t="n"/>
      <c r="MMN5" s="2" t="n"/>
      <c r="MMO5" s="2" t="n"/>
      <c r="MMP5" s="2" t="n"/>
      <c r="MMQ5" s="2" t="n"/>
      <c r="MMR5" s="2" t="n"/>
      <c r="MMS5" s="2" t="n"/>
      <c r="MMT5" s="2" t="n"/>
      <c r="MMU5" s="2" t="n"/>
      <c r="MMV5" s="2" t="n"/>
      <c r="MMW5" s="2" t="n"/>
      <c r="MMX5" s="2" t="n"/>
      <c r="MMY5" s="2" t="n"/>
      <c r="MMZ5" s="2" t="n"/>
      <c r="MNA5" s="2" t="n"/>
      <c r="MNB5" s="2" t="n"/>
      <c r="MNC5" s="2" t="n"/>
      <c r="MND5" s="2" t="n"/>
      <c r="MNE5" s="2" t="n"/>
      <c r="MNF5" s="2" t="n"/>
      <c r="MNG5" s="2" t="n"/>
      <c r="MNH5" s="2" t="n"/>
      <c r="MNI5" s="2" t="n"/>
      <c r="MNJ5" s="2" t="n"/>
      <c r="MNK5" s="2" t="n"/>
      <c r="MNL5" s="2" t="n"/>
      <c r="MNM5" s="2" t="n"/>
      <c r="MNN5" s="2" t="n"/>
      <c r="MNO5" s="2" t="n"/>
      <c r="MNP5" s="2" t="n"/>
      <c r="MNQ5" s="2" t="n"/>
      <c r="MNR5" s="2" t="n"/>
      <c r="MNS5" s="2" t="n"/>
      <c r="MNT5" s="2" t="n"/>
      <c r="MNU5" s="2" t="n"/>
      <c r="MNV5" s="2" t="n"/>
      <c r="MNW5" s="2" t="n"/>
      <c r="MNX5" s="2" t="n"/>
      <c r="MNY5" s="2" t="n"/>
      <c r="MNZ5" s="2" t="n"/>
      <c r="MOA5" s="2" t="n"/>
      <c r="MOB5" s="2" t="n"/>
      <c r="MOC5" s="2" t="n"/>
      <c r="MOD5" s="2" t="n"/>
      <c r="MOE5" s="2" t="n"/>
      <c r="MOF5" s="2" t="n"/>
      <c r="MOG5" s="2" t="n"/>
      <c r="MOH5" s="2" t="n"/>
      <c r="MOI5" s="2" t="n"/>
      <c r="MOJ5" s="2" t="n"/>
      <c r="MOK5" s="2" t="n"/>
      <c r="MOL5" s="2" t="n"/>
      <c r="MOM5" s="2" t="n"/>
      <c r="MON5" s="2" t="n"/>
      <c r="MOO5" s="2" t="n"/>
      <c r="MOP5" s="2" t="n"/>
      <c r="MOQ5" s="2" t="n"/>
      <c r="MOR5" s="2" t="n"/>
      <c r="MOS5" s="2" t="n"/>
      <c r="MOT5" s="2" t="n"/>
      <c r="MOU5" s="2" t="n"/>
      <c r="MOV5" s="2" t="n"/>
      <c r="MOW5" s="2" t="n"/>
      <c r="MOX5" s="2" t="n"/>
      <c r="MOY5" s="2" t="n"/>
      <c r="MOZ5" s="2" t="n"/>
      <c r="MPA5" s="2" t="n"/>
      <c r="MPB5" s="2" t="n"/>
      <c r="MPC5" s="2" t="n"/>
      <c r="MPD5" s="2" t="n"/>
      <c r="MPE5" s="2" t="n"/>
      <c r="MPF5" s="2" t="n"/>
      <c r="MPG5" s="2" t="n"/>
      <c r="MPH5" s="2" t="n"/>
      <c r="MPI5" s="2" t="n"/>
      <c r="MPJ5" s="2" t="n"/>
      <c r="MPK5" s="2" t="n"/>
      <c r="MPL5" s="2" t="n"/>
      <c r="MPM5" s="2" t="n"/>
      <c r="MPN5" s="2" t="n"/>
      <c r="MPO5" s="2" t="n"/>
      <c r="MPP5" s="2" t="n"/>
      <c r="MPQ5" s="2" t="n"/>
      <c r="MPR5" s="2" t="n"/>
      <c r="MPS5" s="2" t="n"/>
      <c r="MPT5" s="2" t="n"/>
      <c r="MPU5" s="2" t="n"/>
      <c r="MPV5" s="2" t="n"/>
      <c r="MPW5" s="2" t="n"/>
      <c r="MPX5" s="2" t="n"/>
      <c r="MPY5" s="2" t="n"/>
      <c r="MPZ5" s="2" t="n"/>
      <c r="MQA5" s="2" t="n"/>
      <c r="MQB5" s="2" t="n"/>
      <c r="MQC5" s="2" t="n"/>
      <c r="MQD5" s="2" t="n"/>
      <c r="MQE5" s="2" t="n"/>
      <c r="MQF5" s="2" t="n"/>
      <c r="MQG5" s="2" t="n"/>
      <c r="MQH5" s="2" t="n"/>
      <c r="MQI5" s="2" t="n"/>
      <c r="MQJ5" s="2" t="n"/>
      <c r="MQK5" s="2" t="n"/>
      <c r="MQL5" s="2" t="n"/>
      <c r="MQM5" s="2" t="n"/>
      <c r="MQN5" s="2" t="n"/>
      <c r="MQO5" s="2" t="n"/>
      <c r="MQP5" s="2" t="n"/>
      <c r="MQQ5" s="2" t="n"/>
      <c r="MQR5" s="2" t="n"/>
      <c r="MQS5" s="2" t="n"/>
      <c r="MQT5" s="2" t="n"/>
      <c r="MQU5" s="2" t="n"/>
      <c r="MQV5" s="2" t="n"/>
      <c r="MQW5" s="2" t="n"/>
      <c r="MQX5" s="2" t="n"/>
      <c r="MQY5" s="2" t="n"/>
      <c r="MQZ5" s="2" t="n"/>
      <c r="MRA5" s="2" t="n"/>
      <c r="MRB5" s="2" t="n"/>
      <c r="MRC5" s="2" t="n"/>
      <c r="MRD5" s="2" t="n"/>
      <c r="MRE5" s="2" t="n"/>
      <c r="MRF5" s="2" t="n"/>
      <c r="MRG5" s="2" t="n"/>
      <c r="MRH5" s="2" t="n"/>
      <c r="MRI5" s="2" t="n"/>
      <c r="MRJ5" s="2" t="n"/>
      <c r="MRK5" s="2" t="n"/>
      <c r="MRL5" s="2" t="n"/>
      <c r="MRM5" s="2" t="n"/>
      <c r="MRN5" s="2" t="n"/>
      <c r="MRO5" s="2" t="n"/>
      <c r="MRP5" s="2" t="n"/>
      <c r="MRQ5" s="2" t="n"/>
      <c r="MRR5" s="2" t="n"/>
      <c r="MRS5" s="2" t="n"/>
      <c r="MRT5" s="2" t="n"/>
      <c r="MRU5" s="2" t="n"/>
      <c r="MRV5" s="2" t="n"/>
      <c r="MRW5" s="2" t="n"/>
      <c r="MRX5" s="2" t="n"/>
      <c r="MRY5" s="2" t="n"/>
      <c r="MRZ5" s="2" t="n"/>
      <c r="MSA5" s="2" t="n"/>
      <c r="MSB5" s="2" t="n"/>
      <c r="MSC5" s="2" t="n"/>
      <c r="MSD5" s="2" t="n"/>
      <c r="MSE5" s="2" t="n"/>
      <c r="MSF5" s="2" t="n"/>
      <c r="MSG5" s="2" t="n"/>
      <c r="MSH5" s="2" t="n"/>
      <c r="MSI5" s="2" t="n"/>
      <c r="MSJ5" s="2" t="n"/>
      <c r="MSK5" s="2" t="n"/>
      <c r="MSL5" s="2" t="n"/>
      <c r="MSM5" s="2" t="n"/>
      <c r="MSN5" s="2" t="n"/>
      <c r="MSO5" s="2" t="n"/>
      <c r="MSP5" s="2" t="n"/>
      <c r="MSQ5" s="2" t="n"/>
      <c r="MSR5" s="2" t="n"/>
      <c r="MSS5" s="2" t="n"/>
      <c r="MST5" s="2" t="n"/>
      <c r="MSU5" s="2" t="n"/>
      <c r="MSV5" s="2" t="n"/>
      <c r="MSW5" s="2" t="n"/>
      <c r="MSX5" s="2" t="n"/>
      <c r="MSY5" s="2" t="n"/>
      <c r="MSZ5" s="2" t="n"/>
      <c r="MTA5" s="2" t="n"/>
      <c r="MTB5" s="2" t="n"/>
      <c r="MTC5" s="2" t="n"/>
      <c r="MTD5" s="2" t="n"/>
      <c r="MTE5" s="2" t="n"/>
      <c r="MTF5" s="2" t="n"/>
      <c r="MTG5" s="2" t="n"/>
      <c r="MTH5" s="2" t="n"/>
      <c r="MTI5" s="2" t="n"/>
      <c r="MTJ5" s="2" t="n"/>
      <c r="MTK5" s="2" t="n"/>
      <c r="MTL5" s="2" t="n"/>
      <c r="MTM5" s="2" t="n"/>
      <c r="MTN5" s="2" t="n"/>
      <c r="MTO5" s="2" t="n"/>
      <c r="MTP5" s="2" t="n"/>
      <c r="MTQ5" s="2" t="n"/>
      <c r="MTR5" s="2" t="n"/>
      <c r="MTS5" s="2" t="n"/>
      <c r="MTT5" s="2" t="n"/>
      <c r="MTU5" s="2" t="n"/>
      <c r="MTV5" s="2" t="n"/>
      <c r="MTW5" s="2" t="n"/>
      <c r="MTX5" s="2" t="n"/>
      <c r="MTY5" s="2" t="n"/>
      <c r="MTZ5" s="2" t="n"/>
      <c r="MUA5" s="2" t="n"/>
      <c r="MUB5" s="2" t="n"/>
      <c r="MUC5" s="2" t="n"/>
      <c r="MUD5" s="2" t="n"/>
      <c r="MUE5" s="2" t="n"/>
      <c r="MUF5" s="2" t="n"/>
      <c r="MUG5" s="2" t="n"/>
      <c r="MUH5" s="2" t="n"/>
      <c r="MUI5" s="2" t="n"/>
      <c r="MUJ5" s="2" t="n"/>
      <c r="MUK5" s="2" t="n"/>
      <c r="MUL5" s="2" t="n"/>
      <c r="MUM5" s="2" t="n"/>
      <c r="MUN5" s="2" t="n"/>
      <c r="MUO5" s="2" t="n"/>
      <c r="MUP5" s="2" t="n"/>
      <c r="MUQ5" s="2" t="n"/>
      <c r="MUR5" s="2" t="n"/>
      <c r="MUS5" s="2" t="n"/>
      <c r="MUT5" s="2" t="n"/>
      <c r="MUU5" s="2" t="n"/>
      <c r="MUV5" s="2" t="n"/>
      <c r="MUW5" s="2" t="n"/>
      <c r="MUX5" s="2" t="n"/>
      <c r="MUY5" s="2" t="n"/>
      <c r="MUZ5" s="2" t="n"/>
      <c r="MVA5" s="2" t="n"/>
      <c r="MVB5" s="2" t="n"/>
      <c r="MVC5" s="2" t="n"/>
      <c r="MVD5" s="2" t="n"/>
      <c r="MVE5" s="2" t="n"/>
      <c r="MVF5" s="2" t="n"/>
      <c r="MVG5" s="2" t="n"/>
      <c r="MVH5" s="2" t="n"/>
      <c r="MVI5" s="2" t="n"/>
      <c r="MVJ5" s="2" t="n"/>
      <c r="MVK5" s="2" t="n"/>
      <c r="MVL5" s="2" t="n"/>
      <c r="MVM5" s="2" t="n"/>
      <c r="MVN5" s="2" t="n"/>
      <c r="MVO5" s="2" t="n"/>
      <c r="MVP5" s="2" t="n"/>
      <c r="MVQ5" s="2" t="n"/>
      <c r="MVR5" s="2" t="n"/>
      <c r="MVS5" s="2" t="n"/>
      <c r="MVT5" s="2" t="n"/>
      <c r="MVU5" s="2" t="n"/>
      <c r="MVV5" s="2" t="n"/>
      <c r="MVW5" s="2" t="n"/>
      <c r="MVX5" s="2" t="n"/>
      <c r="MVY5" s="2" t="n"/>
      <c r="MVZ5" s="2" t="n"/>
      <c r="MWA5" s="2" t="n"/>
      <c r="MWB5" s="2" t="n"/>
      <c r="MWC5" s="2" t="n"/>
      <c r="MWD5" s="2" t="n"/>
      <c r="MWE5" s="2" t="n"/>
      <c r="MWF5" s="2" t="n"/>
      <c r="MWG5" s="2" t="n"/>
      <c r="MWH5" s="2" t="n"/>
      <c r="MWI5" s="2" t="n"/>
      <c r="MWJ5" s="2" t="n"/>
      <c r="MWK5" s="2" t="n"/>
      <c r="MWL5" s="2" t="n"/>
      <c r="MWM5" s="2" t="n"/>
      <c r="MWN5" s="2" t="n"/>
      <c r="MWO5" s="2" t="n"/>
      <c r="MWP5" s="2" t="n"/>
      <c r="MWQ5" s="2" t="n"/>
      <c r="MWR5" s="2" t="n"/>
      <c r="MWS5" s="2" t="n"/>
      <c r="MWT5" s="2" t="n"/>
      <c r="MWU5" s="2" t="n"/>
      <c r="MWV5" s="2" t="n"/>
      <c r="MWW5" s="2" t="n"/>
      <c r="MWX5" s="2" t="n"/>
      <c r="MWY5" s="2" t="n"/>
      <c r="MWZ5" s="2" t="n"/>
      <c r="MXA5" s="2" t="n"/>
      <c r="MXB5" s="2" t="n"/>
      <c r="MXC5" s="2" t="n"/>
      <c r="MXD5" s="2" t="n"/>
      <c r="MXE5" s="2" t="n"/>
      <c r="MXF5" s="2" t="n"/>
      <c r="MXG5" s="2" t="n"/>
      <c r="MXH5" s="2" t="n"/>
      <c r="MXI5" s="2" t="n"/>
      <c r="MXJ5" s="2" t="n"/>
      <c r="MXK5" s="2" t="n"/>
      <c r="MXL5" s="2" t="n"/>
      <c r="MXM5" s="2" t="n"/>
      <c r="MXN5" s="2" t="n"/>
      <c r="MXO5" s="2" t="n"/>
      <c r="MXP5" s="2" t="n"/>
      <c r="MXQ5" s="2" t="n"/>
      <c r="MXR5" s="2" t="n"/>
      <c r="MXS5" s="2" t="n"/>
      <c r="MXT5" s="2" t="n"/>
      <c r="MXU5" s="2" t="n"/>
      <c r="MXV5" s="2" t="n"/>
      <c r="MXW5" s="2" t="n"/>
      <c r="MXX5" s="2" t="n"/>
      <c r="MXY5" s="2" t="n"/>
      <c r="MXZ5" s="2" t="n"/>
      <c r="MYA5" s="2" t="n"/>
      <c r="MYB5" s="2" t="n"/>
      <c r="MYC5" s="2" t="n"/>
      <c r="MYD5" s="2" t="n"/>
      <c r="MYE5" s="2" t="n"/>
      <c r="MYF5" s="2" t="n"/>
      <c r="MYG5" s="2" t="n"/>
      <c r="MYH5" s="2" t="n"/>
      <c r="MYI5" s="2" t="n"/>
      <c r="MYJ5" s="2" t="n"/>
      <c r="MYK5" s="2" t="n"/>
      <c r="MYL5" s="2" t="n"/>
      <c r="MYM5" s="2" t="n"/>
      <c r="MYN5" s="2" t="n"/>
      <c r="MYO5" s="2" t="n"/>
      <c r="MYP5" s="2" t="n"/>
      <c r="MYQ5" s="2" t="n"/>
      <c r="MYR5" s="2" t="n"/>
      <c r="MYS5" s="2" t="n"/>
      <c r="MYT5" s="2" t="n"/>
      <c r="MYU5" s="2" t="n"/>
      <c r="MYV5" s="2" t="n"/>
      <c r="MYW5" s="2" t="n"/>
      <c r="MYX5" s="2" t="n"/>
      <c r="MYY5" s="2" t="n"/>
      <c r="MYZ5" s="2" t="n"/>
      <c r="MZA5" s="2" t="n"/>
      <c r="MZB5" s="2" t="n"/>
      <c r="MZC5" s="2" t="n"/>
      <c r="MZD5" s="2" t="n"/>
      <c r="MZE5" s="2" t="n"/>
      <c r="MZF5" s="2" t="n"/>
      <c r="MZG5" s="2" t="n"/>
      <c r="MZH5" s="2" t="n"/>
      <c r="MZI5" s="2" t="n"/>
      <c r="MZJ5" s="2" t="n"/>
      <c r="MZK5" s="2" t="n"/>
      <c r="MZL5" s="2" t="n"/>
      <c r="MZM5" s="2" t="n"/>
      <c r="MZN5" s="2" t="n"/>
      <c r="MZO5" s="2" t="n"/>
      <c r="MZP5" s="2" t="n"/>
      <c r="MZQ5" s="2" t="n"/>
      <c r="MZR5" s="2" t="n"/>
      <c r="MZS5" s="2" t="n"/>
      <c r="MZT5" s="2" t="n"/>
      <c r="MZU5" s="2" t="n"/>
      <c r="MZV5" s="2" t="n"/>
      <c r="MZW5" s="2" t="n"/>
      <c r="MZX5" s="2" t="n"/>
      <c r="MZY5" s="2" t="n"/>
      <c r="MZZ5" s="2" t="n"/>
      <c r="NAA5" s="2" t="n"/>
      <c r="NAB5" s="2" t="n"/>
      <c r="NAC5" s="2" t="n"/>
      <c r="NAD5" s="2" t="n"/>
      <c r="NAE5" s="2" t="n"/>
      <c r="NAF5" s="2" t="n"/>
      <c r="NAG5" s="2" t="n"/>
      <c r="NAH5" s="2" t="n"/>
      <c r="NAI5" s="2" t="n"/>
      <c r="NAJ5" s="2" t="n"/>
      <c r="NAK5" s="2" t="n"/>
      <c r="NAL5" s="2" t="n"/>
      <c r="NAM5" s="2" t="n"/>
      <c r="NAN5" s="2" t="n"/>
      <c r="NAO5" s="2" t="n"/>
      <c r="NAP5" s="2" t="n"/>
      <c r="NAQ5" s="2" t="n"/>
      <c r="NAR5" s="2" t="n"/>
      <c r="NAS5" s="2" t="n"/>
      <c r="NAT5" s="2" t="n"/>
      <c r="NAU5" s="2" t="n"/>
      <c r="NAV5" s="2" t="n"/>
      <c r="NAW5" s="2" t="n"/>
      <c r="NAX5" s="2" t="n"/>
      <c r="NAY5" s="2" t="n"/>
      <c r="NAZ5" s="2" t="n"/>
      <c r="NBA5" s="2" t="n"/>
      <c r="NBB5" s="2" t="n"/>
      <c r="NBC5" s="2" t="n"/>
      <c r="NBD5" s="2" t="n"/>
      <c r="NBE5" s="2" t="n"/>
      <c r="NBF5" s="2" t="n"/>
      <c r="NBG5" s="2" t="n"/>
      <c r="NBH5" s="2" t="n"/>
      <c r="NBI5" s="2" t="n"/>
      <c r="NBJ5" s="2" t="n"/>
      <c r="NBK5" s="2" t="n"/>
      <c r="NBL5" s="2" t="n"/>
      <c r="NBM5" s="2" t="n"/>
      <c r="NBN5" s="2" t="n"/>
      <c r="NBO5" s="2" t="n"/>
      <c r="NBP5" s="2" t="n"/>
      <c r="NBQ5" s="2" t="n"/>
      <c r="NBR5" s="2" t="n"/>
      <c r="NBS5" s="2" t="n"/>
      <c r="NBT5" s="2" t="n"/>
      <c r="NBU5" s="2" t="n"/>
      <c r="NBV5" s="2" t="n"/>
      <c r="NBW5" s="2" t="n"/>
      <c r="NBX5" s="2" t="n"/>
      <c r="NBY5" s="2" t="n"/>
      <c r="NBZ5" s="2" t="n"/>
      <c r="NCA5" s="2" t="n"/>
      <c r="NCB5" s="2" t="n"/>
      <c r="NCC5" s="2" t="n"/>
      <c r="NCD5" s="2" t="n"/>
      <c r="NCE5" s="2" t="n"/>
      <c r="NCF5" s="2" t="n"/>
      <c r="NCG5" s="2" t="n"/>
      <c r="NCH5" s="2" t="n"/>
      <c r="NCI5" s="2" t="n"/>
      <c r="NCJ5" s="2" t="n"/>
      <c r="NCK5" s="2" t="n"/>
      <c r="NCL5" s="2" t="n"/>
      <c r="NCM5" s="2" t="n"/>
      <c r="NCN5" s="2" t="n"/>
      <c r="NCO5" s="2" t="n"/>
      <c r="NCP5" s="2" t="n"/>
      <c r="NCQ5" s="2" t="n"/>
      <c r="NCR5" s="2" t="n"/>
      <c r="NCS5" s="2" t="n"/>
      <c r="NCT5" s="2" t="n"/>
      <c r="NCU5" s="2" t="n"/>
      <c r="NCV5" s="2" t="n"/>
      <c r="NCW5" s="2" t="n"/>
      <c r="NCX5" s="2" t="n"/>
      <c r="NCY5" s="2" t="n"/>
      <c r="NCZ5" s="2" t="n"/>
      <c r="NDA5" s="2" t="n"/>
      <c r="NDB5" s="2" t="n"/>
      <c r="NDC5" s="2" t="n"/>
      <c r="NDD5" s="2" t="n"/>
      <c r="NDE5" s="2" t="n"/>
      <c r="NDF5" s="2" t="n"/>
      <c r="NDG5" s="2" t="n"/>
      <c r="NDH5" s="2" t="n"/>
      <c r="NDI5" s="2" t="n"/>
      <c r="NDJ5" s="2" t="n"/>
      <c r="NDK5" s="2" t="n"/>
      <c r="NDL5" s="2" t="n"/>
      <c r="NDM5" s="2" t="n"/>
      <c r="NDN5" s="2" t="n"/>
      <c r="NDO5" s="2" t="n"/>
      <c r="NDP5" s="2" t="n"/>
      <c r="NDQ5" s="2" t="n"/>
      <c r="NDR5" s="2" t="n"/>
      <c r="NDS5" s="2" t="n"/>
      <c r="NDT5" s="2" t="n"/>
      <c r="NDU5" s="2" t="n"/>
      <c r="NDV5" s="2" t="n"/>
      <c r="NDW5" s="2" t="n"/>
      <c r="NDX5" s="2" t="n"/>
      <c r="NDY5" s="2" t="n"/>
      <c r="NDZ5" s="2" t="n"/>
      <c r="NEA5" s="2" t="n"/>
      <c r="NEB5" s="2" t="n"/>
      <c r="NEC5" s="2" t="n"/>
      <c r="NED5" s="2" t="n"/>
      <c r="NEE5" s="2" t="n"/>
      <c r="NEF5" s="2" t="n"/>
      <c r="NEG5" s="2" t="n"/>
      <c r="NEH5" s="2" t="n"/>
      <c r="NEI5" s="2" t="n"/>
      <c r="NEJ5" s="2" t="n"/>
      <c r="NEK5" s="2" t="n"/>
      <c r="NEL5" s="2" t="n"/>
      <c r="NEM5" s="2" t="n"/>
      <c r="NEN5" s="2" t="n"/>
      <c r="NEO5" s="2" t="n"/>
      <c r="NEP5" s="2" t="n"/>
      <c r="NEQ5" s="2" t="n"/>
      <c r="NER5" s="2" t="n"/>
      <c r="NES5" s="2" t="n"/>
      <c r="NET5" s="2" t="n"/>
      <c r="NEU5" s="2" t="n"/>
      <c r="NEV5" s="2" t="n"/>
      <c r="NEW5" s="2" t="n"/>
      <c r="NEX5" s="2" t="n"/>
      <c r="NEY5" s="2" t="n"/>
      <c r="NEZ5" s="2" t="n"/>
      <c r="NFA5" s="2" t="n"/>
      <c r="NFB5" s="2" t="n"/>
      <c r="NFC5" s="2" t="n"/>
      <c r="NFD5" s="2" t="n"/>
      <c r="NFE5" s="2" t="n"/>
      <c r="NFF5" s="2" t="n"/>
      <c r="NFG5" s="2" t="n"/>
      <c r="NFH5" s="2" t="n"/>
      <c r="NFI5" s="2" t="n"/>
      <c r="NFJ5" s="2" t="n"/>
      <c r="NFK5" s="2" t="n"/>
      <c r="NFL5" s="2" t="n"/>
      <c r="NFM5" s="2" t="n"/>
      <c r="NFN5" s="2" t="n"/>
      <c r="NFO5" s="2" t="n"/>
      <c r="NFP5" s="2" t="n"/>
      <c r="NFQ5" s="2" t="n"/>
      <c r="NFR5" s="2" t="n"/>
      <c r="NFS5" s="2" t="n"/>
      <c r="NFT5" s="2" t="n"/>
      <c r="NFU5" s="2" t="n"/>
      <c r="NFV5" s="2" t="n"/>
      <c r="NFW5" s="2" t="n"/>
      <c r="NFX5" s="2" t="n"/>
      <c r="NFY5" s="2" t="n"/>
      <c r="NFZ5" s="2" t="n"/>
      <c r="NGA5" s="2" t="n"/>
      <c r="NGB5" s="2" t="n"/>
      <c r="NGC5" s="2" t="n"/>
      <c r="NGD5" s="2" t="n"/>
      <c r="NGE5" s="2" t="n"/>
      <c r="NGF5" s="2" t="n"/>
      <c r="NGG5" s="2" t="n"/>
      <c r="NGH5" s="2" t="n"/>
      <c r="NGI5" s="2" t="n"/>
      <c r="NGJ5" s="2" t="n"/>
      <c r="NGK5" s="2" t="n"/>
      <c r="NGL5" s="2" t="n"/>
      <c r="NGM5" s="2" t="n"/>
      <c r="NGN5" s="2" t="n"/>
      <c r="NGO5" s="2" t="n"/>
      <c r="NGP5" s="2" t="n"/>
      <c r="NGQ5" s="2" t="n"/>
      <c r="NGR5" s="2" t="n"/>
      <c r="NGS5" s="2" t="n"/>
      <c r="NGT5" s="2" t="n"/>
      <c r="NGU5" s="2" t="n"/>
      <c r="NGV5" s="2" t="n"/>
      <c r="NGW5" s="2" t="n"/>
      <c r="NGX5" s="2" t="n"/>
      <c r="NGY5" s="2" t="n"/>
      <c r="NGZ5" s="2" t="n"/>
      <c r="NHA5" s="2" t="n"/>
      <c r="NHB5" s="2" t="n"/>
      <c r="NHC5" s="2" t="n"/>
      <c r="NHD5" s="2" t="n"/>
      <c r="NHE5" s="2" t="n"/>
      <c r="NHF5" s="2" t="n"/>
      <c r="NHG5" s="2" t="n"/>
      <c r="NHH5" s="2" t="n"/>
      <c r="NHI5" s="2" t="n"/>
      <c r="NHJ5" s="2" t="n"/>
      <c r="NHK5" s="2" t="n"/>
      <c r="NHL5" s="2" t="n"/>
      <c r="NHM5" s="2" t="n"/>
      <c r="NHN5" s="2" t="n"/>
      <c r="NHO5" s="2" t="n"/>
      <c r="NHP5" s="2" t="n"/>
      <c r="NHQ5" s="2" t="n"/>
      <c r="NHR5" s="2" t="n"/>
      <c r="NHS5" s="2" t="n"/>
      <c r="NHT5" s="2" t="n"/>
      <c r="NHU5" s="2" t="n"/>
      <c r="NHV5" s="2" t="n"/>
      <c r="NHW5" s="2" t="n"/>
      <c r="NHX5" s="2" t="n"/>
      <c r="NHY5" s="2" t="n"/>
      <c r="NHZ5" s="2" t="n"/>
      <c r="NIA5" s="2" t="n"/>
      <c r="NIB5" s="2" t="n"/>
      <c r="NIC5" s="2" t="n"/>
      <c r="NID5" s="2" t="n"/>
      <c r="NIE5" s="2" t="n"/>
      <c r="NIF5" s="2" t="n"/>
      <c r="NIG5" s="2" t="n"/>
      <c r="NIH5" s="2" t="n"/>
      <c r="NII5" s="2" t="n"/>
      <c r="NIJ5" s="2" t="n"/>
      <c r="NIK5" s="2" t="n"/>
      <c r="NIL5" s="2" t="n"/>
      <c r="NIM5" s="2" t="n"/>
      <c r="NIN5" s="2" t="n"/>
      <c r="NIO5" s="2" t="n"/>
      <c r="NIP5" s="2" t="n"/>
      <c r="NIQ5" s="2" t="n"/>
      <c r="NIR5" s="2" t="n"/>
      <c r="NIS5" s="2" t="n"/>
      <c r="NIT5" s="2" t="n"/>
      <c r="NIU5" s="2" t="n"/>
      <c r="NIV5" s="2" t="n"/>
      <c r="NIW5" s="2" t="n"/>
      <c r="NIX5" s="2" t="n"/>
      <c r="NIY5" s="2" t="n"/>
      <c r="NIZ5" s="2" t="n"/>
      <c r="NJA5" s="2" t="n"/>
      <c r="NJB5" s="2" t="n"/>
      <c r="NJC5" s="2" t="n"/>
      <c r="NJD5" s="2" t="n"/>
      <c r="NJE5" s="2" t="n"/>
      <c r="NJF5" s="2" t="n"/>
      <c r="NJG5" s="2" t="n"/>
      <c r="NJH5" s="2" t="n"/>
      <c r="NJI5" s="2" t="n"/>
      <c r="NJJ5" s="2" t="n"/>
      <c r="NJK5" s="2" t="n"/>
      <c r="NJL5" s="2" t="n"/>
      <c r="NJM5" s="2" t="n"/>
      <c r="NJN5" s="2" t="n"/>
      <c r="NJO5" s="2" t="n"/>
      <c r="NJP5" s="2" t="n"/>
      <c r="NJQ5" s="2" t="n"/>
      <c r="NJR5" s="2" t="n"/>
      <c r="NJS5" s="2" t="n"/>
      <c r="NJT5" s="2" t="n"/>
      <c r="NJU5" s="2" t="n"/>
      <c r="NJV5" s="2" t="n"/>
      <c r="NJW5" s="2" t="n"/>
      <c r="NJX5" s="2" t="n"/>
      <c r="NJY5" s="2" t="n"/>
      <c r="NJZ5" s="2" t="n"/>
      <c r="NKA5" s="2" t="n"/>
      <c r="NKB5" s="2" t="n"/>
      <c r="NKC5" s="2" t="n"/>
      <c r="NKD5" s="2" t="n"/>
      <c r="NKE5" s="2" t="n"/>
      <c r="NKF5" s="2" t="n"/>
      <c r="NKG5" s="2" t="n"/>
      <c r="NKH5" s="2" t="n"/>
      <c r="NKI5" s="2" t="n"/>
      <c r="NKJ5" s="2" t="n"/>
      <c r="NKK5" s="2" t="n"/>
      <c r="NKL5" s="2" t="n"/>
      <c r="NKM5" s="2" t="n"/>
      <c r="NKN5" s="2" t="n"/>
      <c r="NKO5" s="2" t="n"/>
      <c r="NKP5" s="2" t="n"/>
      <c r="NKQ5" s="2" t="n"/>
      <c r="NKR5" s="2" t="n"/>
      <c r="NKS5" s="2" t="n"/>
      <c r="NKT5" s="2" t="n"/>
      <c r="NKU5" s="2" t="n"/>
      <c r="NKV5" s="2" t="n"/>
      <c r="NKW5" s="2" t="n"/>
      <c r="NKX5" s="2" t="n"/>
      <c r="NKY5" s="2" t="n"/>
      <c r="NKZ5" s="2" t="n"/>
      <c r="NLA5" s="2" t="n"/>
      <c r="NLB5" s="2" t="n"/>
      <c r="NLC5" s="2" t="n"/>
      <c r="NLD5" s="2" t="n"/>
      <c r="NLE5" s="2" t="n"/>
      <c r="NLF5" s="2" t="n"/>
      <c r="NLG5" s="2" t="n"/>
      <c r="NLH5" s="2" t="n"/>
      <c r="NLI5" s="2" t="n"/>
      <c r="NLJ5" s="2" t="n"/>
      <c r="NLK5" s="2" t="n"/>
      <c r="NLL5" s="2" t="n"/>
      <c r="NLM5" s="2" t="n"/>
      <c r="NLN5" s="2" t="n"/>
      <c r="NLO5" s="2" t="n"/>
      <c r="NLP5" s="2" t="n"/>
      <c r="NLQ5" s="2" t="n"/>
      <c r="NLR5" s="2" t="n"/>
      <c r="NLS5" s="2" t="n"/>
      <c r="NLT5" s="2" t="n"/>
      <c r="NLU5" s="2" t="n"/>
      <c r="NLV5" s="2" t="n"/>
      <c r="NLW5" s="2" t="n"/>
      <c r="NLX5" s="2" t="n"/>
      <c r="NLY5" s="2" t="n"/>
      <c r="NLZ5" s="2" t="n"/>
      <c r="NMA5" s="2" t="n"/>
      <c r="NMB5" s="2" t="n"/>
      <c r="NMC5" s="2" t="n"/>
      <c r="NMD5" s="2" t="n"/>
      <c r="NME5" s="2" t="n"/>
      <c r="NMF5" s="2" t="n"/>
      <c r="NMG5" s="2" t="n"/>
      <c r="NMH5" s="2" t="n"/>
      <c r="NMI5" s="2" t="n"/>
      <c r="NMJ5" s="2" t="n"/>
      <c r="NMK5" s="2" t="n"/>
      <c r="NML5" s="2" t="n"/>
      <c r="NMM5" s="2" t="n"/>
      <c r="NMN5" s="2" t="n"/>
      <c r="NMO5" s="2" t="n"/>
      <c r="NMP5" s="2" t="n"/>
      <c r="NMQ5" s="2" t="n"/>
      <c r="NMR5" s="2" t="n"/>
      <c r="NMS5" s="2" t="n"/>
      <c r="NMT5" s="2" t="n"/>
      <c r="NMU5" s="2" t="n"/>
      <c r="NMV5" s="2" t="n"/>
      <c r="NMW5" s="2" t="n"/>
      <c r="NMX5" s="2" t="n"/>
      <c r="NMY5" s="2" t="n"/>
      <c r="NMZ5" s="2" t="n"/>
      <c r="NNA5" s="2" t="n"/>
      <c r="NNB5" s="2" t="n"/>
      <c r="NNC5" s="2" t="n"/>
      <c r="NND5" s="2" t="n"/>
      <c r="NNE5" s="2" t="n"/>
      <c r="NNF5" s="2" t="n"/>
      <c r="NNG5" s="2" t="n"/>
      <c r="NNH5" s="2" t="n"/>
      <c r="NNI5" s="2" t="n"/>
      <c r="NNJ5" s="2" t="n"/>
      <c r="NNK5" s="2" t="n"/>
      <c r="NNL5" s="2" t="n"/>
      <c r="NNM5" s="2" t="n"/>
      <c r="NNN5" s="2" t="n"/>
      <c r="NNO5" s="2" t="n"/>
      <c r="NNP5" s="2" t="n"/>
      <c r="NNQ5" s="2" t="n"/>
      <c r="NNR5" s="2" t="n"/>
      <c r="NNS5" s="2" t="n"/>
      <c r="NNT5" s="2" t="n"/>
      <c r="NNU5" s="2" t="n"/>
      <c r="NNV5" s="2" t="n"/>
      <c r="NNW5" s="2" t="n"/>
      <c r="NNX5" s="2" t="n"/>
      <c r="NNY5" s="2" t="n"/>
      <c r="NNZ5" s="2" t="n"/>
      <c r="NOA5" s="2" t="n"/>
      <c r="NOB5" s="2" t="n"/>
      <c r="NOC5" s="2" t="n"/>
      <c r="NOD5" s="2" t="n"/>
      <c r="NOE5" s="2" t="n"/>
      <c r="NOF5" s="2" t="n"/>
      <c r="NOG5" s="2" t="n"/>
      <c r="NOH5" s="2" t="n"/>
      <c r="NOI5" s="2" t="n"/>
      <c r="NOJ5" s="2" t="n"/>
      <c r="NOK5" s="2" t="n"/>
      <c r="NOL5" s="2" t="n"/>
      <c r="NOM5" s="2" t="n"/>
      <c r="NON5" s="2" t="n"/>
      <c r="NOO5" s="2" t="n"/>
      <c r="NOP5" s="2" t="n"/>
      <c r="NOQ5" s="2" t="n"/>
      <c r="NOR5" s="2" t="n"/>
      <c r="NOS5" s="2" t="n"/>
      <c r="NOT5" s="2" t="n"/>
      <c r="NOU5" s="2" t="n"/>
      <c r="NOV5" s="2" t="n"/>
      <c r="NOW5" s="2" t="n"/>
      <c r="NOX5" s="2" t="n"/>
      <c r="NOY5" s="2" t="n"/>
      <c r="NOZ5" s="2" t="n"/>
      <c r="NPA5" s="2" t="n"/>
      <c r="NPB5" s="2" t="n"/>
      <c r="NPC5" s="2" t="n"/>
      <c r="NPD5" s="2" t="n"/>
      <c r="NPE5" s="2" t="n"/>
      <c r="NPF5" s="2" t="n"/>
      <c r="NPG5" s="2" t="n"/>
      <c r="NPH5" s="2" t="n"/>
      <c r="NPI5" s="2" t="n"/>
      <c r="NPJ5" s="2" t="n"/>
      <c r="NPK5" s="2" t="n"/>
      <c r="NPL5" s="2" t="n"/>
      <c r="NPM5" s="2" t="n"/>
      <c r="NPN5" s="2" t="n"/>
      <c r="NPO5" s="2" t="n"/>
      <c r="NPP5" s="2" t="n"/>
      <c r="NPQ5" s="2" t="n"/>
      <c r="NPR5" s="2" t="n"/>
      <c r="NPS5" s="2" t="n"/>
      <c r="NPT5" s="2" t="n"/>
      <c r="NPU5" s="2" t="n"/>
      <c r="NPV5" s="2" t="n"/>
      <c r="NPW5" s="2" t="n"/>
      <c r="NPX5" s="2" t="n"/>
      <c r="NPY5" s="2" t="n"/>
      <c r="NPZ5" s="2" t="n"/>
      <c r="NQA5" s="2" t="n"/>
      <c r="NQB5" s="2" t="n"/>
      <c r="NQC5" s="2" t="n"/>
      <c r="NQD5" s="2" t="n"/>
      <c r="NQE5" s="2" t="n"/>
      <c r="NQF5" s="2" t="n"/>
      <c r="NQG5" s="2" t="n"/>
      <c r="NQH5" s="2" t="n"/>
      <c r="NQI5" s="2" t="n"/>
      <c r="NQJ5" s="2" t="n"/>
      <c r="NQK5" s="2" t="n"/>
      <c r="NQL5" s="2" t="n"/>
      <c r="NQM5" s="2" t="n"/>
      <c r="NQN5" s="2" t="n"/>
      <c r="NQO5" s="2" t="n"/>
      <c r="NQP5" s="2" t="n"/>
      <c r="NQQ5" s="2" t="n"/>
      <c r="NQR5" s="2" t="n"/>
      <c r="NQS5" s="2" t="n"/>
      <c r="NQT5" s="2" t="n"/>
      <c r="NQU5" s="2" t="n"/>
      <c r="NQV5" s="2" t="n"/>
      <c r="NQW5" s="2" t="n"/>
      <c r="NQX5" s="2" t="n"/>
      <c r="NQY5" s="2" t="n"/>
      <c r="NQZ5" s="2" t="n"/>
      <c r="NRA5" s="2" t="n"/>
      <c r="NRB5" s="2" t="n"/>
      <c r="NRC5" s="2" t="n"/>
      <c r="NRD5" s="2" t="n"/>
      <c r="NRE5" s="2" t="n"/>
      <c r="NRF5" s="2" t="n"/>
      <c r="NRG5" s="2" t="n"/>
      <c r="NRH5" s="2" t="n"/>
      <c r="NRI5" s="2" t="n"/>
      <c r="NRJ5" s="2" t="n"/>
      <c r="NRK5" s="2" t="n"/>
      <c r="NRL5" s="2" t="n"/>
      <c r="NRM5" s="2" t="n"/>
      <c r="NRN5" s="2" t="n"/>
      <c r="NRO5" s="2" t="n"/>
      <c r="NRP5" s="2" t="n"/>
      <c r="NRQ5" s="2" t="n"/>
      <c r="NRR5" s="2" t="n"/>
      <c r="NRS5" s="2" t="n"/>
      <c r="NRT5" s="2" t="n"/>
      <c r="NRU5" s="2" t="n"/>
      <c r="NRV5" s="2" t="n"/>
      <c r="NRW5" s="2" t="n"/>
      <c r="NRX5" s="2" t="n"/>
      <c r="NRY5" s="2" t="n"/>
      <c r="NRZ5" s="2" t="n"/>
      <c r="NSA5" s="2" t="n"/>
      <c r="NSB5" s="2" t="n"/>
      <c r="NSC5" s="2" t="n"/>
      <c r="NSD5" s="2" t="n"/>
      <c r="NSE5" s="2" t="n"/>
      <c r="NSF5" s="2" t="n"/>
      <c r="NSG5" s="2" t="n"/>
      <c r="NSH5" s="2" t="n"/>
      <c r="NSI5" s="2" t="n"/>
      <c r="NSJ5" s="2" t="n"/>
      <c r="NSK5" s="2" t="n"/>
      <c r="NSL5" s="2" t="n"/>
      <c r="NSM5" s="2" t="n"/>
      <c r="NSN5" s="2" t="n"/>
      <c r="NSO5" s="2" t="n"/>
      <c r="NSP5" s="2" t="n"/>
      <c r="NSQ5" s="2" t="n"/>
      <c r="NSR5" s="2" t="n"/>
      <c r="NSS5" s="2" t="n"/>
      <c r="NST5" s="2" t="n"/>
      <c r="NSU5" s="2" t="n"/>
      <c r="NSV5" s="2" t="n"/>
      <c r="NSW5" s="2" t="n"/>
      <c r="NSX5" s="2" t="n"/>
      <c r="NSY5" s="2" t="n"/>
      <c r="NSZ5" s="2" t="n"/>
      <c r="NTA5" s="2" t="n"/>
      <c r="NTB5" s="2" t="n"/>
      <c r="NTC5" s="2" t="n"/>
      <c r="NTD5" s="2" t="n"/>
      <c r="NTE5" s="2" t="n"/>
      <c r="NTF5" s="2" t="n"/>
      <c r="NTG5" s="2" t="n"/>
      <c r="NTH5" s="2" t="n"/>
      <c r="NTI5" s="2" t="n"/>
      <c r="NTJ5" s="2" t="n"/>
      <c r="NTK5" s="2" t="n"/>
      <c r="NTL5" s="2" t="n"/>
      <c r="NTM5" s="2" t="n"/>
      <c r="NTN5" s="2" t="n"/>
      <c r="NTO5" s="2" t="n"/>
      <c r="NTP5" s="2" t="n"/>
      <c r="NTQ5" s="2" t="n"/>
      <c r="NTR5" s="2" t="n"/>
      <c r="NTS5" s="2" t="n"/>
      <c r="NTT5" s="2" t="n"/>
      <c r="NTU5" s="2" t="n"/>
      <c r="NTV5" s="2" t="n"/>
      <c r="NTW5" s="2" t="n"/>
      <c r="NTX5" s="2" t="n"/>
      <c r="NTY5" s="2" t="n"/>
      <c r="NTZ5" s="2" t="n"/>
      <c r="NUA5" s="2" t="n"/>
      <c r="NUB5" s="2" t="n"/>
      <c r="NUC5" s="2" t="n"/>
      <c r="NUD5" s="2" t="n"/>
      <c r="NUE5" s="2" t="n"/>
      <c r="NUF5" s="2" t="n"/>
      <c r="NUG5" s="2" t="n"/>
      <c r="NUH5" s="2" t="n"/>
      <c r="NUI5" s="2" t="n"/>
      <c r="NUJ5" s="2" t="n"/>
      <c r="NUK5" s="2" t="n"/>
      <c r="NUL5" s="2" t="n"/>
      <c r="NUM5" s="2" t="n"/>
      <c r="NUN5" s="2" t="n"/>
      <c r="NUO5" s="2" t="n"/>
      <c r="NUP5" s="2" t="n"/>
      <c r="NUQ5" s="2" t="n"/>
      <c r="NUR5" s="2" t="n"/>
      <c r="NUS5" s="2" t="n"/>
      <c r="NUT5" s="2" t="n"/>
      <c r="NUU5" s="2" t="n"/>
      <c r="NUV5" s="2" t="n"/>
      <c r="NUW5" s="2" t="n"/>
      <c r="NUX5" s="2" t="n"/>
      <c r="NUY5" s="2" t="n"/>
      <c r="NUZ5" s="2" t="n"/>
      <c r="NVA5" s="2" t="n"/>
      <c r="NVB5" s="2" t="n"/>
      <c r="NVC5" s="2" t="n"/>
      <c r="NVD5" s="2" t="n"/>
      <c r="NVE5" s="2" t="n"/>
      <c r="NVF5" s="2" t="n"/>
      <c r="NVG5" s="2" t="n"/>
      <c r="NVH5" s="2" t="n"/>
      <c r="NVI5" s="2" t="n"/>
      <c r="NVJ5" s="2" t="n"/>
      <c r="NVK5" s="2" t="n"/>
      <c r="NVL5" s="2" t="n"/>
      <c r="NVM5" s="2" t="n"/>
      <c r="NVN5" s="2" t="n"/>
      <c r="NVO5" s="2" t="n"/>
      <c r="NVP5" s="2" t="n"/>
      <c r="NVQ5" s="2" t="n"/>
      <c r="NVR5" s="2" t="n"/>
      <c r="NVS5" s="2" t="n"/>
      <c r="NVT5" s="2" t="n"/>
      <c r="NVU5" s="2" t="n"/>
      <c r="NVV5" s="2" t="n"/>
      <c r="NVW5" s="2" t="n"/>
      <c r="NVX5" s="2" t="n"/>
      <c r="NVY5" s="2" t="n"/>
      <c r="NVZ5" s="2" t="n"/>
      <c r="NWA5" s="2" t="n"/>
      <c r="NWB5" s="2" t="n"/>
      <c r="NWC5" s="2" t="n"/>
      <c r="NWD5" s="2" t="n"/>
      <c r="NWE5" s="2" t="n"/>
      <c r="NWF5" s="2" t="n"/>
      <c r="NWG5" s="2" t="n"/>
      <c r="NWH5" s="2" t="n"/>
      <c r="NWI5" s="2" t="n"/>
      <c r="NWJ5" s="2" t="n"/>
      <c r="NWK5" s="2" t="n"/>
      <c r="NWL5" s="2" t="n"/>
      <c r="NWM5" s="2" t="n"/>
      <c r="NWN5" s="2" t="n"/>
      <c r="NWO5" s="2" t="n"/>
      <c r="NWP5" s="2" t="n"/>
      <c r="NWQ5" s="2" t="n"/>
      <c r="NWR5" s="2" t="n"/>
      <c r="NWS5" s="2" t="n"/>
      <c r="NWT5" s="2" t="n"/>
      <c r="NWU5" s="2" t="n"/>
      <c r="NWV5" s="2" t="n"/>
      <c r="NWW5" s="2" t="n"/>
      <c r="NWX5" s="2" t="n"/>
      <c r="NWY5" s="2" t="n"/>
      <c r="NWZ5" s="2" t="n"/>
      <c r="NXA5" s="2" t="n"/>
      <c r="NXB5" s="2" t="n"/>
      <c r="NXC5" s="2" t="n"/>
      <c r="NXD5" s="2" t="n"/>
      <c r="NXE5" s="2" t="n"/>
      <c r="NXF5" s="2" t="n"/>
      <c r="NXG5" s="2" t="n"/>
      <c r="NXH5" s="2" t="n"/>
      <c r="NXI5" s="2" t="n"/>
      <c r="NXJ5" s="2" t="n"/>
      <c r="NXK5" s="2" t="n"/>
      <c r="NXL5" s="2" t="n"/>
      <c r="NXM5" s="2" t="n"/>
      <c r="NXN5" s="2" t="n"/>
      <c r="NXO5" s="2" t="n"/>
      <c r="NXP5" s="2" t="n"/>
      <c r="NXQ5" s="2" t="n"/>
      <c r="NXR5" s="2" t="n"/>
      <c r="NXS5" s="2" t="n"/>
      <c r="NXT5" s="2" t="n"/>
      <c r="NXU5" s="2" t="n"/>
      <c r="NXV5" s="2" t="n"/>
      <c r="NXW5" s="2" t="n"/>
      <c r="NXX5" s="2" t="n"/>
      <c r="NXY5" s="2" t="n"/>
      <c r="NXZ5" s="2" t="n"/>
      <c r="NYA5" s="2" t="n"/>
      <c r="NYB5" s="2" t="n"/>
      <c r="NYC5" s="2" t="n"/>
      <c r="NYD5" s="2" t="n"/>
      <c r="NYE5" s="2" t="n"/>
      <c r="NYF5" s="2" t="n"/>
      <c r="NYG5" s="2" t="n"/>
      <c r="NYH5" s="2" t="n"/>
      <c r="NYI5" s="2" t="n"/>
      <c r="NYJ5" s="2" t="n"/>
      <c r="NYK5" s="2" t="n"/>
      <c r="NYL5" s="2" t="n"/>
      <c r="NYM5" s="2" t="n"/>
      <c r="NYN5" s="2" t="n"/>
      <c r="NYO5" s="2" t="n"/>
      <c r="NYP5" s="2" t="n"/>
      <c r="NYQ5" s="2" t="n"/>
      <c r="NYR5" s="2" t="n"/>
      <c r="NYS5" s="2" t="n"/>
      <c r="NYT5" s="2" t="n"/>
      <c r="NYU5" s="2" t="n"/>
      <c r="NYV5" s="2" t="n"/>
      <c r="NYW5" s="2" t="n"/>
      <c r="NYX5" s="2" t="n"/>
      <c r="NYY5" s="2" t="n"/>
      <c r="NYZ5" s="2" t="n"/>
      <c r="NZA5" s="2" t="n"/>
      <c r="NZB5" s="2" t="n"/>
      <c r="NZC5" s="2" t="n"/>
      <c r="NZD5" s="2" t="n"/>
      <c r="NZE5" s="2" t="n"/>
      <c r="NZF5" s="2" t="n"/>
      <c r="NZG5" s="2" t="n"/>
      <c r="NZH5" s="2" t="n"/>
      <c r="NZI5" s="2" t="n"/>
      <c r="NZJ5" s="2" t="n"/>
      <c r="NZK5" s="2" t="n"/>
      <c r="NZL5" s="2" t="n"/>
      <c r="NZM5" s="2" t="n"/>
      <c r="NZN5" s="2" t="n"/>
      <c r="NZO5" s="2" t="n"/>
      <c r="NZP5" s="2" t="n"/>
      <c r="NZQ5" s="2" t="n"/>
      <c r="NZR5" s="2" t="n"/>
      <c r="NZS5" s="2" t="n"/>
      <c r="NZT5" s="2" t="n"/>
      <c r="NZU5" s="2" t="n"/>
      <c r="NZV5" s="2" t="n"/>
      <c r="NZW5" s="2" t="n"/>
      <c r="NZX5" s="2" t="n"/>
      <c r="NZY5" s="2" t="n"/>
      <c r="NZZ5" s="2" t="n"/>
      <c r="OAA5" s="2" t="n"/>
      <c r="OAB5" s="2" t="n"/>
      <c r="OAC5" s="2" t="n"/>
      <c r="OAD5" s="2" t="n"/>
      <c r="OAE5" s="2" t="n"/>
      <c r="OAF5" s="2" t="n"/>
      <c r="OAG5" s="2" t="n"/>
      <c r="OAH5" s="2" t="n"/>
      <c r="OAI5" s="2" t="n"/>
      <c r="OAJ5" s="2" t="n"/>
      <c r="OAK5" s="2" t="n"/>
      <c r="OAL5" s="2" t="n"/>
      <c r="OAM5" s="2" t="n"/>
      <c r="OAN5" s="2" t="n"/>
      <c r="OAO5" s="2" t="n"/>
      <c r="OAP5" s="2" t="n"/>
      <c r="OAQ5" s="2" t="n"/>
      <c r="OAR5" s="2" t="n"/>
      <c r="OAS5" s="2" t="n"/>
      <c r="OAT5" s="2" t="n"/>
      <c r="OAU5" s="2" t="n"/>
      <c r="OAV5" s="2" t="n"/>
      <c r="OAW5" s="2" t="n"/>
      <c r="OAX5" s="2" t="n"/>
      <c r="OAY5" s="2" t="n"/>
      <c r="OAZ5" s="2" t="n"/>
      <c r="OBA5" s="2" t="n"/>
      <c r="OBB5" s="2" t="n"/>
      <c r="OBC5" s="2" t="n"/>
      <c r="OBD5" s="2" t="n"/>
      <c r="OBE5" s="2" t="n"/>
      <c r="OBF5" s="2" t="n"/>
      <c r="OBG5" s="2" t="n"/>
      <c r="OBH5" s="2" t="n"/>
      <c r="OBI5" s="2" t="n"/>
      <c r="OBJ5" s="2" t="n"/>
      <c r="OBK5" s="2" t="n"/>
      <c r="OBL5" s="2" t="n"/>
      <c r="OBM5" s="2" t="n"/>
      <c r="OBN5" s="2" t="n"/>
      <c r="OBO5" s="2" t="n"/>
      <c r="OBP5" s="2" t="n"/>
      <c r="OBQ5" s="2" t="n"/>
      <c r="OBR5" s="2" t="n"/>
      <c r="OBS5" s="2" t="n"/>
      <c r="OBT5" s="2" t="n"/>
      <c r="OBU5" s="2" t="n"/>
      <c r="OBV5" s="2" t="n"/>
      <c r="OBW5" s="2" t="n"/>
      <c r="OBX5" s="2" t="n"/>
      <c r="OBY5" s="2" t="n"/>
      <c r="OBZ5" s="2" t="n"/>
      <c r="OCA5" s="2" t="n"/>
      <c r="OCB5" s="2" t="n"/>
      <c r="OCC5" s="2" t="n"/>
      <c r="OCD5" s="2" t="n"/>
      <c r="OCE5" s="2" t="n"/>
      <c r="OCF5" s="2" t="n"/>
      <c r="OCG5" s="2" t="n"/>
      <c r="OCH5" s="2" t="n"/>
      <c r="OCI5" s="2" t="n"/>
      <c r="OCJ5" s="2" t="n"/>
      <c r="OCK5" s="2" t="n"/>
      <c r="OCL5" s="2" t="n"/>
      <c r="OCM5" s="2" t="n"/>
      <c r="OCN5" s="2" t="n"/>
      <c r="OCO5" s="2" t="n"/>
      <c r="OCP5" s="2" t="n"/>
      <c r="OCQ5" s="2" t="n"/>
      <c r="OCR5" s="2" t="n"/>
      <c r="OCS5" s="2" t="n"/>
      <c r="OCT5" s="2" t="n"/>
      <c r="OCU5" s="2" t="n"/>
      <c r="OCV5" s="2" t="n"/>
      <c r="OCW5" s="2" t="n"/>
      <c r="OCX5" s="2" t="n"/>
      <c r="OCY5" s="2" t="n"/>
      <c r="OCZ5" s="2" t="n"/>
      <c r="ODA5" s="2" t="n"/>
      <c r="ODB5" s="2" t="n"/>
      <c r="ODC5" s="2" t="n"/>
      <c r="ODD5" s="2" t="n"/>
      <c r="ODE5" s="2" t="n"/>
      <c r="ODF5" s="2" t="n"/>
      <c r="ODG5" s="2" t="n"/>
      <c r="ODH5" s="2" t="n"/>
      <c r="ODI5" s="2" t="n"/>
      <c r="ODJ5" s="2" t="n"/>
      <c r="ODK5" s="2" t="n"/>
      <c r="ODL5" s="2" t="n"/>
      <c r="ODM5" s="2" t="n"/>
      <c r="ODN5" s="2" t="n"/>
      <c r="ODO5" s="2" t="n"/>
      <c r="ODP5" s="2" t="n"/>
      <c r="ODQ5" s="2" t="n"/>
      <c r="ODR5" s="2" t="n"/>
      <c r="ODS5" s="2" t="n"/>
      <c r="ODT5" s="2" t="n"/>
      <c r="ODU5" s="2" t="n"/>
      <c r="ODV5" s="2" t="n"/>
      <c r="ODW5" s="2" t="n"/>
      <c r="ODX5" s="2" t="n"/>
      <c r="ODY5" s="2" t="n"/>
      <c r="ODZ5" s="2" t="n"/>
      <c r="OEA5" s="2" t="n"/>
      <c r="OEB5" s="2" t="n"/>
      <c r="OEC5" s="2" t="n"/>
      <c r="OED5" s="2" t="n"/>
      <c r="OEE5" s="2" t="n"/>
      <c r="OEF5" s="2" t="n"/>
      <c r="OEG5" s="2" t="n"/>
      <c r="OEH5" s="2" t="n"/>
      <c r="OEI5" s="2" t="n"/>
      <c r="OEJ5" s="2" t="n"/>
      <c r="OEK5" s="2" t="n"/>
      <c r="OEL5" s="2" t="n"/>
      <c r="OEM5" s="2" t="n"/>
      <c r="OEN5" s="2" t="n"/>
      <c r="OEO5" s="2" t="n"/>
      <c r="OEP5" s="2" t="n"/>
      <c r="OEQ5" s="2" t="n"/>
      <c r="OER5" s="2" t="n"/>
      <c r="OES5" s="2" t="n"/>
      <c r="OET5" s="2" t="n"/>
      <c r="OEU5" s="2" t="n"/>
      <c r="OEV5" s="2" t="n"/>
      <c r="OEW5" s="2" t="n"/>
      <c r="OEX5" s="2" t="n"/>
      <c r="OEY5" s="2" t="n"/>
      <c r="OEZ5" s="2" t="n"/>
      <c r="OFA5" s="2" t="n"/>
      <c r="OFB5" s="2" t="n"/>
      <c r="OFC5" s="2" t="n"/>
      <c r="OFD5" s="2" t="n"/>
      <c r="OFE5" s="2" t="n"/>
      <c r="OFF5" s="2" t="n"/>
      <c r="OFG5" s="2" t="n"/>
      <c r="OFH5" s="2" t="n"/>
      <c r="OFI5" s="2" t="n"/>
      <c r="OFJ5" s="2" t="n"/>
      <c r="OFK5" s="2" t="n"/>
      <c r="OFL5" s="2" t="n"/>
      <c r="OFM5" s="2" t="n"/>
      <c r="OFN5" s="2" t="n"/>
      <c r="OFO5" s="2" t="n"/>
      <c r="OFP5" s="2" t="n"/>
      <c r="OFQ5" s="2" t="n"/>
      <c r="OFR5" s="2" t="n"/>
      <c r="OFS5" s="2" t="n"/>
      <c r="OFT5" s="2" t="n"/>
      <c r="OFU5" s="2" t="n"/>
      <c r="OFV5" s="2" t="n"/>
      <c r="OFW5" s="2" t="n"/>
      <c r="OFX5" s="2" t="n"/>
      <c r="OFY5" s="2" t="n"/>
      <c r="OFZ5" s="2" t="n"/>
      <c r="OGA5" s="2" t="n"/>
      <c r="OGB5" s="2" t="n"/>
      <c r="OGC5" s="2" t="n"/>
      <c r="OGD5" s="2" t="n"/>
      <c r="OGE5" s="2" t="n"/>
      <c r="OGF5" s="2" t="n"/>
      <c r="OGG5" s="2" t="n"/>
      <c r="OGH5" s="2" t="n"/>
      <c r="OGI5" s="2" t="n"/>
      <c r="OGJ5" s="2" t="n"/>
      <c r="OGK5" s="2" t="n"/>
      <c r="OGL5" s="2" t="n"/>
      <c r="OGM5" s="2" t="n"/>
      <c r="OGN5" s="2" t="n"/>
      <c r="OGO5" s="2" t="n"/>
      <c r="OGP5" s="2" t="n"/>
      <c r="OGQ5" s="2" t="n"/>
      <c r="OGR5" s="2" t="n"/>
      <c r="OGS5" s="2" t="n"/>
      <c r="OGT5" s="2" t="n"/>
      <c r="OGU5" s="2" t="n"/>
      <c r="OGV5" s="2" t="n"/>
      <c r="OGW5" s="2" t="n"/>
      <c r="OGX5" s="2" t="n"/>
      <c r="OGY5" s="2" t="n"/>
      <c r="OGZ5" s="2" t="n"/>
      <c r="OHA5" s="2" t="n"/>
      <c r="OHB5" s="2" t="n"/>
      <c r="OHC5" s="2" t="n"/>
      <c r="OHD5" s="2" t="n"/>
      <c r="OHE5" s="2" t="n"/>
      <c r="OHF5" s="2" t="n"/>
      <c r="OHG5" s="2" t="n"/>
      <c r="OHH5" s="2" t="n"/>
      <c r="OHI5" s="2" t="n"/>
      <c r="OHJ5" s="2" t="n"/>
      <c r="OHK5" s="2" t="n"/>
      <c r="OHL5" s="2" t="n"/>
      <c r="OHM5" s="2" t="n"/>
      <c r="OHN5" s="2" t="n"/>
      <c r="OHO5" s="2" t="n"/>
      <c r="OHP5" s="2" t="n"/>
      <c r="OHQ5" s="2" t="n"/>
      <c r="OHR5" s="2" t="n"/>
      <c r="OHS5" s="2" t="n"/>
      <c r="OHT5" s="2" t="n"/>
      <c r="OHU5" s="2" t="n"/>
      <c r="OHV5" s="2" t="n"/>
      <c r="OHW5" s="2" t="n"/>
      <c r="OHX5" s="2" t="n"/>
      <c r="OHY5" s="2" t="n"/>
      <c r="OHZ5" s="2" t="n"/>
      <c r="OIA5" s="2" t="n"/>
      <c r="OIB5" s="2" t="n"/>
      <c r="OIC5" s="2" t="n"/>
      <c r="OID5" s="2" t="n"/>
      <c r="OIE5" s="2" t="n"/>
      <c r="OIF5" s="2" t="n"/>
      <c r="OIG5" s="2" t="n"/>
      <c r="OIH5" s="2" t="n"/>
      <c r="OII5" s="2" t="n"/>
      <c r="OIJ5" s="2" t="n"/>
      <c r="OIK5" s="2" t="n"/>
      <c r="OIL5" s="2" t="n"/>
      <c r="OIM5" s="2" t="n"/>
      <c r="OIN5" s="2" t="n"/>
      <c r="OIO5" s="2" t="n"/>
      <c r="OIP5" s="2" t="n"/>
      <c r="OIQ5" s="2" t="n"/>
      <c r="OIR5" s="2" t="n"/>
      <c r="OIS5" s="2" t="n"/>
      <c r="OIT5" s="2" t="n"/>
      <c r="OIU5" s="2" t="n"/>
      <c r="OIV5" s="2" t="n"/>
      <c r="OIW5" s="2" t="n"/>
      <c r="OIX5" s="2" t="n"/>
      <c r="OIY5" s="2" t="n"/>
      <c r="OIZ5" s="2" t="n"/>
      <c r="OJA5" s="2" t="n"/>
      <c r="OJB5" s="2" t="n"/>
      <c r="OJC5" s="2" t="n"/>
      <c r="OJD5" s="2" t="n"/>
      <c r="OJE5" s="2" t="n"/>
      <c r="OJF5" s="2" t="n"/>
      <c r="OJG5" s="2" t="n"/>
      <c r="OJH5" s="2" t="n"/>
      <c r="OJI5" s="2" t="n"/>
      <c r="OJJ5" s="2" t="n"/>
      <c r="OJK5" s="2" t="n"/>
      <c r="OJL5" s="2" t="n"/>
      <c r="OJM5" s="2" t="n"/>
      <c r="OJN5" s="2" t="n"/>
      <c r="OJO5" s="2" t="n"/>
      <c r="OJP5" s="2" t="n"/>
      <c r="OJQ5" s="2" t="n"/>
      <c r="OJR5" s="2" t="n"/>
      <c r="OJS5" s="2" t="n"/>
      <c r="OJT5" s="2" t="n"/>
      <c r="OJU5" s="2" t="n"/>
      <c r="OJV5" s="2" t="n"/>
      <c r="OJW5" s="2" t="n"/>
      <c r="OJX5" s="2" t="n"/>
      <c r="OJY5" s="2" t="n"/>
      <c r="OJZ5" s="2" t="n"/>
      <c r="OKA5" s="2" t="n"/>
      <c r="OKB5" s="2" t="n"/>
      <c r="OKC5" s="2" t="n"/>
      <c r="OKD5" s="2" t="n"/>
      <c r="OKE5" s="2" t="n"/>
      <c r="OKF5" s="2" t="n"/>
      <c r="OKG5" s="2" t="n"/>
      <c r="OKH5" s="2" t="n"/>
      <c r="OKI5" s="2" t="n"/>
      <c r="OKJ5" s="2" t="n"/>
      <c r="OKK5" s="2" t="n"/>
      <c r="OKL5" s="2" t="n"/>
      <c r="OKM5" s="2" t="n"/>
      <c r="OKN5" s="2" t="n"/>
      <c r="OKO5" s="2" t="n"/>
      <c r="OKP5" s="2" t="n"/>
      <c r="OKQ5" s="2" t="n"/>
      <c r="OKR5" s="2" t="n"/>
      <c r="OKS5" s="2" t="n"/>
      <c r="OKT5" s="2" t="n"/>
      <c r="OKU5" s="2" t="n"/>
      <c r="OKV5" s="2" t="n"/>
      <c r="OKW5" s="2" t="n"/>
      <c r="OKX5" s="2" t="n"/>
      <c r="OKY5" s="2" t="n"/>
      <c r="OKZ5" s="2" t="n"/>
      <c r="OLA5" s="2" t="n"/>
      <c r="OLB5" s="2" t="n"/>
      <c r="OLC5" s="2" t="n"/>
      <c r="OLD5" s="2" t="n"/>
      <c r="OLE5" s="2" t="n"/>
      <c r="OLF5" s="2" t="n"/>
      <c r="OLG5" s="2" t="n"/>
      <c r="OLH5" s="2" t="n"/>
      <c r="OLI5" s="2" t="n"/>
      <c r="OLJ5" s="2" t="n"/>
      <c r="OLK5" s="2" t="n"/>
      <c r="OLL5" s="2" t="n"/>
      <c r="OLM5" s="2" t="n"/>
      <c r="OLN5" s="2" t="n"/>
      <c r="OLO5" s="2" t="n"/>
      <c r="OLP5" s="2" t="n"/>
      <c r="OLQ5" s="2" t="n"/>
      <c r="OLR5" s="2" t="n"/>
      <c r="OLS5" s="2" t="n"/>
      <c r="OLT5" s="2" t="n"/>
      <c r="OLU5" s="2" t="n"/>
      <c r="OLV5" s="2" t="n"/>
      <c r="OLW5" s="2" t="n"/>
      <c r="OLX5" s="2" t="n"/>
      <c r="OLY5" s="2" t="n"/>
      <c r="OLZ5" s="2" t="n"/>
      <c r="OMA5" s="2" t="n"/>
      <c r="OMB5" s="2" t="n"/>
      <c r="OMC5" s="2" t="n"/>
      <c r="OMD5" s="2" t="n"/>
      <c r="OME5" s="2" t="n"/>
      <c r="OMF5" s="2" t="n"/>
      <c r="OMG5" s="2" t="n"/>
      <c r="OMH5" s="2" t="n"/>
      <c r="OMI5" s="2" t="n"/>
      <c r="OMJ5" s="2" t="n"/>
      <c r="OMK5" s="2" t="n"/>
      <c r="OML5" s="2" t="n"/>
      <c r="OMM5" s="2" t="n"/>
      <c r="OMN5" s="2" t="n"/>
      <c r="OMO5" s="2" t="n"/>
      <c r="OMP5" s="2" t="n"/>
      <c r="OMQ5" s="2" t="n"/>
      <c r="OMR5" s="2" t="n"/>
      <c r="OMS5" s="2" t="n"/>
      <c r="OMT5" s="2" t="n"/>
      <c r="OMU5" s="2" t="n"/>
      <c r="OMV5" s="2" t="n"/>
      <c r="OMW5" s="2" t="n"/>
      <c r="OMX5" s="2" t="n"/>
      <c r="OMY5" s="2" t="n"/>
      <c r="OMZ5" s="2" t="n"/>
      <c r="ONA5" s="2" t="n"/>
      <c r="ONB5" s="2" t="n"/>
      <c r="ONC5" s="2" t="n"/>
      <c r="OND5" s="2" t="n"/>
      <c r="ONE5" s="2" t="n"/>
      <c r="ONF5" s="2" t="n"/>
      <c r="ONG5" s="2" t="n"/>
      <c r="ONH5" s="2" t="n"/>
      <c r="ONI5" s="2" t="n"/>
      <c r="ONJ5" s="2" t="n"/>
      <c r="ONK5" s="2" t="n"/>
      <c r="ONL5" s="2" t="n"/>
      <c r="ONM5" s="2" t="n"/>
      <c r="ONN5" s="2" t="n"/>
      <c r="ONO5" s="2" t="n"/>
      <c r="ONP5" s="2" t="n"/>
      <c r="ONQ5" s="2" t="n"/>
      <c r="ONR5" s="2" t="n"/>
      <c r="ONS5" s="2" t="n"/>
      <c r="ONT5" s="2" t="n"/>
      <c r="ONU5" s="2" t="n"/>
      <c r="ONV5" s="2" t="n"/>
      <c r="ONW5" s="2" t="n"/>
      <c r="ONX5" s="2" t="n"/>
      <c r="ONY5" s="2" t="n"/>
      <c r="ONZ5" s="2" t="n"/>
      <c r="OOA5" s="2" t="n"/>
      <c r="OOB5" s="2" t="n"/>
      <c r="OOC5" s="2" t="n"/>
      <c r="OOD5" s="2" t="n"/>
      <c r="OOE5" s="2" t="n"/>
      <c r="OOF5" s="2" t="n"/>
      <c r="OOG5" s="2" t="n"/>
      <c r="OOH5" s="2" t="n"/>
      <c r="OOI5" s="2" t="n"/>
      <c r="OOJ5" s="2" t="n"/>
      <c r="OOK5" s="2" t="n"/>
      <c r="OOL5" s="2" t="n"/>
      <c r="OOM5" s="2" t="n"/>
      <c r="OON5" s="2" t="n"/>
      <c r="OOO5" s="2" t="n"/>
      <c r="OOP5" s="2" t="n"/>
      <c r="OOQ5" s="2" t="n"/>
      <c r="OOR5" s="2" t="n"/>
      <c r="OOS5" s="2" t="n"/>
      <c r="OOT5" s="2" t="n"/>
      <c r="OOU5" s="2" t="n"/>
      <c r="OOV5" s="2" t="n"/>
      <c r="OOW5" s="2" t="n"/>
      <c r="OOX5" s="2" t="n"/>
      <c r="OOY5" s="2" t="n"/>
      <c r="OOZ5" s="2" t="n"/>
      <c r="OPA5" s="2" t="n"/>
      <c r="OPB5" s="2" t="n"/>
      <c r="OPC5" s="2" t="n"/>
      <c r="OPD5" s="2" t="n"/>
      <c r="OPE5" s="2" t="n"/>
      <c r="OPF5" s="2" t="n"/>
      <c r="OPG5" s="2" t="n"/>
      <c r="OPH5" s="2" t="n"/>
      <c r="OPI5" s="2" t="n"/>
      <c r="OPJ5" s="2" t="n"/>
      <c r="OPK5" s="2" t="n"/>
      <c r="OPL5" s="2" t="n"/>
      <c r="OPM5" s="2" t="n"/>
      <c r="OPN5" s="2" t="n"/>
      <c r="OPO5" s="2" t="n"/>
      <c r="OPP5" s="2" t="n"/>
      <c r="OPQ5" s="2" t="n"/>
      <c r="OPR5" s="2" t="n"/>
      <c r="OPS5" s="2" t="n"/>
      <c r="OPT5" s="2" t="n"/>
      <c r="OPU5" s="2" t="n"/>
      <c r="OPV5" s="2" t="n"/>
      <c r="OPW5" s="2" t="n"/>
      <c r="OPX5" s="2" t="n"/>
      <c r="OPY5" s="2" t="n"/>
      <c r="OPZ5" s="2" t="n"/>
      <c r="OQA5" s="2" t="n"/>
      <c r="OQB5" s="2" t="n"/>
      <c r="OQC5" s="2" t="n"/>
      <c r="OQD5" s="2" t="n"/>
      <c r="OQE5" s="2" t="n"/>
      <c r="OQF5" s="2" t="n"/>
      <c r="OQG5" s="2" t="n"/>
      <c r="OQH5" s="2" t="n"/>
      <c r="OQI5" s="2" t="n"/>
      <c r="OQJ5" s="2" t="n"/>
      <c r="OQK5" s="2" t="n"/>
      <c r="OQL5" s="2" t="n"/>
      <c r="OQM5" s="2" t="n"/>
      <c r="OQN5" s="2" t="n"/>
      <c r="OQO5" s="2" t="n"/>
      <c r="OQP5" s="2" t="n"/>
      <c r="OQQ5" s="2" t="n"/>
      <c r="OQR5" s="2" t="n"/>
      <c r="OQS5" s="2" t="n"/>
      <c r="OQT5" s="2" t="n"/>
      <c r="OQU5" s="2" t="n"/>
      <c r="OQV5" s="2" t="n"/>
      <c r="OQW5" s="2" t="n"/>
      <c r="OQX5" s="2" t="n"/>
      <c r="OQY5" s="2" t="n"/>
      <c r="OQZ5" s="2" t="n"/>
      <c r="ORA5" s="2" t="n"/>
      <c r="ORB5" s="2" t="n"/>
      <c r="ORC5" s="2" t="n"/>
      <c r="ORD5" s="2" t="n"/>
      <c r="ORE5" s="2" t="n"/>
      <c r="ORF5" s="2" t="n"/>
      <c r="ORG5" s="2" t="n"/>
      <c r="ORH5" s="2" t="n"/>
      <c r="ORI5" s="2" t="n"/>
      <c r="ORJ5" s="2" t="n"/>
      <c r="ORK5" s="2" t="n"/>
      <c r="ORL5" s="2" t="n"/>
      <c r="ORM5" s="2" t="n"/>
      <c r="ORN5" s="2" t="n"/>
      <c r="ORO5" s="2" t="n"/>
      <c r="ORP5" s="2" t="n"/>
      <c r="ORQ5" s="2" t="n"/>
      <c r="ORR5" s="2" t="n"/>
      <c r="ORS5" s="2" t="n"/>
      <c r="ORT5" s="2" t="n"/>
      <c r="ORU5" s="2" t="n"/>
      <c r="ORV5" s="2" t="n"/>
      <c r="ORW5" s="2" t="n"/>
      <c r="ORX5" s="2" t="n"/>
      <c r="ORY5" s="2" t="n"/>
      <c r="ORZ5" s="2" t="n"/>
      <c r="OSA5" s="2" t="n"/>
      <c r="OSB5" s="2" t="n"/>
      <c r="OSC5" s="2" t="n"/>
      <c r="OSD5" s="2" t="n"/>
      <c r="OSE5" s="2" t="n"/>
      <c r="OSF5" s="2" t="n"/>
      <c r="OSG5" s="2" t="n"/>
      <c r="OSH5" s="2" t="n"/>
      <c r="OSI5" s="2" t="n"/>
      <c r="OSJ5" s="2" t="n"/>
      <c r="OSK5" s="2" t="n"/>
      <c r="OSL5" s="2" t="n"/>
      <c r="OSM5" s="2" t="n"/>
      <c r="OSN5" s="2" t="n"/>
      <c r="OSO5" s="2" t="n"/>
      <c r="OSP5" s="2" t="n"/>
      <c r="OSQ5" s="2" t="n"/>
      <c r="OSR5" s="2" t="n"/>
      <c r="OSS5" s="2" t="n"/>
      <c r="OST5" s="2" t="n"/>
      <c r="OSU5" s="2" t="n"/>
      <c r="OSV5" s="2" t="n"/>
      <c r="OSW5" s="2" t="n"/>
      <c r="OSX5" s="2" t="n"/>
      <c r="OSY5" s="2" t="n"/>
      <c r="OSZ5" s="2" t="n"/>
      <c r="OTA5" s="2" t="n"/>
      <c r="OTB5" s="2" t="n"/>
      <c r="OTC5" s="2" t="n"/>
      <c r="OTD5" s="2" t="n"/>
      <c r="OTE5" s="2" t="n"/>
      <c r="OTF5" s="2" t="n"/>
      <c r="OTG5" s="2" t="n"/>
      <c r="OTH5" s="2" t="n"/>
      <c r="OTI5" s="2" t="n"/>
      <c r="OTJ5" s="2" t="n"/>
      <c r="OTK5" s="2" t="n"/>
      <c r="OTL5" s="2" t="n"/>
      <c r="OTM5" s="2" t="n"/>
      <c r="OTN5" s="2" t="n"/>
      <c r="OTO5" s="2" t="n"/>
      <c r="OTP5" s="2" t="n"/>
      <c r="OTQ5" s="2" t="n"/>
      <c r="OTR5" s="2" t="n"/>
      <c r="OTS5" s="2" t="n"/>
      <c r="OTT5" s="2" t="n"/>
      <c r="OTU5" s="2" t="n"/>
      <c r="OTV5" s="2" t="n"/>
      <c r="OTW5" s="2" t="n"/>
      <c r="OTX5" s="2" t="n"/>
      <c r="OTY5" s="2" t="n"/>
      <c r="OTZ5" s="2" t="n"/>
      <c r="OUA5" s="2" t="n"/>
      <c r="OUB5" s="2" t="n"/>
      <c r="OUC5" s="2" t="n"/>
      <c r="OUD5" s="2" t="n"/>
      <c r="OUE5" s="2" t="n"/>
      <c r="OUF5" s="2" t="n"/>
      <c r="OUG5" s="2" t="n"/>
      <c r="OUH5" s="2" t="n"/>
      <c r="OUI5" s="2" t="n"/>
      <c r="OUJ5" s="2" t="n"/>
      <c r="OUK5" s="2" t="n"/>
      <c r="OUL5" s="2" t="n"/>
      <c r="OUM5" s="2" t="n"/>
      <c r="OUN5" s="2" t="n"/>
      <c r="OUO5" s="2" t="n"/>
      <c r="OUP5" s="2" t="n"/>
      <c r="OUQ5" s="2" t="n"/>
      <c r="OUR5" s="2" t="n"/>
      <c r="OUS5" s="2" t="n"/>
      <c r="OUT5" s="2" t="n"/>
      <c r="OUU5" s="2" t="n"/>
      <c r="OUV5" s="2" t="n"/>
      <c r="OUW5" s="2" t="n"/>
      <c r="OUX5" s="2" t="n"/>
      <c r="OUY5" s="2" t="n"/>
      <c r="OUZ5" s="2" t="n"/>
      <c r="OVA5" s="2" t="n"/>
      <c r="OVB5" s="2" t="n"/>
      <c r="OVC5" s="2" t="n"/>
      <c r="OVD5" s="2" t="n"/>
      <c r="OVE5" s="2" t="n"/>
      <c r="OVF5" s="2" t="n"/>
      <c r="OVG5" s="2" t="n"/>
      <c r="OVH5" s="2" t="n"/>
      <c r="OVI5" s="2" t="n"/>
      <c r="OVJ5" s="2" t="n"/>
      <c r="OVK5" s="2" t="n"/>
      <c r="OVL5" s="2" t="n"/>
      <c r="OVM5" s="2" t="n"/>
      <c r="OVN5" s="2" t="n"/>
      <c r="OVO5" s="2" t="n"/>
      <c r="OVP5" s="2" t="n"/>
      <c r="OVQ5" s="2" t="n"/>
      <c r="OVR5" s="2" t="n"/>
      <c r="OVS5" s="2" t="n"/>
      <c r="OVT5" s="2" t="n"/>
      <c r="OVU5" s="2" t="n"/>
      <c r="OVV5" s="2" t="n"/>
      <c r="OVW5" s="2" t="n"/>
      <c r="OVX5" s="2" t="n"/>
      <c r="OVY5" s="2" t="n"/>
      <c r="OVZ5" s="2" t="n"/>
      <c r="OWA5" s="2" t="n"/>
      <c r="OWB5" s="2" t="n"/>
      <c r="OWC5" s="2" t="n"/>
      <c r="OWD5" s="2" t="n"/>
      <c r="OWE5" s="2" t="n"/>
      <c r="OWF5" s="2" t="n"/>
      <c r="OWG5" s="2" t="n"/>
      <c r="OWH5" s="2" t="n"/>
      <c r="OWI5" s="2" t="n"/>
      <c r="OWJ5" s="2" t="n"/>
      <c r="OWK5" s="2" t="n"/>
      <c r="OWL5" s="2" t="n"/>
      <c r="OWM5" s="2" t="n"/>
      <c r="OWN5" s="2" t="n"/>
      <c r="OWO5" s="2" t="n"/>
      <c r="OWP5" s="2" t="n"/>
      <c r="OWQ5" s="2" t="n"/>
      <c r="OWR5" s="2" t="n"/>
      <c r="OWS5" s="2" t="n"/>
      <c r="OWT5" s="2" t="n"/>
      <c r="OWU5" s="2" t="n"/>
      <c r="OWV5" s="2" t="n"/>
      <c r="OWW5" s="2" t="n"/>
      <c r="OWX5" s="2" t="n"/>
      <c r="OWY5" s="2" t="n"/>
      <c r="OWZ5" s="2" t="n"/>
      <c r="OXA5" s="2" t="n"/>
      <c r="OXB5" s="2" t="n"/>
      <c r="OXC5" s="2" t="n"/>
      <c r="OXD5" s="2" t="n"/>
      <c r="OXE5" s="2" t="n"/>
      <c r="OXF5" s="2" t="n"/>
      <c r="OXG5" s="2" t="n"/>
      <c r="OXH5" s="2" t="n"/>
      <c r="OXI5" s="2" t="n"/>
      <c r="OXJ5" s="2" t="n"/>
      <c r="OXK5" s="2" t="n"/>
      <c r="OXL5" s="2" t="n"/>
      <c r="OXM5" s="2" t="n"/>
      <c r="OXN5" s="2" t="n"/>
      <c r="OXO5" s="2" t="n"/>
      <c r="OXP5" s="2" t="n"/>
      <c r="OXQ5" s="2" t="n"/>
      <c r="OXR5" s="2" t="n"/>
      <c r="OXS5" s="2" t="n"/>
      <c r="OXT5" s="2" t="n"/>
      <c r="OXU5" s="2" t="n"/>
      <c r="OXV5" s="2" t="n"/>
      <c r="OXW5" s="2" t="n"/>
      <c r="OXX5" s="2" t="n"/>
      <c r="OXY5" s="2" t="n"/>
      <c r="OXZ5" s="2" t="n"/>
      <c r="OYA5" s="2" t="n"/>
      <c r="OYB5" s="2" t="n"/>
      <c r="OYC5" s="2" t="n"/>
      <c r="OYD5" s="2" t="n"/>
      <c r="OYE5" s="2" t="n"/>
      <c r="OYF5" s="2" t="n"/>
      <c r="OYG5" s="2" t="n"/>
      <c r="OYH5" s="2" t="n"/>
      <c r="OYI5" s="2" t="n"/>
      <c r="OYJ5" s="2" t="n"/>
      <c r="OYK5" s="2" t="n"/>
      <c r="OYL5" s="2" t="n"/>
      <c r="OYM5" s="2" t="n"/>
      <c r="OYN5" s="2" t="n"/>
      <c r="OYO5" s="2" t="n"/>
      <c r="OYP5" s="2" t="n"/>
      <c r="OYQ5" s="2" t="n"/>
      <c r="OYR5" s="2" t="n"/>
      <c r="OYS5" s="2" t="n"/>
      <c r="OYT5" s="2" t="n"/>
      <c r="OYU5" s="2" t="n"/>
      <c r="OYV5" s="2" t="n"/>
      <c r="OYW5" s="2" t="n"/>
      <c r="OYX5" s="2" t="n"/>
      <c r="OYY5" s="2" t="n"/>
      <c r="OYZ5" s="2" t="n"/>
      <c r="OZA5" s="2" t="n"/>
      <c r="OZB5" s="2" t="n"/>
      <c r="OZC5" s="2" t="n"/>
      <c r="OZD5" s="2" t="n"/>
      <c r="OZE5" s="2" t="n"/>
      <c r="OZF5" s="2" t="n"/>
      <c r="OZG5" s="2" t="n"/>
      <c r="OZH5" s="2" t="n"/>
      <c r="OZI5" s="2" t="n"/>
      <c r="OZJ5" s="2" t="n"/>
      <c r="OZK5" s="2" t="n"/>
      <c r="OZL5" s="2" t="n"/>
      <c r="OZM5" s="2" t="n"/>
      <c r="OZN5" s="2" t="n"/>
      <c r="OZO5" s="2" t="n"/>
      <c r="OZP5" s="2" t="n"/>
      <c r="OZQ5" s="2" t="n"/>
      <c r="OZR5" s="2" t="n"/>
      <c r="OZS5" s="2" t="n"/>
      <c r="OZT5" s="2" t="n"/>
      <c r="OZU5" s="2" t="n"/>
      <c r="OZV5" s="2" t="n"/>
      <c r="OZW5" s="2" t="n"/>
      <c r="OZX5" s="2" t="n"/>
      <c r="OZY5" s="2" t="n"/>
      <c r="OZZ5" s="2" t="n"/>
      <c r="PAA5" s="2" t="n"/>
      <c r="PAB5" s="2" t="n"/>
      <c r="PAC5" s="2" t="n"/>
      <c r="PAD5" s="2" t="n"/>
      <c r="PAE5" s="2" t="n"/>
      <c r="PAF5" s="2" t="n"/>
      <c r="PAG5" s="2" t="n"/>
      <c r="PAH5" s="2" t="n"/>
      <c r="PAI5" s="2" t="n"/>
      <c r="PAJ5" s="2" t="n"/>
      <c r="PAK5" s="2" t="n"/>
      <c r="PAL5" s="2" t="n"/>
      <c r="PAM5" s="2" t="n"/>
      <c r="PAN5" s="2" t="n"/>
      <c r="PAO5" s="2" t="n"/>
      <c r="PAP5" s="2" t="n"/>
      <c r="PAQ5" s="2" t="n"/>
      <c r="PAR5" s="2" t="n"/>
      <c r="PAS5" s="2" t="n"/>
      <c r="PAT5" s="2" t="n"/>
      <c r="PAU5" s="2" t="n"/>
      <c r="PAV5" s="2" t="n"/>
      <c r="PAW5" s="2" t="n"/>
      <c r="PAX5" s="2" t="n"/>
      <c r="PAY5" s="2" t="n"/>
      <c r="PAZ5" s="2" t="n"/>
      <c r="PBA5" s="2" t="n"/>
      <c r="PBB5" s="2" t="n"/>
      <c r="PBC5" s="2" t="n"/>
      <c r="PBD5" s="2" t="n"/>
      <c r="PBE5" s="2" t="n"/>
      <c r="PBF5" s="2" t="n"/>
      <c r="PBG5" s="2" t="n"/>
      <c r="PBH5" s="2" t="n"/>
      <c r="PBI5" s="2" t="n"/>
      <c r="PBJ5" s="2" t="n"/>
      <c r="PBK5" s="2" t="n"/>
      <c r="PBL5" s="2" t="n"/>
      <c r="PBM5" s="2" t="n"/>
      <c r="PBN5" s="2" t="n"/>
      <c r="PBO5" s="2" t="n"/>
      <c r="PBP5" s="2" t="n"/>
      <c r="PBQ5" s="2" t="n"/>
      <c r="PBR5" s="2" t="n"/>
      <c r="PBS5" s="2" t="n"/>
      <c r="PBT5" s="2" t="n"/>
      <c r="PBU5" s="2" t="n"/>
      <c r="PBV5" s="2" t="n"/>
      <c r="PBW5" s="2" t="n"/>
      <c r="PBX5" s="2" t="n"/>
      <c r="PBY5" s="2" t="n"/>
      <c r="PBZ5" s="2" t="n"/>
      <c r="PCA5" s="2" t="n"/>
      <c r="PCB5" s="2" t="n"/>
      <c r="PCC5" s="2" t="n"/>
      <c r="PCD5" s="2" t="n"/>
      <c r="PCE5" s="2" t="n"/>
      <c r="PCF5" s="2" t="n"/>
      <c r="PCG5" s="2" t="n"/>
      <c r="PCH5" s="2" t="n"/>
      <c r="PCI5" s="2" t="n"/>
      <c r="PCJ5" s="2" t="n"/>
      <c r="PCK5" s="2" t="n"/>
      <c r="PCL5" s="2" t="n"/>
      <c r="PCM5" s="2" t="n"/>
      <c r="PCN5" s="2" t="n"/>
      <c r="PCO5" s="2" t="n"/>
      <c r="PCP5" s="2" t="n"/>
      <c r="PCQ5" s="2" t="n"/>
      <c r="PCR5" s="2" t="n"/>
      <c r="PCS5" s="2" t="n"/>
      <c r="PCT5" s="2" t="n"/>
      <c r="PCU5" s="2" t="n"/>
      <c r="PCV5" s="2" t="n"/>
      <c r="PCW5" s="2" t="n"/>
      <c r="PCX5" s="2" t="n"/>
      <c r="PCY5" s="2" t="n"/>
      <c r="PCZ5" s="2" t="n"/>
      <c r="PDA5" s="2" t="n"/>
      <c r="PDB5" s="2" t="n"/>
      <c r="PDC5" s="2" t="n"/>
      <c r="PDD5" s="2" t="n"/>
      <c r="PDE5" s="2" t="n"/>
      <c r="PDF5" s="2" t="n"/>
      <c r="PDG5" s="2" t="n"/>
      <c r="PDH5" s="2" t="n"/>
      <c r="PDI5" s="2" t="n"/>
      <c r="PDJ5" s="2" t="n"/>
      <c r="PDK5" s="2" t="n"/>
      <c r="PDL5" s="2" t="n"/>
      <c r="PDM5" s="2" t="n"/>
      <c r="PDN5" s="2" t="n"/>
      <c r="PDO5" s="2" t="n"/>
      <c r="PDP5" s="2" t="n"/>
      <c r="PDQ5" s="2" t="n"/>
      <c r="PDR5" s="2" t="n"/>
      <c r="PDS5" s="2" t="n"/>
      <c r="PDT5" s="2" t="n"/>
      <c r="PDU5" s="2" t="n"/>
      <c r="PDV5" s="2" t="n"/>
      <c r="PDW5" s="2" t="n"/>
      <c r="PDX5" s="2" t="n"/>
      <c r="PDY5" s="2" t="n"/>
      <c r="PDZ5" s="2" t="n"/>
      <c r="PEA5" s="2" t="n"/>
      <c r="PEB5" s="2" t="n"/>
      <c r="PEC5" s="2" t="n"/>
      <c r="PED5" s="2" t="n"/>
      <c r="PEE5" s="2" t="n"/>
      <c r="PEF5" s="2" t="n"/>
      <c r="PEG5" s="2" t="n"/>
      <c r="PEH5" s="2" t="n"/>
      <c r="PEI5" s="2" t="n"/>
      <c r="PEJ5" s="2" t="n"/>
      <c r="PEK5" s="2" t="n"/>
      <c r="PEL5" s="2" t="n"/>
      <c r="PEM5" s="2" t="n"/>
      <c r="PEN5" s="2" t="n"/>
      <c r="PEO5" s="2" t="n"/>
      <c r="PEP5" s="2" t="n"/>
      <c r="PEQ5" s="2" t="n"/>
      <c r="PER5" s="2" t="n"/>
      <c r="PES5" s="2" t="n"/>
      <c r="PET5" s="2" t="n"/>
      <c r="PEU5" s="2" t="n"/>
      <c r="PEV5" s="2" t="n"/>
      <c r="PEW5" s="2" t="n"/>
      <c r="PEX5" s="2" t="n"/>
      <c r="PEY5" s="2" t="n"/>
      <c r="PEZ5" s="2" t="n"/>
      <c r="PFA5" s="2" t="n"/>
      <c r="PFB5" s="2" t="n"/>
      <c r="PFC5" s="2" t="n"/>
      <c r="PFD5" s="2" t="n"/>
      <c r="PFE5" s="2" t="n"/>
      <c r="PFF5" s="2" t="n"/>
      <c r="PFG5" s="2" t="n"/>
      <c r="PFH5" s="2" t="n"/>
      <c r="PFI5" s="2" t="n"/>
      <c r="PFJ5" s="2" t="n"/>
      <c r="PFK5" s="2" t="n"/>
      <c r="PFL5" s="2" t="n"/>
      <c r="PFM5" s="2" t="n"/>
      <c r="PFN5" s="2" t="n"/>
      <c r="PFO5" s="2" t="n"/>
      <c r="PFP5" s="2" t="n"/>
      <c r="PFQ5" s="2" t="n"/>
      <c r="PFR5" s="2" t="n"/>
      <c r="PFS5" s="2" t="n"/>
      <c r="PFT5" s="2" t="n"/>
      <c r="PFU5" s="2" t="n"/>
      <c r="PFV5" s="2" t="n"/>
      <c r="PFW5" s="2" t="n"/>
      <c r="PFX5" s="2" t="n"/>
      <c r="PFY5" s="2" t="n"/>
      <c r="PFZ5" s="2" t="n"/>
      <c r="PGA5" s="2" t="n"/>
      <c r="PGB5" s="2" t="n"/>
      <c r="PGC5" s="2" t="n"/>
      <c r="PGD5" s="2" t="n"/>
      <c r="PGE5" s="2" t="n"/>
      <c r="PGF5" s="2" t="n"/>
      <c r="PGG5" s="2" t="n"/>
      <c r="PGH5" s="2" t="n"/>
      <c r="PGI5" s="2" t="n"/>
      <c r="PGJ5" s="2" t="n"/>
      <c r="PGK5" s="2" t="n"/>
      <c r="PGL5" s="2" t="n"/>
      <c r="PGM5" s="2" t="n"/>
      <c r="PGN5" s="2" t="n"/>
      <c r="PGO5" s="2" t="n"/>
      <c r="PGP5" s="2" t="n"/>
      <c r="PGQ5" s="2" t="n"/>
      <c r="PGR5" s="2" t="n"/>
      <c r="PGS5" s="2" t="n"/>
      <c r="PGT5" s="2" t="n"/>
      <c r="PGU5" s="2" t="n"/>
      <c r="PGV5" s="2" t="n"/>
      <c r="PGW5" s="2" t="n"/>
      <c r="PGX5" s="2" t="n"/>
      <c r="PGY5" s="2" t="n"/>
      <c r="PGZ5" s="2" t="n"/>
      <c r="PHA5" s="2" t="n"/>
      <c r="PHB5" s="2" t="n"/>
      <c r="PHC5" s="2" t="n"/>
      <c r="PHD5" s="2" t="n"/>
      <c r="PHE5" s="2" t="n"/>
      <c r="PHF5" s="2" t="n"/>
      <c r="PHG5" s="2" t="n"/>
      <c r="PHH5" s="2" t="n"/>
      <c r="PHI5" s="2" t="n"/>
      <c r="PHJ5" s="2" t="n"/>
      <c r="PHK5" s="2" t="n"/>
      <c r="PHL5" s="2" t="n"/>
      <c r="PHM5" s="2" t="n"/>
      <c r="PHN5" s="2" t="n"/>
      <c r="PHO5" s="2" t="n"/>
      <c r="PHP5" s="2" t="n"/>
      <c r="PHQ5" s="2" t="n"/>
      <c r="PHR5" s="2" t="n"/>
      <c r="PHS5" s="2" t="n"/>
      <c r="PHT5" s="2" t="n"/>
      <c r="PHU5" s="2" t="n"/>
      <c r="PHV5" s="2" t="n"/>
      <c r="PHW5" s="2" t="n"/>
      <c r="PHX5" s="2" t="n"/>
      <c r="PHY5" s="2" t="n"/>
      <c r="PHZ5" s="2" t="n"/>
      <c r="PIA5" s="2" t="n"/>
      <c r="PIB5" s="2" t="n"/>
      <c r="PIC5" s="2" t="n"/>
      <c r="PID5" s="2" t="n"/>
      <c r="PIE5" s="2" t="n"/>
      <c r="PIF5" s="2" t="n"/>
      <c r="PIG5" s="2" t="n"/>
      <c r="PIH5" s="2" t="n"/>
      <c r="PII5" s="2" t="n"/>
      <c r="PIJ5" s="2" t="n"/>
      <c r="PIK5" s="2" t="n"/>
      <c r="PIL5" s="2" t="n"/>
      <c r="PIM5" s="2" t="n"/>
      <c r="PIN5" s="2" t="n"/>
      <c r="PIO5" s="2" t="n"/>
      <c r="PIP5" s="2" t="n"/>
      <c r="PIQ5" s="2" t="n"/>
      <c r="PIR5" s="2" t="n"/>
      <c r="PIS5" s="2" t="n"/>
      <c r="PIT5" s="2" t="n"/>
      <c r="PIU5" s="2" t="n"/>
      <c r="PIV5" s="2" t="n"/>
      <c r="PIW5" s="2" t="n"/>
      <c r="PIX5" s="2" t="n"/>
      <c r="PIY5" s="2" t="n"/>
      <c r="PIZ5" s="2" t="n"/>
      <c r="PJA5" s="2" t="n"/>
      <c r="PJB5" s="2" t="n"/>
      <c r="PJC5" s="2" t="n"/>
      <c r="PJD5" s="2" t="n"/>
      <c r="PJE5" s="2" t="n"/>
      <c r="PJF5" s="2" t="n"/>
      <c r="PJG5" s="2" t="n"/>
      <c r="PJH5" s="2" t="n"/>
      <c r="PJI5" s="2" t="n"/>
      <c r="PJJ5" s="2" t="n"/>
      <c r="PJK5" s="2" t="n"/>
      <c r="PJL5" s="2" t="n"/>
      <c r="PJM5" s="2" t="n"/>
      <c r="PJN5" s="2" t="n"/>
      <c r="PJO5" s="2" t="n"/>
      <c r="PJP5" s="2" t="n"/>
      <c r="PJQ5" s="2" t="n"/>
      <c r="PJR5" s="2" t="n"/>
      <c r="PJS5" s="2" t="n"/>
      <c r="PJT5" s="2" t="n"/>
      <c r="PJU5" s="2" t="n"/>
      <c r="PJV5" s="2" t="n"/>
      <c r="PJW5" s="2" t="n"/>
      <c r="PJX5" s="2" t="n"/>
      <c r="PJY5" s="2" t="n"/>
      <c r="PJZ5" s="2" t="n"/>
      <c r="PKA5" s="2" t="n"/>
      <c r="PKB5" s="2" t="n"/>
      <c r="PKC5" s="2" t="n"/>
      <c r="PKD5" s="2" t="n"/>
      <c r="PKE5" s="2" t="n"/>
      <c r="PKF5" s="2" t="n"/>
      <c r="PKG5" s="2" t="n"/>
      <c r="PKH5" s="2" t="n"/>
      <c r="PKI5" s="2" t="n"/>
      <c r="PKJ5" s="2" t="n"/>
      <c r="PKK5" s="2" t="n"/>
      <c r="PKL5" s="2" t="n"/>
      <c r="PKM5" s="2" t="n"/>
      <c r="PKN5" s="2" t="n"/>
      <c r="PKO5" s="2" t="n"/>
      <c r="PKP5" s="2" t="n"/>
      <c r="PKQ5" s="2" t="n"/>
      <c r="PKR5" s="2" t="n"/>
      <c r="PKS5" s="2" t="n"/>
      <c r="PKT5" s="2" t="n"/>
      <c r="PKU5" s="2" t="n"/>
      <c r="PKV5" s="2" t="n"/>
      <c r="PKW5" s="2" t="n"/>
      <c r="PKX5" s="2" t="n"/>
      <c r="PKY5" s="2" t="n"/>
      <c r="PKZ5" s="2" t="n"/>
      <c r="PLA5" s="2" t="n"/>
      <c r="PLB5" s="2" t="n"/>
      <c r="PLC5" s="2" t="n"/>
      <c r="PLD5" s="2" t="n"/>
      <c r="PLE5" s="2" t="n"/>
      <c r="PLF5" s="2" t="n"/>
      <c r="PLG5" s="2" t="n"/>
      <c r="PLH5" s="2" t="n"/>
      <c r="PLI5" s="2" t="n"/>
      <c r="PLJ5" s="2" t="n"/>
      <c r="PLK5" s="2" t="n"/>
      <c r="PLL5" s="2" t="n"/>
      <c r="PLM5" s="2" t="n"/>
      <c r="PLN5" s="2" t="n"/>
      <c r="PLO5" s="2" t="n"/>
      <c r="PLP5" s="2" t="n"/>
      <c r="PLQ5" s="2" t="n"/>
      <c r="PLR5" s="2" t="n"/>
      <c r="PLS5" s="2" t="n"/>
      <c r="PLT5" s="2" t="n"/>
      <c r="PLU5" s="2" t="n"/>
      <c r="PLV5" s="2" t="n"/>
      <c r="PLW5" s="2" t="n"/>
      <c r="PLX5" s="2" t="n"/>
      <c r="PLY5" s="2" t="n"/>
      <c r="PLZ5" s="2" t="n"/>
      <c r="PMA5" s="2" t="n"/>
      <c r="PMB5" s="2" t="n"/>
      <c r="PMC5" s="2" t="n"/>
      <c r="PMD5" s="2" t="n"/>
      <c r="PME5" s="2" t="n"/>
      <c r="PMF5" s="2" t="n"/>
      <c r="PMG5" s="2" t="n"/>
      <c r="PMH5" s="2" t="n"/>
      <c r="PMI5" s="2" t="n"/>
      <c r="PMJ5" s="2" t="n"/>
      <c r="PMK5" s="2" t="n"/>
      <c r="PML5" s="2" t="n"/>
      <c r="PMM5" s="2" t="n"/>
      <c r="PMN5" s="2" t="n"/>
      <c r="PMO5" s="2" t="n"/>
      <c r="PMP5" s="2" t="n"/>
      <c r="PMQ5" s="2" t="n"/>
      <c r="PMR5" s="2" t="n"/>
      <c r="PMS5" s="2" t="n"/>
      <c r="PMT5" s="2" t="n"/>
      <c r="PMU5" s="2" t="n"/>
      <c r="PMV5" s="2" t="n"/>
      <c r="PMW5" s="2" t="n"/>
      <c r="PMX5" s="2" t="n"/>
      <c r="PMY5" s="2" t="n"/>
      <c r="PMZ5" s="2" t="n"/>
      <c r="PNA5" s="2" t="n"/>
      <c r="PNB5" s="2" t="n"/>
      <c r="PNC5" s="2" t="n"/>
      <c r="PND5" s="2" t="n"/>
      <c r="PNE5" s="2" t="n"/>
      <c r="PNF5" s="2" t="n"/>
      <c r="PNG5" s="2" t="n"/>
      <c r="PNH5" s="2" t="n"/>
      <c r="PNI5" s="2" t="n"/>
      <c r="PNJ5" s="2" t="n"/>
      <c r="PNK5" s="2" t="n"/>
      <c r="PNL5" s="2" t="n"/>
      <c r="PNM5" s="2" t="n"/>
      <c r="PNN5" s="2" t="n"/>
      <c r="PNO5" s="2" t="n"/>
      <c r="PNP5" s="2" t="n"/>
      <c r="PNQ5" s="2" t="n"/>
      <c r="PNR5" s="2" t="n"/>
      <c r="PNS5" s="2" t="n"/>
      <c r="PNT5" s="2" t="n"/>
      <c r="PNU5" s="2" t="n"/>
      <c r="PNV5" s="2" t="n"/>
      <c r="PNW5" s="2" t="n"/>
      <c r="PNX5" s="2" t="n"/>
      <c r="PNY5" s="2" t="n"/>
      <c r="PNZ5" s="2" t="n"/>
      <c r="POA5" s="2" t="n"/>
      <c r="POB5" s="2" t="n"/>
      <c r="POC5" s="2" t="n"/>
      <c r="POD5" s="2" t="n"/>
      <c r="POE5" s="2" t="n"/>
      <c r="POF5" s="2" t="n"/>
      <c r="POG5" s="2" t="n"/>
      <c r="POH5" s="2" t="n"/>
      <c r="POI5" s="2" t="n"/>
      <c r="POJ5" s="2" t="n"/>
      <c r="POK5" s="2" t="n"/>
      <c r="POL5" s="2" t="n"/>
      <c r="POM5" s="2" t="n"/>
      <c r="PON5" s="2" t="n"/>
      <c r="POO5" s="2" t="n"/>
      <c r="POP5" s="2" t="n"/>
      <c r="POQ5" s="2" t="n"/>
      <c r="POR5" s="2" t="n"/>
      <c r="POS5" s="2" t="n"/>
      <c r="POT5" s="2" t="n"/>
      <c r="POU5" s="2" t="n"/>
      <c r="POV5" s="2" t="n"/>
      <c r="POW5" s="2" t="n"/>
      <c r="POX5" s="2" t="n"/>
      <c r="POY5" s="2" t="n"/>
      <c r="POZ5" s="2" t="n"/>
      <c r="PPA5" s="2" t="n"/>
      <c r="PPB5" s="2" t="n"/>
      <c r="PPC5" s="2" t="n"/>
      <c r="PPD5" s="2" t="n"/>
      <c r="PPE5" s="2" t="n"/>
      <c r="PPF5" s="2" t="n"/>
      <c r="PPG5" s="2" t="n"/>
      <c r="PPH5" s="2" t="n"/>
      <c r="PPI5" s="2" t="n"/>
      <c r="PPJ5" s="2" t="n"/>
      <c r="PPK5" s="2" t="n"/>
      <c r="PPL5" s="2" t="n"/>
      <c r="PPM5" s="2" t="n"/>
      <c r="PPN5" s="2" t="n"/>
      <c r="PPO5" s="2" t="n"/>
      <c r="PPP5" s="2" t="n"/>
      <c r="PPQ5" s="2" t="n"/>
      <c r="PPR5" s="2" t="n"/>
      <c r="PPS5" s="2" t="n"/>
      <c r="PPT5" s="2" t="n"/>
      <c r="PPU5" s="2" t="n"/>
      <c r="PPV5" s="2" t="n"/>
      <c r="PPW5" s="2" t="n"/>
      <c r="PPX5" s="2" t="n"/>
      <c r="PPY5" s="2" t="n"/>
      <c r="PPZ5" s="2" t="n"/>
      <c r="PQA5" s="2" t="n"/>
      <c r="PQB5" s="2" t="n"/>
      <c r="PQC5" s="2" t="n"/>
      <c r="PQD5" s="2" t="n"/>
      <c r="PQE5" s="2" t="n"/>
      <c r="PQF5" s="2" t="n"/>
      <c r="PQG5" s="2" t="n"/>
      <c r="PQH5" s="2" t="n"/>
      <c r="PQI5" s="2" t="n"/>
      <c r="PQJ5" s="2" t="n"/>
      <c r="PQK5" s="2" t="n"/>
      <c r="PQL5" s="2" t="n"/>
      <c r="PQM5" s="2" t="n"/>
      <c r="PQN5" s="2" t="n"/>
      <c r="PQO5" s="2" t="n"/>
      <c r="PQP5" s="2" t="n"/>
      <c r="PQQ5" s="2" t="n"/>
      <c r="PQR5" s="2" t="n"/>
      <c r="PQS5" s="2" t="n"/>
      <c r="PQT5" s="2" t="n"/>
      <c r="PQU5" s="2" t="n"/>
      <c r="PQV5" s="2" t="n"/>
      <c r="PQW5" s="2" t="n"/>
      <c r="PQX5" s="2" t="n"/>
      <c r="PQY5" s="2" t="n"/>
      <c r="PQZ5" s="2" t="n"/>
      <c r="PRA5" s="2" t="n"/>
      <c r="PRB5" s="2" t="n"/>
      <c r="PRC5" s="2" t="n"/>
      <c r="PRD5" s="2" t="n"/>
      <c r="PRE5" s="2" t="n"/>
      <c r="PRF5" s="2" t="n"/>
      <c r="PRG5" s="2" t="n"/>
      <c r="PRH5" s="2" t="n"/>
      <c r="PRI5" s="2" t="n"/>
      <c r="PRJ5" s="2" t="n"/>
      <c r="PRK5" s="2" t="n"/>
      <c r="PRL5" s="2" t="n"/>
      <c r="PRM5" s="2" t="n"/>
      <c r="PRN5" s="2" t="n"/>
      <c r="PRO5" s="2" t="n"/>
      <c r="PRP5" s="2" t="n"/>
      <c r="PRQ5" s="2" t="n"/>
      <c r="PRR5" s="2" t="n"/>
      <c r="PRS5" s="2" t="n"/>
      <c r="PRT5" s="2" t="n"/>
      <c r="PRU5" s="2" t="n"/>
      <c r="PRV5" s="2" t="n"/>
      <c r="PRW5" s="2" t="n"/>
      <c r="PRX5" s="2" t="n"/>
      <c r="PRY5" s="2" t="n"/>
      <c r="PRZ5" s="2" t="n"/>
      <c r="PSA5" s="2" t="n"/>
      <c r="PSB5" s="2" t="n"/>
      <c r="PSC5" s="2" t="n"/>
      <c r="PSD5" s="2" t="n"/>
      <c r="PSE5" s="2" t="n"/>
      <c r="PSF5" s="2" t="n"/>
      <c r="PSG5" s="2" t="n"/>
      <c r="PSH5" s="2" t="n"/>
      <c r="PSI5" s="2" t="n"/>
      <c r="PSJ5" s="2" t="n"/>
      <c r="PSK5" s="2" t="n"/>
      <c r="PSL5" s="2" t="n"/>
      <c r="PSM5" s="2" t="n"/>
      <c r="PSN5" s="2" t="n"/>
      <c r="PSO5" s="2" t="n"/>
      <c r="PSP5" s="2" t="n"/>
      <c r="PSQ5" s="2" t="n"/>
      <c r="PSR5" s="2" t="n"/>
      <c r="PSS5" s="2" t="n"/>
      <c r="PST5" s="2" t="n"/>
      <c r="PSU5" s="2" t="n"/>
      <c r="PSV5" s="2" t="n"/>
      <c r="PSW5" s="2" t="n"/>
      <c r="PSX5" s="2" t="n"/>
      <c r="PSY5" s="2" t="n"/>
      <c r="PSZ5" s="2" t="n"/>
      <c r="PTA5" s="2" t="n"/>
      <c r="PTB5" s="2" t="n"/>
      <c r="PTC5" s="2" t="n"/>
      <c r="PTD5" s="2" t="n"/>
      <c r="PTE5" s="2" t="n"/>
      <c r="PTF5" s="2" t="n"/>
      <c r="PTG5" s="2" t="n"/>
      <c r="PTH5" s="2" t="n"/>
      <c r="PTI5" s="2" t="n"/>
      <c r="PTJ5" s="2" t="n"/>
      <c r="PTK5" s="2" t="n"/>
      <c r="PTL5" s="2" t="n"/>
      <c r="PTM5" s="2" t="n"/>
      <c r="PTN5" s="2" t="n"/>
      <c r="PTO5" s="2" t="n"/>
      <c r="PTP5" s="2" t="n"/>
      <c r="PTQ5" s="2" t="n"/>
      <c r="PTR5" s="2" t="n"/>
      <c r="PTS5" s="2" t="n"/>
      <c r="PTT5" s="2" t="n"/>
      <c r="PTU5" s="2" t="n"/>
      <c r="PTV5" s="2" t="n"/>
      <c r="PTW5" s="2" t="n"/>
      <c r="PTX5" s="2" t="n"/>
      <c r="PTY5" s="2" t="n"/>
      <c r="PTZ5" s="2" t="n"/>
      <c r="PUA5" s="2" t="n"/>
      <c r="PUB5" s="2" t="n"/>
      <c r="PUC5" s="2" t="n"/>
      <c r="PUD5" s="2" t="n"/>
      <c r="PUE5" s="2" t="n"/>
      <c r="PUF5" s="2" t="n"/>
      <c r="PUG5" s="2" t="n"/>
      <c r="PUH5" s="2" t="n"/>
      <c r="PUI5" s="2" t="n"/>
      <c r="PUJ5" s="2" t="n"/>
      <c r="PUK5" s="2" t="n"/>
      <c r="PUL5" s="2" t="n"/>
      <c r="PUM5" s="2" t="n"/>
      <c r="PUN5" s="2" t="n"/>
      <c r="PUO5" s="2" t="n"/>
      <c r="PUP5" s="2" t="n"/>
      <c r="PUQ5" s="2" t="n"/>
      <c r="PUR5" s="2" t="n"/>
      <c r="PUS5" s="2" t="n"/>
      <c r="PUT5" s="2" t="n"/>
      <c r="PUU5" s="2" t="n"/>
      <c r="PUV5" s="2" t="n"/>
      <c r="PUW5" s="2" t="n"/>
      <c r="PUX5" s="2" t="n"/>
      <c r="PUY5" s="2" t="n"/>
      <c r="PUZ5" s="2" t="n"/>
      <c r="PVA5" s="2" t="n"/>
      <c r="PVB5" s="2" t="n"/>
      <c r="PVC5" s="2" t="n"/>
      <c r="PVD5" s="2" t="n"/>
      <c r="PVE5" s="2" t="n"/>
      <c r="PVF5" s="2" t="n"/>
      <c r="PVG5" s="2" t="n"/>
      <c r="PVH5" s="2" t="n"/>
      <c r="PVI5" s="2" t="n"/>
      <c r="PVJ5" s="2" t="n"/>
      <c r="PVK5" s="2" t="n"/>
      <c r="PVL5" s="2" t="n"/>
      <c r="PVM5" s="2" t="n"/>
      <c r="PVN5" s="2" t="n"/>
      <c r="PVO5" s="2" t="n"/>
      <c r="PVP5" s="2" t="n"/>
      <c r="PVQ5" s="2" t="n"/>
      <c r="PVR5" s="2" t="n"/>
      <c r="PVS5" s="2" t="n"/>
      <c r="PVT5" s="2" t="n"/>
      <c r="PVU5" s="2" t="n"/>
      <c r="PVV5" s="2" t="n"/>
      <c r="PVW5" s="2" t="n"/>
      <c r="PVX5" s="2" t="n"/>
      <c r="PVY5" s="2" t="n"/>
      <c r="PVZ5" s="2" t="n"/>
      <c r="PWA5" s="2" t="n"/>
      <c r="PWB5" s="2" t="n"/>
      <c r="PWC5" s="2" t="n"/>
      <c r="PWD5" s="2" t="n"/>
      <c r="PWE5" s="2" t="n"/>
      <c r="PWF5" s="2" t="n"/>
      <c r="PWG5" s="2" t="n"/>
      <c r="PWH5" s="2" t="n"/>
      <c r="PWI5" s="2" t="n"/>
      <c r="PWJ5" s="2" t="n"/>
      <c r="PWK5" s="2" t="n"/>
      <c r="PWL5" s="2" t="n"/>
      <c r="PWM5" s="2" t="n"/>
      <c r="PWN5" s="2" t="n"/>
      <c r="PWO5" s="2" t="n"/>
      <c r="PWP5" s="2" t="n"/>
      <c r="PWQ5" s="2" t="n"/>
      <c r="PWR5" s="2" t="n"/>
      <c r="PWS5" s="2" t="n"/>
      <c r="PWT5" s="2" t="n"/>
      <c r="PWU5" s="2" t="n"/>
      <c r="PWV5" s="2" t="n"/>
      <c r="PWW5" s="2" t="n"/>
      <c r="PWX5" s="2" t="n"/>
      <c r="PWY5" s="2" t="n"/>
      <c r="PWZ5" s="2" t="n"/>
      <c r="PXA5" s="2" t="n"/>
      <c r="PXB5" s="2" t="n"/>
      <c r="PXC5" s="2" t="n"/>
      <c r="PXD5" s="2" t="n"/>
      <c r="PXE5" s="2" t="n"/>
      <c r="PXF5" s="2" t="n"/>
      <c r="PXG5" s="2" t="n"/>
      <c r="PXH5" s="2" t="n"/>
      <c r="PXI5" s="2" t="n"/>
      <c r="PXJ5" s="2" t="n"/>
      <c r="PXK5" s="2" t="n"/>
      <c r="PXL5" s="2" t="n"/>
      <c r="PXM5" s="2" t="n"/>
      <c r="PXN5" s="2" t="n"/>
      <c r="PXO5" s="2" t="n"/>
      <c r="PXP5" s="2" t="n"/>
      <c r="PXQ5" s="2" t="n"/>
      <c r="PXR5" s="2" t="n"/>
      <c r="PXS5" s="2" t="n"/>
      <c r="PXT5" s="2" t="n"/>
      <c r="PXU5" s="2" t="n"/>
      <c r="PXV5" s="2" t="n"/>
      <c r="PXW5" s="2" t="n"/>
      <c r="PXX5" s="2" t="n"/>
      <c r="PXY5" s="2" t="n"/>
      <c r="PXZ5" s="2" t="n"/>
      <c r="PYA5" s="2" t="n"/>
      <c r="PYB5" s="2" t="n"/>
      <c r="PYC5" s="2" t="n"/>
      <c r="PYD5" s="2" t="n"/>
      <c r="PYE5" s="2" t="n"/>
      <c r="PYF5" s="2" t="n"/>
      <c r="PYG5" s="2" t="n"/>
      <c r="PYH5" s="2" t="n"/>
      <c r="PYI5" s="2" t="n"/>
      <c r="PYJ5" s="2" t="n"/>
      <c r="PYK5" s="2" t="n"/>
      <c r="PYL5" s="2" t="n"/>
      <c r="PYM5" s="2" t="n"/>
      <c r="PYN5" s="2" t="n"/>
      <c r="PYO5" s="2" t="n"/>
      <c r="PYP5" s="2" t="n"/>
      <c r="PYQ5" s="2" t="n"/>
      <c r="PYR5" s="2" t="n"/>
      <c r="PYS5" s="2" t="n"/>
      <c r="PYT5" s="2" t="n"/>
      <c r="PYU5" s="2" t="n"/>
      <c r="PYV5" s="2" t="n"/>
      <c r="PYW5" s="2" t="n"/>
      <c r="PYX5" s="2" t="n"/>
      <c r="PYY5" s="2" t="n"/>
      <c r="PYZ5" s="2" t="n"/>
      <c r="PZA5" s="2" t="n"/>
      <c r="PZB5" s="2" t="n"/>
      <c r="PZC5" s="2" t="n"/>
      <c r="PZD5" s="2" t="n"/>
      <c r="PZE5" s="2" t="n"/>
      <c r="PZF5" s="2" t="n"/>
      <c r="PZG5" s="2" t="n"/>
      <c r="PZH5" s="2" t="n"/>
      <c r="PZI5" s="2" t="n"/>
      <c r="PZJ5" s="2" t="n"/>
      <c r="PZK5" s="2" t="n"/>
      <c r="PZL5" s="2" t="n"/>
      <c r="PZM5" s="2" t="n"/>
      <c r="PZN5" s="2" t="n"/>
      <c r="PZO5" s="2" t="n"/>
      <c r="PZP5" s="2" t="n"/>
      <c r="PZQ5" s="2" t="n"/>
      <c r="PZR5" s="2" t="n"/>
      <c r="PZS5" s="2" t="n"/>
      <c r="PZT5" s="2" t="n"/>
      <c r="PZU5" s="2" t="n"/>
      <c r="PZV5" s="2" t="n"/>
      <c r="PZW5" s="2" t="n"/>
      <c r="PZX5" s="2" t="n"/>
      <c r="PZY5" s="2" t="n"/>
      <c r="PZZ5" s="2" t="n"/>
      <c r="QAA5" s="2" t="n"/>
      <c r="QAB5" s="2" t="n"/>
      <c r="QAC5" s="2" t="n"/>
      <c r="QAD5" s="2" t="n"/>
      <c r="QAE5" s="2" t="n"/>
      <c r="QAF5" s="2" t="n"/>
      <c r="QAG5" s="2" t="n"/>
      <c r="QAH5" s="2" t="n"/>
      <c r="QAI5" s="2" t="n"/>
      <c r="QAJ5" s="2" t="n"/>
      <c r="QAK5" s="2" t="n"/>
      <c r="QAL5" s="2" t="n"/>
      <c r="QAM5" s="2" t="n"/>
      <c r="QAN5" s="2" t="n"/>
      <c r="QAO5" s="2" t="n"/>
      <c r="QAP5" s="2" t="n"/>
      <c r="QAQ5" s="2" t="n"/>
      <c r="QAR5" s="2" t="n"/>
      <c r="QAS5" s="2" t="n"/>
      <c r="QAT5" s="2" t="n"/>
      <c r="QAU5" s="2" t="n"/>
      <c r="QAV5" s="2" t="n"/>
      <c r="QAW5" s="2" t="n"/>
      <c r="QAX5" s="2" t="n"/>
      <c r="QAY5" s="2" t="n"/>
      <c r="QAZ5" s="2" t="n"/>
      <c r="QBA5" s="2" t="n"/>
      <c r="QBB5" s="2" t="n"/>
      <c r="QBC5" s="2" t="n"/>
      <c r="QBD5" s="2" t="n"/>
      <c r="QBE5" s="2" t="n"/>
      <c r="QBF5" s="2" t="n"/>
      <c r="QBG5" s="2" t="n"/>
      <c r="QBH5" s="2" t="n"/>
      <c r="QBI5" s="2" t="n"/>
      <c r="QBJ5" s="2" t="n"/>
      <c r="QBK5" s="2" t="n"/>
      <c r="QBL5" s="2" t="n"/>
      <c r="QBM5" s="2" t="n"/>
      <c r="QBN5" s="2" t="n"/>
      <c r="QBO5" s="2" t="n"/>
      <c r="QBP5" s="2" t="n"/>
      <c r="QBQ5" s="2" t="n"/>
      <c r="QBR5" s="2" t="n"/>
      <c r="QBS5" s="2" t="n"/>
      <c r="QBT5" s="2" t="n"/>
      <c r="QBU5" s="2" t="n"/>
      <c r="QBV5" s="2" t="n"/>
      <c r="QBW5" s="2" t="n"/>
      <c r="QBX5" s="2" t="n"/>
      <c r="QBY5" s="2" t="n"/>
      <c r="QBZ5" s="2" t="n"/>
      <c r="QCA5" s="2" t="n"/>
      <c r="QCB5" s="2" t="n"/>
      <c r="QCC5" s="2" t="n"/>
      <c r="QCD5" s="2" t="n"/>
      <c r="QCE5" s="2" t="n"/>
      <c r="QCF5" s="2" t="n"/>
      <c r="QCG5" s="2" t="n"/>
      <c r="QCH5" s="2" t="n"/>
      <c r="QCI5" s="2" t="n"/>
      <c r="QCJ5" s="2" t="n"/>
      <c r="QCK5" s="2" t="n"/>
      <c r="QCL5" s="2" t="n"/>
      <c r="QCM5" s="2" t="n"/>
      <c r="QCN5" s="2" t="n"/>
      <c r="QCO5" s="2" t="n"/>
      <c r="QCP5" s="2" t="n"/>
      <c r="QCQ5" s="2" t="n"/>
      <c r="QCR5" s="2" t="n"/>
      <c r="QCS5" s="2" t="n"/>
      <c r="QCT5" s="2" t="n"/>
      <c r="QCU5" s="2" t="n"/>
      <c r="QCV5" s="2" t="n"/>
      <c r="QCW5" s="2" t="n"/>
      <c r="QCX5" s="2" t="n"/>
      <c r="QCY5" s="2" t="n"/>
      <c r="QCZ5" s="2" t="n"/>
      <c r="QDA5" s="2" t="n"/>
      <c r="QDB5" s="2" t="n"/>
      <c r="QDC5" s="2" t="n"/>
      <c r="QDD5" s="2" t="n"/>
      <c r="QDE5" s="2" t="n"/>
      <c r="QDF5" s="2" t="n"/>
      <c r="QDG5" s="2" t="n"/>
      <c r="QDH5" s="2" t="n"/>
      <c r="QDI5" s="2" t="n"/>
      <c r="QDJ5" s="2" t="n"/>
      <c r="QDK5" s="2" t="n"/>
      <c r="QDL5" s="2" t="n"/>
      <c r="QDM5" s="2" t="n"/>
      <c r="QDN5" s="2" t="n"/>
      <c r="QDO5" s="2" t="n"/>
      <c r="QDP5" s="2" t="n"/>
      <c r="QDQ5" s="2" t="n"/>
      <c r="QDR5" s="2" t="n"/>
      <c r="QDS5" s="2" t="n"/>
      <c r="QDT5" s="2" t="n"/>
      <c r="QDU5" s="2" t="n"/>
      <c r="QDV5" s="2" t="n"/>
      <c r="QDW5" s="2" t="n"/>
      <c r="QDX5" s="2" t="n"/>
      <c r="QDY5" s="2" t="n"/>
      <c r="QDZ5" s="2" t="n"/>
      <c r="QEA5" s="2" t="n"/>
      <c r="QEB5" s="2" t="n"/>
      <c r="QEC5" s="2" t="n"/>
      <c r="QED5" s="2" t="n"/>
      <c r="QEE5" s="2" t="n"/>
      <c r="QEF5" s="2" t="n"/>
      <c r="QEG5" s="2" t="n"/>
      <c r="QEH5" s="2" t="n"/>
      <c r="QEI5" s="2" t="n"/>
      <c r="QEJ5" s="2" t="n"/>
      <c r="QEK5" s="2" t="n"/>
      <c r="QEL5" s="2" t="n"/>
      <c r="QEM5" s="2" t="n"/>
      <c r="QEN5" s="2" t="n"/>
      <c r="QEO5" s="2" t="n"/>
      <c r="QEP5" s="2" t="n"/>
      <c r="QEQ5" s="2" t="n"/>
      <c r="QER5" s="2" t="n"/>
      <c r="QES5" s="2" t="n"/>
      <c r="QET5" s="2" t="n"/>
      <c r="QEU5" s="2" t="n"/>
      <c r="QEV5" s="2" t="n"/>
      <c r="QEW5" s="2" t="n"/>
      <c r="QEX5" s="2" t="n"/>
      <c r="QEY5" s="2" t="n"/>
      <c r="QEZ5" s="2" t="n"/>
      <c r="QFA5" s="2" t="n"/>
      <c r="QFB5" s="2" t="n"/>
      <c r="QFC5" s="2" t="n"/>
      <c r="QFD5" s="2" t="n"/>
      <c r="QFE5" s="2" t="n"/>
      <c r="QFF5" s="2" t="n"/>
      <c r="QFG5" s="2" t="n"/>
      <c r="QFH5" s="2" t="n"/>
      <c r="QFI5" s="2" t="n"/>
      <c r="QFJ5" s="2" t="n"/>
      <c r="QFK5" s="2" t="n"/>
      <c r="QFL5" s="2" t="n"/>
      <c r="QFM5" s="2" t="n"/>
      <c r="QFN5" s="2" t="n"/>
      <c r="QFO5" s="2" t="n"/>
      <c r="QFP5" s="2" t="n"/>
      <c r="QFQ5" s="2" t="n"/>
      <c r="QFR5" s="2" t="n"/>
      <c r="QFS5" s="2" t="n"/>
      <c r="QFT5" s="2" t="n"/>
      <c r="QFU5" s="2" t="n"/>
      <c r="QFV5" s="2" t="n"/>
      <c r="QFW5" s="2" t="n"/>
      <c r="QFX5" s="2" t="n"/>
      <c r="QFY5" s="2" t="n"/>
      <c r="QFZ5" s="2" t="n"/>
      <c r="QGA5" s="2" t="n"/>
      <c r="QGB5" s="2" t="n"/>
      <c r="QGC5" s="2" t="n"/>
      <c r="QGD5" s="2" t="n"/>
      <c r="QGE5" s="2" t="n"/>
      <c r="QGF5" s="2" t="n"/>
      <c r="QGG5" s="2" t="n"/>
      <c r="QGH5" s="2" t="n"/>
      <c r="QGI5" s="2" t="n"/>
      <c r="QGJ5" s="2" t="n"/>
      <c r="QGK5" s="2" t="n"/>
      <c r="QGL5" s="2" t="n"/>
      <c r="QGM5" s="2" t="n"/>
      <c r="QGN5" s="2" t="n"/>
      <c r="QGO5" s="2" t="n"/>
      <c r="QGP5" s="2" t="n"/>
      <c r="QGQ5" s="2" t="n"/>
      <c r="QGR5" s="2" t="n"/>
      <c r="QGS5" s="2" t="n"/>
      <c r="QGT5" s="2" t="n"/>
      <c r="QGU5" s="2" t="n"/>
      <c r="QGV5" s="2" t="n"/>
      <c r="QGW5" s="2" t="n"/>
      <c r="QGX5" s="2" t="n"/>
      <c r="QGY5" s="2" t="n"/>
      <c r="QGZ5" s="2" t="n"/>
      <c r="QHA5" s="2" t="n"/>
      <c r="QHB5" s="2" t="n"/>
      <c r="QHC5" s="2" t="n"/>
      <c r="QHD5" s="2" t="n"/>
      <c r="QHE5" s="2" t="n"/>
      <c r="QHF5" s="2" t="n"/>
      <c r="QHG5" s="2" t="n"/>
      <c r="QHH5" s="2" t="n"/>
      <c r="QHI5" s="2" t="n"/>
      <c r="QHJ5" s="2" t="n"/>
      <c r="QHK5" s="2" t="n"/>
      <c r="QHL5" s="2" t="n"/>
      <c r="QHM5" s="2" t="n"/>
      <c r="QHN5" s="2" t="n"/>
      <c r="QHO5" s="2" t="n"/>
      <c r="QHP5" s="2" t="n"/>
      <c r="QHQ5" s="2" t="n"/>
      <c r="QHR5" s="2" t="n"/>
      <c r="QHS5" s="2" t="n"/>
      <c r="QHT5" s="2" t="n"/>
      <c r="QHU5" s="2" t="n"/>
      <c r="QHV5" s="2" t="n"/>
      <c r="QHW5" s="2" t="n"/>
      <c r="QHX5" s="2" t="n"/>
      <c r="QHY5" s="2" t="n"/>
      <c r="QHZ5" s="2" t="n"/>
      <c r="QIA5" s="2" t="n"/>
      <c r="QIB5" s="2" t="n"/>
      <c r="QIC5" s="2" t="n"/>
      <c r="QID5" s="2" t="n"/>
      <c r="QIE5" s="2" t="n"/>
      <c r="QIF5" s="2" t="n"/>
      <c r="QIG5" s="2" t="n"/>
      <c r="QIH5" s="2" t="n"/>
      <c r="QII5" s="2" t="n"/>
      <c r="QIJ5" s="2" t="n"/>
      <c r="QIK5" s="2" t="n"/>
      <c r="QIL5" s="2" t="n"/>
      <c r="QIM5" s="2" t="n"/>
      <c r="QIN5" s="2" t="n"/>
      <c r="QIO5" s="2" t="n"/>
      <c r="QIP5" s="2" t="n"/>
      <c r="QIQ5" s="2" t="n"/>
      <c r="QIR5" s="2" t="n"/>
      <c r="QIS5" s="2" t="n"/>
      <c r="QIT5" s="2" t="n"/>
      <c r="QIU5" s="2" t="n"/>
      <c r="QIV5" s="2" t="n"/>
      <c r="QIW5" s="2" t="n"/>
      <c r="QIX5" s="2" t="n"/>
      <c r="QIY5" s="2" t="n"/>
      <c r="QIZ5" s="2" t="n"/>
      <c r="QJA5" s="2" t="n"/>
      <c r="QJB5" s="2" t="n"/>
      <c r="QJC5" s="2" t="n"/>
      <c r="QJD5" s="2" t="n"/>
      <c r="QJE5" s="2" t="n"/>
      <c r="QJF5" s="2" t="n"/>
      <c r="QJG5" s="2" t="n"/>
      <c r="QJH5" s="2" t="n"/>
      <c r="QJI5" s="2" t="n"/>
      <c r="QJJ5" s="2" t="n"/>
      <c r="QJK5" s="2" t="n"/>
      <c r="QJL5" s="2" t="n"/>
      <c r="QJM5" s="2" t="n"/>
      <c r="QJN5" s="2" t="n"/>
      <c r="QJO5" s="2" t="n"/>
      <c r="QJP5" s="2" t="n"/>
      <c r="QJQ5" s="2" t="n"/>
      <c r="QJR5" s="2" t="n"/>
      <c r="QJS5" s="2" t="n"/>
      <c r="QJT5" s="2" t="n"/>
      <c r="QJU5" s="2" t="n"/>
      <c r="QJV5" s="2" t="n"/>
      <c r="QJW5" s="2" t="n"/>
      <c r="QJX5" s="2" t="n"/>
      <c r="QJY5" s="2" t="n"/>
      <c r="QJZ5" s="2" t="n"/>
      <c r="QKA5" s="2" t="n"/>
      <c r="QKB5" s="2" t="n"/>
      <c r="QKC5" s="2" t="n"/>
      <c r="QKD5" s="2" t="n"/>
      <c r="QKE5" s="2" t="n"/>
      <c r="QKF5" s="2" t="n"/>
      <c r="QKG5" s="2" t="n"/>
      <c r="QKH5" s="2" t="n"/>
      <c r="QKI5" s="2" t="n"/>
      <c r="QKJ5" s="2" t="n"/>
      <c r="QKK5" s="2" t="n"/>
      <c r="QKL5" s="2" t="n"/>
      <c r="QKM5" s="2" t="n"/>
      <c r="QKN5" s="2" t="n"/>
      <c r="QKO5" s="2" t="n"/>
      <c r="QKP5" s="2" t="n"/>
      <c r="QKQ5" s="2" t="n"/>
      <c r="QKR5" s="2" t="n"/>
      <c r="QKS5" s="2" t="n"/>
      <c r="QKT5" s="2" t="n"/>
      <c r="QKU5" s="2" t="n"/>
      <c r="QKV5" s="2" t="n"/>
      <c r="QKW5" s="2" t="n"/>
      <c r="QKX5" s="2" t="n"/>
      <c r="QKY5" s="2" t="n"/>
      <c r="QKZ5" s="2" t="n"/>
      <c r="QLA5" s="2" t="n"/>
      <c r="QLB5" s="2" t="n"/>
      <c r="QLC5" s="2" t="n"/>
      <c r="QLD5" s="2" t="n"/>
      <c r="QLE5" s="2" t="n"/>
      <c r="QLF5" s="2" t="n"/>
      <c r="QLG5" s="2" t="n"/>
      <c r="QLH5" s="2" t="n"/>
      <c r="QLI5" s="2" t="n"/>
      <c r="QLJ5" s="2" t="n"/>
      <c r="QLK5" s="2" t="n"/>
      <c r="QLL5" s="2" t="n"/>
      <c r="QLM5" s="2" t="n"/>
      <c r="QLN5" s="2" t="n"/>
      <c r="QLO5" s="2" t="n"/>
      <c r="QLP5" s="2" t="n"/>
      <c r="QLQ5" s="2" t="n"/>
      <c r="QLR5" s="2" t="n"/>
      <c r="QLS5" s="2" t="n"/>
      <c r="QLT5" s="2" t="n"/>
      <c r="QLU5" s="2" t="n"/>
      <c r="QLV5" s="2" t="n"/>
      <c r="QLW5" s="2" t="n"/>
      <c r="QLX5" s="2" t="n"/>
      <c r="QLY5" s="2" t="n"/>
      <c r="QLZ5" s="2" t="n"/>
      <c r="QMA5" s="2" t="n"/>
      <c r="QMB5" s="2" t="n"/>
      <c r="QMC5" s="2" t="n"/>
      <c r="QMD5" s="2" t="n"/>
      <c r="QME5" s="2" t="n"/>
      <c r="QMF5" s="2" t="n"/>
      <c r="QMG5" s="2" t="n"/>
      <c r="QMH5" s="2" t="n"/>
      <c r="QMI5" s="2" t="n"/>
      <c r="QMJ5" s="2" t="n"/>
      <c r="QMK5" s="2" t="n"/>
      <c r="QML5" s="2" t="n"/>
      <c r="QMM5" s="2" t="n"/>
      <c r="QMN5" s="2" t="n"/>
      <c r="QMO5" s="2" t="n"/>
      <c r="QMP5" s="2" t="n"/>
      <c r="QMQ5" s="2" t="n"/>
      <c r="QMR5" s="2" t="n"/>
      <c r="QMS5" s="2" t="n"/>
      <c r="QMT5" s="2" t="n"/>
      <c r="QMU5" s="2" t="n"/>
      <c r="QMV5" s="2" t="n"/>
      <c r="QMW5" s="2" t="n"/>
      <c r="QMX5" s="2" t="n"/>
      <c r="QMY5" s="2" t="n"/>
      <c r="QMZ5" s="2" t="n"/>
      <c r="QNA5" s="2" t="n"/>
      <c r="QNB5" s="2" t="n"/>
      <c r="QNC5" s="2" t="n"/>
      <c r="QND5" s="2" t="n"/>
      <c r="QNE5" s="2" t="n"/>
      <c r="QNF5" s="2" t="n"/>
      <c r="QNG5" s="2" t="n"/>
      <c r="QNH5" s="2" t="n"/>
      <c r="QNI5" s="2" t="n"/>
      <c r="QNJ5" s="2" t="n"/>
      <c r="QNK5" s="2" t="n"/>
      <c r="QNL5" s="2" t="n"/>
      <c r="QNM5" s="2" t="n"/>
      <c r="QNN5" s="2" t="n"/>
      <c r="QNO5" s="2" t="n"/>
      <c r="QNP5" s="2" t="n"/>
      <c r="QNQ5" s="2" t="n"/>
      <c r="QNR5" s="2" t="n"/>
      <c r="QNS5" s="2" t="n"/>
      <c r="QNT5" s="2" t="n"/>
      <c r="QNU5" s="2" t="n"/>
      <c r="QNV5" s="2" t="n"/>
      <c r="QNW5" s="2" t="n"/>
      <c r="QNX5" s="2" t="n"/>
      <c r="QNY5" s="2" t="n"/>
      <c r="QNZ5" s="2" t="n"/>
      <c r="QOA5" s="2" t="n"/>
      <c r="QOB5" s="2" t="n"/>
      <c r="QOC5" s="2" t="n"/>
      <c r="QOD5" s="2" t="n"/>
      <c r="QOE5" s="2" t="n"/>
      <c r="QOF5" s="2" t="n"/>
      <c r="QOG5" s="2" t="n"/>
      <c r="QOH5" s="2" t="n"/>
      <c r="QOI5" s="2" t="n"/>
      <c r="QOJ5" s="2" t="n"/>
      <c r="QOK5" s="2" t="n"/>
      <c r="QOL5" s="2" t="n"/>
      <c r="QOM5" s="2" t="n"/>
      <c r="QON5" s="2" t="n"/>
      <c r="QOO5" s="2" t="n"/>
      <c r="QOP5" s="2" t="n"/>
      <c r="QOQ5" s="2" t="n"/>
      <c r="QOR5" s="2" t="n"/>
      <c r="QOS5" s="2" t="n"/>
      <c r="QOT5" s="2" t="n"/>
      <c r="QOU5" s="2" t="n"/>
      <c r="QOV5" s="2" t="n"/>
      <c r="QOW5" s="2" t="n"/>
      <c r="QOX5" s="2" t="n"/>
      <c r="QOY5" s="2" t="n"/>
      <c r="QOZ5" s="2" t="n"/>
      <c r="QPA5" s="2" t="n"/>
      <c r="QPB5" s="2" t="n"/>
      <c r="QPC5" s="2" t="n"/>
      <c r="QPD5" s="2" t="n"/>
      <c r="QPE5" s="2" t="n"/>
      <c r="QPF5" s="2" t="n"/>
      <c r="QPG5" s="2" t="n"/>
      <c r="QPH5" s="2" t="n"/>
      <c r="QPI5" s="2" t="n"/>
      <c r="QPJ5" s="2" t="n"/>
      <c r="QPK5" s="2" t="n"/>
      <c r="QPL5" s="2" t="n"/>
      <c r="QPM5" s="2" t="n"/>
      <c r="QPN5" s="2" t="n"/>
      <c r="QPO5" s="2" t="n"/>
      <c r="QPP5" s="2" t="n"/>
      <c r="QPQ5" s="2" t="n"/>
      <c r="QPR5" s="2" t="n"/>
      <c r="QPS5" s="2" t="n"/>
      <c r="QPT5" s="2" t="n"/>
      <c r="QPU5" s="2" t="n"/>
      <c r="QPV5" s="2" t="n"/>
      <c r="QPW5" s="2" t="n"/>
      <c r="QPX5" s="2" t="n"/>
      <c r="QPY5" s="2" t="n"/>
      <c r="QPZ5" s="2" t="n"/>
      <c r="QQA5" s="2" t="n"/>
      <c r="QQB5" s="2" t="n"/>
      <c r="QQC5" s="2" t="n"/>
      <c r="QQD5" s="2" t="n"/>
      <c r="QQE5" s="2" t="n"/>
      <c r="QQF5" s="2" t="n"/>
      <c r="QQG5" s="2" t="n"/>
      <c r="QQH5" s="2" t="n"/>
      <c r="QQI5" s="2" t="n"/>
      <c r="QQJ5" s="2" t="n"/>
      <c r="QQK5" s="2" t="n"/>
      <c r="QQL5" s="2" t="n"/>
      <c r="QQM5" s="2" t="n"/>
      <c r="QQN5" s="2" t="n"/>
      <c r="QQO5" s="2" t="n"/>
      <c r="QQP5" s="2" t="n"/>
      <c r="QQQ5" s="2" t="n"/>
      <c r="QQR5" s="2" t="n"/>
      <c r="QQS5" s="2" t="n"/>
      <c r="QQT5" s="2" t="n"/>
      <c r="QQU5" s="2" t="n"/>
      <c r="QQV5" s="2" t="n"/>
      <c r="QQW5" s="2" t="n"/>
      <c r="QQX5" s="2" t="n"/>
      <c r="QQY5" s="2" t="n"/>
      <c r="QQZ5" s="2" t="n"/>
      <c r="QRA5" s="2" t="n"/>
      <c r="QRB5" s="2" t="n"/>
      <c r="QRC5" s="2" t="n"/>
      <c r="QRD5" s="2" t="n"/>
      <c r="QRE5" s="2" t="n"/>
      <c r="QRF5" s="2" t="n"/>
      <c r="QRG5" s="2" t="n"/>
      <c r="QRH5" s="2" t="n"/>
      <c r="QRI5" s="2" t="n"/>
      <c r="QRJ5" s="2" t="n"/>
      <c r="QRK5" s="2" t="n"/>
      <c r="QRL5" s="2" t="n"/>
      <c r="QRM5" s="2" t="n"/>
      <c r="QRN5" s="2" t="n"/>
      <c r="QRO5" s="2" t="n"/>
      <c r="QRP5" s="2" t="n"/>
      <c r="QRQ5" s="2" t="n"/>
      <c r="QRR5" s="2" t="n"/>
      <c r="QRS5" s="2" t="n"/>
      <c r="QRT5" s="2" t="n"/>
      <c r="QRU5" s="2" t="n"/>
      <c r="QRV5" s="2" t="n"/>
      <c r="QRW5" s="2" t="n"/>
      <c r="QRX5" s="2" t="n"/>
      <c r="QRY5" s="2" t="n"/>
      <c r="QRZ5" s="2" t="n"/>
      <c r="QSA5" s="2" t="n"/>
      <c r="QSB5" s="2" t="n"/>
      <c r="QSC5" s="2" t="n"/>
      <c r="QSD5" s="2" t="n"/>
      <c r="QSE5" s="2" t="n"/>
      <c r="QSF5" s="2" t="n"/>
      <c r="QSG5" s="2" t="n"/>
      <c r="QSH5" s="2" t="n"/>
      <c r="QSI5" s="2" t="n"/>
      <c r="QSJ5" s="2" t="n"/>
      <c r="QSK5" s="2" t="n"/>
      <c r="QSL5" s="2" t="n"/>
      <c r="QSM5" s="2" t="n"/>
      <c r="QSN5" s="2" t="n"/>
      <c r="QSO5" s="2" t="n"/>
      <c r="QSP5" s="2" t="n"/>
      <c r="QSQ5" s="2" t="n"/>
      <c r="QSR5" s="2" t="n"/>
      <c r="QSS5" s="2" t="n"/>
      <c r="QST5" s="2" t="n"/>
      <c r="QSU5" s="2" t="n"/>
      <c r="QSV5" s="2" t="n"/>
      <c r="QSW5" s="2" t="n"/>
      <c r="QSX5" s="2" t="n"/>
      <c r="QSY5" s="2" t="n"/>
      <c r="QSZ5" s="2" t="n"/>
      <c r="QTA5" s="2" t="n"/>
      <c r="QTB5" s="2" t="n"/>
      <c r="QTC5" s="2" t="n"/>
      <c r="QTD5" s="2" t="n"/>
      <c r="QTE5" s="2" t="n"/>
      <c r="QTF5" s="2" t="n"/>
      <c r="QTG5" s="2" t="n"/>
      <c r="QTH5" s="2" t="n"/>
      <c r="QTI5" s="2" t="n"/>
      <c r="QTJ5" s="2" t="n"/>
      <c r="QTK5" s="2" t="n"/>
      <c r="QTL5" s="2" t="n"/>
      <c r="QTM5" s="2" t="n"/>
      <c r="QTN5" s="2" t="n"/>
      <c r="QTO5" s="2" t="n"/>
      <c r="QTP5" s="2" t="n"/>
      <c r="QTQ5" s="2" t="n"/>
      <c r="QTR5" s="2" t="n"/>
      <c r="QTS5" s="2" t="n"/>
      <c r="QTT5" s="2" t="n"/>
      <c r="QTU5" s="2" t="n"/>
      <c r="QTV5" s="2" t="n"/>
      <c r="QTW5" s="2" t="n"/>
      <c r="QTX5" s="2" t="n"/>
      <c r="QTY5" s="2" t="n"/>
      <c r="QTZ5" s="2" t="n"/>
      <c r="QUA5" s="2" t="n"/>
      <c r="QUB5" s="2" t="n"/>
      <c r="QUC5" s="2" t="n"/>
      <c r="QUD5" s="2" t="n"/>
      <c r="QUE5" s="2" t="n"/>
      <c r="QUF5" s="2" t="n"/>
      <c r="QUG5" s="2" t="n"/>
      <c r="QUH5" s="2" t="n"/>
      <c r="QUI5" s="2" t="n"/>
      <c r="QUJ5" s="2" t="n"/>
      <c r="QUK5" s="2" t="n"/>
      <c r="QUL5" s="2" t="n"/>
      <c r="QUM5" s="2" t="n"/>
      <c r="QUN5" s="2" t="n"/>
      <c r="QUO5" s="2" t="n"/>
      <c r="QUP5" s="2" t="n"/>
      <c r="QUQ5" s="2" t="n"/>
      <c r="QUR5" s="2" t="n"/>
      <c r="QUS5" s="2" t="n"/>
      <c r="QUT5" s="2" t="n"/>
      <c r="QUU5" s="2" t="n"/>
      <c r="QUV5" s="2" t="n"/>
      <c r="QUW5" s="2" t="n"/>
      <c r="QUX5" s="2" t="n"/>
      <c r="QUY5" s="2" t="n"/>
      <c r="QUZ5" s="2" t="n"/>
      <c r="QVA5" s="2" t="n"/>
      <c r="QVB5" s="2" t="n"/>
      <c r="QVC5" s="2" t="n"/>
      <c r="QVD5" s="2" t="n"/>
      <c r="QVE5" s="2" t="n"/>
      <c r="QVF5" s="2" t="n"/>
      <c r="QVG5" s="2" t="n"/>
      <c r="QVH5" s="2" t="n"/>
      <c r="QVI5" s="2" t="n"/>
      <c r="QVJ5" s="2" t="n"/>
      <c r="QVK5" s="2" t="n"/>
      <c r="QVL5" s="2" t="n"/>
      <c r="QVM5" s="2" t="n"/>
      <c r="QVN5" s="2" t="n"/>
      <c r="QVO5" s="2" t="n"/>
      <c r="QVP5" s="2" t="n"/>
      <c r="QVQ5" s="2" t="n"/>
      <c r="QVR5" s="2" t="n"/>
      <c r="QVS5" s="2" t="n"/>
      <c r="QVT5" s="2" t="n"/>
      <c r="QVU5" s="2" t="n"/>
      <c r="QVV5" s="2" t="n"/>
      <c r="QVW5" s="2" t="n"/>
      <c r="QVX5" s="2" t="n"/>
      <c r="QVY5" s="2" t="n"/>
      <c r="QVZ5" s="2" t="n"/>
      <c r="QWA5" s="2" t="n"/>
      <c r="QWB5" s="2" t="n"/>
      <c r="QWC5" s="2" t="n"/>
      <c r="QWD5" s="2" t="n"/>
      <c r="QWE5" s="2" t="n"/>
      <c r="QWF5" s="2" t="n"/>
      <c r="QWG5" s="2" t="n"/>
      <c r="QWH5" s="2" t="n"/>
      <c r="QWI5" s="2" t="n"/>
      <c r="QWJ5" s="2" t="n"/>
      <c r="QWK5" s="2" t="n"/>
      <c r="QWL5" s="2" t="n"/>
      <c r="QWM5" s="2" t="n"/>
      <c r="QWN5" s="2" t="n"/>
      <c r="QWO5" s="2" t="n"/>
      <c r="QWP5" s="2" t="n"/>
      <c r="QWQ5" s="2" t="n"/>
      <c r="QWR5" s="2" t="n"/>
      <c r="QWS5" s="2" t="n"/>
      <c r="QWT5" s="2" t="n"/>
      <c r="QWU5" s="2" t="n"/>
      <c r="QWV5" s="2" t="n"/>
      <c r="QWW5" s="2" t="n"/>
      <c r="QWX5" s="2" t="n"/>
      <c r="QWY5" s="2" t="n"/>
      <c r="QWZ5" s="2" t="n"/>
      <c r="QXA5" s="2" t="n"/>
      <c r="QXB5" s="2" t="n"/>
      <c r="QXC5" s="2" t="n"/>
      <c r="QXD5" s="2" t="n"/>
      <c r="QXE5" s="2" t="n"/>
      <c r="QXF5" s="2" t="n"/>
      <c r="QXG5" s="2" t="n"/>
      <c r="QXH5" s="2" t="n"/>
      <c r="QXI5" s="2" t="n"/>
      <c r="QXJ5" s="2" t="n"/>
      <c r="QXK5" s="2" t="n"/>
      <c r="QXL5" s="2" t="n"/>
      <c r="QXM5" s="2" t="n"/>
      <c r="QXN5" s="2" t="n"/>
      <c r="QXO5" s="2" t="n"/>
      <c r="QXP5" s="2" t="n"/>
      <c r="QXQ5" s="2" t="n"/>
      <c r="QXR5" s="2" t="n"/>
      <c r="QXS5" s="2" t="n"/>
      <c r="QXT5" s="2" t="n"/>
      <c r="QXU5" s="2" t="n"/>
      <c r="QXV5" s="2" t="n"/>
      <c r="QXW5" s="2" t="n"/>
      <c r="QXX5" s="2" t="n"/>
      <c r="QXY5" s="2" t="n"/>
      <c r="QXZ5" s="2" t="n"/>
      <c r="QYA5" s="2" t="n"/>
      <c r="QYB5" s="2" t="n"/>
      <c r="QYC5" s="2" t="n"/>
      <c r="QYD5" s="2" t="n"/>
      <c r="QYE5" s="2" t="n"/>
      <c r="QYF5" s="2" t="n"/>
      <c r="QYG5" s="2" t="n"/>
      <c r="QYH5" s="2" t="n"/>
      <c r="QYI5" s="2" t="n"/>
      <c r="QYJ5" s="2" t="n"/>
      <c r="QYK5" s="2" t="n"/>
      <c r="QYL5" s="2" t="n"/>
      <c r="QYM5" s="2" t="n"/>
      <c r="QYN5" s="2" t="n"/>
      <c r="QYO5" s="2" t="n"/>
      <c r="QYP5" s="2" t="n"/>
      <c r="QYQ5" s="2" t="n"/>
      <c r="QYR5" s="2" t="n"/>
      <c r="QYS5" s="2" t="n"/>
      <c r="QYT5" s="2" t="n"/>
      <c r="QYU5" s="2" t="n"/>
      <c r="QYV5" s="2" t="n"/>
      <c r="QYW5" s="2" t="n"/>
      <c r="QYX5" s="2" t="n"/>
      <c r="QYY5" s="2" t="n"/>
      <c r="QYZ5" s="2" t="n"/>
      <c r="QZA5" s="2" t="n"/>
      <c r="QZB5" s="2" t="n"/>
      <c r="QZC5" s="2" t="n"/>
      <c r="QZD5" s="2" t="n"/>
      <c r="QZE5" s="2" t="n"/>
      <c r="QZF5" s="2" t="n"/>
      <c r="QZG5" s="2" t="n"/>
      <c r="QZH5" s="2" t="n"/>
      <c r="QZI5" s="2" t="n"/>
      <c r="QZJ5" s="2" t="n"/>
      <c r="QZK5" s="2" t="n"/>
      <c r="QZL5" s="2" t="n"/>
      <c r="QZM5" s="2" t="n"/>
      <c r="QZN5" s="2" t="n"/>
      <c r="QZO5" s="2" t="n"/>
      <c r="QZP5" s="2" t="n"/>
      <c r="QZQ5" s="2" t="n"/>
      <c r="QZR5" s="2" t="n"/>
      <c r="QZS5" s="2" t="n"/>
      <c r="QZT5" s="2" t="n"/>
      <c r="QZU5" s="2" t="n"/>
      <c r="QZV5" s="2" t="n"/>
      <c r="QZW5" s="2" t="n"/>
      <c r="QZX5" s="2" t="n"/>
      <c r="QZY5" s="2" t="n"/>
      <c r="QZZ5" s="2" t="n"/>
      <c r="RAA5" s="2" t="n"/>
      <c r="RAB5" s="2" t="n"/>
      <c r="RAC5" s="2" t="n"/>
      <c r="RAD5" s="2" t="n"/>
      <c r="RAE5" s="2" t="n"/>
      <c r="RAF5" s="2" t="n"/>
      <c r="RAG5" s="2" t="n"/>
      <c r="RAH5" s="2" t="n"/>
      <c r="RAI5" s="2" t="n"/>
      <c r="RAJ5" s="2" t="n"/>
      <c r="RAK5" s="2" t="n"/>
      <c r="RAL5" s="2" t="n"/>
      <c r="RAM5" s="2" t="n"/>
      <c r="RAN5" s="2" t="n"/>
      <c r="RAO5" s="2" t="n"/>
      <c r="RAP5" s="2" t="n"/>
      <c r="RAQ5" s="2" t="n"/>
      <c r="RAR5" s="2" t="n"/>
      <c r="RAS5" s="2" t="n"/>
      <c r="RAT5" s="2" t="n"/>
      <c r="RAU5" s="2" t="n"/>
      <c r="RAV5" s="2" t="n"/>
      <c r="RAW5" s="2" t="n"/>
      <c r="RAX5" s="2" t="n"/>
      <c r="RAY5" s="2" t="n"/>
      <c r="RAZ5" s="2" t="n"/>
      <c r="RBA5" s="2" t="n"/>
      <c r="RBB5" s="2" t="n"/>
      <c r="RBC5" s="2" t="n"/>
      <c r="RBD5" s="2" t="n"/>
      <c r="RBE5" s="2" t="n"/>
      <c r="RBF5" s="2" t="n"/>
      <c r="RBG5" s="2" t="n"/>
      <c r="RBH5" s="2" t="n"/>
      <c r="RBI5" s="2" t="n"/>
      <c r="RBJ5" s="2" t="n"/>
      <c r="RBK5" s="2" t="n"/>
      <c r="RBL5" s="2" t="n"/>
      <c r="RBM5" s="2" t="n"/>
      <c r="RBN5" s="2" t="n"/>
      <c r="RBO5" s="2" t="n"/>
      <c r="RBP5" s="2" t="n"/>
      <c r="RBQ5" s="2" t="n"/>
      <c r="RBR5" s="2" t="n"/>
      <c r="RBS5" s="2" t="n"/>
      <c r="RBT5" s="2" t="n"/>
      <c r="RBU5" s="2" t="n"/>
      <c r="RBV5" s="2" t="n"/>
      <c r="RBW5" s="2" t="n"/>
      <c r="RBX5" s="2" t="n"/>
      <c r="RBY5" s="2" t="n"/>
      <c r="RBZ5" s="2" t="n"/>
      <c r="RCA5" s="2" t="n"/>
      <c r="RCB5" s="2" t="n"/>
      <c r="RCC5" s="2" t="n"/>
      <c r="RCD5" s="2" t="n"/>
      <c r="RCE5" s="2" t="n"/>
      <c r="RCF5" s="2" t="n"/>
      <c r="RCG5" s="2" t="n"/>
      <c r="RCH5" s="2" t="n"/>
      <c r="RCI5" s="2" t="n"/>
      <c r="RCJ5" s="2" t="n"/>
      <c r="RCK5" s="2" t="n"/>
      <c r="RCL5" s="2" t="n"/>
      <c r="RCM5" s="2" t="n"/>
      <c r="RCN5" s="2" t="n"/>
      <c r="RCO5" s="2" t="n"/>
      <c r="RCP5" s="2" t="n"/>
      <c r="RCQ5" s="2" t="n"/>
      <c r="RCR5" s="2" t="n"/>
      <c r="RCS5" s="2" t="n"/>
      <c r="RCT5" s="2" t="n"/>
      <c r="RCU5" s="2" t="n"/>
      <c r="RCV5" s="2" t="n"/>
      <c r="RCW5" s="2" t="n"/>
      <c r="RCX5" s="2" t="n"/>
      <c r="RCY5" s="2" t="n"/>
      <c r="RCZ5" s="2" t="n"/>
      <c r="RDA5" s="2" t="n"/>
      <c r="RDB5" s="2" t="n"/>
      <c r="RDC5" s="2" t="n"/>
      <c r="RDD5" s="2" t="n"/>
      <c r="RDE5" s="2" t="n"/>
      <c r="RDF5" s="2" t="n"/>
      <c r="RDG5" s="2" t="n"/>
      <c r="RDH5" s="2" t="n"/>
      <c r="RDI5" s="2" t="n"/>
      <c r="RDJ5" s="2" t="n"/>
      <c r="RDK5" s="2" t="n"/>
      <c r="RDL5" s="2" t="n"/>
      <c r="RDM5" s="2" t="n"/>
      <c r="RDN5" s="2" t="n"/>
      <c r="RDO5" s="2" t="n"/>
      <c r="RDP5" s="2" t="n"/>
      <c r="RDQ5" s="2" t="n"/>
      <c r="RDR5" s="2" t="n"/>
      <c r="RDS5" s="2" t="n"/>
      <c r="RDT5" s="2" t="n"/>
      <c r="RDU5" s="2" t="n"/>
      <c r="RDV5" s="2" t="n"/>
      <c r="RDW5" s="2" t="n"/>
      <c r="RDX5" s="2" t="n"/>
      <c r="RDY5" s="2" t="n"/>
      <c r="RDZ5" s="2" t="n"/>
      <c r="REA5" s="2" t="n"/>
      <c r="REB5" s="2" t="n"/>
      <c r="REC5" s="2" t="n"/>
      <c r="RED5" s="2" t="n"/>
      <c r="REE5" s="2" t="n"/>
      <c r="REF5" s="2" t="n"/>
      <c r="REG5" s="2" t="n"/>
      <c r="REH5" s="2" t="n"/>
      <c r="REI5" s="2" t="n"/>
      <c r="REJ5" s="2" t="n"/>
      <c r="REK5" s="2" t="n"/>
      <c r="REL5" s="2" t="n"/>
      <c r="REM5" s="2" t="n"/>
      <c r="REN5" s="2" t="n"/>
      <c r="REO5" s="2" t="n"/>
      <c r="REP5" s="2" t="n"/>
      <c r="REQ5" s="2" t="n"/>
      <c r="RER5" s="2" t="n"/>
      <c r="RES5" s="2" t="n"/>
      <c r="RET5" s="2" t="n"/>
      <c r="REU5" s="2" t="n"/>
      <c r="REV5" s="2" t="n"/>
      <c r="REW5" s="2" t="n"/>
      <c r="REX5" s="2" t="n"/>
      <c r="REY5" s="2" t="n"/>
      <c r="REZ5" s="2" t="n"/>
      <c r="RFA5" s="2" t="n"/>
      <c r="RFB5" s="2" t="n"/>
      <c r="RFC5" s="2" t="n"/>
      <c r="RFD5" s="2" t="n"/>
      <c r="RFE5" s="2" t="n"/>
      <c r="RFF5" s="2" t="n"/>
      <c r="RFG5" s="2" t="n"/>
      <c r="RFH5" s="2" t="n"/>
      <c r="RFI5" s="2" t="n"/>
      <c r="RFJ5" s="2" t="n"/>
      <c r="RFK5" s="2" t="n"/>
      <c r="RFL5" s="2" t="n"/>
      <c r="RFM5" s="2" t="n"/>
      <c r="RFN5" s="2" t="n"/>
      <c r="RFO5" s="2" t="n"/>
      <c r="RFP5" s="2" t="n"/>
      <c r="RFQ5" s="2" t="n"/>
      <c r="RFR5" s="2" t="n"/>
      <c r="RFS5" s="2" t="n"/>
      <c r="RFT5" s="2" t="n"/>
      <c r="RFU5" s="2" t="n"/>
      <c r="RFV5" s="2" t="n"/>
      <c r="RFW5" s="2" t="n"/>
      <c r="RFX5" s="2" t="n"/>
      <c r="RFY5" s="2" t="n"/>
      <c r="RFZ5" s="2" t="n"/>
      <c r="RGA5" s="2" t="n"/>
      <c r="RGB5" s="2" t="n"/>
      <c r="RGC5" s="2" t="n"/>
      <c r="RGD5" s="2" t="n"/>
      <c r="RGE5" s="2" t="n"/>
      <c r="RGF5" s="2" t="n"/>
      <c r="RGG5" s="2" t="n"/>
      <c r="RGH5" s="2" t="n"/>
      <c r="RGI5" s="2" t="n"/>
      <c r="RGJ5" s="2" t="n"/>
      <c r="RGK5" s="2" t="n"/>
      <c r="RGL5" s="2" t="n"/>
      <c r="RGM5" s="2" t="n"/>
      <c r="RGN5" s="2" t="n"/>
      <c r="RGO5" s="2" t="n"/>
      <c r="RGP5" s="2" t="n"/>
      <c r="RGQ5" s="2" t="n"/>
      <c r="RGR5" s="2" t="n"/>
      <c r="RGS5" s="2" t="n"/>
      <c r="RGT5" s="2" t="n"/>
      <c r="RGU5" s="2" t="n"/>
      <c r="RGV5" s="2" t="n"/>
      <c r="RGW5" s="2" t="n"/>
      <c r="RGX5" s="2" t="n"/>
      <c r="RGY5" s="2" t="n"/>
      <c r="RGZ5" s="2" t="n"/>
      <c r="RHA5" s="2" t="n"/>
      <c r="RHB5" s="2" t="n"/>
      <c r="RHC5" s="2" t="n"/>
      <c r="RHD5" s="2" t="n"/>
      <c r="RHE5" s="2" t="n"/>
      <c r="RHF5" s="2" t="n"/>
      <c r="RHG5" s="2" t="n"/>
      <c r="RHH5" s="2" t="n"/>
      <c r="RHI5" s="2" t="n"/>
      <c r="RHJ5" s="2" t="n"/>
      <c r="RHK5" s="2" t="n"/>
      <c r="RHL5" s="2" t="n"/>
      <c r="RHM5" s="2" t="n"/>
      <c r="RHN5" s="2" t="n"/>
      <c r="RHO5" s="2" t="n"/>
      <c r="RHP5" s="2" t="n"/>
      <c r="RHQ5" s="2" t="n"/>
      <c r="RHR5" s="2" t="n"/>
      <c r="RHS5" s="2" t="n"/>
      <c r="RHT5" s="2" t="n"/>
      <c r="RHU5" s="2" t="n"/>
      <c r="RHV5" s="2" t="n"/>
      <c r="RHW5" s="2" t="n"/>
      <c r="RHX5" s="2" t="n"/>
      <c r="RHY5" s="2" t="n"/>
      <c r="RHZ5" s="2" t="n"/>
      <c r="RIA5" s="2" t="n"/>
      <c r="RIB5" s="2" t="n"/>
      <c r="RIC5" s="2" t="n"/>
      <c r="RID5" s="2" t="n"/>
      <c r="RIE5" s="2" t="n"/>
      <c r="RIF5" s="2" t="n"/>
      <c r="RIG5" s="2" t="n"/>
      <c r="RIH5" s="2" t="n"/>
      <c r="RII5" s="2" t="n"/>
      <c r="RIJ5" s="2" t="n"/>
      <c r="RIK5" s="2" t="n"/>
      <c r="RIL5" s="2" t="n"/>
      <c r="RIM5" s="2" t="n"/>
      <c r="RIN5" s="2" t="n"/>
      <c r="RIO5" s="2" t="n"/>
      <c r="RIP5" s="2" t="n"/>
      <c r="RIQ5" s="2" t="n"/>
      <c r="RIR5" s="2" t="n"/>
      <c r="RIS5" s="2" t="n"/>
      <c r="RIT5" s="2" t="n"/>
      <c r="RIU5" s="2" t="n"/>
      <c r="RIV5" s="2" t="n"/>
      <c r="RIW5" s="2" t="n"/>
      <c r="RIX5" s="2" t="n"/>
      <c r="RIY5" s="2" t="n"/>
      <c r="RIZ5" s="2" t="n"/>
      <c r="RJA5" s="2" t="n"/>
      <c r="RJB5" s="2" t="n"/>
      <c r="RJC5" s="2" t="n"/>
      <c r="RJD5" s="2" t="n"/>
      <c r="RJE5" s="2" t="n"/>
      <c r="RJF5" s="2" t="n"/>
      <c r="RJG5" s="2" t="n"/>
      <c r="RJH5" s="2" t="n"/>
      <c r="RJI5" s="2" t="n"/>
      <c r="RJJ5" s="2" t="n"/>
      <c r="RJK5" s="2" t="n"/>
      <c r="RJL5" s="2" t="n"/>
      <c r="RJM5" s="2" t="n"/>
      <c r="RJN5" s="2" t="n"/>
      <c r="RJO5" s="2" t="n"/>
      <c r="RJP5" s="2" t="n"/>
      <c r="RJQ5" s="2" t="n"/>
      <c r="RJR5" s="2" t="n"/>
      <c r="RJS5" s="2" t="n"/>
      <c r="RJT5" s="2" t="n"/>
      <c r="RJU5" s="2" t="n"/>
      <c r="RJV5" s="2" t="n"/>
      <c r="RJW5" s="2" t="n"/>
      <c r="RJX5" s="2" t="n"/>
      <c r="RJY5" s="2" t="n"/>
      <c r="RJZ5" s="2" t="n"/>
      <c r="RKA5" s="2" t="n"/>
      <c r="RKB5" s="2" t="n"/>
      <c r="RKC5" s="2" t="n"/>
      <c r="RKD5" s="2" t="n"/>
      <c r="RKE5" s="2" t="n"/>
      <c r="RKF5" s="2" t="n"/>
      <c r="RKG5" s="2" t="n"/>
      <c r="RKH5" s="2" t="n"/>
      <c r="RKI5" s="2" t="n"/>
      <c r="RKJ5" s="2" t="n"/>
      <c r="RKK5" s="2" t="n"/>
      <c r="RKL5" s="2" t="n"/>
      <c r="RKM5" s="2" t="n"/>
      <c r="RKN5" s="2" t="n"/>
      <c r="RKO5" s="2" t="n"/>
      <c r="RKP5" s="2" t="n"/>
      <c r="RKQ5" s="2" t="n"/>
      <c r="RKR5" s="2" t="n"/>
      <c r="RKS5" s="2" t="n"/>
      <c r="RKT5" s="2" t="n"/>
      <c r="RKU5" s="2" t="n"/>
      <c r="RKV5" s="2" t="n"/>
      <c r="RKW5" s="2" t="n"/>
      <c r="RKX5" s="2" t="n"/>
      <c r="RKY5" s="2" t="n"/>
      <c r="RKZ5" s="2" t="n"/>
      <c r="RLA5" s="2" t="n"/>
      <c r="RLB5" s="2" t="n"/>
      <c r="RLC5" s="2" t="n"/>
      <c r="RLD5" s="2" t="n"/>
      <c r="RLE5" s="2" t="n"/>
      <c r="RLF5" s="2" t="n"/>
      <c r="RLG5" s="2" t="n"/>
      <c r="RLH5" s="2" t="n"/>
      <c r="RLI5" s="2" t="n"/>
      <c r="RLJ5" s="2" t="n"/>
      <c r="RLK5" s="2" t="n"/>
      <c r="RLL5" s="2" t="n"/>
      <c r="RLM5" s="2" t="n"/>
      <c r="RLN5" s="2" t="n"/>
      <c r="RLO5" s="2" t="n"/>
      <c r="RLP5" s="2" t="n"/>
      <c r="RLQ5" s="2" t="n"/>
      <c r="RLR5" s="2" t="n"/>
      <c r="RLS5" s="2" t="n"/>
      <c r="RLT5" s="2" t="n"/>
      <c r="RLU5" s="2" t="n"/>
      <c r="RLV5" s="2" t="n"/>
      <c r="RLW5" s="2" t="n"/>
      <c r="RLX5" s="2" t="n"/>
      <c r="RLY5" s="2" t="n"/>
      <c r="RLZ5" s="2" t="n"/>
      <c r="RMA5" s="2" t="n"/>
      <c r="RMB5" s="2" t="n"/>
      <c r="RMC5" s="2" t="n"/>
      <c r="RMD5" s="2" t="n"/>
      <c r="RME5" s="2" t="n"/>
      <c r="RMF5" s="2" t="n"/>
      <c r="RMG5" s="2" t="n"/>
      <c r="RMH5" s="2" t="n"/>
      <c r="RMI5" s="2" t="n"/>
      <c r="RMJ5" s="2" t="n"/>
      <c r="RMK5" s="2" t="n"/>
      <c r="RML5" s="2" t="n"/>
      <c r="RMM5" s="2" t="n"/>
      <c r="RMN5" s="2" t="n"/>
      <c r="RMO5" s="2" t="n"/>
      <c r="RMP5" s="2" t="n"/>
      <c r="RMQ5" s="2" t="n"/>
      <c r="RMR5" s="2" t="n"/>
      <c r="RMS5" s="2" t="n"/>
      <c r="RMT5" s="2" t="n"/>
      <c r="RMU5" s="2" t="n"/>
      <c r="RMV5" s="2" t="n"/>
      <c r="RMW5" s="2" t="n"/>
      <c r="RMX5" s="2" t="n"/>
      <c r="RMY5" s="2" t="n"/>
      <c r="RMZ5" s="2" t="n"/>
      <c r="RNA5" s="2" t="n"/>
      <c r="RNB5" s="2" t="n"/>
      <c r="RNC5" s="2" t="n"/>
      <c r="RND5" s="2" t="n"/>
      <c r="RNE5" s="2" t="n"/>
      <c r="RNF5" s="2" t="n"/>
      <c r="RNG5" s="2" t="n"/>
      <c r="RNH5" s="2" t="n"/>
      <c r="RNI5" s="2" t="n"/>
      <c r="RNJ5" s="2" t="n"/>
      <c r="RNK5" s="2" t="n"/>
      <c r="RNL5" s="2" t="n"/>
      <c r="RNM5" s="2" t="n"/>
      <c r="RNN5" s="2" t="n"/>
      <c r="RNO5" s="2" t="n"/>
      <c r="RNP5" s="2" t="n"/>
      <c r="RNQ5" s="2" t="n"/>
      <c r="RNR5" s="2" t="n"/>
      <c r="RNS5" s="2" t="n"/>
      <c r="RNT5" s="2" t="n"/>
      <c r="RNU5" s="2" t="n"/>
      <c r="RNV5" s="2" t="n"/>
      <c r="RNW5" s="2" t="n"/>
      <c r="RNX5" s="2" t="n"/>
      <c r="RNY5" s="2" t="n"/>
      <c r="RNZ5" s="2" t="n"/>
      <c r="ROA5" s="2" t="n"/>
      <c r="ROB5" s="2" t="n"/>
      <c r="ROC5" s="2" t="n"/>
      <c r="ROD5" s="2" t="n"/>
      <c r="ROE5" s="2" t="n"/>
      <c r="ROF5" s="2" t="n"/>
      <c r="ROG5" s="2" t="n"/>
      <c r="ROH5" s="2" t="n"/>
      <c r="ROI5" s="2" t="n"/>
      <c r="ROJ5" s="2" t="n"/>
      <c r="ROK5" s="2" t="n"/>
      <c r="ROL5" s="2" t="n"/>
      <c r="ROM5" s="2" t="n"/>
      <c r="RON5" s="2" t="n"/>
      <c r="ROO5" s="2" t="n"/>
      <c r="ROP5" s="2" t="n"/>
      <c r="ROQ5" s="2" t="n"/>
      <c r="ROR5" s="2" t="n"/>
      <c r="ROS5" s="2" t="n"/>
      <c r="ROT5" s="2" t="n"/>
      <c r="ROU5" s="2" t="n"/>
      <c r="ROV5" s="2" t="n"/>
      <c r="ROW5" s="2" t="n"/>
      <c r="ROX5" s="2" t="n"/>
      <c r="ROY5" s="2" t="n"/>
      <c r="ROZ5" s="2" t="n"/>
      <c r="RPA5" s="2" t="n"/>
      <c r="RPB5" s="2" t="n"/>
      <c r="RPC5" s="2" t="n"/>
      <c r="RPD5" s="2" t="n"/>
      <c r="RPE5" s="2" t="n"/>
      <c r="RPF5" s="2" t="n"/>
      <c r="RPG5" s="2" t="n"/>
      <c r="RPH5" s="2" t="n"/>
      <c r="RPI5" s="2" t="n"/>
      <c r="RPJ5" s="2" t="n"/>
      <c r="RPK5" s="2" t="n"/>
      <c r="RPL5" s="2" t="n"/>
      <c r="RPM5" s="2" t="n"/>
      <c r="RPN5" s="2" t="n"/>
      <c r="RPO5" s="2" t="n"/>
      <c r="RPP5" s="2" t="n"/>
      <c r="RPQ5" s="2" t="n"/>
      <c r="RPR5" s="2" t="n"/>
      <c r="RPS5" s="2" t="n"/>
      <c r="RPT5" s="2" t="n"/>
      <c r="RPU5" s="2" t="n"/>
      <c r="RPV5" s="2" t="n"/>
      <c r="RPW5" s="2" t="n"/>
      <c r="RPX5" s="2" t="n"/>
      <c r="RPY5" s="2" t="n"/>
      <c r="RPZ5" s="2" t="n"/>
      <c r="RQA5" s="2" t="n"/>
      <c r="RQB5" s="2" t="n"/>
      <c r="RQC5" s="2" t="n"/>
      <c r="RQD5" s="2" t="n"/>
      <c r="RQE5" s="2" t="n"/>
      <c r="RQF5" s="2" t="n"/>
      <c r="RQG5" s="2" t="n"/>
      <c r="RQH5" s="2" t="n"/>
      <c r="RQI5" s="2" t="n"/>
      <c r="RQJ5" s="2" t="n"/>
      <c r="RQK5" s="2" t="n"/>
      <c r="RQL5" s="2" t="n"/>
      <c r="RQM5" s="2" t="n"/>
      <c r="RQN5" s="2" t="n"/>
      <c r="RQO5" s="2" t="n"/>
      <c r="RQP5" s="2" t="n"/>
      <c r="RQQ5" s="2" t="n"/>
      <c r="RQR5" s="2" t="n"/>
      <c r="RQS5" s="2" t="n"/>
      <c r="RQT5" s="2" t="n"/>
      <c r="RQU5" s="2" t="n"/>
      <c r="RQV5" s="2" t="n"/>
      <c r="RQW5" s="2" t="n"/>
      <c r="RQX5" s="2" t="n"/>
      <c r="RQY5" s="2" t="n"/>
      <c r="RQZ5" s="2" t="n"/>
      <c r="RRA5" s="2" t="n"/>
      <c r="RRB5" s="2" t="n"/>
      <c r="RRC5" s="2" t="n"/>
      <c r="RRD5" s="2" t="n"/>
      <c r="RRE5" s="2" t="n"/>
      <c r="RRF5" s="2" t="n"/>
      <c r="RRG5" s="2" t="n"/>
      <c r="RRH5" s="2" t="n"/>
      <c r="RRI5" s="2" t="n"/>
      <c r="RRJ5" s="2" t="n"/>
      <c r="RRK5" s="2" t="n"/>
      <c r="RRL5" s="2" t="n"/>
      <c r="RRM5" s="2" t="n"/>
      <c r="RRN5" s="2" t="n"/>
      <c r="RRO5" s="2" t="n"/>
      <c r="RRP5" s="2" t="n"/>
      <c r="RRQ5" s="2" t="n"/>
      <c r="RRR5" s="2" t="n"/>
      <c r="RRS5" s="2" t="n"/>
      <c r="RRT5" s="2" t="n"/>
      <c r="RRU5" s="2" t="n"/>
      <c r="RRV5" s="2" t="n"/>
      <c r="RRW5" s="2" t="n"/>
      <c r="RRX5" s="2" t="n"/>
      <c r="RRY5" s="2" t="n"/>
      <c r="RRZ5" s="2" t="n"/>
      <c r="RSA5" s="2" t="n"/>
      <c r="RSB5" s="2" t="n"/>
      <c r="RSC5" s="2" t="n"/>
      <c r="RSD5" s="2" t="n"/>
      <c r="RSE5" s="2" t="n"/>
      <c r="RSF5" s="2" t="n"/>
      <c r="RSG5" s="2" t="n"/>
      <c r="RSH5" s="2" t="n"/>
      <c r="RSI5" s="2" t="n"/>
      <c r="RSJ5" s="2" t="n"/>
      <c r="RSK5" s="2" t="n"/>
      <c r="RSL5" s="2" t="n"/>
      <c r="RSM5" s="2" t="n"/>
      <c r="RSN5" s="2" t="n"/>
      <c r="RSO5" s="2" t="n"/>
      <c r="RSP5" s="2" t="n"/>
      <c r="RSQ5" s="2" t="n"/>
      <c r="RSR5" s="2" t="n"/>
      <c r="RSS5" s="2" t="n"/>
      <c r="RST5" s="2" t="n"/>
      <c r="RSU5" s="2" t="n"/>
      <c r="RSV5" s="2" t="n"/>
      <c r="RSW5" s="2" t="n"/>
      <c r="RSX5" s="2" t="n"/>
      <c r="RSY5" s="2" t="n"/>
      <c r="RSZ5" s="2" t="n"/>
      <c r="RTA5" s="2" t="n"/>
      <c r="RTB5" s="2" t="n"/>
      <c r="RTC5" s="2" t="n"/>
      <c r="RTD5" s="2" t="n"/>
      <c r="RTE5" s="2" t="n"/>
      <c r="RTF5" s="2" t="n"/>
      <c r="RTG5" s="2" t="n"/>
      <c r="RTH5" s="2" t="n"/>
      <c r="RTI5" s="2" t="n"/>
      <c r="RTJ5" s="2" t="n"/>
      <c r="RTK5" s="2" t="n"/>
      <c r="RTL5" s="2" t="n"/>
      <c r="RTM5" s="2" t="n"/>
      <c r="RTN5" s="2" t="n"/>
      <c r="RTO5" s="2" t="n"/>
      <c r="RTP5" s="2" t="n"/>
      <c r="RTQ5" s="2" t="n"/>
      <c r="RTR5" s="2" t="n"/>
      <c r="RTS5" s="2" t="n"/>
      <c r="RTT5" s="2" t="n"/>
      <c r="RTU5" s="2" t="n"/>
      <c r="RTV5" s="2" t="n"/>
      <c r="RTW5" s="2" t="n"/>
      <c r="RTX5" s="2" t="n"/>
      <c r="RTY5" s="2" t="n"/>
      <c r="RTZ5" s="2" t="n"/>
      <c r="RUA5" s="2" t="n"/>
      <c r="RUB5" s="2" t="n"/>
      <c r="RUC5" s="2" t="n"/>
      <c r="RUD5" s="2" t="n"/>
      <c r="RUE5" s="2" t="n"/>
      <c r="RUF5" s="2" t="n"/>
      <c r="RUG5" s="2" t="n"/>
      <c r="RUH5" s="2" t="n"/>
      <c r="RUI5" s="2" t="n"/>
      <c r="RUJ5" s="2" t="n"/>
      <c r="RUK5" s="2" t="n"/>
      <c r="RUL5" s="2" t="n"/>
      <c r="RUM5" s="2" t="n"/>
      <c r="RUN5" s="2" t="n"/>
      <c r="RUO5" s="2" t="n"/>
      <c r="RUP5" s="2" t="n"/>
      <c r="RUQ5" s="2" t="n"/>
      <c r="RUR5" s="2" t="n"/>
      <c r="RUS5" s="2" t="n"/>
      <c r="RUT5" s="2" t="n"/>
      <c r="RUU5" s="2" t="n"/>
      <c r="RUV5" s="2" t="n"/>
      <c r="RUW5" s="2" t="n"/>
      <c r="RUX5" s="2" t="n"/>
      <c r="RUY5" s="2" t="n"/>
      <c r="RUZ5" s="2" t="n"/>
      <c r="RVA5" s="2" t="n"/>
      <c r="RVB5" s="2" t="n"/>
      <c r="RVC5" s="2" t="n"/>
      <c r="RVD5" s="2" t="n"/>
      <c r="RVE5" s="2" t="n"/>
      <c r="RVF5" s="2" t="n"/>
      <c r="RVG5" s="2" t="n"/>
      <c r="RVH5" s="2" t="n"/>
      <c r="RVI5" s="2" t="n"/>
      <c r="RVJ5" s="2" t="n"/>
      <c r="RVK5" s="2" t="n"/>
      <c r="RVL5" s="2" t="n"/>
      <c r="RVM5" s="2" t="n"/>
      <c r="RVN5" s="2" t="n"/>
      <c r="RVO5" s="2" t="n"/>
      <c r="RVP5" s="2" t="n"/>
      <c r="RVQ5" s="2" t="n"/>
      <c r="RVR5" s="2" t="n"/>
      <c r="RVS5" s="2" t="n"/>
      <c r="RVT5" s="2" t="n"/>
      <c r="RVU5" s="2" t="n"/>
      <c r="RVV5" s="2" t="n"/>
      <c r="RVW5" s="2" t="n"/>
      <c r="RVX5" s="2" t="n"/>
      <c r="RVY5" s="2" t="n"/>
      <c r="RVZ5" s="2" t="n"/>
      <c r="RWA5" s="2" t="n"/>
      <c r="RWB5" s="2" t="n"/>
      <c r="RWC5" s="2" t="n"/>
      <c r="RWD5" s="2" t="n"/>
      <c r="RWE5" s="2" t="n"/>
      <c r="RWF5" s="2" t="n"/>
      <c r="RWG5" s="2" t="n"/>
      <c r="RWH5" s="2" t="n"/>
      <c r="RWI5" s="2" t="n"/>
      <c r="RWJ5" s="2" t="n"/>
      <c r="RWK5" s="2" t="n"/>
      <c r="RWL5" s="2" t="n"/>
      <c r="RWM5" s="2" t="n"/>
      <c r="RWN5" s="2" t="n"/>
      <c r="RWO5" s="2" t="n"/>
      <c r="RWP5" s="2" t="n"/>
      <c r="RWQ5" s="2" t="n"/>
      <c r="RWR5" s="2" t="n"/>
      <c r="RWS5" s="2" t="n"/>
      <c r="RWT5" s="2" t="n"/>
      <c r="RWU5" s="2" t="n"/>
      <c r="RWV5" s="2" t="n"/>
      <c r="RWW5" s="2" t="n"/>
      <c r="RWX5" s="2" t="n"/>
      <c r="RWY5" s="2" t="n"/>
      <c r="RWZ5" s="2" t="n"/>
      <c r="RXA5" s="2" t="n"/>
      <c r="RXB5" s="2" t="n"/>
      <c r="RXC5" s="2" t="n"/>
      <c r="RXD5" s="2" t="n"/>
      <c r="RXE5" s="2" t="n"/>
      <c r="RXF5" s="2" t="n"/>
      <c r="RXG5" s="2" t="n"/>
      <c r="RXH5" s="2" t="n"/>
      <c r="RXI5" s="2" t="n"/>
      <c r="RXJ5" s="2" t="n"/>
      <c r="RXK5" s="2" t="n"/>
      <c r="RXL5" s="2" t="n"/>
      <c r="RXM5" s="2" t="n"/>
      <c r="RXN5" s="2" t="n"/>
      <c r="RXO5" s="2" t="n"/>
      <c r="RXP5" s="2" t="n"/>
      <c r="RXQ5" s="2" t="n"/>
      <c r="RXR5" s="2" t="n"/>
      <c r="RXS5" s="2" t="n"/>
      <c r="RXT5" s="2" t="n"/>
      <c r="RXU5" s="2" t="n"/>
      <c r="RXV5" s="2" t="n"/>
      <c r="RXW5" s="2" t="n"/>
      <c r="RXX5" s="2" t="n"/>
      <c r="RXY5" s="2" t="n"/>
      <c r="RXZ5" s="2" t="n"/>
      <c r="RYA5" s="2" t="n"/>
      <c r="RYB5" s="2" t="n"/>
      <c r="RYC5" s="2" t="n"/>
      <c r="RYD5" s="2" t="n"/>
      <c r="RYE5" s="2" t="n"/>
      <c r="RYF5" s="2" t="n"/>
      <c r="RYG5" s="2" t="n"/>
      <c r="RYH5" s="2" t="n"/>
      <c r="RYI5" s="2" t="n"/>
      <c r="RYJ5" s="2" t="n"/>
      <c r="RYK5" s="2" t="n"/>
      <c r="RYL5" s="2" t="n"/>
      <c r="RYM5" s="2" t="n"/>
      <c r="RYN5" s="2" t="n"/>
      <c r="RYO5" s="2" t="n"/>
      <c r="RYP5" s="2" t="n"/>
      <c r="RYQ5" s="2" t="n"/>
      <c r="RYR5" s="2" t="n"/>
      <c r="RYS5" s="2" t="n"/>
      <c r="RYT5" s="2" t="n"/>
      <c r="RYU5" s="2" t="n"/>
      <c r="RYV5" s="2" t="n"/>
      <c r="RYW5" s="2" t="n"/>
      <c r="RYX5" s="2" t="n"/>
      <c r="RYY5" s="2" t="n"/>
      <c r="RYZ5" s="2" t="n"/>
      <c r="RZA5" s="2" t="n"/>
      <c r="RZB5" s="2" t="n"/>
      <c r="RZC5" s="2" t="n"/>
      <c r="RZD5" s="2" t="n"/>
      <c r="RZE5" s="2" t="n"/>
      <c r="RZF5" s="2" t="n"/>
      <c r="RZG5" s="2" t="n"/>
      <c r="RZH5" s="2" t="n"/>
      <c r="RZI5" s="2" t="n"/>
      <c r="RZJ5" s="2" t="n"/>
      <c r="RZK5" s="2" t="n"/>
      <c r="RZL5" s="2" t="n"/>
      <c r="RZM5" s="2" t="n"/>
      <c r="RZN5" s="2" t="n"/>
      <c r="RZO5" s="2" t="n"/>
      <c r="RZP5" s="2" t="n"/>
      <c r="RZQ5" s="2" t="n"/>
      <c r="RZR5" s="2" t="n"/>
      <c r="RZS5" s="2" t="n"/>
      <c r="RZT5" s="2" t="n"/>
      <c r="RZU5" s="2" t="n"/>
      <c r="RZV5" s="2" t="n"/>
      <c r="RZW5" s="2" t="n"/>
      <c r="RZX5" s="2" t="n"/>
      <c r="RZY5" s="2" t="n"/>
      <c r="RZZ5" s="2" t="n"/>
      <c r="SAA5" s="2" t="n"/>
      <c r="SAB5" s="2" t="n"/>
      <c r="SAC5" s="2" t="n"/>
      <c r="SAD5" s="2" t="n"/>
      <c r="SAE5" s="2" t="n"/>
      <c r="SAF5" s="2" t="n"/>
      <c r="SAG5" s="2" t="n"/>
      <c r="SAH5" s="2" t="n"/>
      <c r="SAI5" s="2" t="n"/>
      <c r="SAJ5" s="2" t="n"/>
      <c r="SAK5" s="2" t="n"/>
      <c r="SAL5" s="2" t="n"/>
      <c r="SAM5" s="2" t="n"/>
      <c r="SAN5" s="2" t="n"/>
      <c r="SAO5" s="2" t="n"/>
      <c r="SAP5" s="2" t="n"/>
      <c r="SAQ5" s="2" t="n"/>
      <c r="SAR5" s="2" t="n"/>
      <c r="SAS5" s="2" t="n"/>
      <c r="SAT5" s="2" t="n"/>
      <c r="SAU5" s="2" t="n"/>
      <c r="SAV5" s="2" t="n"/>
      <c r="SAW5" s="2" t="n"/>
      <c r="SAX5" s="2" t="n"/>
      <c r="SAY5" s="2" t="n"/>
      <c r="SAZ5" s="2" t="n"/>
      <c r="SBA5" s="2" t="n"/>
      <c r="SBB5" s="2" t="n"/>
      <c r="SBC5" s="2" t="n"/>
      <c r="SBD5" s="2" t="n"/>
      <c r="SBE5" s="2" t="n"/>
      <c r="SBF5" s="2" t="n"/>
      <c r="SBG5" s="2" t="n"/>
      <c r="SBH5" s="2" t="n"/>
      <c r="SBI5" s="2" t="n"/>
      <c r="SBJ5" s="2" t="n"/>
      <c r="SBK5" s="2" t="n"/>
      <c r="SBL5" s="2" t="n"/>
      <c r="SBM5" s="2" t="n"/>
      <c r="SBN5" s="2" t="n"/>
      <c r="SBO5" s="2" t="n"/>
      <c r="SBP5" s="2" t="n"/>
      <c r="SBQ5" s="2" t="n"/>
      <c r="SBR5" s="2" t="n"/>
      <c r="SBS5" s="2" t="n"/>
      <c r="SBT5" s="2" t="n"/>
      <c r="SBU5" s="2" t="n"/>
      <c r="SBV5" s="2" t="n"/>
      <c r="SBW5" s="2" t="n"/>
      <c r="SBX5" s="2" t="n"/>
      <c r="SBY5" s="2" t="n"/>
      <c r="SBZ5" s="2" t="n"/>
      <c r="SCA5" s="2" t="n"/>
      <c r="SCB5" s="2" t="n"/>
      <c r="SCC5" s="2" t="n"/>
      <c r="SCD5" s="2" t="n"/>
      <c r="SCE5" s="2" t="n"/>
      <c r="SCF5" s="2" t="n"/>
      <c r="SCG5" s="2" t="n"/>
      <c r="SCH5" s="2" t="n"/>
      <c r="SCI5" s="2" t="n"/>
      <c r="SCJ5" s="2" t="n"/>
      <c r="SCK5" s="2" t="n"/>
      <c r="SCL5" s="2" t="n"/>
      <c r="SCM5" s="2" t="n"/>
      <c r="SCN5" s="2" t="n"/>
      <c r="SCO5" s="2" t="n"/>
      <c r="SCP5" s="2" t="n"/>
      <c r="SCQ5" s="2" t="n"/>
      <c r="SCR5" s="2" t="n"/>
      <c r="SCS5" s="2" t="n"/>
      <c r="SCT5" s="2" t="n"/>
      <c r="SCU5" s="2" t="n"/>
      <c r="SCV5" s="2" t="n"/>
      <c r="SCW5" s="2" t="n"/>
      <c r="SCX5" s="2" t="n"/>
      <c r="SCY5" s="2" t="n"/>
      <c r="SCZ5" s="2" t="n"/>
      <c r="SDA5" s="2" t="n"/>
      <c r="SDB5" s="2" t="n"/>
      <c r="SDC5" s="2" t="n"/>
      <c r="SDD5" s="2" t="n"/>
      <c r="SDE5" s="2" t="n"/>
      <c r="SDF5" s="2" t="n"/>
      <c r="SDG5" s="2" t="n"/>
      <c r="SDH5" s="2" t="n"/>
      <c r="SDI5" s="2" t="n"/>
      <c r="SDJ5" s="2" t="n"/>
      <c r="SDK5" s="2" t="n"/>
      <c r="SDL5" s="2" t="n"/>
      <c r="SDM5" s="2" t="n"/>
      <c r="SDN5" s="2" t="n"/>
      <c r="SDO5" s="2" t="n"/>
      <c r="SDP5" s="2" t="n"/>
      <c r="SDQ5" s="2" t="n"/>
      <c r="SDR5" s="2" t="n"/>
      <c r="SDS5" s="2" t="n"/>
      <c r="SDT5" s="2" t="n"/>
      <c r="SDU5" s="2" t="n"/>
      <c r="SDV5" s="2" t="n"/>
      <c r="SDW5" s="2" t="n"/>
      <c r="SDX5" s="2" t="n"/>
      <c r="SDY5" s="2" t="n"/>
      <c r="SDZ5" s="2" t="n"/>
      <c r="SEA5" s="2" t="n"/>
      <c r="SEB5" s="2" t="n"/>
      <c r="SEC5" s="2" t="n"/>
      <c r="SED5" s="2" t="n"/>
      <c r="SEE5" s="2" t="n"/>
      <c r="SEF5" s="2" t="n"/>
      <c r="SEG5" s="2" t="n"/>
      <c r="SEH5" s="2" t="n"/>
      <c r="SEI5" s="2" t="n"/>
      <c r="SEJ5" s="2" t="n"/>
      <c r="SEK5" s="2" t="n"/>
      <c r="SEL5" s="2" t="n"/>
      <c r="SEM5" s="2" t="n"/>
      <c r="SEN5" s="2" t="n"/>
      <c r="SEO5" s="2" t="n"/>
      <c r="SEP5" s="2" t="n"/>
      <c r="SEQ5" s="2" t="n"/>
      <c r="SER5" s="2" t="n"/>
      <c r="SES5" s="2" t="n"/>
      <c r="SET5" s="2" t="n"/>
      <c r="SEU5" s="2" t="n"/>
      <c r="SEV5" s="2" t="n"/>
      <c r="SEW5" s="2" t="n"/>
      <c r="SEX5" s="2" t="n"/>
      <c r="SEY5" s="2" t="n"/>
      <c r="SEZ5" s="2" t="n"/>
      <c r="SFA5" s="2" t="n"/>
      <c r="SFB5" s="2" t="n"/>
      <c r="SFC5" s="2" t="n"/>
      <c r="SFD5" s="2" t="n"/>
      <c r="SFE5" s="2" t="n"/>
      <c r="SFF5" s="2" t="n"/>
      <c r="SFG5" s="2" t="n"/>
      <c r="SFH5" s="2" t="n"/>
      <c r="SFI5" s="2" t="n"/>
      <c r="SFJ5" s="2" t="n"/>
      <c r="SFK5" s="2" t="n"/>
      <c r="SFL5" s="2" t="n"/>
      <c r="SFM5" s="2" t="n"/>
      <c r="SFN5" s="2" t="n"/>
      <c r="SFO5" s="2" t="n"/>
      <c r="SFP5" s="2" t="n"/>
      <c r="SFQ5" s="2" t="n"/>
      <c r="SFR5" s="2" t="n"/>
      <c r="SFS5" s="2" t="n"/>
      <c r="SFT5" s="2" t="n"/>
      <c r="SFU5" s="2" t="n"/>
      <c r="SFV5" s="2" t="n"/>
      <c r="SFW5" s="2" t="n"/>
      <c r="SFX5" s="2" t="n"/>
      <c r="SFY5" s="2" t="n"/>
      <c r="SFZ5" s="2" t="n"/>
      <c r="SGA5" s="2" t="n"/>
      <c r="SGB5" s="2" t="n"/>
      <c r="SGC5" s="2" t="n"/>
      <c r="SGD5" s="2" t="n"/>
      <c r="SGE5" s="2" t="n"/>
      <c r="SGF5" s="2" t="n"/>
      <c r="SGG5" s="2" t="n"/>
      <c r="SGH5" s="2" t="n"/>
      <c r="SGI5" s="2" t="n"/>
      <c r="SGJ5" s="2" t="n"/>
      <c r="SGK5" s="2" t="n"/>
      <c r="SGL5" s="2" t="n"/>
      <c r="SGM5" s="2" t="n"/>
      <c r="SGN5" s="2" t="n"/>
      <c r="SGO5" s="2" t="n"/>
      <c r="SGP5" s="2" t="n"/>
      <c r="SGQ5" s="2" t="n"/>
      <c r="SGR5" s="2" t="n"/>
      <c r="SGS5" s="2" t="n"/>
      <c r="SGT5" s="2" t="n"/>
      <c r="SGU5" s="2" t="n"/>
      <c r="SGV5" s="2" t="n"/>
      <c r="SGW5" s="2" t="n"/>
      <c r="SGX5" s="2" t="n"/>
      <c r="SGY5" s="2" t="n"/>
      <c r="SGZ5" s="2" t="n"/>
      <c r="SHA5" s="2" t="n"/>
      <c r="SHB5" s="2" t="n"/>
      <c r="SHC5" s="2" t="n"/>
      <c r="SHD5" s="2" t="n"/>
      <c r="SHE5" s="2" t="n"/>
      <c r="SHF5" s="2" t="n"/>
      <c r="SHG5" s="2" t="n"/>
      <c r="SHH5" s="2" t="n"/>
      <c r="SHI5" s="2" t="n"/>
      <c r="SHJ5" s="2" t="n"/>
      <c r="SHK5" s="2" t="n"/>
      <c r="SHL5" s="2" t="n"/>
      <c r="SHM5" s="2" t="n"/>
      <c r="SHN5" s="2" t="n"/>
      <c r="SHO5" s="2" t="n"/>
      <c r="SHP5" s="2" t="n"/>
      <c r="SHQ5" s="2" t="n"/>
      <c r="SHR5" s="2" t="n"/>
      <c r="SHS5" s="2" t="n"/>
      <c r="SHT5" s="2" t="n"/>
      <c r="SHU5" s="2" t="n"/>
      <c r="SHV5" s="2" t="n"/>
      <c r="SHW5" s="2" t="n"/>
      <c r="SHX5" s="2" t="n"/>
      <c r="SHY5" s="2" t="n"/>
      <c r="SHZ5" s="2" t="n"/>
      <c r="SIA5" s="2" t="n"/>
      <c r="SIB5" s="2" t="n"/>
      <c r="SIC5" s="2" t="n"/>
      <c r="SID5" s="2" t="n"/>
      <c r="SIE5" s="2" t="n"/>
      <c r="SIF5" s="2" t="n"/>
      <c r="SIG5" s="2" t="n"/>
      <c r="SIH5" s="2" t="n"/>
      <c r="SII5" s="2" t="n"/>
      <c r="SIJ5" s="2" t="n"/>
      <c r="SIK5" s="2" t="n"/>
      <c r="SIL5" s="2" t="n"/>
      <c r="SIM5" s="2" t="n"/>
      <c r="SIN5" s="2" t="n"/>
      <c r="SIO5" s="2" t="n"/>
      <c r="SIP5" s="2" t="n"/>
      <c r="SIQ5" s="2" t="n"/>
      <c r="SIR5" s="2" t="n"/>
      <c r="SIS5" s="2" t="n"/>
      <c r="SIT5" s="2" t="n"/>
      <c r="SIU5" s="2" t="n"/>
      <c r="SIV5" s="2" t="n"/>
      <c r="SIW5" s="2" t="n"/>
      <c r="SIX5" s="2" t="n"/>
      <c r="SIY5" s="2" t="n"/>
      <c r="SIZ5" s="2" t="n"/>
      <c r="SJA5" s="2" t="n"/>
      <c r="SJB5" s="2" t="n"/>
      <c r="SJC5" s="2" t="n"/>
      <c r="SJD5" s="2" t="n"/>
      <c r="SJE5" s="2" t="n"/>
      <c r="SJF5" s="2" t="n"/>
      <c r="SJG5" s="2" t="n"/>
      <c r="SJH5" s="2" t="n"/>
      <c r="SJI5" s="2" t="n"/>
      <c r="SJJ5" s="2" t="n"/>
      <c r="SJK5" s="2" t="n"/>
      <c r="SJL5" s="2" t="n"/>
      <c r="SJM5" s="2" t="n"/>
      <c r="SJN5" s="2" t="n"/>
      <c r="SJO5" s="2" t="n"/>
      <c r="SJP5" s="2" t="n"/>
      <c r="SJQ5" s="2" t="n"/>
      <c r="SJR5" s="2" t="n"/>
      <c r="SJS5" s="2" t="n"/>
      <c r="SJT5" s="2" t="n"/>
      <c r="SJU5" s="2" t="n"/>
      <c r="SJV5" s="2" t="n"/>
      <c r="SJW5" s="2" t="n"/>
      <c r="SJX5" s="2" t="n"/>
      <c r="SJY5" s="2" t="n"/>
      <c r="SJZ5" s="2" t="n"/>
      <c r="SKA5" s="2" t="n"/>
      <c r="SKB5" s="2" t="n"/>
      <c r="SKC5" s="2" t="n"/>
      <c r="SKD5" s="2" t="n"/>
      <c r="SKE5" s="2" t="n"/>
      <c r="SKF5" s="2" t="n"/>
      <c r="SKG5" s="2" t="n"/>
      <c r="SKH5" s="2" t="n"/>
      <c r="SKI5" s="2" t="n"/>
      <c r="SKJ5" s="2" t="n"/>
      <c r="SKK5" s="2" t="n"/>
      <c r="SKL5" s="2" t="n"/>
      <c r="SKM5" s="2" t="n"/>
      <c r="SKN5" s="2" t="n"/>
      <c r="SKO5" s="2" t="n"/>
      <c r="SKP5" s="2" t="n"/>
      <c r="SKQ5" s="2" t="n"/>
      <c r="SKR5" s="2" t="n"/>
      <c r="SKS5" s="2" t="n"/>
      <c r="SKT5" s="2" t="n"/>
      <c r="SKU5" s="2" t="n"/>
      <c r="SKV5" s="2" t="n"/>
      <c r="SKW5" s="2" t="n"/>
      <c r="SKX5" s="2" t="n"/>
      <c r="SKY5" s="2" t="n"/>
      <c r="SKZ5" s="2" t="n"/>
      <c r="SLA5" s="2" t="n"/>
      <c r="SLB5" s="2" t="n"/>
      <c r="SLC5" s="2" t="n"/>
      <c r="SLD5" s="2" t="n"/>
      <c r="SLE5" s="2" t="n"/>
      <c r="SLF5" s="2" t="n"/>
      <c r="SLG5" s="2" t="n"/>
      <c r="SLH5" s="2" t="n"/>
      <c r="SLI5" s="2" t="n"/>
      <c r="SLJ5" s="2" t="n"/>
      <c r="SLK5" s="2" t="n"/>
      <c r="SLL5" s="2" t="n"/>
      <c r="SLM5" s="2" t="n"/>
      <c r="SLN5" s="2" t="n"/>
      <c r="SLO5" s="2" t="n"/>
      <c r="SLP5" s="2" t="n"/>
      <c r="SLQ5" s="2" t="n"/>
      <c r="SLR5" s="2" t="n"/>
      <c r="SLS5" s="2" t="n"/>
      <c r="SLT5" s="2" t="n"/>
      <c r="SLU5" s="2" t="n"/>
      <c r="SLV5" s="2" t="n"/>
      <c r="SLW5" s="2" t="n"/>
      <c r="SLX5" s="2" t="n"/>
      <c r="SLY5" s="2" t="n"/>
      <c r="SLZ5" s="2" t="n"/>
      <c r="SMA5" s="2" t="n"/>
      <c r="SMB5" s="2" t="n"/>
      <c r="SMC5" s="2" t="n"/>
      <c r="SMD5" s="2" t="n"/>
      <c r="SME5" s="2" t="n"/>
      <c r="SMF5" s="2" t="n"/>
      <c r="SMG5" s="2" t="n"/>
      <c r="SMH5" s="2" t="n"/>
      <c r="SMI5" s="2" t="n"/>
      <c r="SMJ5" s="2" t="n"/>
      <c r="SMK5" s="2" t="n"/>
      <c r="SML5" s="2" t="n"/>
      <c r="SMM5" s="2" t="n"/>
      <c r="SMN5" s="2" t="n"/>
      <c r="SMO5" s="2" t="n"/>
      <c r="SMP5" s="2" t="n"/>
      <c r="SMQ5" s="2" t="n"/>
      <c r="SMR5" s="2" t="n"/>
      <c r="SMS5" s="2" t="n"/>
      <c r="SMT5" s="2" t="n"/>
      <c r="SMU5" s="2" t="n"/>
      <c r="SMV5" s="2" t="n"/>
      <c r="SMW5" s="2" t="n"/>
      <c r="SMX5" s="2" t="n"/>
      <c r="SMY5" s="2" t="n"/>
      <c r="SMZ5" s="2" t="n"/>
      <c r="SNA5" s="2" t="n"/>
      <c r="SNB5" s="2" t="n"/>
      <c r="SNC5" s="2" t="n"/>
      <c r="SND5" s="2" t="n"/>
      <c r="SNE5" s="2" t="n"/>
      <c r="SNF5" s="2" t="n"/>
      <c r="SNG5" s="2" t="n"/>
      <c r="SNH5" s="2" t="n"/>
      <c r="SNI5" s="2" t="n"/>
      <c r="SNJ5" s="2" t="n"/>
      <c r="SNK5" s="2" t="n"/>
      <c r="SNL5" s="2" t="n"/>
      <c r="SNM5" s="2" t="n"/>
      <c r="SNN5" s="2" t="n"/>
      <c r="SNO5" s="2" t="n"/>
      <c r="SNP5" s="2" t="n"/>
      <c r="SNQ5" s="2" t="n"/>
      <c r="SNR5" s="2" t="n"/>
      <c r="SNS5" s="2" t="n"/>
      <c r="SNT5" s="2" t="n"/>
      <c r="SNU5" s="2" t="n"/>
      <c r="SNV5" s="2" t="n"/>
      <c r="SNW5" s="2" t="n"/>
      <c r="SNX5" s="2" t="n"/>
      <c r="SNY5" s="2" t="n"/>
      <c r="SNZ5" s="2" t="n"/>
      <c r="SOA5" s="2" t="n"/>
      <c r="SOB5" s="2" t="n"/>
      <c r="SOC5" s="2" t="n"/>
      <c r="SOD5" s="2" t="n"/>
      <c r="SOE5" s="2" t="n"/>
      <c r="SOF5" s="2" t="n"/>
      <c r="SOG5" s="2" t="n"/>
      <c r="SOH5" s="2" t="n"/>
      <c r="SOI5" s="2" t="n"/>
      <c r="SOJ5" s="2" t="n"/>
      <c r="SOK5" s="2" t="n"/>
      <c r="SOL5" s="2" t="n"/>
      <c r="SOM5" s="2" t="n"/>
      <c r="SON5" s="2" t="n"/>
      <c r="SOO5" s="2" t="n"/>
      <c r="SOP5" s="2" t="n"/>
      <c r="SOQ5" s="2" t="n"/>
      <c r="SOR5" s="2" t="n"/>
      <c r="SOS5" s="2" t="n"/>
      <c r="SOT5" s="2" t="n"/>
      <c r="SOU5" s="2" t="n"/>
      <c r="SOV5" s="2" t="n"/>
      <c r="SOW5" s="2" t="n"/>
      <c r="SOX5" s="2" t="n"/>
      <c r="SOY5" s="2" t="n"/>
      <c r="SOZ5" s="2" t="n"/>
      <c r="SPA5" s="2" t="n"/>
      <c r="SPB5" s="2" t="n"/>
      <c r="SPC5" s="2" t="n"/>
      <c r="SPD5" s="2" t="n"/>
      <c r="SPE5" s="2" t="n"/>
      <c r="SPF5" s="2" t="n"/>
      <c r="SPG5" s="2" t="n"/>
      <c r="SPH5" s="2" t="n"/>
      <c r="SPI5" s="2" t="n"/>
      <c r="SPJ5" s="2" t="n"/>
      <c r="SPK5" s="2" t="n"/>
      <c r="SPL5" s="2" t="n"/>
      <c r="SPM5" s="2" t="n"/>
      <c r="SPN5" s="2" t="n"/>
      <c r="SPO5" s="2" t="n"/>
      <c r="SPP5" s="2" t="n"/>
      <c r="SPQ5" s="2" t="n"/>
      <c r="SPR5" s="2" t="n"/>
      <c r="SPS5" s="2" t="n"/>
      <c r="SPT5" s="2" t="n"/>
      <c r="SPU5" s="2" t="n"/>
      <c r="SPV5" s="2" t="n"/>
      <c r="SPW5" s="2" t="n"/>
      <c r="SPX5" s="2" t="n"/>
      <c r="SPY5" s="2" t="n"/>
      <c r="SPZ5" s="2" t="n"/>
      <c r="SQA5" s="2" t="n"/>
      <c r="SQB5" s="2" t="n"/>
      <c r="SQC5" s="2" t="n"/>
      <c r="SQD5" s="2" t="n"/>
      <c r="SQE5" s="2" t="n"/>
      <c r="SQF5" s="2" t="n"/>
      <c r="SQG5" s="2" t="n"/>
      <c r="SQH5" s="2" t="n"/>
      <c r="SQI5" s="2" t="n"/>
      <c r="SQJ5" s="2" t="n"/>
      <c r="SQK5" s="2" t="n"/>
      <c r="SQL5" s="2" t="n"/>
      <c r="SQM5" s="2" t="n"/>
      <c r="SQN5" s="2" t="n"/>
      <c r="SQO5" s="2" t="n"/>
      <c r="SQP5" s="2" t="n"/>
      <c r="SQQ5" s="2" t="n"/>
      <c r="SQR5" s="2" t="n"/>
      <c r="SQS5" s="2" t="n"/>
      <c r="SQT5" s="2" t="n"/>
      <c r="SQU5" s="2" t="n"/>
      <c r="SQV5" s="2" t="n"/>
      <c r="SQW5" s="2" t="n"/>
      <c r="SQX5" s="2" t="n"/>
      <c r="SQY5" s="2" t="n"/>
      <c r="SQZ5" s="2" t="n"/>
      <c r="SRA5" s="2" t="n"/>
      <c r="SRB5" s="2" t="n"/>
      <c r="SRC5" s="2" t="n"/>
      <c r="SRD5" s="2" t="n"/>
      <c r="SRE5" s="2" t="n"/>
      <c r="SRF5" s="2" t="n"/>
      <c r="SRG5" s="2" t="n"/>
      <c r="SRH5" s="2" t="n"/>
      <c r="SRI5" s="2" t="n"/>
      <c r="SRJ5" s="2" t="n"/>
      <c r="SRK5" s="2" t="n"/>
      <c r="SRL5" s="2" t="n"/>
      <c r="SRM5" s="2" t="n"/>
      <c r="SRN5" s="2" t="n"/>
      <c r="SRO5" s="2" t="n"/>
      <c r="SRP5" s="2" t="n"/>
      <c r="SRQ5" s="2" t="n"/>
      <c r="SRR5" s="2" t="n"/>
      <c r="SRS5" s="2" t="n"/>
      <c r="SRT5" s="2" t="n"/>
      <c r="SRU5" s="2" t="n"/>
      <c r="SRV5" s="2" t="n"/>
      <c r="SRW5" s="2" t="n"/>
      <c r="SRX5" s="2" t="n"/>
      <c r="SRY5" s="2" t="n"/>
      <c r="SRZ5" s="2" t="n"/>
      <c r="SSA5" s="2" t="n"/>
      <c r="SSB5" s="2" t="n"/>
      <c r="SSC5" s="2" t="n"/>
      <c r="SSD5" s="2" t="n"/>
      <c r="SSE5" s="2" t="n"/>
      <c r="SSF5" s="2" t="n"/>
      <c r="SSG5" s="2" t="n"/>
      <c r="SSH5" s="2" t="n"/>
      <c r="SSI5" s="2" t="n"/>
      <c r="SSJ5" s="2" t="n"/>
      <c r="SSK5" s="2" t="n"/>
      <c r="SSL5" s="2" t="n"/>
      <c r="SSM5" s="2" t="n"/>
      <c r="SSN5" s="2" t="n"/>
      <c r="SSO5" s="2" t="n"/>
      <c r="SSP5" s="2" t="n"/>
      <c r="SSQ5" s="2" t="n"/>
      <c r="SSR5" s="2" t="n"/>
      <c r="SSS5" s="2" t="n"/>
      <c r="SST5" s="2" t="n"/>
      <c r="SSU5" s="2" t="n"/>
      <c r="SSV5" s="2" t="n"/>
      <c r="SSW5" s="2" t="n"/>
      <c r="SSX5" s="2" t="n"/>
      <c r="SSY5" s="2" t="n"/>
      <c r="SSZ5" s="2" t="n"/>
      <c r="STA5" s="2" t="n"/>
      <c r="STB5" s="2" t="n"/>
      <c r="STC5" s="2" t="n"/>
      <c r="STD5" s="2" t="n"/>
      <c r="STE5" s="2" t="n"/>
      <c r="STF5" s="2" t="n"/>
      <c r="STG5" s="2" t="n"/>
      <c r="STH5" s="2" t="n"/>
      <c r="STI5" s="2" t="n"/>
      <c r="STJ5" s="2" t="n"/>
      <c r="STK5" s="2" t="n"/>
      <c r="STL5" s="2" t="n"/>
      <c r="STM5" s="2" t="n"/>
      <c r="STN5" s="2" t="n"/>
      <c r="STO5" s="2" t="n"/>
      <c r="STP5" s="2" t="n"/>
      <c r="STQ5" s="2" t="n"/>
      <c r="STR5" s="2" t="n"/>
      <c r="STS5" s="2" t="n"/>
      <c r="STT5" s="2" t="n"/>
      <c r="STU5" s="2" t="n"/>
      <c r="STV5" s="2" t="n"/>
      <c r="STW5" s="2" t="n"/>
      <c r="STX5" s="2" t="n"/>
      <c r="STY5" s="2" t="n"/>
      <c r="STZ5" s="2" t="n"/>
      <c r="SUA5" s="2" t="n"/>
      <c r="SUB5" s="2" t="n"/>
      <c r="SUC5" s="2" t="n"/>
      <c r="SUD5" s="2" t="n"/>
      <c r="SUE5" s="2" t="n"/>
      <c r="SUF5" s="2" t="n"/>
      <c r="SUG5" s="2" t="n"/>
      <c r="SUH5" s="2" t="n"/>
      <c r="SUI5" s="2" t="n"/>
      <c r="SUJ5" s="2" t="n"/>
      <c r="SUK5" s="2" t="n"/>
      <c r="SUL5" s="2" t="n"/>
      <c r="SUM5" s="2" t="n"/>
      <c r="SUN5" s="2" t="n"/>
      <c r="SUO5" s="2" t="n"/>
      <c r="SUP5" s="2" t="n"/>
      <c r="SUQ5" s="2" t="n"/>
      <c r="SUR5" s="2" t="n"/>
      <c r="SUS5" s="2" t="n"/>
      <c r="SUT5" s="2" t="n"/>
      <c r="SUU5" s="2" t="n"/>
      <c r="SUV5" s="2" t="n"/>
      <c r="SUW5" s="2" t="n"/>
      <c r="SUX5" s="2" t="n"/>
      <c r="SUY5" s="2" t="n"/>
      <c r="SUZ5" s="2" t="n"/>
      <c r="SVA5" s="2" t="n"/>
      <c r="SVB5" s="2" t="n"/>
      <c r="SVC5" s="2" t="n"/>
      <c r="SVD5" s="2" t="n"/>
      <c r="SVE5" s="2" t="n"/>
      <c r="SVF5" s="2" t="n"/>
      <c r="SVG5" s="2" t="n"/>
      <c r="SVH5" s="2" t="n"/>
      <c r="SVI5" s="2" t="n"/>
      <c r="SVJ5" s="2" t="n"/>
      <c r="SVK5" s="2" t="n"/>
      <c r="SVL5" s="2" t="n"/>
      <c r="SVM5" s="2" t="n"/>
      <c r="SVN5" s="2" t="n"/>
      <c r="SVO5" s="2" t="n"/>
      <c r="SVP5" s="2" t="n"/>
      <c r="SVQ5" s="2" t="n"/>
      <c r="SVR5" s="2" t="n"/>
      <c r="SVS5" s="2" t="n"/>
      <c r="SVT5" s="2" t="n"/>
      <c r="SVU5" s="2" t="n"/>
      <c r="SVV5" s="2" t="n"/>
      <c r="SVW5" s="2" t="n"/>
      <c r="SVX5" s="2" t="n"/>
      <c r="SVY5" s="2" t="n"/>
      <c r="SVZ5" s="2" t="n"/>
      <c r="SWA5" s="2" t="n"/>
      <c r="SWB5" s="2" t="n"/>
      <c r="SWC5" s="2" t="n"/>
      <c r="SWD5" s="2" t="n"/>
      <c r="SWE5" s="2" t="n"/>
      <c r="SWF5" s="2" t="n"/>
      <c r="SWG5" s="2" t="n"/>
      <c r="SWH5" s="2" t="n"/>
      <c r="SWI5" s="2" t="n"/>
      <c r="SWJ5" s="2" t="n"/>
      <c r="SWK5" s="2" t="n"/>
      <c r="SWL5" s="2" t="n"/>
      <c r="SWM5" s="2" t="n"/>
      <c r="SWN5" s="2" t="n"/>
      <c r="SWO5" s="2" t="n"/>
      <c r="SWP5" s="2" t="n"/>
      <c r="SWQ5" s="2" t="n"/>
      <c r="SWR5" s="2" t="n"/>
      <c r="SWS5" s="2" t="n"/>
      <c r="SWT5" s="2" t="n"/>
      <c r="SWU5" s="2" t="n"/>
      <c r="SWV5" s="2" t="n"/>
      <c r="SWW5" s="2" t="n"/>
      <c r="SWX5" s="2" t="n"/>
      <c r="SWY5" s="2" t="n"/>
      <c r="SWZ5" s="2" t="n"/>
      <c r="SXA5" s="2" t="n"/>
      <c r="SXB5" s="2" t="n"/>
      <c r="SXC5" s="2" t="n"/>
      <c r="SXD5" s="2" t="n"/>
      <c r="SXE5" s="2" t="n"/>
      <c r="SXF5" s="2" t="n"/>
      <c r="SXG5" s="2" t="n"/>
      <c r="SXH5" s="2" t="n"/>
      <c r="SXI5" s="2" t="n"/>
      <c r="SXJ5" s="2" t="n"/>
      <c r="SXK5" s="2" t="n"/>
      <c r="SXL5" s="2" t="n"/>
      <c r="SXM5" s="2" t="n"/>
      <c r="SXN5" s="2" t="n"/>
      <c r="SXO5" s="2" t="n"/>
      <c r="SXP5" s="2" t="n"/>
      <c r="SXQ5" s="2" t="n"/>
      <c r="SXR5" s="2" t="n"/>
      <c r="SXS5" s="2" t="n"/>
      <c r="SXT5" s="2" t="n"/>
      <c r="SXU5" s="2" t="n"/>
      <c r="SXV5" s="2" t="n"/>
      <c r="SXW5" s="2" t="n"/>
      <c r="SXX5" s="2" t="n"/>
      <c r="SXY5" s="2" t="n"/>
      <c r="SXZ5" s="2" t="n"/>
      <c r="SYA5" s="2" t="n"/>
      <c r="SYB5" s="2" t="n"/>
      <c r="SYC5" s="2" t="n"/>
      <c r="SYD5" s="2" t="n"/>
      <c r="SYE5" s="2" t="n"/>
      <c r="SYF5" s="2" t="n"/>
      <c r="SYG5" s="2" t="n"/>
      <c r="SYH5" s="2" t="n"/>
      <c r="SYI5" s="2" t="n"/>
      <c r="SYJ5" s="2" t="n"/>
      <c r="SYK5" s="2" t="n"/>
      <c r="SYL5" s="2" t="n"/>
      <c r="SYM5" s="2" t="n"/>
      <c r="SYN5" s="2" t="n"/>
      <c r="SYO5" s="2" t="n"/>
      <c r="SYP5" s="2" t="n"/>
      <c r="SYQ5" s="2" t="n"/>
      <c r="SYR5" s="2" t="n"/>
      <c r="SYS5" s="2" t="n"/>
      <c r="SYT5" s="2" t="n"/>
      <c r="SYU5" s="2" t="n"/>
      <c r="SYV5" s="2" t="n"/>
      <c r="SYW5" s="2" t="n"/>
      <c r="SYX5" s="2" t="n"/>
      <c r="SYY5" s="2" t="n"/>
      <c r="SYZ5" s="2" t="n"/>
      <c r="SZA5" s="2" t="n"/>
      <c r="SZB5" s="2" t="n"/>
      <c r="SZC5" s="2" t="n"/>
      <c r="SZD5" s="2" t="n"/>
      <c r="SZE5" s="2" t="n"/>
      <c r="SZF5" s="2" t="n"/>
      <c r="SZG5" s="2" t="n"/>
      <c r="SZH5" s="2" t="n"/>
      <c r="SZI5" s="2" t="n"/>
      <c r="SZJ5" s="2" t="n"/>
      <c r="SZK5" s="2" t="n"/>
      <c r="SZL5" s="2" t="n"/>
      <c r="SZM5" s="2" t="n"/>
      <c r="SZN5" s="2" t="n"/>
      <c r="SZO5" s="2" t="n"/>
      <c r="SZP5" s="2" t="n"/>
      <c r="SZQ5" s="2" t="n"/>
      <c r="SZR5" s="2" t="n"/>
      <c r="SZS5" s="2" t="n"/>
      <c r="SZT5" s="2" t="n"/>
      <c r="SZU5" s="2" t="n"/>
      <c r="SZV5" s="2" t="n"/>
      <c r="SZW5" s="2" t="n"/>
      <c r="SZX5" s="2" t="n"/>
      <c r="SZY5" s="2" t="n"/>
      <c r="SZZ5" s="2" t="n"/>
      <c r="TAA5" s="2" t="n"/>
      <c r="TAB5" s="2" t="n"/>
      <c r="TAC5" s="2" t="n"/>
      <c r="TAD5" s="2" t="n"/>
      <c r="TAE5" s="2" t="n"/>
      <c r="TAF5" s="2" t="n"/>
      <c r="TAG5" s="2" t="n"/>
      <c r="TAH5" s="2" t="n"/>
      <c r="TAI5" s="2" t="n"/>
      <c r="TAJ5" s="2" t="n"/>
      <c r="TAK5" s="2" t="n"/>
      <c r="TAL5" s="2" t="n"/>
      <c r="TAM5" s="2" t="n"/>
      <c r="TAN5" s="2" t="n"/>
      <c r="TAO5" s="2" t="n"/>
      <c r="TAP5" s="2" t="n"/>
      <c r="TAQ5" s="2" t="n"/>
      <c r="TAR5" s="2" t="n"/>
      <c r="TAS5" s="2" t="n"/>
      <c r="TAT5" s="2" t="n"/>
      <c r="TAU5" s="2" t="n"/>
      <c r="TAV5" s="2" t="n"/>
      <c r="TAW5" s="2" t="n"/>
      <c r="TAX5" s="2" t="n"/>
      <c r="TAY5" s="2" t="n"/>
      <c r="TAZ5" s="2" t="n"/>
      <c r="TBA5" s="2" t="n"/>
      <c r="TBB5" s="2" t="n"/>
      <c r="TBC5" s="2" t="n"/>
      <c r="TBD5" s="2" t="n"/>
      <c r="TBE5" s="2" t="n"/>
      <c r="TBF5" s="2" t="n"/>
      <c r="TBG5" s="2" t="n"/>
      <c r="TBH5" s="2" t="n"/>
      <c r="TBI5" s="2" t="n"/>
      <c r="TBJ5" s="2" t="n"/>
      <c r="TBK5" s="2" t="n"/>
      <c r="TBL5" s="2" t="n"/>
      <c r="TBM5" s="2" t="n"/>
      <c r="TBN5" s="2" t="n"/>
      <c r="TBO5" s="2" t="n"/>
      <c r="TBP5" s="2" t="n"/>
      <c r="TBQ5" s="2" t="n"/>
      <c r="TBR5" s="2" t="n"/>
      <c r="TBS5" s="2" t="n"/>
      <c r="TBT5" s="2" t="n"/>
      <c r="TBU5" s="2" t="n"/>
      <c r="TBV5" s="2" t="n"/>
      <c r="TBW5" s="2" t="n"/>
      <c r="TBX5" s="2" t="n"/>
      <c r="TBY5" s="2" t="n"/>
      <c r="TBZ5" s="2" t="n"/>
      <c r="TCA5" s="2" t="n"/>
      <c r="TCB5" s="2" t="n"/>
      <c r="TCC5" s="2" t="n"/>
      <c r="TCD5" s="2" t="n"/>
      <c r="TCE5" s="2" t="n"/>
      <c r="TCF5" s="2" t="n"/>
      <c r="TCG5" s="2" t="n"/>
      <c r="TCH5" s="2" t="n"/>
      <c r="TCI5" s="2" t="n"/>
      <c r="TCJ5" s="2" t="n"/>
      <c r="TCK5" s="2" t="n"/>
      <c r="TCL5" s="2" t="n"/>
      <c r="TCM5" s="2" t="n"/>
      <c r="TCN5" s="2" t="n"/>
      <c r="TCO5" s="2" t="n"/>
      <c r="TCP5" s="2" t="n"/>
      <c r="TCQ5" s="2" t="n"/>
      <c r="TCR5" s="2" t="n"/>
      <c r="TCS5" s="2" t="n"/>
      <c r="TCT5" s="2" t="n"/>
      <c r="TCU5" s="2" t="n"/>
      <c r="TCV5" s="2" t="n"/>
      <c r="TCW5" s="2" t="n"/>
      <c r="TCX5" s="2" t="n"/>
      <c r="TCY5" s="2" t="n"/>
      <c r="TCZ5" s="2" t="n"/>
      <c r="TDA5" s="2" t="n"/>
      <c r="TDB5" s="2" t="n"/>
      <c r="TDC5" s="2" t="n"/>
      <c r="TDD5" s="2" t="n"/>
      <c r="TDE5" s="2" t="n"/>
      <c r="TDF5" s="2" t="n"/>
      <c r="TDG5" s="2" t="n"/>
      <c r="TDH5" s="2" t="n"/>
      <c r="TDI5" s="2" t="n"/>
      <c r="TDJ5" s="2" t="n"/>
      <c r="TDK5" s="2" t="n"/>
      <c r="TDL5" s="2" t="n"/>
      <c r="TDM5" s="2" t="n"/>
      <c r="TDN5" s="2" t="n"/>
      <c r="TDO5" s="2" t="n"/>
      <c r="TDP5" s="2" t="n"/>
      <c r="TDQ5" s="2" t="n"/>
      <c r="TDR5" s="2" t="n"/>
      <c r="TDS5" s="2" t="n"/>
      <c r="TDT5" s="2" t="n"/>
      <c r="TDU5" s="2" t="n"/>
      <c r="TDV5" s="2" t="n"/>
      <c r="TDW5" s="2" t="n"/>
      <c r="TDX5" s="2" t="n"/>
      <c r="TDY5" s="2" t="n"/>
      <c r="TDZ5" s="2" t="n"/>
      <c r="TEA5" s="2" t="n"/>
      <c r="TEB5" s="2" t="n"/>
      <c r="TEC5" s="2" t="n"/>
      <c r="TED5" s="2" t="n"/>
      <c r="TEE5" s="2" t="n"/>
      <c r="TEF5" s="2" t="n"/>
      <c r="TEG5" s="2" t="n"/>
      <c r="TEH5" s="2" t="n"/>
      <c r="TEI5" s="2" t="n"/>
      <c r="TEJ5" s="2" t="n"/>
      <c r="TEK5" s="2" t="n"/>
      <c r="TEL5" s="2" t="n"/>
      <c r="TEM5" s="2" t="n"/>
      <c r="TEN5" s="2" t="n"/>
      <c r="TEO5" s="2" t="n"/>
      <c r="TEP5" s="2" t="n"/>
      <c r="TEQ5" s="2" t="n"/>
      <c r="TER5" s="2" t="n"/>
      <c r="TES5" s="2" t="n"/>
      <c r="TET5" s="2" t="n"/>
      <c r="TEU5" s="2" t="n"/>
      <c r="TEV5" s="2" t="n"/>
      <c r="TEW5" s="2" t="n"/>
      <c r="TEX5" s="2" t="n"/>
      <c r="TEY5" s="2" t="n"/>
      <c r="TEZ5" s="2" t="n"/>
      <c r="TFA5" s="2" t="n"/>
      <c r="TFB5" s="2" t="n"/>
      <c r="TFC5" s="2" t="n"/>
      <c r="TFD5" s="2" t="n"/>
      <c r="TFE5" s="2" t="n"/>
      <c r="TFF5" s="2" t="n"/>
      <c r="TFG5" s="2" t="n"/>
      <c r="TFH5" s="2" t="n"/>
      <c r="TFI5" s="2" t="n"/>
      <c r="TFJ5" s="2" t="n"/>
      <c r="TFK5" s="2" t="n"/>
      <c r="TFL5" s="2" t="n"/>
      <c r="TFM5" s="2" t="n"/>
      <c r="TFN5" s="2" t="n"/>
      <c r="TFO5" s="2" t="n"/>
      <c r="TFP5" s="2" t="n"/>
      <c r="TFQ5" s="2" t="n"/>
      <c r="TFR5" s="2" t="n"/>
      <c r="TFS5" s="2" t="n"/>
      <c r="TFT5" s="2" t="n"/>
      <c r="TFU5" s="2" t="n"/>
      <c r="TFV5" s="2" t="n"/>
      <c r="TFW5" s="2" t="n"/>
      <c r="TFX5" s="2" t="n"/>
      <c r="TFY5" s="2" t="n"/>
      <c r="TFZ5" s="2" t="n"/>
      <c r="TGA5" s="2" t="n"/>
      <c r="TGB5" s="2" t="n"/>
      <c r="TGC5" s="2" t="n"/>
      <c r="TGD5" s="2" t="n"/>
      <c r="TGE5" s="2" t="n"/>
      <c r="TGF5" s="2" t="n"/>
      <c r="TGG5" s="2" t="n"/>
      <c r="TGH5" s="2" t="n"/>
      <c r="TGI5" s="2" t="n"/>
      <c r="TGJ5" s="2" t="n"/>
      <c r="TGK5" s="2" t="n"/>
      <c r="TGL5" s="2" t="n"/>
      <c r="TGM5" s="2" t="n"/>
      <c r="TGN5" s="2" t="n"/>
      <c r="TGO5" s="2" t="n"/>
      <c r="TGP5" s="2" t="n"/>
      <c r="TGQ5" s="2" t="n"/>
      <c r="TGR5" s="2" t="n"/>
      <c r="TGS5" s="2" t="n"/>
      <c r="TGT5" s="2" t="n"/>
      <c r="TGU5" s="2" t="n"/>
      <c r="TGV5" s="2" t="n"/>
      <c r="TGW5" s="2" t="n"/>
      <c r="TGX5" s="2" t="n"/>
      <c r="TGY5" s="2" t="n"/>
      <c r="TGZ5" s="2" t="n"/>
      <c r="THA5" s="2" t="n"/>
      <c r="THB5" s="2" t="n"/>
      <c r="THC5" s="2" t="n"/>
      <c r="THD5" s="2" t="n"/>
      <c r="THE5" s="2" t="n"/>
      <c r="THF5" s="2" t="n"/>
      <c r="THG5" s="2" t="n"/>
      <c r="THH5" s="2" t="n"/>
      <c r="THI5" s="2" t="n"/>
      <c r="THJ5" s="2" t="n"/>
      <c r="THK5" s="2" t="n"/>
      <c r="THL5" s="2" t="n"/>
      <c r="THM5" s="2" t="n"/>
      <c r="THN5" s="2" t="n"/>
      <c r="THO5" s="2" t="n"/>
      <c r="THP5" s="2" t="n"/>
      <c r="THQ5" s="2" t="n"/>
      <c r="THR5" s="2" t="n"/>
      <c r="THS5" s="2" t="n"/>
      <c r="THT5" s="2" t="n"/>
      <c r="THU5" s="2" t="n"/>
      <c r="THV5" s="2" t="n"/>
      <c r="THW5" s="2" t="n"/>
      <c r="THX5" s="2" t="n"/>
      <c r="THY5" s="2" t="n"/>
      <c r="THZ5" s="2" t="n"/>
      <c r="TIA5" s="2" t="n"/>
      <c r="TIB5" s="2" t="n"/>
      <c r="TIC5" s="2" t="n"/>
      <c r="TID5" s="2" t="n"/>
      <c r="TIE5" s="2" t="n"/>
      <c r="TIF5" s="2" t="n"/>
      <c r="TIG5" s="2" t="n"/>
      <c r="TIH5" s="2" t="n"/>
      <c r="TII5" s="2" t="n"/>
      <c r="TIJ5" s="2" t="n"/>
      <c r="TIK5" s="2" t="n"/>
      <c r="TIL5" s="2" t="n"/>
      <c r="TIM5" s="2" t="n"/>
      <c r="TIN5" s="2" t="n"/>
      <c r="TIO5" s="2" t="n"/>
      <c r="TIP5" s="2" t="n"/>
      <c r="TIQ5" s="2" t="n"/>
      <c r="TIR5" s="2" t="n"/>
      <c r="TIS5" s="2" t="n"/>
      <c r="TIT5" s="2" t="n"/>
      <c r="TIU5" s="2" t="n"/>
      <c r="TIV5" s="2" t="n"/>
      <c r="TIW5" s="2" t="n"/>
      <c r="TIX5" s="2" t="n"/>
      <c r="TIY5" s="2" t="n"/>
      <c r="TIZ5" s="2" t="n"/>
      <c r="TJA5" s="2" t="n"/>
      <c r="TJB5" s="2" t="n"/>
      <c r="TJC5" s="2" t="n"/>
      <c r="TJD5" s="2" t="n"/>
      <c r="TJE5" s="2" t="n"/>
      <c r="TJF5" s="2" t="n"/>
      <c r="TJG5" s="2" t="n"/>
      <c r="TJH5" s="2" t="n"/>
      <c r="TJI5" s="2" t="n"/>
      <c r="TJJ5" s="2" t="n"/>
      <c r="TJK5" s="2" t="n"/>
      <c r="TJL5" s="2" t="n"/>
      <c r="TJM5" s="2" t="n"/>
      <c r="TJN5" s="2" t="n"/>
      <c r="TJO5" s="2" t="n"/>
      <c r="TJP5" s="2" t="n"/>
      <c r="TJQ5" s="2" t="n"/>
      <c r="TJR5" s="2" t="n"/>
      <c r="TJS5" s="2" t="n"/>
      <c r="TJT5" s="2" t="n"/>
      <c r="TJU5" s="2" t="n"/>
      <c r="TJV5" s="2" t="n"/>
      <c r="TJW5" s="2" t="n"/>
      <c r="TJX5" s="2" t="n"/>
      <c r="TJY5" s="2" t="n"/>
      <c r="TJZ5" s="2" t="n"/>
      <c r="TKA5" s="2" t="n"/>
      <c r="TKB5" s="2" t="n"/>
      <c r="TKC5" s="2" t="n"/>
      <c r="TKD5" s="2" t="n"/>
      <c r="TKE5" s="2" t="n"/>
      <c r="TKF5" s="2" t="n"/>
      <c r="TKG5" s="2" t="n"/>
      <c r="TKH5" s="2" t="n"/>
      <c r="TKI5" s="2" t="n"/>
      <c r="TKJ5" s="2" t="n"/>
      <c r="TKK5" s="2" t="n"/>
      <c r="TKL5" s="2" t="n"/>
      <c r="TKM5" s="2" t="n"/>
      <c r="TKN5" s="2" t="n"/>
      <c r="TKO5" s="2" t="n"/>
      <c r="TKP5" s="2" t="n"/>
      <c r="TKQ5" s="2" t="n"/>
      <c r="TKR5" s="2" t="n"/>
      <c r="TKS5" s="2" t="n"/>
      <c r="TKT5" s="2" t="n"/>
      <c r="TKU5" s="2" t="n"/>
      <c r="TKV5" s="2" t="n"/>
      <c r="TKW5" s="2" t="n"/>
      <c r="TKX5" s="2" t="n"/>
      <c r="TKY5" s="2" t="n"/>
      <c r="TKZ5" s="2" t="n"/>
      <c r="TLA5" s="2" t="n"/>
      <c r="TLB5" s="2" t="n"/>
      <c r="TLC5" s="2" t="n"/>
      <c r="TLD5" s="2" t="n"/>
      <c r="TLE5" s="2" t="n"/>
      <c r="TLF5" s="2" t="n"/>
      <c r="TLG5" s="2" t="n"/>
      <c r="TLH5" s="2" t="n"/>
      <c r="TLI5" s="2" t="n"/>
      <c r="TLJ5" s="2" t="n"/>
      <c r="TLK5" s="2" t="n"/>
      <c r="TLL5" s="2" t="n"/>
      <c r="TLM5" s="2" t="n"/>
      <c r="TLN5" s="2" t="n"/>
      <c r="TLO5" s="2" t="n"/>
      <c r="TLP5" s="2" t="n"/>
      <c r="TLQ5" s="2" t="n"/>
      <c r="TLR5" s="2" t="n"/>
      <c r="TLS5" s="2" t="n"/>
      <c r="TLT5" s="2" t="n"/>
      <c r="TLU5" s="2" t="n"/>
      <c r="TLV5" s="2" t="n"/>
      <c r="TLW5" s="2" t="n"/>
      <c r="TLX5" s="2" t="n"/>
      <c r="TLY5" s="2" t="n"/>
      <c r="TLZ5" s="2" t="n"/>
      <c r="TMA5" s="2" t="n"/>
      <c r="TMB5" s="2" t="n"/>
      <c r="TMC5" s="2" t="n"/>
      <c r="TMD5" s="2" t="n"/>
      <c r="TME5" s="2" t="n"/>
      <c r="TMF5" s="2" t="n"/>
      <c r="TMG5" s="2" t="n"/>
      <c r="TMH5" s="2" t="n"/>
      <c r="TMI5" s="2" t="n"/>
      <c r="TMJ5" s="2" t="n"/>
      <c r="TMK5" s="2" t="n"/>
      <c r="TML5" s="2" t="n"/>
      <c r="TMM5" s="2" t="n"/>
      <c r="TMN5" s="2" t="n"/>
      <c r="TMO5" s="2" t="n"/>
      <c r="TMP5" s="2" t="n"/>
      <c r="TMQ5" s="2" t="n"/>
      <c r="TMR5" s="2" t="n"/>
      <c r="TMS5" s="2" t="n"/>
      <c r="TMT5" s="2" t="n"/>
      <c r="TMU5" s="2" t="n"/>
      <c r="TMV5" s="2" t="n"/>
      <c r="TMW5" s="2" t="n"/>
      <c r="TMX5" s="2" t="n"/>
      <c r="TMY5" s="2" t="n"/>
      <c r="TMZ5" s="2" t="n"/>
      <c r="TNA5" s="2" t="n"/>
      <c r="TNB5" s="2" t="n"/>
      <c r="TNC5" s="2" t="n"/>
      <c r="TND5" s="2" t="n"/>
      <c r="TNE5" s="2" t="n"/>
      <c r="TNF5" s="2" t="n"/>
      <c r="TNG5" s="2" t="n"/>
      <c r="TNH5" s="2" t="n"/>
      <c r="TNI5" s="2" t="n"/>
      <c r="TNJ5" s="2" t="n"/>
      <c r="TNK5" s="2" t="n"/>
      <c r="TNL5" s="2" t="n"/>
      <c r="TNM5" s="2" t="n"/>
      <c r="TNN5" s="2" t="n"/>
      <c r="TNO5" s="2" t="n"/>
      <c r="TNP5" s="2" t="n"/>
      <c r="TNQ5" s="2" t="n"/>
      <c r="TNR5" s="2" t="n"/>
      <c r="TNS5" s="2" t="n"/>
      <c r="TNT5" s="2" t="n"/>
      <c r="TNU5" s="2" t="n"/>
      <c r="TNV5" s="2" t="n"/>
      <c r="TNW5" s="2" t="n"/>
      <c r="TNX5" s="2" t="n"/>
      <c r="TNY5" s="2" t="n"/>
      <c r="TNZ5" s="2" t="n"/>
      <c r="TOA5" s="2" t="n"/>
      <c r="TOB5" s="2" t="n"/>
      <c r="TOC5" s="2" t="n"/>
      <c r="TOD5" s="2" t="n"/>
      <c r="TOE5" s="2" t="n"/>
      <c r="TOF5" s="2" t="n"/>
      <c r="TOG5" s="2" t="n"/>
      <c r="TOH5" s="2" t="n"/>
      <c r="TOI5" s="2" t="n"/>
      <c r="TOJ5" s="2" t="n"/>
      <c r="TOK5" s="2" t="n"/>
      <c r="TOL5" s="2" t="n"/>
      <c r="TOM5" s="2" t="n"/>
      <c r="TON5" s="2" t="n"/>
      <c r="TOO5" s="2" t="n"/>
      <c r="TOP5" s="2" t="n"/>
      <c r="TOQ5" s="2" t="n"/>
      <c r="TOR5" s="2" t="n"/>
      <c r="TOS5" s="2" t="n"/>
      <c r="TOT5" s="2" t="n"/>
      <c r="TOU5" s="2" t="n"/>
      <c r="TOV5" s="2" t="n"/>
      <c r="TOW5" s="2" t="n"/>
      <c r="TOX5" s="2" t="n"/>
      <c r="TOY5" s="2" t="n"/>
      <c r="TOZ5" s="2" t="n"/>
      <c r="TPA5" s="2" t="n"/>
      <c r="TPB5" s="2" t="n"/>
      <c r="TPC5" s="2" t="n"/>
      <c r="TPD5" s="2" t="n"/>
      <c r="TPE5" s="2" t="n"/>
      <c r="TPF5" s="2" t="n"/>
      <c r="TPG5" s="2" t="n"/>
      <c r="TPH5" s="2" t="n"/>
      <c r="TPI5" s="2" t="n"/>
      <c r="TPJ5" s="2" t="n"/>
      <c r="TPK5" s="2" t="n"/>
      <c r="TPL5" s="2" t="n"/>
      <c r="TPM5" s="2" t="n"/>
      <c r="TPN5" s="2" t="n"/>
      <c r="TPO5" s="2" t="n"/>
      <c r="TPP5" s="2" t="n"/>
      <c r="TPQ5" s="2" t="n"/>
      <c r="TPR5" s="2" t="n"/>
      <c r="TPS5" s="2" t="n"/>
      <c r="TPT5" s="2" t="n"/>
      <c r="TPU5" s="2" t="n"/>
      <c r="TPV5" s="2" t="n"/>
      <c r="TPW5" s="2" t="n"/>
      <c r="TPX5" s="2" t="n"/>
      <c r="TPY5" s="2" t="n"/>
      <c r="TPZ5" s="2" t="n"/>
      <c r="TQA5" s="2" t="n"/>
      <c r="TQB5" s="2" t="n"/>
      <c r="TQC5" s="2" t="n"/>
      <c r="TQD5" s="2" t="n"/>
      <c r="TQE5" s="2" t="n"/>
      <c r="TQF5" s="2" t="n"/>
      <c r="TQG5" s="2" t="n"/>
      <c r="TQH5" s="2" t="n"/>
      <c r="TQI5" s="2" t="n"/>
      <c r="TQJ5" s="2" t="n"/>
      <c r="TQK5" s="2" t="n"/>
      <c r="TQL5" s="2" t="n"/>
      <c r="TQM5" s="2" t="n"/>
      <c r="TQN5" s="2" t="n"/>
      <c r="TQO5" s="2" t="n"/>
      <c r="TQP5" s="2" t="n"/>
      <c r="TQQ5" s="2" t="n"/>
      <c r="TQR5" s="2" t="n"/>
      <c r="TQS5" s="2" t="n"/>
      <c r="TQT5" s="2" t="n"/>
      <c r="TQU5" s="2" t="n"/>
      <c r="TQV5" s="2" t="n"/>
      <c r="TQW5" s="2" t="n"/>
      <c r="TQX5" s="2" t="n"/>
      <c r="TQY5" s="2" t="n"/>
      <c r="TQZ5" s="2" t="n"/>
      <c r="TRA5" s="2" t="n"/>
      <c r="TRB5" s="2" t="n"/>
      <c r="TRC5" s="2" t="n"/>
      <c r="TRD5" s="2" t="n"/>
      <c r="TRE5" s="2" t="n"/>
      <c r="TRF5" s="2" t="n"/>
      <c r="TRG5" s="2" t="n"/>
      <c r="TRH5" s="2" t="n"/>
      <c r="TRI5" s="2" t="n"/>
      <c r="TRJ5" s="2" t="n"/>
      <c r="TRK5" s="2" t="n"/>
      <c r="TRL5" s="2" t="n"/>
      <c r="TRM5" s="2" t="n"/>
      <c r="TRN5" s="2" t="n"/>
      <c r="TRO5" s="2" t="n"/>
      <c r="TRP5" s="2" t="n"/>
      <c r="TRQ5" s="2" t="n"/>
      <c r="TRR5" s="2" t="n"/>
      <c r="TRS5" s="2" t="n"/>
      <c r="TRT5" s="2" t="n"/>
      <c r="TRU5" s="2" t="n"/>
      <c r="TRV5" s="2" t="n"/>
      <c r="TRW5" s="2" t="n"/>
      <c r="TRX5" s="2" t="n"/>
      <c r="TRY5" s="2" t="n"/>
      <c r="TRZ5" s="2" t="n"/>
      <c r="TSA5" s="2" t="n"/>
      <c r="TSB5" s="2" t="n"/>
      <c r="TSC5" s="2" t="n"/>
      <c r="TSD5" s="2" t="n"/>
      <c r="TSE5" s="2" t="n"/>
      <c r="TSF5" s="2" t="n"/>
      <c r="TSG5" s="2" t="n"/>
      <c r="TSH5" s="2" t="n"/>
      <c r="TSI5" s="2" t="n"/>
      <c r="TSJ5" s="2" t="n"/>
      <c r="TSK5" s="2" t="n"/>
      <c r="TSL5" s="2" t="n"/>
      <c r="TSM5" s="2" t="n"/>
      <c r="TSN5" s="2" t="n"/>
      <c r="TSO5" s="2" t="n"/>
      <c r="TSP5" s="2" t="n"/>
      <c r="TSQ5" s="2" t="n"/>
      <c r="TSR5" s="2" t="n"/>
      <c r="TSS5" s="2" t="n"/>
      <c r="TST5" s="2" t="n"/>
      <c r="TSU5" s="2" t="n"/>
      <c r="TSV5" s="2" t="n"/>
      <c r="TSW5" s="2" t="n"/>
      <c r="TSX5" s="2" t="n"/>
      <c r="TSY5" s="2" t="n"/>
      <c r="TSZ5" s="2" t="n"/>
      <c r="TTA5" s="2" t="n"/>
      <c r="TTB5" s="2" t="n"/>
      <c r="TTC5" s="2" t="n"/>
      <c r="TTD5" s="2" t="n"/>
      <c r="TTE5" s="2" t="n"/>
      <c r="TTF5" s="2" t="n"/>
      <c r="TTG5" s="2" t="n"/>
      <c r="TTH5" s="2" t="n"/>
      <c r="TTI5" s="2" t="n"/>
      <c r="TTJ5" s="2" t="n"/>
      <c r="TTK5" s="2" t="n"/>
      <c r="TTL5" s="2" t="n"/>
      <c r="TTM5" s="2" t="n"/>
      <c r="TTN5" s="2" t="n"/>
      <c r="TTO5" s="2" t="n"/>
      <c r="TTP5" s="2" t="n"/>
      <c r="TTQ5" s="2" t="n"/>
      <c r="TTR5" s="2" t="n"/>
      <c r="TTS5" s="2" t="n"/>
      <c r="TTT5" s="2" t="n"/>
      <c r="TTU5" s="2" t="n"/>
      <c r="TTV5" s="2" t="n"/>
      <c r="TTW5" s="2" t="n"/>
      <c r="TTX5" s="2" t="n"/>
      <c r="TTY5" s="2" t="n"/>
      <c r="TTZ5" s="2" t="n"/>
      <c r="TUA5" s="2" t="n"/>
      <c r="TUB5" s="2" t="n"/>
      <c r="TUC5" s="2" t="n"/>
      <c r="TUD5" s="2" t="n"/>
      <c r="TUE5" s="2" t="n"/>
      <c r="TUF5" s="2" t="n"/>
      <c r="TUG5" s="2" t="n"/>
      <c r="TUH5" s="2" t="n"/>
      <c r="TUI5" s="2" t="n"/>
      <c r="TUJ5" s="2" t="n"/>
      <c r="TUK5" s="2" t="n"/>
      <c r="TUL5" s="2" t="n"/>
      <c r="TUM5" s="2" t="n"/>
      <c r="TUN5" s="2" t="n"/>
      <c r="TUO5" s="2" t="n"/>
      <c r="TUP5" s="2" t="n"/>
      <c r="TUQ5" s="2" t="n"/>
      <c r="TUR5" s="2" t="n"/>
      <c r="TUS5" s="2" t="n"/>
      <c r="TUT5" s="2" t="n"/>
      <c r="TUU5" s="2" t="n"/>
      <c r="TUV5" s="2" t="n"/>
      <c r="TUW5" s="2" t="n"/>
      <c r="TUX5" s="2" t="n"/>
      <c r="TUY5" s="2" t="n"/>
      <c r="TUZ5" s="2" t="n"/>
      <c r="TVA5" s="2" t="n"/>
      <c r="TVB5" s="2" t="n"/>
      <c r="TVC5" s="2" t="n"/>
      <c r="TVD5" s="2" t="n"/>
      <c r="TVE5" s="2" t="n"/>
      <c r="TVF5" s="2" t="n"/>
      <c r="TVG5" s="2" t="n"/>
      <c r="TVH5" s="2" t="n"/>
      <c r="TVI5" s="2" t="n"/>
      <c r="TVJ5" s="2" t="n"/>
      <c r="TVK5" s="2" t="n"/>
      <c r="TVL5" s="2" t="n"/>
      <c r="TVM5" s="2" t="n"/>
      <c r="TVN5" s="2" t="n"/>
      <c r="TVO5" s="2" t="n"/>
      <c r="TVP5" s="2" t="n"/>
      <c r="TVQ5" s="2" t="n"/>
      <c r="TVR5" s="2" t="n"/>
      <c r="TVS5" s="2" t="n"/>
      <c r="TVT5" s="2" t="n"/>
      <c r="TVU5" s="2" t="n"/>
      <c r="TVV5" s="2" t="n"/>
      <c r="TVW5" s="2" t="n"/>
      <c r="TVX5" s="2" t="n"/>
      <c r="TVY5" s="2" t="n"/>
      <c r="TVZ5" s="2" t="n"/>
      <c r="TWA5" s="2" t="n"/>
      <c r="TWB5" s="2" t="n"/>
      <c r="TWC5" s="2" t="n"/>
      <c r="TWD5" s="2" t="n"/>
      <c r="TWE5" s="2" t="n"/>
      <c r="TWF5" s="2" t="n"/>
      <c r="TWG5" s="2" t="n"/>
      <c r="TWH5" s="2" t="n"/>
      <c r="TWI5" s="2" t="n"/>
      <c r="TWJ5" s="2" t="n"/>
      <c r="TWK5" s="2" t="n"/>
      <c r="TWL5" s="2" t="n"/>
      <c r="TWM5" s="2" t="n"/>
      <c r="TWN5" s="2" t="n"/>
      <c r="TWO5" s="2" t="n"/>
      <c r="TWP5" s="2" t="n"/>
      <c r="TWQ5" s="2" t="n"/>
      <c r="TWR5" s="2" t="n"/>
      <c r="TWS5" s="2" t="n"/>
      <c r="TWT5" s="2" t="n"/>
      <c r="TWU5" s="2" t="n"/>
      <c r="TWV5" s="2" t="n"/>
      <c r="TWW5" s="2" t="n"/>
      <c r="TWX5" s="2" t="n"/>
      <c r="TWY5" s="2" t="n"/>
      <c r="TWZ5" s="2" t="n"/>
      <c r="TXA5" s="2" t="n"/>
      <c r="TXB5" s="2" t="n"/>
      <c r="TXC5" s="2" t="n"/>
      <c r="TXD5" s="2" t="n"/>
      <c r="TXE5" s="2" t="n"/>
      <c r="TXF5" s="2" t="n"/>
      <c r="TXG5" s="2" t="n"/>
      <c r="TXH5" s="2" t="n"/>
      <c r="TXI5" s="2" t="n"/>
      <c r="TXJ5" s="2" t="n"/>
      <c r="TXK5" s="2" t="n"/>
      <c r="TXL5" s="2" t="n"/>
      <c r="TXM5" s="2" t="n"/>
      <c r="TXN5" s="2" t="n"/>
      <c r="TXO5" s="2" t="n"/>
      <c r="TXP5" s="2" t="n"/>
      <c r="TXQ5" s="2" t="n"/>
      <c r="TXR5" s="2" t="n"/>
      <c r="TXS5" s="2" t="n"/>
      <c r="TXT5" s="2" t="n"/>
      <c r="TXU5" s="2" t="n"/>
      <c r="TXV5" s="2" t="n"/>
      <c r="TXW5" s="2" t="n"/>
      <c r="TXX5" s="2" t="n"/>
      <c r="TXY5" s="2" t="n"/>
      <c r="TXZ5" s="2" t="n"/>
      <c r="TYA5" s="2" t="n"/>
      <c r="TYB5" s="2" t="n"/>
      <c r="TYC5" s="2" t="n"/>
      <c r="TYD5" s="2" t="n"/>
      <c r="TYE5" s="2" t="n"/>
      <c r="TYF5" s="2" t="n"/>
      <c r="TYG5" s="2" t="n"/>
      <c r="TYH5" s="2" t="n"/>
      <c r="TYI5" s="2" t="n"/>
      <c r="TYJ5" s="2" t="n"/>
      <c r="TYK5" s="2" t="n"/>
      <c r="TYL5" s="2" t="n"/>
      <c r="TYM5" s="2" t="n"/>
      <c r="TYN5" s="2" t="n"/>
      <c r="TYO5" s="2" t="n"/>
      <c r="TYP5" s="2" t="n"/>
      <c r="TYQ5" s="2" t="n"/>
      <c r="TYR5" s="2" t="n"/>
      <c r="TYS5" s="2" t="n"/>
      <c r="TYT5" s="2" t="n"/>
      <c r="TYU5" s="2" t="n"/>
      <c r="TYV5" s="2" t="n"/>
      <c r="TYW5" s="2" t="n"/>
      <c r="TYX5" s="2" t="n"/>
      <c r="TYY5" s="2" t="n"/>
      <c r="TYZ5" s="2" t="n"/>
      <c r="TZA5" s="2" t="n"/>
      <c r="TZB5" s="2" t="n"/>
      <c r="TZC5" s="2" t="n"/>
      <c r="TZD5" s="2" t="n"/>
      <c r="TZE5" s="2" t="n"/>
      <c r="TZF5" s="2" t="n"/>
      <c r="TZG5" s="2" t="n"/>
      <c r="TZH5" s="2" t="n"/>
      <c r="TZI5" s="2" t="n"/>
      <c r="TZJ5" s="2" t="n"/>
      <c r="TZK5" s="2" t="n"/>
      <c r="TZL5" s="2" t="n"/>
      <c r="TZM5" s="2" t="n"/>
      <c r="TZN5" s="2" t="n"/>
      <c r="TZO5" s="2" t="n"/>
      <c r="TZP5" s="2" t="n"/>
      <c r="TZQ5" s="2" t="n"/>
      <c r="TZR5" s="2" t="n"/>
      <c r="TZS5" s="2" t="n"/>
      <c r="TZT5" s="2" t="n"/>
      <c r="TZU5" s="2" t="n"/>
      <c r="TZV5" s="2" t="n"/>
      <c r="TZW5" s="2" t="n"/>
      <c r="TZX5" s="2" t="n"/>
      <c r="TZY5" s="2" t="n"/>
      <c r="TZZ5" s="2" t="n"/>
      <c r="UAA5" s="2" t="n"/>
      <c r="UAB5" s="2" t="n"/>
      <c r="UAC5" s="2" t="n"/>
      <c r="UAD5" s="2" t="n"/>
      <c r="UAE5" s="2" t="n"/>
      <c r="UAF5" s="2" t="n"/>
      <c r="UAG5" s="2" t="n"/>
      <c r="UAH5" s="2" t="n"/>
      <c r="UAI5" s="2" t="n"/>
      <c r="UAJ5" s="2" t="n"/>
      <c r="UAK5" s="2" t="n"/>
      <c r="UAL5" s="2" t="n"/>
      <c r="UAM5" s="2" t="n"/>
      <c r="UAN5" s="2" t="n"/>
      <c r="UAO5" s="2" t="n"/>
      <c r="UAP5" s="2" t="n"/>
      <c r="UAQ5" s="2" t="n"/>
      <c r="UAR5" s="2" t="n"/>
      <c r="UAS5" s="2" t="n"/>
      <c r="UAT5" s="2" t="n"/>
      <c r="UAU5" s="2" t="n"/>
      <c r="UAV5" s="2" t="n"/>
      <c r="UAW5" s="2" t="n"/>
      <c r="UAX5" s="2" t="n"/>
      <c r="UAY5" s="2" t="n"/>
      <c r="UAZ5" s="2" t="n"/>
      <c r="UBA5" s="2" t="n"/>
      <c r="UBB5" s="2" t="n"/>
      <c r="UBC5" s="2" t="n"/>
      <c r="UBD5" s="2" t="n"/>
      <c r="UBE5" s="2" t="n"/>
      <c r="UBF5" s="2" t="n"/>
      <c r="UBG5" s="2" t="n"/>
      <c r="UBH5" s="2" t="n"/>
      <c r="UBI5" s="2" t="n"/>
      <c r="UBJ5" s="2" t="n"/>
      <c r="UBK5" s="2" t="n"/>
      <c r="UBL5" s="2" t="n"/>
      <c r="UBM5" s="2" t="n"/>
      <c r="UBN5" s="2" t="n"/>
      <c r="UBO5" s="2" t="n"/>
      <c r="UBP5" s="2" t="n"/>
      <c r="UBQ5" s="2" t="n"/>
      <c r="UBR5" s="2" t="n"/>
      <c r="UBS5" s="2" t="n"/>
      <c r="UBT5" s="2" t="n"/>
      <c r="UBU5" s="2" t="n"/>
      <c r="UBV5" s="2" t="n"/>
      <c r="UBW5" s="2" t="n"/>
      <c r="UBX5" s="2" t="n"/>
      <c r="UBY5" s="2" t="n"/>
      <c r="UBZ5" s="2" t="n"/>
      <c r="UCA5" s="2" t="n"/>
      <c r="UCB5" s="2" t="n"/>
      <c r="UCC5" s="2" t="n"/>
      <c r="UCD5" s="2" t="n"/>
      <c r="UCE5" s="2" t="n"/>
      <c r="UCF5" s="2" t="n"/>
      <c r="UCG5" s="2" t="n"/>
      <c r="UCH5" s="2" t="n"/>
      <c r="UCI5" s="2" t="n"/>
      <c r="UCJ5" s="2" t="n"/>
      <c r="UCK5" s="2" t="n"/>
      <c r="UCL5" s="2" t="n"/>
      <c r="UCM5" s="2" t="n"/>
      <c r="UCN5" s="2" t="n"/>
      <c r="UCO5" s="2" t="n"/>
      <c r="UCP5" s="2" t="n"/>
      <c r="UCQ5" s="2" t="n"/>
      <c r="UCR5" s="2" t="n"/>
      <c r="UCS5" s="2" t="n"/>
      <c r="UCT5" s="2" t="n"/>
      <c r="UCU5" s="2" t="n"/>
      <c r="UCV5" s="2" t="n"/>
      <c r="UCW5" s="2" t="n"/>
      <c r="UCX5" s="2" t="n"/>
      <c r="UCY5" s="2" t="n"/>
      <c r="UCZ5" s="2" t="n"/>
      <c r="UDA5" s="2" t="n"/>
      <c r="UDB5" s="2" t="n"/>
      <c r="UDC5" s="2" t="n"/>
      <c r="UDD5" s="2" t="n"/>
      <c r="UDE5" s="2" t="n"/>
      <c r="UDF5" s="2" t="n"/>
      <c r="UDG5" s="2" t="n"/>
      <c r="UDH5" s="2" t="n"/>
      <c r="UDI5" s="2" t="n"/>
      <c r="UDJ5" s="2" t="n"/>
      <c r="UDK5" s="2" t="n"/>
      <c r="UDL5" s="2" t="n"/>
      <c r="UDM5" s="2" t="n"/>
      <c r="UDN5" s="2" t="n"/>
      <c r="UDO5" s="2" t="n"/>
      <c r="UDP5" s="2" t="n"/>
      <c r="UDQ5" s="2" t="n"/>
      <c r="UDR5" s="2" t="n"/>
      <c r="UDS5" s="2" t="n"/>
      <c r="UDT5" s="2" t="n"/>
      <c r="UDU5" s="2" t="n"/>
      <c r="UDV5" s="2" t="n"/>
      <c r="UDW5" s="2" t="n"/>
      <c r="UDX5" s="2" t="n"/>
      <c r="UDY5" s="2" t="n"/>
      <c r="UDZ5" s="2" t="n"/>
      <c r="UEA5" s="2" t="n"/>
      <c r="UEB5" s="2" t="n"/>
      <c r="UEC5" s="2" t="n"/>
      <c r="UED5" s="2" t="n"/>
      <c r="UEE5" s="2" t="n"/>
      <c r="UEF5" s="2" t="n"/>
      <c r="UEG5" s="2" t="n"/>
      <c r="UEH5" s="2" t="n"/>
      <c r="UEI5" s="2" t="n"/>
      <c r="UEJ5" s="2" t="n"/>
      <c r="UEK5" s="2" t="n"/>
      <c r="UEL5" s="2" t="n"/>
      <c r="UEM5" s="2" t="n"/>
      <c r="UEN5" s="2" t="n"/>
      <c r="UEO5" s="2" t="n"/>
      <c r="UEP5" s="2" t="n"/>
      <c r="UEQ5" s="2" t="n"/>
      <c r="UER5" s="2" t="n"/>
      <c r="UES5" s="2" t="n"/>
      <c r="UET5" s="2" t="n"/>
      <c r="UEU5" s="2" t="n"/>
      <c r="UEV5" s="2" t="n"/>
      <c r="UEW5" s="2" t="n"/>
      <c r="UEX5" s="2" t="n"/>
      <c r="UEY5" s="2" t="n"/>
      <c r="UEZ5" s="2" t="n"/>
      <c r="UFA5" s="2" t="n"/>
      <c r="UFB5" s="2" t="n"/>
      <c r="UFC5" s="2" t="n"/>
      <c r="UFD5" s="2" t="n"/>
      <c r="UFE5" s="2" t="n"/>
      <c r="UFF5" s="2" t="n"/>
      <c r="UFG5" s="2" t="n"/>
      <c r="UFH5" s="2" t="n"/>
      <c r="UFI5" s="2" t="n"/>
      <c r="UFJ5" s="2" t="n"/>
      <c r="UFK5" s="2" t="n"/>
      <c r="UFL5" s="2" t="n"/>
      <c r="UFM5" s="2" t="n"/>
      <c r="UFN5" s="2" t="n"/>
      <c r="UFO5" s="2" t="n"/>
      <c r="UFP5" s="2" t="n"/>
      <c r="UFQ5" s="2" t="n"/>
      <c r="UFR5" s="2" t="n"/>
      <c r="UFS5" s="2" t="n"/>
      <c r="UFT5" s="2" t="n"/>
      <c r="UFU5" s="2" t="n"/>
      <c r="UFV5" s="2" t="n"/>
      <c r="UFW5" s="2" t="n"/>
      <c r="UFX5" s="2" t="n"/>
      <c r="UFY5" s="2" t="n"/>
      <c r="UFZ5" s="2" t="n"/>
      <c r="UGA5" s="2" t="n"/>
      <c r="UGB5" s="2" t="n"/>
      <c r="UGC5" s="2" t="n"/>
      <c r="UGD5" s="2" t="n"/>
      <c r="UGE5" s="2" t="n"/>
      <c r="UGF5" s="2" t="n"/>
      <c r="UGG5" s="2" t="n"/>
      <c r="UGH5" s="2" t="n"/>
      <c r="UGI5" s="2" t="n"/>
      <c r="UGJ5" s="2" t="n"/>
      <c r="UGK5" s="2" t="n"/>
      <c r="UGL5" s="2" t="n"/>
      <c r="UGM5" s="2" t="n"/>
      <c r="UGN5" s="2" t="n"/>
      <c r="UGO5" s="2" t="n"/>
      <c r="UGP5" s="2" t="n"/>
      <c r="UGQ5" s="2" t="n"/>
      <c r="UGR5" s="2" t="n"/>
      <c r="UGS5" s="2" t="n"/>
      <c r="UGT5" s="2" t="n"/>
      <c r="UGU5" s="2" t="n"/>
      <c r="UGV5" s="2" t="n"/>
      <c r="UGW5" s="2" t="n"/>
      <c r="UGX5" s="2" t="n"/>
      <c r="UGY5" s="2" t="n"/>
      <c r="UGZ5" s="2" t="n"/>
      <c r="UHA5" s="2" t="n"/>
      <c r="UHB5" s="2" t="n"/>
      <c r="UHC5" s="2" t="n"/>
      <c r="UHD5" s="2" t="n"/>
      <c r="UHE5" s="2" t="n"/>
      <c r="UHF5" s="2" t="n"/>
      <c r="UHG5" s="2" t="n"/>
      <c r="UHH5" s="2" t="n"/>
      <c r="UHI5" s="2" t="n"/>
      <c r="UHJ5" s="2" t="n"/>
      <c r="UHK5" s="2" t="n"/>
      <c r="UHL5" s="2" t="n"/>
      <c r="UHM5" s="2" t="n"/>
      <c r="UHN5" s="2" t="n"/>
      <c r="UHO5" s="2" t="n"/>
      <c r="UHP5" s="2" t="n"/>
      <c r="UHQ5" s="2" t="n"/>
      <c r="UHR5" s="2" t="n"/>
      <c r="UHS5" s="2" t="n"/>
      <c r="UHT5" s="2" t="n"/>
      <c r="UHU5" s="2" t="n"/>
      <c r="UHV5" s="2" t="n"/>
      <c r="UHW5" s="2" t="n"/>
      <c r="UHX5" s="2" t="n"/>
      <c r="UHY5" s="2" t="n"/>
      <c r="UHZ5" s="2" t="n"/>
      <c r="UIA5" s="2" t="n"/>
      <c r="UIB5" s="2" t="n"/>
      <c r="UIC5" s="2" t="n"/>
      <c r="UID5" s="2" t="n"/>
      <c r="UIE5" s="2" t="n"/>
      <c r="UIF5" s="2" t="n"/>
      <c r="UIG5" s="2" t="n"/>
      <c r="UIH5" s="2" t="n"/>
      <c r="UII5" s="2" t="n"/>
      <c r="UIJ5" s="2" t="n"/>
      <c r="UIK5" s="2" t="n"/>
      <c r="UIL5" s="2" t="n"/>
      <c r="UIM5" s="2" t="n"/>
      <c r="UIN5" s="2" t="n"/>
      <c r="UIO5" s="2" t="n"/>
      <c r="UIP5" s="2" t="n"/>
      <c r="UIQ5" s="2" t="n"/>
      <c r="UIR5" s="2" t="n"/>
      <c r="UIS5" s="2" t="n"/>
      <c r="UIT5" s="2" t="n"/>
      <c r="UIU5" s="2" t="n"/>
      <c r="UIV5" s="2" t="n"/>
      <c r="UIW5" s="2" t="n"/>
      <c r="UIX5" s="2" t="n"/>
      <c r="UIY5" s="2" t="n"/>
      <c r="UIZ5" s="2" t="n"/>
      <c r="UJA5" s="2" t="n"/>
      <c r="UJB5" s="2" t="n"/>
      <c r="UJC5" s="2" t="n"/>
      <c r="UJD5" s="2" t="n"/>
      <c r="UJE5" s="2" t="n"/>
      <c r="UJF5" s="2" t="n"/>
      <c r="UJG5" s="2" t="n"/>
      <c r="UJH5" s="2" t="n"/>
      <c r="UJI5" s="2" t="n"/>
      <c r="UJJ5" s="2" t="n"/>
      <c r="UJK5" s="2" t="n"/>
      <c r="UJL5" s="2" t="n"/>
      <c r="UJM5" s="2" t="n"/>
      <c r="UJN5" s="2" t="n"/>
      <c r="UJO5" s="2" t="n"/>
      <c r="UJP5" s="2" t="n"/>
      <c r="UJQ5" s="2" t="n"/>
      <c r="UJR5" s="2" t="n"/>
      <c r="UJS5" s="2" t="n"/>
      <c r="UJT5" s="2" t="n"/>
      <c r="UJU5" s="2" t="n"/>
      <c r="UJV5" s="2" t="n"/>
      <c r="UJW5" s="2" t="n"/>
      <c r="UJX5" s="2" t="n"/>
      <c r="UJY5" s="2" t="n"/>
      <c r="UJZ5" s="2" t="n"/>
      <c r="UKA5" s="2" t="n"/>
      <c r="UKB5" s="2" t="n"/>
      <c r="UKC5" s="2" t="n"/>
      <c r="UKD5" s="2" t="n"/>
      <c r="UKE5" s="2" t="n"/>
      <c r="UKF5" s="2" t="n"/>
      <c r="UKG5" s="2" t="n"/>
      <c r="UKH5" s="2" t="n"/>
      <c r="UKI5" s="2" t="n"/>
      <c r="UKJ5" s="2" t="n"/>
      <c r="UKK5" s="2" t="n"/>
      <c r="UKL5" s="2" t="n"/>
      <c r="UKM5" s="2" t="n"/>
      <c r="UKN5" s="2" t="n"/>
      <c r="UKO5" s="2" t="n"/>
      <c r="UKP5" s="2" t="n"/>
      <c r="UKQ5" s="2" t="n"/>
      <c r="UKR5" s="2" t="n"/>
      <c r="UKS5" s="2" t="n"/>
      <c r="UKT5" s="2" t="n"/>
      <c r="UKU5" s="2" t="n"/>
      <c r="UKV5" s="2" t="n"/>
      <c r="UKW5" s="2" t="n"/>
      <c r="UKX5" s="2" t="n"/>
      <c r="UKY5" s="2" t="n"/>
      <c r="UKZ5" s="2" t="n"/>
      <c r="ULA5" s="2" t="n"/>
      <c r="ULB5" s="2" t="n"/>
      <c r="ULC5" s="2" t="n"/>
      <c r="ULD5" s="2" t="n"/>
      <c r="ULE5" s="2" t="n"/>
      <c r="ULF5" s="2" t="n"/>
      <c r="ULG5" s="2" t="n"/>
      <c r="ULH5" s="2" t="n"/>
      <c r="ULI5" s="2" t="n"/>
      <c r="ULJ5" s="2" t="n"/>
      <c r="ULK5" s="2" t="n"/>
      <c r="ULL5" s="2" t="n"/>
      <c r="ULM5" s="2" t="n"/>
      <c r="ULN5" s="2" t="n"/>
      <c r="ULO5" s="2" t="n"/>
      <c r="ULP5" s="2" t="n"/>
      <c r="ULQ5" s="2" t="n"/>
      <c r="ULR5" s="2" t="n"/>
      <c r="ULS5" s="2" t="n"/>
      <c r="ULT5" s="2" t="n"/>
      <c r="ULU5" s="2" t="n"/>
      <c r="ULV5" s="2" t="n"/>
      <c r="ULW5" s="2" t="n"/>
      <c r="ULX5" s="2" t="n"/>
      <c r="ULY5" s="2" t="n"/>
      <c r="ULZ5" s="2" t="n"/>
      <c r="UMA5" s="2" t="n"/>
      <c r="UMB5" s="2" t="n"/>
      <c r="UMC5" s="2" t="n"/>
      <c r="UMD5" s="2" t="n"/>
      <c r="UME5" s="2" t="n"/>
      <c r="UMF5" s="2" t="n"/>
      <c r="UMG5" s="2" t="n"/>
      <c r="UMH5" s="2" t="n"/>
      <c r="UMI5" s="2" t="n"/>
      <c r="UMJ5" s="2" t="n"/>
      <c r="UMK5" s="2" t="n"/>
      <c r="UML5" s="2" t="n"/>
      <c r="UMM5" s="2" t="n"/>
      <c r="UMN5" s="2" t="n"/>
      <c r="UMO5" s="2" t="n"/>
      <c r="UMP5" s="2" t="n"/>
      <c r="UMQ5" s="2" t="n"/>
      <c r="UMR5" s="2" t="n"/>
      <c r="UMS5" s="2" t="n"/>
      <c r="UMT5" s="2" t="n"/>
      <c r="UMU5" s="2" t="n"/>
      <c r="UMV5" s="2" t="n"/>
      <c r="UMW5" s="2" t="n"/>
      <c r="UMX5" s="2" t="n"/>
      <c r="UMY5" s="2" t="n"/>
      <c r="UMZ5" s="2" t="n"/>
      <c r="UNA5" s="2" t="n"/>
      <c r="UNB5" s="2" t="n"/>
      <c r="UNC5" s="2" t="n"/>
      <c r="UND5" s="2" t="n"/>
      <c r="UNE5" s="2" t="n"/>
      <c r="UNF5" s="2" t="n"/>
      <c r="UNG5" s="2" t="n"/>
      <c r="UNH5" s="2" t="n"/>
      <c r="UNI5" s="2" t="n"/>
      <c r="UNJ5" s="2" t="n"/>
      <c r="UNK5" s="2" t="n"/>
      <c r="UNL5" s="2" t="n"/>
      <c r="UNM5" s="2" t="n"/>
      <c r="UNN5" s="2" t="n"/>
      <c r="UNO5" s="2" t="n"/>
      <c r="UNP5" s="2" t="n"/>
      <c r="UNQ5" s="2" t="n"/>
      <c r="UNR5" s="2" t="n"/>
      <c r="UNS5" s="2" t="n"/>
      <c r="UNT5" s="2" t="n"/>
      <c r="UNU5" s="2" t="n"/>
      <c r="UNV5" s="2" t="n"/>
      <c r="UNW5" s="2" t="n"/>
      <c r="UNX5" s="2" t="n"/>
      <c r="UNY5" s="2" t="n"/>
      <c r="UNZ5" s="2" t="n"/>
      <c r="UOA5" s="2" t="n"/>
      <c r="UOB5" s="2" t="n"/>
      <c r="UOC5" s="2" t="n"/>
      <c r="UOD5" s="2" t="n"/>
      <c r="UOE5" s="2" t="n"/>
      <c r="UOF5" s="2" t="n"/>
      <c r="UOG5" s="2" t="n"/>
      <c r="UOH5" s="2" t="n"/>
      <c r="UOI5" s="2" t="n"/>
      <c r="UOJ5" s="2" t="n"/>
      <c r="UOK5" s="2" t="n"/>
      <c r="UOL5" s="2" t="n"/>
      <c r="UOM5" s="2" t="n"/>
      <c r="UON5" s="2" t="n"/>
      <c r="UOO5" s="2" t="n"/>
      <c r="UOP5" s="2" t="n"/>
      <c r="UOQ5" s="2" t="n"/>
      <c r="UOR5" s="2" t="n"/>
      <c r="UOS5" s="2" t="n"/>
      <c r="UOT5" s="2" t="n"/>
      <c r="UOU5" s="2" t="n"/>
      <c r="UOV5" s="2" t="n"/>
      <c r="UOW5" s="2" t="n"/>
      <c r="UOX5" s="2" t="n"/>
      <c r="UOY5" s="2" t="n"/>
      <c r="UOZ5" s="2" t="n"/>
      <c r="UPA5" s="2" t="n"/>
      <c r="UPB5" s="2" t="n"/>
      <c r="UPC5" s="2" t="n"/>
      <c r="UPD5" s="2" t="n"/>
      <c r="UPE5" s="2" t="n"/>
      <c r="UPF5" s="2" t="n"/>
      <c r="UPG5" s="2" t="n"/>
      <c r="UPH5" s="2" t="n"/>
      <c r="UPI5" s="2" t="n"/>
      <c r="UPJ5" s="2" t="n"/>
      <c r="UPK5" s="2" t="n"/>
      <c r="UPL5" s="2" t="n"/>
      <c r="UPM5" s="2" t="n"/>
      <c r="UPN5" s="2" t="n"/>
      <c r="UPO5" s="2" t="n"/>
      <c r="UPP5" s="2" t="n"/>
      <c r="UPQ5" s="2" t="n"/>
      <c r="UPR5" s="2" t="n"/>
      <c r="UPS5" s="2" t="n"/>
      <c r="UPT5" s="2" t="n"/>
      <c r="UPU5" s="2" t="n"/>
      <c r="UPV5" s="2" t="n"/>
      <c r="UPW5" s="2" t="n"/>
      <c r="UPX5" s="2" t="n"/>
      <c r="UPY5" s="2" t="n"/>
      <c r="UPZ5" s="2" t="n"/>
      <c r="UQA5" s="2" t="n"/>
      <c r="UQB5" s="2" t="n"/>
      <c r="UQC5" s="2" t="n"/>
      <c r="UQD5" s="2" t="n"/>
      <c r="UQE5" s="2" t="n"/>
      <c r="UQF5" s="2" t="n"/>
      <c r="UQG5" s="2" t="n"/>
      <c r="UQH5" s="2" t="n"/>
      <c r="UQI5" s="2" t="n"/>
      <c r="UQJ5" s="2" t="n"/>
      <c r="UQK5" s="2" t="n"/>
      <c r="UQL5" s="2" t="n"/>
      <c r="UQM5" s="2" t="n"/>
      <c r="UQN5" s="2" t="n"/>
      <c r="UQO5" s="2" t="n"/>
      <c r="UQP5" s="2" t="n"/>
      <c r="UQQ5" s="2" t="n"/>
      <c r="UQR5" s="2" t="n"/>
      <c r="UQS5" s="2" t="n"/>
      <c r="UQT5" s="2" t="n"/>
      <c r="UQU5" s="2" t="n"/>
      <c r="UQV5" s="2" t="n"/>
      <c r="UQW5" s="2" t="n"/>
      <c r="UQX5" s="2" t="n"/>
      <c r="UQY5" s="2" t="n"/>
      <c r="UQZ5" s="2" t="n"/>
      <c r="URA5" s="2" t="n"/>
      <c r="URB5" s="2" t="n"/>
      <c r="URC5" s="2" t="n"/>
      <c r="URD5" s="2" t="n"/>
      <c r="URE5" s="2" t="n"/>
      <c r="URF5" s="2" t="n"/>
      <c r="URG5" s="2" t="n"/>
      <c r="URH5" s="2" t="n"/>
      <c r="URI5" s="2" t="n"/>
      <c r="URJ5" s="2" t="n"/>
      <c r="URK5" s="2" t="n"/>
      <c r="URL5" s="2" t="n"/>
      <c r="URM5" s="2" t="n"/>
      <c r="URN5" s="2" t="n"/>
      <c r="URO5" s="2" t="n"/>
      <c r="URP5" s="2" t="n"/>
      <c r="URQ5" s="2" t="n"/>
      <c r="URR5" s="2" t="n"/>
      <c r="URS5" s="2" t="n"/>
      <c r="URT5" s="2" t="n"/>
      <c r="URU5" s="2" t="n"/>
      <c r="URV5" s="2" t="n"/>
      <c r="URW5" s="2" t="n"/>
      <c r="URX5" s="2" t="n"/>
      <c r="URY5" s="2" t="n"/>
      <c r="URZ5" s="2" t="n"/>
      <c r="USA5" s="2" t="n"/>
      <c r="USB5" s="2" t="n"/>
      <c r="USC5" s="2" t="n"/>
      <c r="USD5" s="2" t="n"/>
      <c r="USE5" s="2" t="n"/>
      <c r="USF5" s="2" t="n"/>
      <c r="USG5" s="2" t="n"/>
      <c r="USH5" s="2" t="n"/>
      <c r="USI5" s="2" t="n"/>
      <c r="USJ5" s="2" t="n"/>
      <c r="USK5" s="2" t="n"/>
      <c r="USL5" s="2" t="n"/>
      <c r="USM5" s="2" t="n"/>
      <c r="USN5" s="2" t="n"/>
      <c r="USO5" s="2" t="n"/>
      <c r="USP5" s="2" t="n"/>
      <c r="USQ5" s="2" t="n"/>
      <c r="USR5" s="2" t="n"/>
      <c r="USS5" s="2" t="n"/>
      <c r="UST5" s="2" t="n"/>
      <c r="USU5" s="2" t="n"/>
      <c r="USV5" s="2" t="n"/>
      <c r="USW5" s="2" t="n"/>
      <c r="USX5" s="2" t="n"/>
      <c r="USY5" s="2" t="n"/>
      <c r="USZ5" s="2" t="n"/>
      <c r="UTA5" s="2" t="n"/>
      <c r="UTB5" s="2" t="n"/>
      <c r="UTC5" s="2" t="n"/>
      <c r="UTD5" s="2" t="n"/>
      <c r="UTE5" s="2" t="n"/>
      <c r="UTF5" s="2" t="n"/>
      <c r="UTG5" s="2" t="n"/>
      <c r="UTH5" s="2" t="n"/>
      <c r="UTI5" s="2" t="n"/>
      <c r="UTJ5" s="2" t="n"/>
      <c r="UTK5" s="2" t="n"/>
      <c r="UTL5" s="2" t="n"/>
      <c r="UTM5" s="2" t="n"/>
      <c r="UTN5" s="2" t="n"/>
      <c r="UTO5" s="2" t="n"/>
      <c r="UTP5" s="2" t="n"/>
      <c r="UTQ5" s="2" t="n"/>
      <c r="UTR5" s="2" t="n"/>
      <c r="UTS5" s="2" t="n"/>
      <c r="UTT5" s="2" t="n"/>
      <c r="UTU5" s="2" t="n"/>
      <c r="UTV5" s="2" t="n"/>
      <c r="UTW5" s="2" t="n"/>
      <c r="UTX5" s="2" t="n"/>
      <c r="UTY5" s="2" t="n"/>
      <c r="UTZ5" s="2" t="n"/>
      <c r="UUA5" s="2" t="n"/>
      <c r="UUB5" s="2" t="n"/>
      <c r="UUC5" s="2" t="n"/>
      <c r="UUD5" s="2" t="n"/>
      <c r="UUE5" s="2" t="n"/>
      <c r="UUF5" s="2" t="n"/>
      <c r="UUG5" s="2" t="n"/>
      <c r="UUH5" s="2" t="n"/>
      <c r="UUI5" s="2" t="n"/>
      <c r="UUJ5" s="2" t="n"/>
      <c r="UUK5" s="2" t="n"/>
      <c r="UUL5" s="2" t="n"/>
      <c r="UUM5" s="2" t="n"/>
      <c r="UUN5" s="2" t="n"/>
      <c r="UUO5" s="2" t="n"/>
      <c r="UUP5" s="2" t="n"/>
      <c r="UUQ5" s="2" t="n"/>
      <c r="UUR5" s="2" t="n"/>
      <c r="UUS5" s="2" t="n"/>
      <c r="UUT5" s="2" t="n"/>
      <c r="UUU5" s="2" t="n"/>
      <c r="UUV5" s="2" t="n"/>
      <c r="UUW5" s="2" t="n"/>
      <c r="UUX5" s="2" t="n"/>
      <c r="UUY5" s="2" t="n"/>
      <c r="UUZ5" s="2" t="n"/>
      <c r="UVA5" s="2" t="n"/>
      <c r="UVB5" s="2" t="n"/>
      <c r="UVC5" s="2" t="n"/>
      <c r="UVD5" s="2" t="n"/>
      <c r="UVE5" s="2" t="n"/>
      <c r="UVF5" s="2" t="n"/>
      <c r="UVG5" s="2" t="n"/>
      <c r="UVH5" s="2" t="n"/>
      <c r="UVI5" s="2" t="n"/>
      <c r="UVJ5" s="2" t="n"/>
      <c r="UVK5" s="2" t="n"/>
      <c r="UVL5" s="2" t="n"/>
      <c r="UVM5" s="2" t="n"/>
      <c r="UVN5" s="2" t="n"/>
      <c r="UVO5" s="2" t="n"/>
      <c r="UVP5" s="2" t="n"/>
      <c r="UVQ5" s="2" t="n"/>
      <c r="UVR5" s="2" t="n"/>
      <c r="UVS5" s="2" t="n"/>
      <c r="UVT5" s="2" t="n"/>
      <c r="UVU5" s="2" t="n"/>
      <c r="UVV5" s="2" t="n"/>
      <c r="UVW5" s="2" t="n"/>
      <c r="UVX5" s="2" t="n"/>
      <c r="UVY5" s="2" t="n"/>
      <c r="UVZ5" s="2" t="n"/>
      <c r="UWA5" s="2" t="n"/>
      <c r="UWB5" s="2" t="n"/>
      <c r="UWC5" s="2" t="n"/>
      <c r="UWD5" s="2" t="n"/>
      <c r="UWE5" s="2" t="n"/>
      <c r="UWF5" s="2" t="n"/>
      <c r="UWG5" s="2" t="n"/>
      <c r="UWH5" s="2" t="n"/>
      <c r="UWI5" s="2" t="n"/>
      <c r="UWJ5" s="2" t="n"/>
      <c r="UWK5" s="2" t="n"/>
      <c r="UWL5" s="2" t="n"/>
      <c r="UWM5" s="2" t="n"/>
      <c r="UWN5" s="2" t="n"/>
      <c r="UWO5" s="2" t="n"/>
      <c r="UWP5" s="2" t="n"/>
      <c r="UWQ5" s="2" t="n"/>
      <c r="UWR5" s="2" t="n"/>
      <c r="UWS5" s="2" t="n"/>
      <c r="UWT5" s="2" t="n"/>
      <c r="UWU5" s="2" t="n"/>
      <c r="UWV5" s="2" t="n"/>
      <c r="UWW5" s="2" t="n"/>
      <c r="UWX5" s="2" t="n"/>
      <c r="UWY5" s="2" t="n"/>
      <c r="UWZ5" s="2" t="n"/>
      <c r="UXA5" s="2" t="n"/>
      <c r="UXB5" s="2" t="n"/>
      <c r="UXC5" s="2" t="n"/>
      <c r="UXD5" s="2" t="n"/>
      <c r="UXE5" s="2" t="n"/>
      <c r="UXF5" s="2" t="n"/>
      <c r="UXG5" s="2" t="n"/>
      <c r="UXH5" s="2" t="n"/>
      <c r="UXI5" s="2" t="n"/>
      <c r="UXJ5" s="2" t="n"/>
      <c r="UXK5" s="2" t="n"/>
      <c r="UXL5" s="2" t="n"/>
      <c r="UXM5" s="2" t="n"/>
      <c r="UXN5" s="2" t="n"/>
      <c r="UXO5" s="2" t="n"/>
      <c r="UXP5" s="2" t="n"/>
      <c r="UXQ5" s="2" t="n"/>
      <c r="UXR5" s="2" t="n"/>
      <c r="UXS5" s="2" t="n"/>
      <c r="UXT5" s="2" t="n"/>
      <c r="UXU5" s="2" t="n"/>
      <c r="UXV5" s="2" t="n"/>
      <c r="UXW5" s="2" t="n"/>
      <c r="UXX5" s="2" t="n"/>
      <c r="UXY5" s="2" t="n"/>
      <c r="UXZ5" s="2" t="n"/>
      <c r="UYA5" s="2" t="n"/>
      <c r="UYB5" s="2" t="n"/>
      <c r="UYC5" s="2" t="n"/>
      <c r="UYD5" s="2" t="n"/>
      <c r="UYE5" s="2" t="n"/>
      <c r="UYF5" s="2" t="n"/>
      <c r="UYG5" s="2" t="n"/>
      <c r="UYH5" s="2" t="n"/>
      <c r="UYI5" s="2" t="n"/>
      <c r="UYJ5" s="2" t="n"/>
      <c r="UYK5" s="2" t="n"/>
      <c r="UYL5" s="2" t="n"/>
      <c r="UYM5" s="2" t="n"/>
      <c r="UYN5" s="2" t="n"/>
      <c r="UYO5" s="2" t="n"/>
      <c r="UYP5" s="2" t="n"/>
      <c r="UYQ5" s="2" t="n"/>
      <c r="UYR5" s="2" t="n"/>
      <c r="UYS5" s="2" t="n"/>
      <c r="UYT5" s="2" t="n"/>
      <c r="UYU5" s="2" t="n"/>
      <c r="UYV5" s="2" t="n"/>
      <c r="UYW5" s="2" t="n"/>
      <c r="UYX5" s="2" t="n"/>
      <c r="UYY5" s="2" t="n"/>
      <c r="UYZ5" s="2" t="n"/>
      <c r="UZA5" s="2" t="n"/>
      <c r="UZB5" s="2" t="n"/>
      <c r="UZC5" s="2" t="n"/>
      <c r="UZD5" s="2" t="n"/>
      <c r="UZE5" s="2" t="n"/>
      <c r="UZF5" s="2" t="n"/>
      <c r="UZG5" s="2" t="n"/>
      <c r="UZH5" s="2" t="n"/>
      <c r="UZI5" s="2" t="n"/>
      <c r="UZJ5" s="2" t="n"/>
      <c r="UZK5" s="2" t="n"/>
      <c r="UZL5" s="2" t="n"/>
      <c r="UZM5" s="2" t="n"/>
      <c r="UZN5" s="2" t="n"/>
      <c r="UZO5" s="2" t="n"/>
      <c r="UZP5" s="2" t="n"/>
      <c r="UZQ5" s="2" t="n"/>
      <c r="UZR5" s="2" t="n"/>
      <c r="UZS5" s="2" t="n"/>
      <c r="UZT5" s="2" t="n"/>
      <c r="UZU5" s="2" t="n"/>
      <c r="UZV5" s="2" t="n"/>
      <c r="UZW5" s="2" t="n"/>
      <c r="UZX5" s="2" t="n"/>
      <c r="UZY5" s="2" t="n"/>
      <c r="UZZ5" s="2" t="n"/>
      <c r="VAA5" s="2" t="n"/>
      <c r="VAB5" s="2" t="n"/>
      <c r="VAC5" s="2" t="n"/>
      <c r="VAD5" s="2" t="n"/>
      <c r="VAE5" s="2" t="n"/>
      <c r="VAF5" s="2" t="n"/>
      <c r="VAG5" s="2" t="n"/>
      <c r="VAH5" s="2" t="n"/>
      <c r="VAI5" s="2" t="n"/>
      <c r="VAJ5" s="2" t="n"/>
      <c r="VAK5" s="2" t="n"/>
      <c r="VAL5" s="2" t="n"/>
      <c r="VAM5" s="2" t="n"/>
      <c r="VAN5" s="2" t="n"/>
      <c r="VAO5" s="2" t="n"/>
      <c r="VAP5" s="2" t="n"/>
      <c r="VAQ5" s="2" t="n"/>
      <c r="VAR5" s="2" t="n"/>
      <c r="VAS5" s="2" t="n"/>
      <c r="VAT5" s="2" t="n"/>
      <c r="VAU5" s="2" t="n"/>
      <c r="VAV5" s="2" t="n"/>
      <c r="VAW5" s="2" t="n"/>
      <c r="VAX5" s="2" t="n"/>
      <c r="VAY5" s="2" t="n"/>
      <c r="VAZ5" s="2" t="n"/>
      <c r="VBA5" s="2" t="n"/>
      <c r="VBB5" s="2" t="n"/>
      <c r="VBC5" s="2" t="n"/>
      <c r="VBD5" s="2" t="n"/>
      <c r="VBE5" s="2" t="n"/>
      <c r="VBF5" s="2" t="n"/>
      <c r="VBG5" s="2" t="n"/>
      <c r="VBH5" s="2" t="n"/>
      <c r="VBI5" s="2" t="n"/>
      <c r="VBJ5" s="2" t="n"/>
      <c r="VBK5" s="2" t="n"/>
      <c r="VBL5" s="2" t="n"/>
      <c r="VBM5" s="2" t="n"/>
      <c r="VBN5" s="2" t="n"/>
      <c r="VBO5" s="2" t="n"/>
      <c r="VBP5" s="2" t="n"/>
      <c r="VBQ5" s="2" t="n"/>
      <c r="VBR5" s="2" t="n"/>
      <c r="VBS5" s="2" t="n"/>
      <c r="VBT5" s="2" t="n"/>
      <c r="VBU5" s="2" t="n"/>
      <c r="VBV5" s="2" t="n"/>
      <c r="VBW5" s="2" t="n"/>
      <c r="VBX5" s="2" t="n"/>
      <c r="VBY5" s="2" t="n"/>
      <c r="VBZ5" s="2" t="n"/>
      <c r="VCA5" s="2" t="n"/>
      <c r="VCB5" s="2" t="n"/>
      <c r="VCC5" s="2" t="n"/>
      <c r="VCD5" s="2" t="n"/>
      <c r="VCE5" s="2" t="n"/>
      <c r="VCF5" s="2" t="n"/>
      <c r="VCG5" s="2" t="n"/>
      <c r="VCH5" s="2" t="n"/>
      <c r="VCI5" s="2" t="n"/>
      <c r="VCJ5" s="2" t="n"/>
      <c r="VCK5" s="2" t="n"/>
      <c r="VCL5" s="2" t="n"/>
      <c r="VCM5" s="2" t="n"/>
      <c r="VCN5" s="2" t="n"/>
      <c r="VCO5" s="2" t="n"/>
      <c r="VCP5" s="2" t="n"/>
      <c r="VCQ5" s="2" t="n"/>
      <c r="VCR5" s="2" t="n"/>
      <c r="VCS5" s="2" t="n"/>
      <c r="VCT5" s="2" t="n"/>
      <c r="VCU5" s="2" t="n"/>
      <c r="VCV5" s="2" t="n"/>
      <c r="VCW5" s="2" t="n"/>
      <c r="VCX5" s="2" t="n"/>
      <c r="VCY5" s="2" t="n"/>
      <c r="VCZ5" s="2" t="n"/>
      <c r="VDA5" s="2" t="n"/>
      <c r="VDB5" s="2" t="n"/>
      <c r="VDC5" s="2" t="n"/>
      <c r="VDD5" s="2" t="n"/>
      <c r="VDE5" s="2" t="n"/>
      <c r="VDF5" s="2" t="n"/>
      <c r="VDG5" s="2" t="n"/>
      <c r="VDH5" s="2" t="n"/>
      <c r="VDI5" s="2" t="n"/>
      <c r="VDJ5" s="2" t="n"/>
      <c r="VDK5" s="2" t="n"/>
      <c r="VDL5" s="2" t="n"/>
      <c r="VDM5" s="2" t="n"/>
      <c r="VDN5" s="2" t="n"/>
      <c r="VDO5" s="2" t="n"/>
      <c r="VDP5" s="2" t="n"/>
      <c r="VDQ5" s="2" t="n"/>
      <c r="VDR5" s="2" t="n"/>
      <c r="VDS5" s="2" t="n"/>
      <c r="VDT5" s="2" t="n"/>
      <c r="VDU5" s="2" t="n"/>
      <c r="VDV5" s="2" t="n"/>
      <c r="VDW5" s="2" t="n"/>
      <c r="VDX5" s="2" t="n"/>
      <c r="VDY5" s="2" t="n"/>
      <c r="VDZ5" s="2" t="n"/>
      <c r="VEA5" s="2" t="n"/>
      <c r="VEB5" s="2" t="n"/>
      <c r="VEC5" s="2" t="n"/>
      <c r="VED5" s="2" t="n"/>
      <c r="VEE5" s="2" t="n"/>
      <c r="VEF5" s="2" t="n"/>
      <c r="VEG5" s="2" t="n"/>
      <c r="VEH5" s="2" t="n"/>
      <c r="VEI5" s="2" t="n"/>
      <c r="VEJ5" s="2" t="n"/>
      <c r="VEK5" s="2" t="n"/>
      <c r="VEL5" s="2" t="n"/>
      <c r="VEM5" s="2" t="n"/>
      <c r="VEN5" s="2" t="n"/>
      <c r="VEO5" s="2" t="n"/>
      <c r="VEP5" s="2" t="n"/>
      <c r="VEQ5" s="2" t="n"/>
      <c r="VER5" s="2" t="n"/>
      <c r="VES5" s="2" t="n"/>
      <c r="VET5" s="2" t="n"/>
      <c r="VEU5" s="2" t="n"/>
      <c r="VEV5" s="2" t="n"/>
      <c r="VEW5" s="2" t="n"/>
      <c r="VEX5" s="2" t="n"/>
      <c r="VEY5" s="2" t="n"/>
      <c r="VEZ5" s="2" t="n"/>
      <c r="VFA5" s="2" t="n"/>
      <c r="VFB5" s="2" t="n"/>
      <c r="VFC5" s="2" t="n"/>
      <c r="VFD5" s="2" t="n"/>
      <c r="VFE5" s="2" t="n"/>
      <c r="VFF5" s="2" t="n"/>
      <c r="VFG5" s="2" t="n"/>
      <c r="VFH5" s="2" t="n"/>
      <c r="VFI5" s="2" t="n"/>
      <c r="VFJ5" s="2" t="n"/>
      <c r="VFK5" s="2" t="n"/>
      <c r="VFL5" s="2" t="n"/>
      <c r="VFM5" s="2" t="n"/>
      <c r="VFN5" s="2" t="n"/>
      <c r="VFO5" s="2" t="n"/>
      <c r="VFP5" s="2" t="n"/>
      <c r="VFQ5" s="2" t="n"/>
      <c r="VFR5" s="2" t="n"/>
      <c r="VFS5" s="2" t="n"/>
      <c r="VFT5" s="2" t="n"/>
      <c r="VFU5" s="2" t="n"/>
      <c r="VFV5" s="2" t="n"/>
      <c r="VFW5" s="2" t="n"/>
      <c r="VFX5" s="2" t="n"/>
      <c r="VFY5" s="2" t="n"/>
      <c r="VFZ5" s="2" t="n"/>
      <c r="VGA5" s="2" t="n"/>
      <c r="VGB5" s="2" t="n"/>
      <c r="VGC5" s="2" t="n"/>
      <c r="VGD5" s="2" t="n"/>
      <c r="VGE5" s="2" t="n"/>
      <c r="VGF5" s="2" t="n"/>
      <c r="VGG5" s="2" t="n"/>
      <c r="VGH5" s="2" t="n"/>
      <c r="VGI5" s="2" t="n"/>
      <c r="VGJ5" s="2" t="n"/>
      <c r="VGK5" s="2" t="n"/>
      <c r="VGL5" s="2" t="n"/>
      <c r="VGM5" s="2" t="n"/>
      <c r="VGN5" s="2" t="n"/>
      <c r="VGO5" s="2" t="n"/>
      <c r="VGP5" s="2" t="n"/>
      <c r="VGQ5" s="2" t="n"/>
      <c r="VGR5" s="2" t="n"/>
      <c r="VGS5" s="2" t="n"/>
      <c r="VGT5" s="2" t="n"/>
      <c r="VGU5" s="2" t="n"/>
      <c r="VGV5" s="2" t="n"/>
      <c r="VGW5" s="2" t="n"/>
      <c r="VGX5" s="2" t="n"/>
      <c r="VGY5" s="2" t="n"/>
      <c r="VGZ5" s="2" t="n"/>
      <c r="VHA5" s="2" t="n"/>
      <c r="VHB5" s="2" t="n"/>
      <c r="VHC5" s="2" t="n"/>
      <c r="VHD5" s="2" t="n"/>
      <c r="VHE5" s="2" t="n"/>
      <c r="VHF5" s="2" t="n"/>
      <c r="VHG5" s="2" t="n"/>
      <c r="VHH5" s="2" t="n"/>
      <c r="VHI5" s="2" t="n"/>
      <c r="VHJ5" s="2" t="n"/>
      <c r="VHK5" s="2" t="n"/>
      <c r="VHL5" s="2" t="n"/>
      <c r="VHM5" s="2" t="n"/>
      <c r="VHN5" s="2" t="n"/>
      <c r="VHO5" s="2" t="n"/>
      <c r="VHP5" s="2" t="n"/>
      <c r="VHQ5" s="2" t="n"/>
      <c r="VHR5" s="2" t="n"/>
      <c r="VHS5" s="2" t="n"/>
      <c r="VHT5" s="2" t="n"/>
      <c r="VHU5" s="2" t="n"/>
      <c r="VHV5" s="2" t="n"/>
      <c r="VHW5" s="2" t="n"/>
      <c r="VHX5" s="2" t="n"/>
      <c r="VHY5" s="2" t="n"/>
      <c r="VHZ5" s="2" t="n"/>
      <c r="VIA5" s="2" t="n"/>
      <c r="VIB5" s="2" t="n"/>
      <c r="VIC5" s="2" t="n"/>
      <c r="VID5" s="2" t="n"/>
      <c r="VIE5" s="2" t="n"/>
      <c r="VIF5" s="2" t="n"/>
      <c r="VIG5" s="2" t="n"/>
      <c r="VIH5" s="2" t="n"/>
      <c r="VII5" s="2" t="n"/>
      <c r="VIJ5" s="2" t="n"/>
      <c r="VIK5" s="2" t="n"/>
      <c r="VIL5" s="2" t="n"/>
      <c r="VIM5" s="2" t="n"/>
      <c r="VIN5" s="2" t="n"/>
      <c r="VIO5" s="2" t="n"/>
      <c r="VIP5" s="2" t="n"/>
      <c r="VIQ5" s="2" t="n"/>
      <c r="VIR5" s="2" t="n"/>
      <c r="VIS5" s="2" t="n"/>
      <c r="VIT5" s="2" t="n"/>
      <c r="VIU5" s="2" t="n"/>
      <c r="VIV5" s="2" t="n"/>
      <c r="VIW5" s="2" t="n"/>
      <c r="VIX5" s="2" t="n"/>
      <c r="VIY5" s="2" t="n"/>
      <c r="VIZ5" s="2" t="n"/>
      <c r="VJA5" s="2" t="n"/>
      <c r="VJB5" s="2" t="n"/>
      <c r="VJC5" s="2" t="n"/>
      <c r="VJD5" s="2" t="n"/>
      <c r="VJE5" s="2" t="n"/>
      <c r="VJF5" s="2" t="n"/>
      <c r="VJG5" s="2" t="n"/>
      <c r="VJH5" s="2" t="n"/>
      <c r="VJI5" s="2" t="n"/>
      <c r="VJJ5" s="2" t="n"/>
      <c r="VJK5" s="2" t="n"/>
      <c r="VJL5" s="2" t="n"/>
      <c r="VJM5" s="2" t="n"/>
      <c r="VJN5" s="2" t="n"/>
      <c r="VJO5" s="2" t="n"/>
      <c r="VJP5" s="2" t="n"/>
      <c r="VJQ5" s="2" t="n"/>
      <c r="VJR5" s="2" t="n"/>
      <c r="VJS5" s="2" t="n"/>
      <c r="VJT5" s="2" t="n"/>
      <c r="VJU5" s="2" t="n"/>
      <c r="VJV5" s="2" t="n"/>
      <c r="VJW5" s="2" t="n"/>
      <c r="VJX5" s="2" t="n"/>
      <c r="VJY5" s="2" t="n"/>
      <c r="VJZ5" s="2" t="n"/>
      <c r="VKA5" s="2" t="n"/>
      <c r="VKB5" s="2" t="n"/>
      <c r="VKC5" s="2" t="n"/>
      <c r="VKD5" s="2" t="n"/>
      <c r="VKE5" s="2" t="n"/>
      <c r="VKF5" s="2" t="n"/>
      <c r="VKG5" s="2" t="n"/>
      <c r="VKH5" s="2" t="n"/>
      <c r="VKI5" s="2" t="n"/>
      <c r="VKJ5" s="2" t="n"/>
      <c r="VKK5" s="2" t="n"/>
      <c r="VKL5" s="2" t="n"/>
      <c r="VKM5" s="2" t="n"/>
      <c r="VKN5" s="2" t="n"/>
      <c r="VKO5" s="2" t="n"/>
      <c r="VKP5" s="2" t="n"/>
      <c r="VKQ5" s="2" t="n"/>
      <c r="VKR5" s="2" t="n"/>
      <c r="VKS5" s="2" t="n"/>
      <c r="VKT5" s="2" t="n"/>
      <c r="VKU5" s="2" t="n"/>
      <c r="VKV5" s="2" t="n"/>
      <c r="VKW5" s="2" t="n"/>
      <c r="VKX5" s="2" t="n"/>
      <c r="VKY5" s="2" t="n"/>
      <c r="VKZ5" s="2" t="n"/>
      <c r="VLA5" s="2" t="n"/>
      <c r="VLB5" s="2" t="n"/>
      <c r="VLC5" s="2" t="n"/>
      <c r="VLD5" s="2" t="n"/>
      <c r="VLE5" s="2" t="n"/>
      <c r="VLF5" s="2" t="n"/>
      <c r="VLG5" s="2" t="n"/>
      <c r="VLH5" s="2" t="n"/>
      <c r="VLI5" s="2" t="n"/>
      <c r="VLJ5" s="2" t="n"/>
      <c r="VLK5" s="2" t="n"/>
      <c r="VLL5" s="2" t="n"/>
      <c r="VLM5" s="2" t="n"/>
      <c r="VLN5" s="2" t="n"/>
      <c r="VLO5" s="2" t="n"/>
      <c r="VLP5" s="2" t="n"/>
      <c r="VLQ5" s="2" t="n"/>
      <c r="VLR5" s="2" t="n"/>
      <c r="VLS5" s="2" t="n"/>
      <c r="VLT5" s="2" t="n"/>
      <c r="VLU5" s="2" t="n"/>
      <c r="VLV5" s="2" t="n"/>
      <c r="VLW5" s="2" t="n"/>
      <c r="VLX5" s="2" t="n"/>
      <c r="VLY5" s="2" t="n"/>
      <c r="VLZ5" s="2" t="n"/>
      <c r="VMA5" s="2" t="n"/>
      <c r="VMB5" s="2" t="n"/>
      <c r="VMC5" s="2" t="n"/>
      <c r="VMD5" s="2" t="n"/>
      <c r="VME5" s="2" t="n"/>
      <c r="VMF5" s="2" t="n"/>
      <c r="VMG5" s="2" t="n"/>
      <c r="VMH5" s="2" t="n"/>
      <c r="VMI5" s="2" t="n"/>
      <c r="VMJ5" s="2" t="n"/>
      <c r="VMK5" s="2" t="n"/>
      <c r="VML5" s="2" t="n"/>
      <c r="VMM5" s="2" t="n"/>
      <c r="VMN5" s="2" t="n"/>
      <c r="VMO5" s="2" t="n"/>
      <c r="VMP5" s="2" t="n"/>
      <c r="VMQ5" s="2" t="n"/>
      <c r="VMR5" s="2" t="n"/>
      <c r="VMS5" s="2" t="n"/>
      <c r="VMT5" s="2" t="n"/>
      <c r="VMU5" s="2" t="n"/>
      <c r="VMV5" s="2" t="n"/>
      <c r="VMW5" s="2" t="n"/>
      <c r="VMX5" s="2" t="n"/>
      <c r="VMY5" s="2" t="n"/>
      <c r="VMZ5" s="2" t="n"/>
      <c r="VNA5" s="2" t="n"/>
      <c r="VNB5" s="2" t="n"/>
      <c r="VNC5" s="2" t="n"/>
      <c r="VND5" s="2" t="n"/>
      <c r="VNE5" s="2" t="n"/>
      <c r="VNF5" s="2" t="n"/>
      <c r="VNG5" s="2" t="n"/>
      <c r="VNH5" s="2" t="n"/>
      <c r="VNI5" s="2" t="n"/>
      <c r="VNJ5" s="2" t="n"/>
      <c r="VNK5" s="2" t="n"/>
      <c r="VNL5" s="2" t="n"/>
      <c r="VNM5" s="2" t="n"/>
      <c r="VNN5" s="2" t="n"/>
      <c r="VNO5" s="2" t="n"/>
      <c r="VNP5" s="2" t="n"/>
      <c r="VNQ5" s="2" t="n"/>
      <c r="VNR5" s="2" t="n"/>
      <c r="VNS5" s="2" t="n"/>
      <c r="VNT5" s="2" t="n"/>
      <c r="VNU5" s="2" t="n"/>
      <c r="VNV5" s="2" t="n"/>
      <c r="VNW5" s="2" t="n"/>
      <c r="VNX5" s="2" t="n"/>
      <c r="VNY5" s="2" t="n"/>
      <c r="VNZ5" s="2" t="n"/>
      <c r="VOA5" s="2" t="n"/>
      <c r="VOB5" s="2" t="n"/>
      <c r="VOC5" s="2" t="n"/>
      <c r="VOD5" s="2" t="n"/>
      <c r="VOE5" s="2" t="n"/>
      <c r="VOF5" s="2" t="n"/>
      <c r="VOG5" s="2" t="n"/>
      <c r="VOH5" s="2" t="n"/>
      <c r="VOI5" s="2" t="n"/>
      <c r="VOJ5" s="2" t="n"/>
      <c r="VOK5" s="2" t="n"/>
      <c r="VOL5" s="2" t="n"/>
      <c r="VOM5" s="2" t="n"/>
      <c r="VON5" s="2" t="n"/>
      <c r="VOO5" s="2" t="n"/>
      <c r="VOP5" s="2" t="n"/>
      <c r="VOQ5" s="2" t="n"/>
      <c r="VOR5" s="2" t="n"/>
      <c r="VOS5" s="2" t="n"/>
      <c r="VOT5" s="2" t="n"/>
      <c r="VOU5" s="2" t="n"/>
      <c r="VOV5" s="2" t="n"/>
      <c r="VOW5" s="2" t="n"/>
      <c r="VOX5" s="2" t="n"/>
      <c r="VOY5" s="2" t="n"/>
      <c r="VOZ5" s="2" t="n"/>
      <c r="VPA5" s="2" t="n"/>
      <c r="VPB5" s="2" t="n"/>
      <c r="VPC5" s="2" t="n"/>
      <c r="VPD5" s="2" t="n"/>
      <c r="VPE5" s="2" t="n"/>
      <c r="VPF5" s="2" t="n"/>
      <c r="VPG5" s="2" t="n"/>
      <c r="VPH5" s="2" t="n"/>
      <c r="VPI5" s="2" t="n"/>
      <c r="VPJ5" s="2" t="n"/>
      <c r="VPK5" s="2" t="n"/>
      <c r="VPL5" s="2" t="n"/>
      <c r="VPM5" s="2" t="n"/>
      <c r="VPN5" s="2" t="n"/>
      <c r="VPO5" s="2" t="n"/>
      <c r="VPP5" s="2" t="n"/>
      <c r="VPQ5" s="2" t="n"/>
      <c r="VPR5" s="2" t="n"/>
      <c r="VPS5" s="2" t="n"/>
      <c r="VPT5" s="2" t="n"/>
      <c r="VPU5" s="2" t="n"/>
      <c r="VPV5" s="2" t="n"/>
      <c r="VPW5" s="2" t="n"/>
      <c r="VPX5" s="2" t="n"/>
      <c r="VPY5" s="2" t="n"/>
      <c r="VPZ5" s="2" t="n"/>
      <c r="VQA5" s="2" t="n"/>
      <c r="VQB5" s="2" t="n"/>
      <c r="VQC5" s="2" t="n"/>
      <c r="VQD5" s="2" t="n"/>
      <c r="VQE5" s="2" t="n"/>
      <c r="VQF5" s="2" t="n"/>
      <c r="VQG5" s="2" t="n"/>
      <c r="VQH5" s="2" t="n"/>
      <c r="VQI5" s="2" t="n"/>
      <c r="VQJ5" s="2" t="n"/>
      <c r="VQK5" s="2" t="n"/>
      <c r="VQL5" s="2" t="n"/>
      <c r="VQM5" s="2" t="n"/>
      <c r="VQN5" s="2" t="n"/>
      <c r="VQO5" s="2" t="n"/>
      <c r="VQP5" s="2" t="n"/>
      <c r="VQQ5" s="2" t="n"/>
      <c r="VQR5" s="2" t="n"/>
      <c r="VQS5" s="2" t="n"/>
      <c r="VQT5" s="2" t="n"/>
      <c r="VQU5" s="2" t="n"/>
      <c r="VQV5" s="2" t="n"/>
      <c r="VQW5" s="2" t="n"/>
      <c r="VQX5" s="2" t="n"/>
      <c r="VQY5" s="2" t="n"/>
      <c r="VQZ5" s="2" t="n"/>
      <c r="VRA5" s="2" t="n"/>
      <c r="VRB5" s="2" t="n"/>
      <c r="VRC5" s="2" t="n"/>
      <c r="VRD5" s="2" t="n"/>
      <c r="VRE5" s="2" t="n"/>
      <c r="VRF5" s="2" t="n"/>
      <c r="VRG5" s="2" t="n"/>
      <c r="VRH5" s="2" t="n"/>
      <c r="VRI5" s="2" t="n"/>
      <c r="VRJ5" s="2" t="n"/>
      <c r="VRK5" s="2" t="n"/>
      <c r="VRL5" s="2" t="n"/>
      <c r="VRM5" s="2" t="n"/>
      <c r="VRN5" s="2" t="n"/>
      <c r="VRO5" s="2" t="n"/>
      <c r="VRP5" s="2" t="n"/>
      <c r="VRQ5" s="2" t="n"/>
      <c r="VRR5" s="2" t="n"/>
      <c r="VRS5" s="2" t="n"/>
      <c r="VRT5" s="2" t="n"/>
      <c r="VRU5" s="2" t="n"/>
      <c r="VRV5" s="2" t="n"/>
      <c r="VRW5" s="2" t="n"/>
      <c r="VRX5" s="2" t="n"/>
      <c r="VRY5" s="2" t="n"/>
      <c r="VRZ5" s="2" t="n"/>
      <c r="VSA5" s="2" t="n"/>
      <c r="VSB5" s="2" t="n"/>
      <c r="VSC5" s="2" t="n"/>
      <c r="VSD5" s="2" t="n"/>
      <c r="VSE5" s="2" t="n"/>
      <c r="VSF5" s="2" t="n"/>
      <c r="VSG5" s="2" t="n"/>
      <c r="VSH5" s="2" t="n"/>
      <c r="VSI5" s="2" t="n"/>
      <c r="VSJ5" s="2" t="n"/>
      <c r="VSK5" s="2" t="n"/>
      <c r="VSL5" s="2" t="n"/>
      <c r="VSM5" s="2" t="n"/>
      <c r="VSN5" s="2" t="n"/>
      <c r="VSO5" s="2" t="n"/>
      <c r="VSP5" s="2" t="n"/>
      <c r="VSQ5" s="2" t="n"/>
      <c r="VSR5" s="2" t="n"/>
      <c r="VSS5" s="2" t="n"/>
      <c r="VST5" s="2" t="n"/>
      <c r="VSU5" s="2" t="n"/>
      <c r="VSV5" s="2" t="n"/>
      <c r="VSW5" s="2" t="n"/>
      <c r="VSX5" s="2" t="n"/>
      <c r="VSY5" s="2" t="n"/>
      <c r="VSZ5" s="2" t="n"/>
      <c r="VTA5" s="2" t="n"/>
      <c r="VTB5" s="2" t="n"/>
      <c r="VTC5" s="2" t="n"/>
      <c r="VTD5" s="2" t="n"/>
      <c r="VTE5" s="2" t="n"/>
      <c r="VTF5" s="2" t="n"/>
      <c r="VTG5" s="2" t="n"/>
      <c r="VTH5" s="2" t="n"/>
      <c r="VTI5" s="2" t="n"/>
      <c r="VTJ5" s="2" t="n"/>
      <c r="VTK5" s="2" t="n"/>
      <c r="VTL5" s="2" t="n"/>
      <c r="VTM5" s="2" t="n"/>
      <c r="VTN5" s="2" t="n"/>
      <c r="VTO5" s="2" t="n"/>
      <c r="VTP5" s="2" t="n"/>
      <c r="VTQ5" s="2" t="n"/>
      <c r="VTR5" s="2" t="n"/>
      <c r="VTS5" s="2" t="n"/>
      <c r="VTT5" s="2" t="n"/>
      <c r="VTU5" s="2" t="n"/>
      <c r="VTV5" s="2" t="n"/>
      <c r="VTW5" s="2" t="n"/>
      <c r="VTX5" s="2" t="n"/>
      <c r="VTY5" s="2" t="n"/>
      <c r="VTZ5" s="2" t="n"/>
      <c r="VUA5" s="2" t="n"/>
      <c r="VUB5" s="2" t="n"/>
      <c r="VUC5" s="2" t="n"/>
      <c r="VUD5" s="2" t="n"/>
      <c r="VUE5" s="2" t="n"/>
      <c r="VUF5" s="2" t="n"/>
      <c r="VUG5" s="2" t="n"/>
      <c r="VUH5" s="2" t="n"/>
      <c r="VUI5" s="2" t="n"/>
      <c r="VUJ5" s="2" t="n"/>
      <c r="VUK5" s="2" t="n"/>
      <c r="VUL5" s="2" t="n"/>
      <c r="VUM5" s="2" t="n"/>
      <c r="VUN5" s="2" t="n"/>
      <c r="VUO5" s="2" t="n"/>
      <c r="VUP5" s="2" t="n"/>
      <c r="VUQ5" s="2" t="n"/>
      <c r="VUR5" s="2" t="n"/>
      <c r="VUS5" s="2" t="n"/>
      <c r="VUT5" s="2" t="n"/>
      <c r="VUU5" s="2" t="n"/>
      <c r="VUV5" s="2" t="n"/>
      <c r="VUW5" s="2" t="n"/>
      <c r="VUX5" s="2" t="n"/>
      <c r="VUY5" s="2" t="n"/>
      <c r="VUZ5" s="2" t="n"/>
      <c r="VVA5" s="2" t="n"/>
      <c r="VVB5" s="2" t="n"/>
      <c r="VVC5" s="2" t="n"/>
      <c r="VVD5" s="2" t="n"/>
      <c r="VVE5" s="2" t="n"/>
      <c r="VVF5" s="2" t="n"/>
      <c r="VVG5" s="2" t="n"/>
      <c r="VVH5" s="2" t="n"/>
      <c r="VVI5" s="2" t="n"/>
      <c r="VVJ5" s="2" t="n"/>
      <c r="VVK5" s="2" t="n"/>
      <c r="VVL5" s="2" t="n"/>
      <c r="VVM5" s="2" t="n"/>
      <c r="VVN5" s="2" t="n"/>
      <c r="VVO5" s="2" t="n"/>
      <c r="VVP5" s="2" t="n"/>
      <c r="VVQ5" s="2" t="n"/>
      <c r="VVR5" s="2" t="n"/>
      <c r="VVS5" s="2" t="n"/>
      <c r="VVT5" s="2" t="n"/>
      <c r="VVU5" s="2" t="n"/>
      <c r="VVV5" s="2" t="n"/>
      <c r="VVW5" s="2" t="n"/>
      <c r="VVX5" s="2" t="n"/>
      <c r="VVY5" s="2" t="n"/>
      <c r="VVZ5" s="2" t="n"/>
      <c r="VWA5" s="2" t="n"/>
      <c r="VWB5" s="2" t="n"/>
      <c r="VWC5" s="2" t="n"/>
      <c r="VWD5" s="2" t="n"/>
      <c r="VWE5" s="2" t="n"/>
      <c r="VWF5" s="2" t="n"/>
      <c r="VWG5" s="2" t="n"/>
      <c r="VWH5" s="2" t="n"/>
      <c r="VWI5" s="2" t="n"/>
      <c r="VWJ5" s="2" t="n"/>
      <c r="VWK5" s="2" t="n"/>
      <c r="VWL5" s="2" t="n"/>
      <c r="VWM5" s="2" t="n"/>
      <c r="VWN5" s="2" t="n"/>
      <c r="VWO5" s="2" t="n"/>
      <c r="VWP5" s="2" t="n"/>
      <c r="VWQ5" s="2" t="n"/>
      <c r="VWR5" s="2" t="n"/>
      <c r="VWS5" s="2" t="n"/>
      <c r="VWT5" s="2" t="n"/>
      <c r="VWU5" s="2" t="n"/>
      <c r="VWV5" s="2" t="n"/>
      <c r="VWW5" s="2" t="n"/>
      <c r="VWX5" s="2" t="n"/>
      <c r="VWY5" s="2" t="n"/>
      <c r="VWZ5" s="2" t="n"/>
      <c r="VXA5" s="2" t="n"/>
      <c r="VXB5" s="2" t="n"/>
      <c r="VXC5" s="2" t="n"/>
      <c r="VXD5" s="2" t="n"/>
      <c r="VXE5" s="2" t="n"/>
      <c r="VXF5" s="2" t="n"/>
      <c r="VXG5" s="2" t="n"/>
      <c r="VXH5" s="2" t="n"/>
      <c r="VXI5" s="2" t="n"/>
      <c r="VXJ5" s="2" t="n"/>
      <c r="VXK5" s="2" t="n"/>
      <c r="VXL5" s="2" t="n"/>
      <c r="VXM5" s="2" t="n"/>
      <c r="VXN5" s="2" t="n"/>
      <c r="VXO5" s="2" t="n"/>
      <c r="VXP5" s="2" t="n"/>
      <c r="VXQ5" s="2" t="n"/>
      <c r="VXR5" s="2" t="n"/>
      <c r="VXS5" s="2" t="n"/>
      <c r="VXT5" s="2" t="n"/>
      <c r="VXU5" s="2" t="n"/>
      <c r="VXV5" s="2" t="n"/>
      <c r="VXW5" s="2" t="n"/>
      <c r="VXX5" s="2" t="n"/>
      <c r="VXY5" s="2" t="n"/>
      <c r="VXZ5" s="2" t="n"/>
      <c r="VYA5" s="2" t="n"/>
      <c r="VYB5" s="2" t="n"/>
      <c r="VYC5" s="2" t="n"/>
      <c r="VYD5" s="2" t="n"/>
      <c r="VYE5" s="2" t="n"/>
      <c r="VYF5" s="2" t="n"/>
      <c r="VYG5" s="2" t="n"/>
      <c r="VYH5" s="2" t="n"/>
      <c r="VYI5" s="2" t="n"/>
      <c r="VYJ5" s="2" t="n"/>
      <c r="VYK5" s="2" t="n"/>
      <c r="VYL5" s="2" t="n"/>
      <c r="VYM5" s="2" t="n"/>
      <c r="VYN5" s="2" t="n"/>
      <c r="VYO5" s="2" t="n"/>
      <c r="VYP5" s="2" t="n"/>
      <c r="VYQ5" s="2" t="n"/>
      <c r="VYR5" s="2" t="n"/>
      <c r="VYS5" s="2" t="n"/>
      <c r="VYT5" s="2" t="n"/>
      <c r="VYU5" s="2" t="n"/>
      <c r="VYV5" s="2" t="n"/>
      <c r="VYW5" s="2" t="n"/>
      <c r="VYX5" s="2" t="n"/>
      <c r="VYY5" s="2" t="n"/>
      <c r="VYZ5" s="2" t="n"/>
      <c r="VZA5" s="2" t="n"/>
      <c r="VZB5" s="2" t="n"/>
      <c r="VZC5" s="2" t="n"/>
      <c r="VZD5" s="2" t="n"/>
      <c r="VZE5" s="2" t="n"/>
      <c r="VZF5" s="2" t="n"/>
      <c r="VZG5" s="2" t="n"/>
      <c r="VZH5" s="2" t="n"/>
      <c r="VZI5" s="2" t="n"/>
      <c r="VZJ5" s="2" t="n"/>
      <c r="VZK5" s="2" t="n"/>
      <c r="VZL5" s="2" t="n"/>
      <c r="VZM5" s="2" t="n"/>
      <c r="VZN5" s="2" t="n"/>
      <c r="VZO5" s="2" t="n"/>
      <c r="VZP5" s="2" t="n"/>
      <c r="VZQ5" s="2" t="n"/>
      <c r="VZR5" s="2" t="n"/>
      <c r="VZS5" s="2" t="n"/>
      <c r="VZT5" s="2" t="n"/>
      <c r="VZU5" s="2" t="n"/>
      <c r="VZV5" s="2" t="n"/>
      <c r="VZW5" s="2" t="n"/>
      <c r="VZX5" s="2" t="n"/>
      <c r="VZY5" s="2" t="n"/>
      <c r="VZZ5" s="2" t="n"/>
      <c r="WAA5" s="2" t="n"/>
      <c r="WAB5" s="2" t="n"/>
      <c r="WAC5" s="2" t="n"/>
      <c r="WAD5" s="2" t="n"/>
      <c r="WAE5" s="2" t="n"/>
      <c r="WAF5" s="2" t="n"/>
      <c r="WAG5" s="2" t="n"/>
      <c r="WAH5" s="2" t="n"/>
      <c r="WAI5" s="2" t="n"/>
      <c r="WAJ5" s="2" t="n"/>
      <c r="WAK5" s="2" t="n"/>
      <c r="WAL5" s="2" t="n"/>
      <c r="WAM5" s="2" t="n"/>
      <c r="WAN5" s="2" t="n"/>
      <c r="WAO5" s="2" t="n"/>
      <c r="WAP5" s="2" t="n"/>
      <c r="WAQ5" s="2" t="n"/>
      <c r="WAR5" s="2" t="n"/>
      <c r="WAS5" s="2" t="n"/>
      <c r="WAT5" s="2" t="n"/>
      <c r="WAU5" s="2" t="n"/>
      <c r="WAV5" s="2" t="n"/>
      <c r="WAW5" s="2" t="n"/>
      <c r="WAX5" s="2" t="n"/>
      <c r="WAY5" s="2" t="n"/>
      <c r="WAZ5" s="2" t="n"/>
      <c r="WBA5" s="2" t="n"/>
      <c r="WBB5" s="2" t="n"/>
      <c r="WBC5" s="2" t="n"/>
      <c r="WBD5" s="2" t="n"/>
      <c r="WBE5" s="2" t="n"/>
      <c r="WBF5" s="2" t="n"/>
      <c r="WBG5" s="2" t="n"/>
      <c r="WBH5" s="2" t="n"/>
      <c r="WBI5" s="2" t="n"/>
      <c r="WBJ5" s="2" t="n"/>
      <c r="WBK5" s="2" t="n"/>
      <c r="WBL5" s="2" t="n"/>
      <c r="WBM5" s="2" t="n"/>
      <c r="WBN5" s="2" t="n"/>
      <c r="WBO5" s="2" t="n"/>
      <c r="WBP5" s="2" t="n"/>
      <c r="WBQ5" s="2" t="n"/>
      <c r="WBR5" s="2" t="n"/>
      <c r="WBS5" s="2" t="n"/>
      <c r="WBT5" s="2" t="n"/>
      <c r="WBU5" s="2" t="n"/>
      <c r="WBV5" s="2" t="n"/>
      <c r="WBW5" s="2" t="n"/>
      <c r="WBX5" s="2" t="n"/>
      <c r="WBY5" s="2" t="n"/>
      <c r="WBZ5" s="2" t="n"/>
      <c r="WCA5" s="2" t="n"/>
      <c r="WCB5" s="2" t="n"/>
      <c r="WCC5" s="2" t="n"/>
      <c r="WCD5" s="2" t="n"/>
      <c r="WCE5" s="2" t="n"/>
      <c r="WCF5" s="2" t="n"/>
      <c r="WCG5" s="2" t="n"/>
      <c r="WCH5" s="2" t="n"/>
      <c r="WCI5" s="2" t="n"/>
      <c r="WCJ5" s="2" t="n"/>
      <c r="WCK5" s="2" t="n"/>
      <c r="WCL5" s="2" t="n"/>
      <c r="WCM5" s="2" t="n"/>
      <c r="WCN5" s="2" t="n"/>
      <c r="WCO5" s="2" t="n"/>
      <c r="WCP5" s="2" t="n"/>
      <c r="WCQ5" s="2" t="n"/>
      <c r="WCR5" s="2" t="n"/>
      <c r="WCS5" s="2" t="n"/>
      <c r="WCT5" s="2" t="n"/>
      <c r="WCU5" s="2" t="n"/>
      <c r="WCV5" s="2" t="n"/>
      <c r="WCW5" s="2" t="n"/>
      <c r="WCX5" s="2" t="n"/>
      <c r="WCY5" s="2" t="n"/>
      <c r="WCZ5" s="2" t="n"/>
      <c r="WDA5" s="2" t="n"/>
      <c r="WDB5" s="2" t="n"/>
      <c r="WDC5" s="2" t="n"/>
      <c r="WDD5" s="2" t="n"/>
      <c r="WDE5" s="2" t="n"/>
      <c r="WDF5" s="2" t="n"/>
      <c r="WDG5" s="2" t="n"/>
      <c r="WDH5" s="2" t="n"/>
      <c r="WDI5" s="2" t="n"/>
      <c r="WDJ5" s="2" t="n"/>
      <c r="WDK5" s="2" t="n"/>
      <c r="WDL5" s="2" t="n"/>
      <c r="WDM5" s="2" t="n"/>
      <c r="WDN5" s="2" t="n"/>
      <c r="WDO5" s="2" t="n"/>
      <c r="WDP5" s="2" t="n"/>
      <c r="WDQ5" s="2" t="n"/>
      <c r="WDR5" s="2" t="n"/>
      <c r="WDS5" s="2" t="n"/>
      <c r="WDT5" s="2" t="n"/>
      <c r="WDU5" s="2" t="n"/>
      <c r="WDV5" s="2" t="n"/>
      <c r="WDW5" s="2" t="n"/>
      <c r="WDX5" s="2" t="n"/>
      <c r="WDY5" s="2" t="n"/>
      <c r="WDZ5" s="2" t="n"/>
      <c r="WEA5" s="2" t="n"/>
      <c r="WEB5" s="2" t="n"/>
      <c r="WEC5" s="2" t="n"/>
      <c r="WED5" s="2" t="n"/>
      <c r="WEE5" s="2" t="n"/>
      <c r="WEF5" s="2" t="n"/>
      <c r="WEG5" s="2" t="n"/>
      <c r="WEH5" s="2" t="n"/>
      <c r="WEI5" s="2" t="n"/>
      <c r="WEJ5" s="2" t="n"/>
      <c r="WEK5" s="2" t="n"/>
      <c r="WEL5" s="2" t="n"/>
      <c r="WEM5" s="2" t="n"/>
      <c r="WEN5" s="2" t="n"/>
      <c r="WEO5" s="2" t="n"/>
      <c r="WEP5" s="2" t="n"/>
      <c r="WEQ5" s="2" t="n"/>
      <c r="WER5" s="2" t="n"/>
      <c r="WES5" s="2" t="n"/>
      <c r="WET5" s="2" t="n"/>
      <c r="WEU5" s="2" t="n"/>
      <c r="WEV5" s="2" t="n"/>
      <c r="WEW5" s="2" t="n"/>
      <c r="WEX5" s="2" t="n"/>
      <c r="WEY5" s="2" t="n"/>
      <c r="WEZ5" s="2" t="n"/>
      <c r="WFA5" s="2" t="n"/>
      <c r="WFB5" s="2" t="n"/>
      <c r="WFC5" s="2" t="n"/>
      <c r="WFD5" s="2" t="n"/>
      <c r="WFE5" s="2" t="n"/>
      <c r="WFF5" s="2" t="n"/>
      <c r="WFG5" s="2" t="n"/>
      <c r="WFH5" s="2" t="n"/>
      <c r="WFI5" s="2" t="n"/>
      <c r="WFJ5" s="2" t="n"/>
      <c r="WFK5" s="2" t="n"/>
      <c r="WFL5" s="2" t="n"/>
      <c r="WFM5" s="2" t="n"/>
      <c r="WFN5" s="2" t="n"/>
      <c r="WFO5" s="2" t="n"/>
      <c r="WFP5" s="2" t="n"/>
      <c r="WFQ5" s="2" t="n"/>
      <c r="WFR5" s="2" t="n"/>
      <c r="WFS5" s="2" t="n"/>
      <c r="WFT5" s="2" t="n"/>
      <c r="WFU5" s="2" t="n"/>
      <c r="WFV5" s="2" t="n"/>
      <c r="WFW5" s="2" t="n"/>
      <c r="WFX5" s="2" t="n"/>
      <c r="WFY5" s="2" t="n"/>
      <c r="WFZ5" s="2" t="n"/>
      <c r="WGA5" s="2" t="n"/>
      <c r="WGB5" s="2" t="n"/>
      <c r="WGC5" s="2" t="n"/>
      <c r="WGD5" s="2" t="n"/>
      <c r="WGE5" s="2" t="n"/>
      <c r="WGF5" s="2" t="n"/>
      <c r="WGG5" s="2" t="n"/>
      <c r="WGH5" s="2" t="n"/>
      <c r="WGI5" s="2" t="n"/>
      <c r="WGJ5" s="2" t="n"/>
      <c r="WGK5" s="2" t="n"/>
      <c r="WGL5" s="2" t="n"/>
      <c r="WGM5" s="2" t="n"/>
      <c r="WGN5" s="2" t="n"/>
      <c r="WGO5" s="2" t="n"/>
      <c r="WGP5" s="2" t="n"/>
      <c r="WGQ5" s="2" t="n"/>
      <c r="WGR5" s="2" t="n"/>
      <c r="WGS5" s="2" t="n"/>
      <c r="WGT5" s="2" t="n"/>
      <c r="WGU5" s="2" t="n"/>
      <c r="WGV5" s="2" t="n"/>
      <c r="WGW5" s="2" t="n"/>
      <c r="WGX5" s="2" t="n"/>
      <c r="WGY5" s="2" t="n"/>
      <c r="WGZ5" s="2" t="n"/>
      <c r="WHA5" s="2" t="n"/>
      <c r="WHB5" s="2" t="n"/>
      <c r="WHC5" s="2" t="n"/>
      <c r="WHD5" s="2" t="n"/>
      <c r="WHE5" s="2" t="n"/>
      <c r="WHF5" s="2" t="n"/>
      <c r="WHG5" s="2" t="n"/>
      <c r="WHH5" s="2" t="n"/>
      <c r="WHI5" s="2" t="n"/>
      <c r="WHJ5" s="2" t="n"/>
      <c r="WHK5" s="2" t="n"/>
      <c r="WHL5" s="2" t="n"/>
      <c r="WHM5" s="2" t="n"/>
      <c r="WHN5" s="2" t="n"/>
      <c r="WHO5" s="2" t="n"/>
      <c r="WHP5" s="2" t="n"/>
      <c r="WHQ5" s="2" t="n"/>
      <c r="WHR5" s="2" t="n"/>
      <c r="WHS5" s="2" t="n"/>
      <c r="WHT5" s="2" t="n"/>
      <c r="WHU5" s="2" t="n"/>
      <c r="WHV5" s="2" t="n"/>
      <c r="WHW5" s="2" t="n"/>
      <c r="WHX5" s="2" t="n"/>
      <c r="WHY5" s="2" t="n"/>
      <c r="WHZ5" s="2" t="n"/>
      <c r="WIA5" s="2" t="n"/>
      <c r="WIB5" s="2" t="n"/>
      <c r="WIC5" s="2" t="n"/>
      <c r="WID5" s="2" t="n"/>
      <c r="WIE5" s="2" t="n"/>
      <c r="WIF5" s="2" t="n"/>
      <c r="WIG5" s="2" t="n"/>
      <c r="WIH5" s="2" t="n"/>
      <c r="WII5" s="2" t="n"/>
      <c r="WIJ5" s="2" t="n"/>
      <c r="WIK5" s="2" t="n"/>
      <c r="WIL5" s="2" t="n"/>
      <c r="WIM5" s="2" t="n"/>
      <c r="WIN5" s="2" t="n"/>
      <c r="WIO5" s="2" t="n"/>
      <c r="WIP5" s="2" t="n"/>
      <c r="WIQ5" s="2" t="n"/>
      <c r="WIR5" s="2" t="n"/>
      <c r="WIS5" s="2" t="n"/>
      <c r="WIT5" s="2" t="n"/>
      <c r="WIU5" s="2" t="n"/>
      <c r="WIV5" s="2" t="n"/>
      <c r="WIW5" s="2" t="n"/>
      <c r="WIX5" s="2" t="n"/>
      <c r="WIY5" s="2" t="n"/>
      <c r="WIZ5" s="2" t="n"/>
      <c r="WJA5" s="2" t="n"/>
      <c r="WJB5" s="2" t="n"/>
      <c r="WJC5" s="2" t="n"/>
      <c r="WJD5" s="2" t="n"/>
      <c r="WJE5" s="2" t="n"/>
      <c r="WJF5" s="2" t="n"/>
      <c r="WJG5" s="2" t="n"/>
      <c r="WJH5" s="2" t="n"/>
      <c r="WJI5" s="2" t="n"/>
      <c r="WJJ5" s="2" t="n"/>
      <c r="WJK5" s="2" t="n"/>
      <c r="WJL5" s="2" t="n"/>
      <c r="WJM5" s="2" t="n"/>
      <c r="WJN5" s="2" t="n"/>
      <c r="WJO5" s="2" t="n"/>
      <c r="WJP5" s="2" t="n"/>
      <c r="WJQ5" s="2" t="n"/>
      <c r="WJR5" s="2" t="n"/>
      <c r="WJS5" s="2" t="n"/>
      <c r="WJT5" s="2" t="n"/>
      <c r="WJU5" s="2" t="n"/>
      <c r="WJV5" s="2" t="n"/>
      <c r="WJW5" s="2" t="n"/>
      <c r="WJX5" s="2" t="n"/>
      <c r="WJY5" s="2" t="n"/>
      <c r="WJZ5" s="2" t="n"/>
      <c r="WKA5" s="2" t="n"/>
      <c r="WKB5" s="2" t="n"/>
      <c r="WKC5" s="2" t="n"/>
      <c r="WKD5" s="2" t="n"/>
      <c r="WKE5" s="2" t="n"/>
      <c r="WKF5" s="2" t="n"/>
      <c r="WKG5" s="2" t="n"/>
      <c r="WKH5" s="2" t="n"/>
      <c r="WKI5" s="2" t="n"/>
      <c r="WKJ5" s="2" t="n"/>
      <c r="WKK5" s="2" t="n"/>
      <c r="WKL5" s="2" t="n"/>
      <c r="WKM5" s="2" t="n"/>
      <c r="WKN5" s="2" t="n"/>
      <c r="WKO5" s="2" t="n"/>
      <c r="WKP5" s="2" t="n"/>
      <c r="WKQ5" s="2" t="n"/>
      <c r="WKR5" s="2" t="n"/>
      <c r="WKS5" s="2" t="n"/>
      <c r="WKT5" s="2" t="n"/>
      <c r="WKU5" s="2" t="n"/>
      <c r="WKV5" s="2" t="n"/>
      <c r="WKW5" s="2" t="n"/>
      <c r="WKX5" s="2" t="n"/>
      <c r="WKY5" s="2" t="n"/>
      <c r="WKZ5" s="2" t="n"/>
      <c r="WLA5" s="2" t="n"/>
      <c r="WLB5" s="2" t="n"/>
      <c r="WLC5" s="2" t="n"/>
      <c r="WLD5" s="2" t="n"/>
      <c r="WLE5" s="2" t="n"/>
      <c r="WLF5" s="2" t="n"/>
      <c r="WLG5" s="2" t="n"/>
      <c r="WLH5" s="2" t="n"/>
      <c r="WLI5" s="2" t="n"/>
      <c r="WLJ5" s="2" t="n"/>
      <c r="WLK5" s="2" t="n"/>
      <c r="WLL5" s="2" t="n"/>
      <c r="WLM5" s="2" t="n"/>
      <c r="WLN5" s="2" t="n"/>
      <c r="WLO5" s="2" t="n"/>
      <c r="WLP5" s="2" t="n"/>
      <c r="WLQ5" s="2" t="n"/>
      <c r="WLR5" s="2" t="n"/>
      <c r="WLS5" s="2" t="n"/>
      <c r="WLT5" s="2" t="n"/>
      <c r="WLU5" s="2" t="n"/>
      <c r="WLV5" s="2" t="n"/>
      <c r="WLW5" s="2" t="n"/>
      <c r="WLX5" s="2" t="n"/>
      <c r="WLY5" s="2" t="n"/>
      <c r="WLZ5" s="2" t="n"/>
      <c r="WMA5" s="2" t="n"/>
      <c r="WMB5" s="2" t="n"/>
      <c r="WMC5" s="2" t="n"/>
      <c r="WMD5" s="2" t="n"/>
      <c r="WME5" s="2" t="n"/>
      <c r="WMF5" s="2" t="n"/>
      <c r="WMG5" s="2" t="n"/>
      <c r="WMH5" s="2" t="n"/>
      <c r="WMI5" s="2" t="n"/>
      <c r="WMJ5" s="2" t="n"/>
      <c r="WMK5" s="2" t="n"/>
      <c r="WML5" s="2" t="n"/>
      <c r="WMM5" s="2" t="n"/>
      <c r="WMN5" s="2" t="n"/>
      <c r="WMO5" s="2" t="n"/>
      <c r="WMP5" s="2" t="n"/>
      <c r="WMQ5" s="2" t="n"/>
      <c r="WMR5" s="2" t="n"/>
      <c r="WMS5" s="2" t="n"/>
      <c r="WMT5" s="2" t="n"/>
      <c r="WMU5" s="2" t="n"/>
      <c r="WMV5" s="2" t="n"/>
      <c r="WMW5" s="2" t="n"/>
      <c r="WMX5" s="2" t="n"/>
      <c r="WMY5" s="2" t="n"/>
      <c r="WMZ5" s="2" t="n"/>
      <c r="WNA5" s="2" t="n"/>
      <c r="WNB5" s="2" t="n"/>
      <c r="WNC5" s="2" t="n"/>
      <c r="WND5" s="2" t="n"/>
      <c r="WNE5" s="2" t="n"/>
      <c r="WNF5" s="2" t="n"/>
      <c r="WNG5" s="2" t="n"/>
      <c r="WNH5" s="2" t="n"/>
      <c r="WNI5" s="2" t="n"/>
      <c r="WNJ5" s="2" t="n"/>
      <c r="WNK5" s="2" t="n"/>
      <c r="WNL5" s="2" t="n"/>
      <c r="WNM5" s="2" t="n"/>
      <c r="WNN5" s="2" t="n"/>
      <c r="WNO5" s="2" t="n"/>
      <c r="WNP5" s="2" t="n"/>
      <c r="WNQ5" s="2" t="n"/>
      <c r="WNR5" s="2" t="n"/>
      <c r="WNS5" s="2" t="n"/>
      <c r="WNT5" s="2" t="n"/>
      <c r="WNU5" s="2" t="n"/>
      <c r="WNV5" s="2" t="n"/>
      <c r="WNW5" s="2" t="n"/>
      <c r="WNX5" s="2" t="n"/>
      <c r="WNY5" s="2" t="n"/>
      <c r="WNZ5" s="2" t="n"/>
      <c r="WOA5" s="2" t="n"/>
      <c r="WOB5" s="2" t="n"/>
      <c r="WOC5" s="2" t="n"/>
      <c r="WOD5" s="2" t="n"/>
      <c r="WOE5" s="2" t="n"/>
      <c r="WOF5" s="2" t="n"/>
      <c r="WOG5" s="2" t="n"/>
      <c r="WOH5" s="2" t="n"/>
      <c r="WOI5" s="2" t="n"/>
      <c r="WOJ5" s="2" t="n"/>
      <c r="WOK5" s="2" t="n"/>
      <c r="WOL5" s="2" t="n"/>
      <c r="WOM5" s="2" t="n"/>
      <c r="WON5" s="2" t="n"/>
      <c r="WOO5" s="2" t="n"/>
      <c r="WOP5" s="2" t="n"/>
      <c r="WOQ5" s="2" t="n"/>
      <c r="WOR5" s="2" t="n"/>
      <c r="WOS5" s="2" t="n"/>
      <c r="WOT5" s="2" t="n"/>
      <c r="WOU5" s="2" t="n"/>
      <c r="WOV5" s="2" t="n"/>
      <c r="WOW5" s="2" t="n"/>
      <c r="WOX5" s="2" t="n"/>
      <c r="WOY5" s="2" t="n"/>
      <c r="WOZ5" s="2" t="n"/>
      <c r="WPA5" s="2" t="n"/>
      <c r="WPB5" s="2" t="n"/>
      <c r="WPC5" s="2" t="n"/>
      <c r="WPD5" s="2" t="n"/>
      <c r="WPE5" s="2" t="n"/>
      <c r="WPF5" s="2" t="n"/>
      <c r="WPG5" s="2" t="n"/>
      <c r="WPH5" s="2" t="n"/>
      <c r="WPI5" s="2" t="n"/>
      <c r="WPJ5" s="2" t="n"/>
      <c r="WPK5" s="2" t="n"/>
      <c r="WPL5" s="2" t="n"/>
      <c r="WPM5" s="2" t="n"/>
      <c r="WPN5" s="2" t="n"/>
      <c r="WPO5" s="2" t="n"/>
      <c r="WPP5" s="2" t="n"/>
      <c r="WPQ5" s="2" t="n"/>
      <c r="WPR5" s="2" t="n"/>
      <c r="WPS5" s="2" t="n"/>
      <c r="WPT5" s="2" t="n"/>
      <c r="WPU5" s="2" t="n"/>
      <c r="WPV5" s="2" t="n"/>
      <c r="WPW5" s="2" t="n"/>
      <c r="WPX5" s="2" t="n"/>
      <c r="WPY5" s="2" t="n"/>
      <c r="WPZ5" s="2" t="n"/>
      <c r="WQA5" s="2" t="n"/>
      <c r="WQB5" s="2" t="n"/>
      <c r="WQC5" s="2" t="n"/>
      <c r="WQD5" s="2" t="n"/>
      <c r="WQE5" s="2" t="n"/>
      <c r="WQF5" s="2" t="n"/>
      <c r="WQG5" s="2" t="n"/>
      <c r="WQH5" s="2" t="n"/>
      <c r="WQI5" s="2" t="n"/>
      <c r="WQJ5" s="2" t="n"/>
      <c r="WQK5" s="2" t="n"/>
      <c r="WQL5" s="2" t="n"/>
      <c r="WQM5" s="2" t="n"/>
      <c r="WQN5" s="2" t="n"/>
      <c r="WQO5" s="2" t="n"/>
      <c r="WQP5" s="2" t="n"/>
      <c r="WQQ5" s="2" t="n"/>
      <c r="WQR5" s="2" t="n"/>
      <c r="WQS5" s="2" t="n"/>
      <c r="WQT5" s="2" t="n"/>
      <c r="WQU5" s="2" t="n"/>
      <c r="WQV5" s="2" t="n"/>
      <c r="WQW5" s="2" t="n"/>
      <c r="WQX5" s="2" t="n"/>
      <c r="WQY5" s="2" t="n"/>
      <c r="WQZ5" s="2" t="n"/>
      <c r="WRA5" s="2" t="n"/>
      <c r="WRB5" s="2" t="n"/>
      <c r="WRC5" s="2" t="n"/>
      <c r="WRD5" s="2" t="n"/>
      <c r="WRE5" s="2" t="n"/>
      <c r="WRF5" s="2" t="n"/>
      <c r="WRG5" s="2" t="n"/>
      <c r="WRH5" s="2" t="n"/>
      <c r="WRI5" s="2" t="n"/>
      <c r="WRJ5" s="2" t="n"/>
      <c r="WRK5" s="2" t="n"/>
      <c r="WRL5" s="2" t="n"/>
      <c r="WRM5" s="2" t="n"/>
      <c r="WRN5" s="2" t="n"/>
      <c r="WRO5" s="2" t="n"/>
      <c r="WRP5" s="2" t="n"/>
      <c r="WRQ5" s="2" t="n"/>
      <c r="WRR5" s="2" t="n"/>
      <c r="WRS5" s="2" t="n"/>
      <c r="WRT5" s="2" t="n"/>
      <c r="WRU5" s="2" t="n"/>
      <c r="WRV5" s="2" t="n"/>
      <c r="WRW5" s="2" t="n"/>
      <c r="WRX5" s="2" t="n"/>
      <c r="WRY5" s="2" t="n"/>
      <c r="WRZ5" s="2" t="n"/>
      <c r="WSA5" s="2" t="n"/>
      <c r="WSB5" s="2" t="n"/>
      <c r="WSC5" s="2" t="n"/>
      <c r="WSD5" s="2" t="n"/>
      <c r="WSE5" s="2" t="n"/>
      <c r="WSF5" s="2" t="n"/>
      <c r="WSG5" s="2" t="n"/>
      <c r="WSH5" s="2" t="n"/>
      <c r="WSI5" s="2" t="n"/>
      <c r="WSJ5" s="2" t="n"/>
      <c r="WSK5" s="2" t="n"/>
      <c r="WSL5" s="2" t="n"/>
      <c r="WSM5" s="2" t="n"/>
      <c r="WSN5" s="2" t="n"/>
      <c r="WSO5" s="2" t="n"/>
      <c r="WSP5" s="2" t="n"/>
      <c r="WSQ5" s="2" t="n"/>
      <c r="WSR5" s="2" t="n"/>
      <c r="WSS5" s="2" t="n"/>
      <c r="WST5" s="2" t="n"/>
      <c r="WSU5" s="2" t="n"/>
      <c r="WSV5" s="2" t="n"/>
      <c r="WSW5" s="2" t="n"/>
      <c r="WSX5" s="2" t="n"/>
      <c r="WSY5" s="2" t="n"/>
      <c r="WSZ5" s="2" t="n"/>
      <c r="WTA5" s="2" t="n"/>
      <c r="WTB5" s="2" t="n"/>
      <c r="WTC5" s="2" t="n"/>
      <c r="WTD5" s="2" t="n"/>
      <c r="WTE5" s="2" t="n"/>
      <c r="WTF5" s="2" t="n"/>
      <c r="WTG5" s="2" t="n"/>
      <c r="WTH5" s="2" t="n"/>
      <c r="WTI5" s="2" t="n"/>
      <c r="WTJ5" s="2" t="n"/>
      <c r="WTK5" s="2" t="n"/>
      <c r="WTL5" s="2" t="n"/>
      <c r="WTM5" s="2" t="n"/>
      <c r="WTN5" s="2" t="n"/>
      <c r="WTO5" s="2" t="n"/>
      <c r="WTP5" s="2" t="n"/>
      <c r="WTQ5" s="2" t="n"/>
      <c r="WTR5" s="2" t="n"/>
      <c r="WTS5" s="2" t="n"/>
      <c r="WTT5" s="2" t="n"/>
      <c r="WTU5" s="2" t="n"/>
      <c r="WTV5" s="2" t="n"/>
      <c r="WTW5" s="2" t="n"/>
      <c r="WTX5" s="2" t="n"/>
      <c r="WTY5" s="2" t="n"/>
      <c r="WTZ5" s="2" t="n"/>
      <c r="WUA5" s="2" t="n"/>
      <c r="WUB5" s="2" t="n"/>
      <c r="WUC5" s="2" t="n"/>
      <c r="WUD5" s="2" t="n"/>
      <c r="WUE5" s="2" t="n"/>
      <c r="WUF5" s="2" t="n"/>
      <c r="WUG5" s="2" t="n"/>
      <c r="WUH5" s="2" t="n"/>
      <c r="WUI5" s="2" t="n"/>
      <c r="WUJ5" s="2" t="n"/>
      <c r="WUK5" s="2" t="n"/>
      <c r="WUL5" s="2" t="n"/>
      <c r="WUM5" s="2" t="n"/>
      <c r="WUN5" s="2" t="n"/>
      <c r="WUO5" s="2" t="n"/>
      <c r="WUP5" s="2" t="n"/>
      <c r="WUQ5" s="2" t="n"/>
      <c r="WUR5" s="2" t="n"/>
      <c r="WUS5" s="2" t="n"/>
      <c r="WUT5" s="2" t="n"/>
      <c r="WUU5" s="2" t="n"/>
      <c r="WUV5" s="2" t="n"/>
      <c r="WUW5" s="2" t="n"/>
      <c r="WUX5" s="2" t="n"/>
      <c r="WUY5" s="2" t="n"/>
      <c r="WUZ5" s="2" t="n"/>
      <c r="WVA5" s="2" t="n"/>
      <c r="WVB5" s="2" t="n"/>
      <c r="WVC5" s="2" t="n"/>
      <c r="WVD5" s="2" t="n"/>
      <c r="WVE5" s="2" t="n"/>
      <c r="WVF5" s="2" t="n"/>
      <c r="WVG5" s="2" t="n"/>
      <c r="WVH5" s="2" t="n"/>
      <c r="WVI5" s="2" t="n"/>
      <c r="WVJ5" s="2" t="n"/>
      <c r="WVK5" s="2" t="n"/>
      <c r="WVL5" s="2" t="n"/>
      <c r="WVM5" s="2" t="n"/>
      <c r="WVN5" s="2" t="n"/>
      <c r="WVO5" s="2" t="n"/>
      <c r="WVP5" s="2" t="n"/>
      <c r="WVQ5" s="2" t="n"/>
      <c r="WVR5" s="2" t="n"/>
      <c r="WVS5" s="2" t="n"/>
      <c r="WVT5" s="2" t="n"/>
      <c r="WVU5" s="2" t="n"/>
      <c r="WVV5" s="2" t="n"/>
      <c r="WVW5" s="2" t="n"/>
      <c r="WVX5" s="2" t="n"/>
      <c r="WVY5" s="2" t="n"/>
      <c r="WVZ5" s="2" t="n"/>
      <c r="WWA5" s="2" t="n"/>
      <c r="WWB5" s="2" t="n"/>
      <c r="WWC5" s="2" t="n"/>
      <c r="WWD5" s="2" t="n"/>
      <c r="WWE5" s="2" t="n"/>
      <c r="WWF5" s="2" t="n"/>
      <c r="WWG5" s="2" t="n"/>
      <c r="WWH5" s="2" t="n"/>
      <c r="WWI5" s="2" t="n"/>
      <c r="WWJ5" s="2" t="n"/>
      <c r="WWK5" s="2" t="n"/>
      <c r="WWL5" s="2" t="n"/>
      <c r="WWM5" s="2" t="n"/>
      <c r="WWN5" s="2" t="n"/>
      <c r="WWO5" s="2" t="n"/>
      <c r="WWP5" s="2" t="n"/>
      <c r="WWQ5" s="2" t="n"/>
      <c r="WWR5" s="2" t="n"/>
      <c r="WWS5" s="2" t="n"/>
      <c r="WWT5" s="2" t="n"/>
      <c r="WWU5" s="2" t="n"/>
      <c r="WWV5" s="2" t="n"/>
      <c r="WWW5" s="2" t="n"/>
      <c r="WWX5" s="2" t="n"/>
      <c r="WWY5" s="2" t="n"/>
      <c r="WWZ5" s="2" t="n"/>
      <c r="WXA5" s="2" t="n"/>
      <c r="WXB5" s="2" t="n"/>
      <c r="WXC5" s="2" t="n"/>
      <c r="WXD5" s="2" t="n"/>
      <c r="WXE5" s="2" t="n"/>
      <c r="WXF5" s="2" t="n"/>
      <c r="WXG5" s="2" t="n"/>
      <c r="WXH5" s="2" t="n"/>
      <c r="WXI5" s="2" t="n"/>
      <c r="WXJ5" s="2" t="n"/>
      <c r="WXK5" s="2" t="n"/>
      <c r="WXL5" s="2" t="n"/>
      <c r="WXM5" s="2" t="n"/>
      <c r="WXN5" s="2" t="n"/>
      <c r="WXO5" s="2" t="n"/>
      <c r="WXP5" s="2" t="n"/>
      <c r="WXQ5" s="2" t="n"/>
      <c r="WXR5" s="2" t="n"/>
      <c r="WXS5" s="2" t="n"/>
      <c r="WXT5" s="2" t="n"/>
      <c r="WXU5" s="2" t="n"/>
      <c r="WXV5" s="2" t="n"/>
      <c r="WXW5" s="2" t="n"/>
      <c r="WXX5" s="2" t="n"/>
      <c r="WXY5" s="2" t="n"/>
      <c r="WXZ5" s="2" t="n"/>
      <c r="WYA5" s="2" t="n"/>
      <c r="WYB5" s="2" t="n"/>
      <c r="WYC5" s="2" t="n"/>
      <c r="WYD5" s="2" t="n"/>
      <c r="WYE5" s="2" t="n"/>
      <c r="WYF5" s="2" t="n"/>
      <c r="WYG5" s="2" t="n"/>
      <c r="WYH5" s="2" t="n"/>
      <c r="WYI5" s="2" t="n"/>
      <c r="WYJ5" s="2" t="n"/>
      <c r="WYK5" s="2" t="n"/>
      <c r="WYL5" s="2" t="n"/>
      <c r="WYM5" s="2" t="n"/>
      <c r="WYN5" s="2" t="n"/>
      <c r="WYO5" s="2" t="n"/>
      <c r="WYP5" s="2" t="n"/>
      <c r="WYQ5" s="2" t="n"/>
      <c r="WYR5" s="2" t="n"/>
      <c r="WYS5" s="2" t="n"/>
      <c r="WYT5" s="2" t="n"/>
      <c r="WYU5" s="2" t="n"/>
      <c r="WYV5" s="2" t="n"/>
      <c r="WYW5" s="2" t="n"/>
      <c r="WYX5" s="2" t="n"/>
      <c r="WYY5" s="2" t="n"/>
      <c r="WYZ5" s="2" t="n"/>
      <c r="WZA5" s="2" t="n"/>
      <c r="WZB5" s="2" t="n"/>
      <c r="WZC5" s="2" t="n"/>
      <c r="WZD5" s="2" t="n"/>
      <c r="WZE5" s="2" t="n"/>
      <c r="WZF5" s="2" t="n"/>
      <c r="WZG5" s="2" t="n"/>
      <c r="WZH5" s="2" t="n"/>
      <c r="WZI5" s="2" t="n"/>
      <c r="WZJ5" s="2" t="n"/>
      <c r="WZK5" s="2" t="n"/>
      <c r="WZL5" s="2" t="n"/>
      <c r="WZM5" s="2" t="n"/>
      <c r="WZN5" s="2" t="n"/>
      <c r="WZO5" s="2" t="n"/>
      <c r="WZP5" s="2" t="n"/>
      <c r="WZQ5" s="2" t="n"/>
      <c r="WZR5" s="2" t="n"/>
      <c r="WZS5" s="2" t="n"/>
      <c r="WZT5" s="2" t="n"/>
      <c r="WZU5" s="2" t="n"/>
      <c r="WZV5" s="2" t="n"/>
      <c r="WZW5" s="2" t="n"/>
      <c r="WZX5" s="2" t="n"/>
      <c r="WZY5" s="2" t="n"/>
      <c r="WZZ5" s="2" t="n"/>
      <c r="XAA5" s="2" t="n"/>
      <c r="XAB5" s="2" t="n"/>
      <c r="XAC5" s="2" t="n"/>
      <c r="XAD5" s="2" t="n"/>
      <c r="XAE5" s="2" t="n"/>
      <c r="XAF5" s="2" t="n"/>
      <c r="XAG5" s="2" t="n"/>
      <c r="XAH5" s="2" t="n"/>
      <c r="XAI5" s="2" t="n"/>
      <c r="XAJ5" s="2" t="n"/>
      <c r="XAK5" s="2" t="n"/>
      <c r="XAL5" s="2" t="n"/>
      <c r="XAM5" s="2" t="n"/>
      <c r="XAN5" s="2" t="n"/>
      <c r="XAO5" s="2" t="n"/>
      <c r="XAP5" s="2" t="n"/>
      <c r="XAQ5" s="2" t="n"/>
      <c r="XAR5" s="2" t="n"/>
      <c r="XAS5" s="2" t="n"/>
      <c r="XAT5" s="2" t="n"/>
      <c r="XAU5" s="2" t="n"/>
      <c r="XAV5" s="2" t="n"/>
      <c r="XAW5" s="2" t="n"/>
      <c r="XAX5" s="2" t="n"/>
      <c r="XAY5" s="2" t="n"/>
      <c r="XAZ5" s="2" t="n"/>
      <c r="XBA5" s="2" t="n"/>
      <c r="XBB5" s="2" t="n"/>
      <c r="XBC5" s="2" t="n"/>
      <c r="XBD5" s="2" t="n"/>
      <c r="XBE5" s="2" t="n"/>
      <c r="XBF5" s="2" t="n"/>
      <c r="XBG5" s="2" t="n"/>
      <c r="XBH5" s="2" t="n"/>
      <c r="XBI5" s="2" t="n"/>
      <c r="XBJ5" s="2" t="n"/>
      <c r="XBK5" s="2" t="n"/>
      <c r="XBL5" s="2" t="n"/>
      <c r="XBM5" s="2" t="n"/>
      <c r="XBN5" s="2" t="n"/>
      <c r="XBO5" s="2" t="n"/>
      <c r="XBP5" s="2" t="n"/>
      <c r="XBQ5" s="2" t="n"/>
      <c r="XBR5" s="2" t="n"/>
      <c r="XBS5" s="2" t="n"/>
      <c r="XBT5" s="2" t="n"/>
      <c r="XBU5" s="2" t="n"/>
      <c r="XBV5" s="2" t="n"/>
      <c r="XBW5" s="2" t="n"/>
      <c r="XBX5" s="2" t="n"/>
      <c r="XBY5" s="2" t="n"/>
      <c r="XBZ5" s="2" t="n"/>
      <c r="XCA5" s="2" t="n"/>
      <c r="XCB5" s="2" t="n"/>
      <c r="XCC5" s="2" t="n"/>
      <c r="XCD5" s="2" t="n"/>
      <c r="XCE5" s="2" t="n"/>
      <c r="XCF5" s="2" t="n"/>
      <c r="XCG5" s="2" t="n"/>
      <c r="XCH5" s="2" t="n"/>
      <c r="XCI5" s="2" t="n"/>
      <c r="XCJ5" s="2" t="n"/>
      <c r="XCK5" s="2" t="n"/>
      <c r="XCL5" s="2" t="n"/>
      <c r="XCM5" s="2" t="n"/>
      <c r="XCN5" s="2" t="n"/>
      <c r="XCO5" s="2" t="n"/>
      <c r="XCP5" s="2" t="n"/>
      <c r="XCQ5" s="2" t="n"/>
      <c r="XCR5" s="2" t="n"/>
      <c r="XCS5" s="2" t="n"/>
      <c r="XCT5" s="2" t="n"/>
      <c r="XCU5" s="2" t="n"/>
      <c r="XCV5" s="2" t="n"/>
      <c r="XCW5" s="2" t="n"/>
      <c r="XCX5" s="2" t="n"/>
      <c r="XCY5" s="2" t="n"/>
      <c r="XCZ5" s="2" t="n"/>
      <c r="XDA5" s="2" t="n"/>
      <c r="XDB5" s="2" t="n"/>
      <c r="XDC5" s="2" t="n"/>
      <c r="XDD5" s="2" t="n"/>
      <c r="XDE5" s="2" t="n"/>
      <c r="XDF5" s="2" t="n"/>
      <c r="XDG5" s="2" t="n"/>
      <c r="XDH5" s="2" t="n"/>
      <c r="XDI5" s="2" t="n"/>
      <c r="XDJ5" s="2" t="n"/>
      <c r="XDK5" s="2" t="n"/>
      <c r="XDL5" s="2" t="n"/>
      <c r="XDM5" s="2" t="n"/>
      <c r="XDN5" s="2" t="n"/>
      <c r="XDO5" s="2" t="n"/>
      <c r="XDP5" s="2" t="n"/>
      <c r="XDQ5" s="2" t="n"/>
      <c r="XDR5" s="2" t="n"/>
      <c r="XDS5" s="2" t="n"/>
      <c r="XDT5" s="2" t="n"/>
      <c r="XDU5" s="2" t="n"/>
      <c r="XDV5" s="2" t="n"/>
      <c r="XDW5" s="2" t="n"/>
      <c r="XDX5" s="2" t="n"/>
      <c r="XDY5" s="14" t="n"/>
      <c r="XDZ5" s="14" t="n"/>
      <c r="XEA5" s="14" t="n"/>
      <c r="XEB5" s="14" t="n"/>
      <c r="XEC5" s="14" t="n"/>
      <c r="XED5" s="14" t="n"/>
      <c r="XEE5" s="14" t="n"/>
      <c r="XEF5" s="14" t="n"/>
      <c r="XEG5" s="14" t="n"/>
      <c r="XEH5" s="14" t="n"/>
      <c r="XEI5" s="14" t="n"/>
      <c r="XEJ5" s="14" t="n"/>
      <c r="XEK5" s="14" t="n"/>
      <c r="XEL5" s="14" t="n"/>
      <c r="XEM5" s="14" t="n"/>
      <c r="XEN5" s="14" t="n"/>
      <c r="XEO5" s="14" t="n"/>
      <c r="XEP5" s="14" t="n"/>
      <c r="XEQ5" s="14" t="n"/>
      <c r="XER5" s="14" t="n"/>
      <c r="XES5" s="14" t="n"/>
      <c r="XET5" s="14" t="n"/>
      <c r="XEU5" s="14" t="n"/>
      <c r="XEV5" s="14" t="n"/>
      <c r="XEW5" s="14" t="n"/>
      <c r="XEX5" s="14" t="n"/>
      <c r="XEY5" s="14" t="n"/>
      <c r="XEZ5" s="14" t="n"/>
      <c r="XFA5" s="14" t="n"/>
      <c r="XFB5" s="14" t="n"/>
      <c r="XFC5" s="14" t="n"/>
      <c r="XFD5" s="14" t="n"/>
    </row>
    <row r="6" ht="20" customFormat="1" customHeight="1" s="1">
      <c r="A6" s="30" t="n">
        <v>4</v>
      </c>
      <c r="B6" s="25" t="inlineStr">
        <is>
          <t>重庆</t>
        </is>
      </c>
      <c r="C6" s="25" t="inlineStr">
        <is>
          <t>西永</t>
        </is>
      </c>
      <c r="D6" s="25" t="inlineStr">
        <is>
          <t>王桃红</t>
        </is>
      </c>
      <c r="E6" s="89" t="n"/>
      <c r="F6" s="27" t="inlineStr">
        <is>
          <t>2020/2021/2023/2024/2025</t>
        </is>
      </c>
      <c r="G6" s="27" t="inlineStr">
        <is>
          <t>8/4/12/3/8/9/2/3/4/5/11</t>
        </is>
      </c>
      <c r="H6" s="90">
        <f>106756+105325+90260+337+1399+89380+80403+3027+232+242</f>
        <v/>
      </c>
      <c r="I6" s="91">
        <f>7075+1600+951</f>
        <v/>
      </c>
      <c r="J6" s="91">
        <f>2818+3191+6155</f>
        <v/>
      </c>
      <c r="K6" s="91">
        <f>+H6+I6+J6</f>
        <v/>
      </c>
      <c r="L6" s="91" t="inlineStr">
        <is>
          <t>5折/9.5</t>
        </is>
      </c>
      <c r="M6" s="91" t="inlineStr"/>
      <c r="N6" s="91" t="n"/>
      <c r="O6" s="91" t="n"/>
      <c r="P6" s="91" t="n"/>
      <c r="Q6" s="91" t="n"/>
      <c r="R6" s="91" t="n"/>
      <c r="S6" s="91" t="n"/>
      <c r="T6" s="91" t="n"/>
      <c r="U6" s="91" t="n"/>
      <c r="V6" s="91" t="n"/>
      <c r="W6" s="91" t="n"/>
      <c r="X6" s="91" t="n"/>
      <c r="Y6" s="91" t="n"/>
      <c r="Z6" s="91" t="n"/>
      <c r="AA6" s="91" t="n">
        <v>50895</v>
      </c>
      <c r="AB6" s="91" t="n">
        <v>14626</v>
      </c>
      <c r="AC6" s="91">
        <f>1385+91863</f>
        <v/>
      </c>
      <c r="AD6" s="91">
        <f>38402+3746+4934</f>
        <v/>
      </c>
      <c r="AE6" s="91">
        <f>23357+3994</f>
        <v/>
      </c>
      <c r="AF6" s="91" t="n">
        <v>10907</v>
      </c>
      <c r="AG6" s="91">
        <f>55119+884</f>
        <v/>
      </c>
      <c r="AH6" s="91">
        <f>54499+8854</f>
        <v/>
      </c>
      <c r="AI6" s="91">
        <f>74917+12018</f>
        <v/>
      </c>
      <c r="AJ6" s="91">
        <f>123199+3728</f>
        <v/>
      </c>
      <c r="AK6" s="91">
        <f>173363+6577</f>
        <v/>
      </c>
      <c r="AL6" s="91">
        <f>50668+5662</f>
        <v/>
      </c>
      <c r="AM6" s="91">
        <f>SUM(AA6:AL6)</f>
        <v/>
      </c>
      <c r="AN6" s="91" t="n">
        <v>121158</v>
      </c>
      <c r="AO6" s="91">
        <f>82640+6129</f>
        <v/>
      </c>
      <c r="AP6" s="91" t="n">
        <v>209286</v>
      </c>
      <c r="AQ6" s="91" t="n">
        <v>224389</v>
      </c>
      <c r="AR6" s="91" t="n">
        <v>59813</v>
      </c>
      <c r="AS6" s="91" t="n">
        <v>248062</v>
      </c>
      <c r="AT6" s="31" t="n">
        <v>148029</v>
      </c>
      <c r="AU6" s="31">
        <f>129099+1566</f>
        <v/>
      </c>
      <c r="AV6" s="31" t="n">
        <v>18533</v>
      </c>
      <c r="AW6" s="36" t="n">
        <v>142789</v>
      </c>
      <c r="AX6" s="91" t="n">
        <v>8314</v>
      </c>
      <c r="AY6" s="31" t="n">
        <v>62810</v>
      </c>
      <c r="AZ6" s="92">
        <f>SUM(AN6:AY6)</f>
        <v/>
      </c>
      <c r="BA6" s="91" t="n">
        <v>35</v>
      </c>
      <c r="BB6" s="91">
        <f>120554+9590</f>
        <v/>
      </c>
      <c r="BC6" s="91">
        <f>96243+5455</f>
        <v/>
      </c>
      <c r="BD6" s="91">
        <f>73923+1100</f>
        <v/>
      </c>
      <c r="BE6" s="91" t="n">
        <v>163705</v>
      </c>
      <c r="BF6" s="91" t="n">
        <v>178243</v>
      </c>
      <c r="BG6" s="91" t="n">
        <v>220317</v>
      </c>
      <c r="BH6" s="91" t="n">
        <v>134327</v>
      </c>
      <c r="BI6" s="91" t="n">
        <v>223475</v>
      </c>
      <c r="BJ6" s="91" t="n"/>
      <c r="BK6" s="91" t="n">
        <v>125432</v>
      </c>
      <c r="BL6" s="91" t="n">
        <v>142405</v>
      </c>
      <c r="BM6" s="91">
        <f>SUM(BA6:BL6)</f>
        <v/>
      </c>
      <c r="BN6" s="91" t="n">
        <v>18294</v>
      </c>
      <c r="BO6" s="91" t="n">
        <v>30051</v>
      </c>
      <c r="BP6" s="91" t="n">
        <v>86372</v>
      </c>
      <c r="BQ6" s="91" t="n">
        <v>26172</v>
      </c>
      <c r="BR6" s="91" t="n">
        <v>156683</v>
      </c>
      <c r="BS6" s="91" t="n">
        <v>167677</v>
      </c>
      <c r="BT6" s="91">
        <f>8618+68911.16</f>
        <v/>
      </c>
      <c r="BU6" s="91" t="n">
        <v>38692.01</v>
      </c>
      <c r="BV6" s="91" t="n">
        <v>149111.94</v>
      </c>
      <c r="BW6" s="91" t="n">
        <v>71382.09</v>
      </c>
      <c r="BX6" s="91" t="n">
        <v>57729.99</v>
      </c>
      <c r="BY6" s="91" t="n">
        <v>58916.94</v>
      </c>
      <c r="BZ6" s="91">
        <f>SUM(BN6:BY6)</f>
        <v/>
      </c>
      <c r="CA6" s="91" t="n">
        <v>6622.05</v>
      </c>
      <c r="CB6" s="91">
        <f>5871</f>
        <v/>
      </c>
      <c r="CC6" s="91" t="n">
        <v>138623.06</v>
      </c>
      <c r="CD6" s="91" t="n">
        <v>47022.38</v>
      </c>
      <c r="CE6" s="91" t="n">
        <v>11811.09</v>
      </c>
      <c r="CF6" s="91" t="n">
        <v>174291.98</v>
      </c>
      <c r="CG6" s="91" t="n">
        <v>33416.7</v>
      </c>
      <c r="CH6" s="91" t="n">
        <v>13249.84</v>
      </c>
      <c r="CI6" s="91" t="n">
        <v>47657.23</v>
      </c>
      <c r="CJ6" s="91" t="n">
        <v>109853.77</v>
      </c>
      <c r="CK6" s="91" t="n">
        <v>176319.9</v>
      </c>
      <c r="CL6" s="91" t="n">
        <v>30562.79</v>
      </c>
      <c r="CM6" s="91">
        <f>SUM(CA6:CL6)</f>
        <v/>
      </c>
      <c r="CN6" s="91" t="n"/>
      <c r="CO6" s="91" t="n"/>
      <c r="CP6" s="91" t="n"/>
      <c r="CQ6" s="93" t="n"/>
      <c r="CR6" s="94" t="n"/>
      <c r="CS6" s="94" t="n"/>
      <c r="CT6" s="91" t="n"/>
      <c r="CU6" s="91" t="n"/>
      <c r="CV6" s="91" t="n"/>
      <c r="CW6" s="91" t="n"/>
      <c r="CX6" s="91" t="n"/>
      <c r="CY6" s="91" t="n"/>
      <c r="CZ6" s="91">
        <f>SUM(CN6:CY6)</f>
        <v/>
      </c>
      <c r="DA6" s="35" t="n"/>
    </row>
    <row r="7" ht="20" customFormat="1" customHeight="1" s="2">
      <c r="A7" s="30" t="n">
        <v>5</v>
      </c>
      <c r="B7" s="37" t="inlineStr">
        <is>
          <t>陕西</t>
        </is>
      </c>
      <c r="C7" s="37" t="inlineStr">
        <is>
          <t>靖边</t>
        </is>
      </c>
      <c r="D7" s="37" t="inlineStr">
        <is>
          <t>伊兵</t>
        </is>
      </c>
      <c r="E7" s="89" t="n"/>
      <c r="F7" s="27" t="inlineStr">
        <is>
          <t>2020/2021/2022/2023/2025</t>
        </is>
      </c>
      <c r="G7" s="27" t="inlineStr">
        <is>
          <t>10/9/3/4/5/8/10/11/12/10/3/4/11</t>
        </is>
      </c>
      <c r="H7" s="90">
        <f>104653+1000+648+11532+986+693+1716+7811+4459+82+651+613+1031+9930+536</f>
        <v/>
      </c>
      <c r="I7" s="91">
        <f>1600+941</f>
        <v/>
      </c>
      <c r="J7" s="91" t="n"/>
      <c r="K7" s="91">
        <f>+H7+I7+J7</f>
        <v/>
      </c>
      <c r="L7" s="91" t="inlineStr">
        <is>
          <t>5折</t>
        </is>
      </c>
      <c r="M7" s="91" t="inlineStr"/>
      <c r="N7" s="91" t="n"/>
      <c r="O7" s="91" t="n"/>
      <c r="P7" s="91" t="n"/>
      <c r="Q7" s="91" t="n"/>
      <c r="R7" s="91" t="n"/>
      <c r="S7" s="91" t="n"/>
      <c r="T7" s="91" t="n"/>
      <c r="U7" s="91" t="n"/>
      <c r="V7" s="91" t="n"/>
      <c r="W7" s="91" t="n"/>
      <c r="X7" s="91" t="n"/>
      <c r="Y7" s="91" t="n"/>
      <c r="Z7" s="91" t="n"/>
      <c r="AA7" s="91" t="n"/>
      <c r="AB7" s="91" t="n"/>
      <c r="AC7" s="91" t="n"/>
      <c r="AD7" s="91">
        <f>26026+725</f>
        <v/>
      </c>
      <c r="AE7" s="91">
        <f>133747+369</f>
        <v/>
      </c>
      <c r="AF7" s="91">
        <f>384+188117</f>
        <v/>
      </c>
      <c r="AG7" s="30" t="n">
        <v>149872</v>
      </c>
      <c r="AH7" s="30">
        <f>100931+124+1570</f>
        <v/>
      </c>
      <c r="AI7" s="30">
        <f>168458+232</f>
        <v/>
      </c>
      <c r="AJ7" s="30">
        <f>140272+15839</f>
        <v/>
      </c>
      <c r="AK7" s="30">
        <f>117113+8192</f>
        <v/>
      </c>
      <c r="AL7" s="30">
        <f>97561+3723</f>
        <v/>
      </c>
      <c r="AM7" s="91">
        <f>SUM(AA7:AL7)</f>
        <v/>
      </c>
      <c r="AN7" s="91" t="n">
        <v>1206</v>
      </c>
      <c r="AO7" s="91" t="n">
        <v>234</v>
      </c>
      <c r="AP7" s="91">
        <f>16475+48</f>
        <v/>
      </c>
      <c r="AQ7" s="91" t="n">
        <v>101828</v>
      </c>
      <c r="AR7" s="91" t="n">
        <v>154204</v>
      </c>
      <c r="AS7" s="91" t="n">
        <v>358123</v>
      </c>
      <c r="AT7" s="31" t="n">
        <v>323289</v>
      </c>
      <c r="AU7" s="31" t="n">
        <v>139172</v>
      </c>
      <c r="AV7" s="31" t="n">
        <v>9789</v>
      </c>
      <c r="AW7" s="36" t="n">
        <v>212768</v>
      </c>
      <c r="AX7" s="91" t="n">
        <v>193954</v>
      </c>
      <c r="AY7" s="31" t="n">
        <v>109499</v>
      </c>
      <c r="AZ7" s="92">
        <f>SUM(AN7:AY7)</f>
        <v/>
      </c>
      <c r="BA7" s="91" t="n"/>
      <c r="BB7" s="30" t="n">
        <v>1311</v>
      </c>
      <c r="BC7" s="91">
        <f>76619+7703+40286</f>
        <v/>
      </c>
      <c r="BD7" s="91" t="n">
        <v>3921</v>
      </c>
      <c r="BE7" s="91" t="n">
        <v>140595</v>
      </c>
      <c r="BF7" s="91" t="n">
        <v>210137</v>
      </c>
      <c r="BG7" s="91" t="n">
        <v>64974</v>
      </c>
      <c r="BH7" s="91" t="n">
        <v>53757</v>
      </c>
      <c r="BI7" s="91" t="n">
        <v>43005</v>
      </c>
      <c r="BJ7" s="91" t="n">
        <v>80477</v>
      </c>
      <c r="BK7" s="91" t="n">
        <v>39565</v>
      </c>
      <c r="BL7" s="91" t="n">
        <v>4606</v>
      </c>
      <c r="BM7" s="91">
        <f>SUM(BA7:BL7)</f>
        <v/>
      </c>
      <c r="BN7" s="91" t="n"/>
      <c r="BO7" s="91" t="n"/>
      <c r="BP7" s="91" t="n">
        <v>4595</v>
      </c>
      <c r="BQ7" s="91" t="n">
        <v>105886</v>
      </c>
      <c r="BR7" s="91" t="n">
        <v>59878</v>
      </c>
      <c r="BS7" s="91" t="n">
        <v>71693</v>
      </c>
      <c r="BT7" s="91">
        <f>13809+149743.08</f>
        <v/>
      </c>
      <c r="BU7" s="91" t="n">
        <v>97319.71000000001</v>
      </c>
      <c r="BV7" s="91" t="n">
        <v>114157.27</v>
      </c>
      <c r="BW7" s="91" t="n">
        <v>113105.53</v>
      </c>
      <c r="BX7" s="91" t="n">
        <v>85550.75999999999</v>
      </c>
      <c r="BY7" s="91" t="n">
        <v>115667.93</v>
      </c>
      <c r="BZ7" s="91">
        <f>SUM(BN7:BY7)</f>
        <v/>
      </c>
      <c r="CA7" s="91" t="n">
        <v>1163.14</v>
      </c>
      <c r="CB7" s="91" t="n">
        <v>25612.91</v>
      </c>
      <c r="CC7" s="91" t="n">
        <v>1901.21</v>
      </c>
      <c r="CD7" s="91" t="n">
        <v>66434.98</v>
      </c>
      <c r="CE7" s="91" t="n"/>
      <c r="CF7" s="91" t="n">
        <v>46475.08</v>
      </c>
      <c r="CG7" s="91" t="n">
        <v>7809.91</v>
      </c>
      <c r="CH7" s="91" t="n">
        <v>102258.97</v>
      </c>
      <c r="CI7" s="91" t="n">
        <v>39132.5</v>
      </c>
      <c r="CJ7" s="91" t="n">
        <v>174438.89</v>
      </c>
      <c r="CK7" s="91" t="n">
        <v>6725.37</v>
      </c>
      <c r="CL7" s="91" t="n">
        <v>82446.09</v>
      </c>
      <c r="CM7" s="91">
        <f>SUM(CA7:CL7)</f>
        <v/>
      </c>
      <c r="CN7" s="91" t="n"/>
      <c r="CO7" s="91" t="n"/>
      <c r="CP7" s="91" t="n"/>
      <c r="CQ7" s="93" t="n"/>
      <c r="CR7" s="94" t="n"/>
      <c r="CS7" s="94" t="n"/>
      <c r="CT7" s="91" t="n"/>
      <c r="CU7" s="91" t="n"/>
      <c r="CV7" s="91" t="n"/>
      <c r="CW7" s="91" t="n"/>
      <c r="CX7" s="91" t="n"/>
      <c r="CY7" s="91" t="n"/>
      <c r="CZ7" s="91">
        <f>SUM(CN7:CY7)</f>
        <v/>
      </c>
      <c r="DA7" s="35" t="n"/>
    </row>
    <row r="8" ht="20" customFormat="1" customHeight="1" s="2">
      <c r="A8" s="30" t="n">
        <v>6</v>
      </c>
      <c r="B8" s="25" t="inlineStr">
        <is>
          <t>河北</t>
        </is>
      </c>
      <c r="C8" s="25" t="inlineStr">
        <is>
          <t>易县</t>
        </is>
      </c>
      <c r="D8" s="25" t="inlineStr">
        <is>
          <t>石磊</t>
        </is>
      </c>
      <c r="E8" s="89" t="n"/>
      <c r="F8" s="27" t="inlineStr">
        <is>
          <t>2020/2021/2022/2023/2024</t>
        </is>
      </c>
      <c r="G8" s="27" t="inlineStr">
        <is>
          <t>4/9/11/4/5/3/5/3</t>
        </is>
      </c>
      <c r="H8" s="90">
        <f>207761+698+648+24628+74247+2006+24502+765+44242+1399+530</f>
        <v/>
      </c>
      <c r="I8" s="91">
        <f>8664+588</f>
        <v/>
      </c>
      <c r="J8" s="91" t="n">
        <v>2780</v>
      </c>
      <c r="K8" s="91">
        <f>+H8+I8+J8</f>
        <v/>
      </c>
      <c r="L8" s="91" t="inlineStr">
        <is>
          <t>8折</t>
        </is>
      </c>
      <c r="M8" s="91" t="inlineStr"/>
      <c r="N8" s="91" t="n"/>
      <c r="O8" s="91" t="n"/>
      <c r="P8" s="91" t="n"/>
      <c r="Q8" s="91" t="n"/>
      <c r="R8" s="91" t="n"/>
      <c r="S8" s="91" t="n"/>
      <c r="T8" s="91" t="n"/>
      <c r="U8" s="91" t="n"/>
      <c r="V8" s="91" t="n"/>
      <c r="W8" s="91" t="n"/>
      <c r="X8" s="91" t="n"/>
      <c r="Y8" s="91" t="n"/>
      <c r="Z8" s="91" t="n"/>
      <c r="AA8" s="91" t="n">
        <v>11172</v>
      </c>
      <c r="AB8" s="91" t="n"/>
      <c r="AC8" s="91" t="n">
        <v>62596</v>
      </c>
      <c r="AD8" s="91" t="n">
        <v>15109</v>
      </c>
      <c r="AE8" s="91" t="n">
        <v>32534</v>
      </c>
      <c r="AF8" s="91" t="n">
        <v>21522</v>
      </c>
      <c r="AG8" s="30" t="n">
        <v>62683</v>
      </c>
      <c r="AH8" s="30" t="n">
        <v>25262</v>
      </c>
      <c r="AI8" s="30" t="n">
        <v>134593</v>
      </c>
      <c r="AJ8" s="30">
        <f>60093+4160</f>
        <v/>
      </c>
      <c r="AK8" s="30" t="n">
        <v>26317</v>
      </c>
      <c r="AL8" s="30" t="n">
        <v>60270</v>
      </c>
      <c r="AM8" s="91">
        <f>SUM(AA8:AL8)</f>
        <v/>
      </c>
      <c r="AN8" s="91" t="n">
        <v>20691</v>
      </c>
      <c r="AO8" s="91" t="n">
        <v>19454</v>
      </c>
      <c r="AP8" s="91" t="n">
        <v>21881</v>
      </c>
      <c r="AQ8" s="91" t="n">
        <v>25425</v>
      </c>
      <c r="AR8" s="91" t="n">
        <v>134549</v>
      </c>
      <c r="AS8" s="91" t="n">
        <v>64343</v>
      </c>
      <c r="AT8" s="31" t="n">
        <v>138573</v>
      </c>
      <c r="AU8" s="31">
        <f>92224+8033</f>
        <v/>
      </c>
      <c r="AV8" s="31" t="n">
        <v>95850</v>
      </c>
      <c r="AW8" s="36" t="n">
        <v>60555</v>
      </c>
      <c r="AX8" s="91" t="n">
        <v>98498</v>
      </c>
      <c r="AY8" s="31" t="n">
        <v>6316</v>
      </c>
      <c r="AZ8" s="92">
        <f>SUM(AN8:AY8)</f>
        <v/>
      </c>
      <c r="BA8" s="91" t="n">
        <v>41</v>
      </c>
      <c r="BB8" s="30" t="n">
        <v>939</v>
      </c>
      <c r="BC8" s="91" t="n">
        <v>4028</v>
      </c>
      <c r="BD8" s="91" t="n">
        <v>105573</v>
      </c>
      <c r="BE8" s="91" t="n">
        <v>56058</v>
      </c>
      <c r="BF8" s="91" t="n">
        <v>81632</v>
      </c>
      <c r="BG8" s="91" t="n">
        <v>107707</v>
      </c>
      <c r="BH8" s="91" t="n">
        <v>2981</v>
      </c>
      <c r="BI8" s="91" t="n">
        <v>268</v>
      </c>
      <c r="BJ8" s="91" t="n">
        <v>23632</v>
      </c>
      <c r="BK8" s="91" t="n">
        <v>35673</v>
      </c>
      <c r="BL8" s="91" t="n">
        <v>35237</v>
      </c>
      <c r="BM8" s="91">
        <f>SUM(BA8:BL8)</f>
        <v/>
      </c>
      <c r="BN8" s="91" t="n">
        <v>105</v>
      </c>
      <c r="BO8" s="91" t="n"/>
      <c r="BP8" s="91" t="n">
        <v>79903</v>
      </c>
      <c r="BQ8" s="91" t="n">
        <v>46413</v>
      </c>
      <c r="BR8" s="91" t="n">
        <v>54021</v>
      </c>
      <c r="BS8" s="91" t="n">
        <v>28838</v>
      </c>
      <c r="BT8" s="91" t="n">
        <v>28743</v>
      </c>
      <c r="BU8" s="91" t="n">
        <v>14448</v>
      </c>
      <c r="BV8" s="91" t="inlineStr"/>
      <c r="BW8" s="91" t="n">
        <v>59654.76</v>
      </c>
      <c r="BX8" s="91" t="n">
        <v>72031.06</v>
      </c>
      <c r="BY8" s="91" t="n">
        <v>275</v>
      </c>
      <c r="BZ8" s="91">
        <f>SUM(BN8:BY8)</f>
        <v/>
      </c>
      <c r="CA8" s="91" t="n">
        <v>70</v>
      </c>
      <c r="CB8" s="91" t="n">
        <v>264</v>
      </c>
      <c r="CC8" s="91" t="n">
        <v>1500</v>
      </c>
      <c r="CD8" s="91" t="n"/>
      <c r="CE8" s="91" t="n"/>
      <c r="CF8" s="91" t="n">
        <v>66610.67999999999</v>
      </c>
      <c r="CG8" s="91" t="n">
        <v>19988.58</v>
      </c>
      <c r="CH8" s="91" t="n">
        <v>2635.42</v>
      </c>
      <c r="CI8" s="91" t="n"/>
      <c r="CJ8" s="91" t="n">
        <v>13635.26</v>
      </c>
      <c r="CK8" s="91" t="n">
        <v>18795.27</v>
      </c>
      <c r="CL8" s="91" t="n">
        <v>45526.92</v>
      </c>
      <c r="CM8" s="91">
        <f>SUM(CA8:CL8)</f>
        <v/>
      </c>
      <c r="CN8" s="91" t="n"/>
      <c r="CO8" s="91" t="n"/>
      <c r="CP8" s="91" t="n"/>
      <c r="CQ8" s="93" t="n"/>
      <c r="CR8" s="94" t="n"/>
      <c r="CS8" s="94" t="n"/>
      <c r="CT8" s="91" t="n"/>
      <c r="CU8" s="91" t="n"/>
      <c r="CV8" s="91" t="n"/>
      <c r="CW8" s="91" t="n"/>
      <c r="CX8" s="91" t="n"/>
      <c r="CY8" s="91" t="n"/>
      <c r="CZ8" s="91">
        <f>SUM(CN8:CY8)</f>
        <v/>
      </c>
      <c r="DA8" s="35" t="n"/>
    </row>
    <row r="9" ht="20" customFormat="1" customHeight="1" s="1">
      <c r="A9" s="30" t="n">
        <v>7</v>
      </c>
      <c r="B9" s="37" t="inlineStr">
        <is>
          <t>重庆</t>
        </is>
      </c>
      <c r="C9" s="37" t="inlineStr">
        <is>
          <t>江津</t>
        </is>
      </c>
      <c r="D9" s="37" t="inlineStr">
        <is>
          <t>郭知</t>
        </is>
      </c>
      <c r="E9" s="89" t="n"/>
      <c r="F9" s="27" t="inlineStr">
        <is>
          <t>2021/2022/2023/2024</t>
        </is>
      </c>
      <c r="G9" s="27" t="inlineStr">
        <is>
          <t>3/6/9/3/4/8/10/12/07/8/9</t>
        </is>
      </c>
      <c r="H9" s="90">
        <f>248626+648+808+533+684+1012+383+986+7060+636+33801+756+175+261+1480+72</f>
        <v/>
      </c>
      <c r="I9" s="91" t="n">
        <v>11896</v>
      </c>
      <c r="J9" s="91">
        <f>7164+300</f>
        <v/>
      </c>
      <c r="K9" s="91">
        <f>+H9+I9+J9</f>
        <v/>
      </c>
      <c r="L9" s="91" t="inlineStr">
        <is>
          <t>6折</t>
        </is>
      </c>
      <c r="M9" s="91" t="inlineStr"/>
      <c r="N9" s="91" t="n"/>
      <c r="O9" s="91" t="n"/>
      <c r="P9" s="91" t="n"/>
      <c r="Q9" s="91" t="n"/>
      <c r="R9" s="91" t="n"/>
      <c r="S9" s="91" t="n"/>
      <c r="T9" s="91" t="n"/>
      <c r="U9" s="91" t="n"/>
      <c r="V9" s="91" t="n"/>
      <c r="W9" s="91" t="n"/>
      <c r="X9" s="91" t="n"/>
      <c r="Y9" s="91" t="n"/>
      <c r="Z9" s="91" t="n"/>
      <c r="AA9" s="91" t="n"/>
      <c r="AB9" s="91" t="n"/>
      <c r="AC9" s="91" t="n"/>
      <c r="AD9" s="91" t="n"/>
      <c r="AE9" s="91" t="n"/>
      <c r="AF9" s="91" t="n"/>
      <c r="AG9" s="91" t="n"/>
      <c r="AH9" s="91" t="n"/>
      <c r="AI9" s="91">
        <f>130080+3170+9605</f>
        <v/>
      </c>
      <c r="AJ9" s="91">
        <f>247173+8142</f>
        <v/>
      </c>
      <c r="AK9" s="91">
        <f>307589+13215</f>
        <v/>
      </c>
      <c r="AL9" s="91">
        <f>117484+7629</f>
        <v/>
      </c>
      <c r="AM9" s="91">
        <f>SUM(AA9:AL9)</f>
        <v/>
      </c>
      <c r="AN9" s="91" t="n">
        <v>36843</v>
      </c>
      <c r="AO9" s="91">
        <f>12291+2+665</f>
        <v/>
      </c>
      <c r="AP9" s="91">
        <f>325781+9748</f>
        <v/>
      </c>
      <c r="AQ9" s="91">
        <f>63587+22428</f>
        <v/>
      </c>
      <c r="AR9" s="91" t="n">
        <v>100157</v>
      </c>
      <c r="AS9" s="91">
        <f>221548+31293</f>
        <v/>
      </c>
      <c r="AT9" s="31" t="n">
        <v>162460</v>
      </c>
      <c r="AU9" s="31">
        <f>104292+1681</f>
        <v/>
      </c>
      <c r="AV9" s="31" t="n">
        <v>8186</v>
      </c>
      <c r="AW9" s="36" t="n">
        <v>21069</v>
      </c>
      <c r="AX9" s="91" t="n">
        <v>37472</v>
      </c>
      <c r="AY9" s="31" t="n">
        <v>9180</v>
      </c>
      <c r="AZ9" s="92">
        <f>SUM(AN9:AY9)</f>
        <v/>
      </c>
      <c r="BA9" s="91" t="n">
        <v>1486</v>
      </c>
      <c r="BB9" s="91" t="n">
        <v>28308</v>
      </c>
      <c r="BC9" s="91">
        <f>59589+398</f>
        <v/>
      </c>
      <c r="BD9" s="91">
        <f>241+1346</f>
        <v/>
      </c>
      <c r="BE9" s="91" t="n">
        <v>70389</v>
      </c>
      <c r="BF9" s="91" t="n">
        <v>66743</v>
      </c>
      <c r="BG9" s="91" t="n">
        <v>27061</v>
      </c>
      <c r="BH9" s="91" t="n">
        <v>17688</v>
      </c>
      <c r="BI9" s="91">
        <f>29151+77903</f>
        <v/>
      </c>
      <c r="BJ9" s="91" t="n"/>
      <c r="BK9" s="91" t="n"/>
      <c r="BL9" s="91" t="n">
        <v>49403</v>
      </c>
      <c r="BM9" s="91">
        <f>SUM(BA9:BL9)</f>
        <v/>
      </c>
      <c r="BN9" s="91" t="n">
        <v>1167</v>
      </c>
      <c r="BO9" s="91" t="n">
        <v>56449</v>
      </c>
      <c r="BP9" s="91" t="n">
        <v>39726</v>
      </c>
      <c r="BQ9" s="91" t="n">
        <v>22476</v>
      </c>
      <c r="BR9" s="91" t="n">
        <v>33266</v>
      </c>
      <c r="BS9" s="91" t="n">
        <v>84412</v>
      </c>
      <c r="BT9" s="91">
        <f>2173+1207.31</f>
        <v/>
      </c>
      <c r="BU9" s="91" t="n">
        <v>27725.65</v>
      </c>
      <c r="BV9" s="91" t="n">
        <v>7518.13</v>
      </c>
      <c r="BW9" s="91" t="n">
        <v>34635.13</v>
      </c>
      <c r="BX9" s="91" t="n">
        <v>7667.21</v>
      </c>
      <c r="BY9" s="91" t="n">
        <v>300.85</v>
      </c>
      <c r="BZ9" s="91">
        <f>SUM(BN9:BY9)</f>
        <v/>
      </c>
      <c r="CA9" s="91" t="n">
        <v>8258.01</v>
      </c>
      <c r="CB9" s="91" t="n">
        <v>13848.48</v>
      </c>
      <c r="CC9" s="91" t="n">
        <v>551.58</v>
      </c>
      <c r="CD9" s="91" t="n">
        <v>45564.99</v>
      </c>
      <c r="CE9" s="91" t="n">
        <v>184.27</v>
      </c>
      <c r="CF9" s="91" t="n"/>
      <c r="CG9" s="91" t="n">
        <v>232.4</v>
      </c>
      <c r="CH9" s="91" t="inlineStr"/>
      <c r="CI9" s="91" t="n"/>
      <c r="CJ9" s="91" t="n">
        <v>5015.21</v>
      </c>
      <c r="CK9" s="91" t="n"/>
      <c r="CL9" s="91" t="inlineStr"/>
      <c r="CM9" s="91">
        <f>SUM(CA9:CL9)</f>
        <v/>
      </c>
      <c r="CN9" s="91" t="n"/>
      <c r="CO9" s="91" t="n"/>
      <c r="CP9" s="91" t="n"/>
      <c r="CQ9" s="93" t="n"/>
      <c r="CR9" s="94" t="n"/>
      <c r="CS9" s="94" t="n"/>
      <c r="CT9" s="91" t="n"/>
      <c r="CU9" s="91" t="n"/>
      <c r="CV9" s="91" t="n"/>
      <c r="CW9" s="91" t="n"/>
      <c r="CX9" s="91" t="n"/>
      <c r="CY9" s="91" t="n"/>
      <c r="CZ9" s="91">
        <f>SUM(CN9:CY9)</f>
        <v/>
      </c>
      <c r="DA9" s="38" t="n"/>
    </row>
    <row r="10" ht="20" customFormat="1" customHeight="1" s="1">
      <c r="A10" s="30" t="n">
        <v>8</v>
      </c>
      <c r="B10" s="37" t="inlineStr">
        <is>
          <t>陕西</t>
        </is>
      </c>
      <c r="C10" s="37" t="inlineStr">
        <is>
          <t>渭南</t>
        </is>
      </c>
      <c r="D10" s="39" t="inlineStr">
        <is>
          <t>郭亮</t>
        </is>
      </c>
      <c r="E10" s="89" t="n"/>
      <c r="F10" s="27" t="inlineStr">
        <is>
          <t>2021/2022/2024/2025/2026</t>
        </is>
      </c>
      <c r="G10" s="27" t="inlineStr">
        <is>
          <t>7/8/9/11/3/5/3/2</t>
        </is>
      </c>
      <c r="H10" s="90">
        <f>3138+140097+4266+648+279+986+700+17771+1399+141+61767+770</f>
        <v/>
      </c>
      <c r="I10" s="91">
        <f>1600+3480+1092+2179</f>
        <v/>
      </c>
      <c r="J10" s="91" t="n">
        <v>2700</v>
      </c>
      <c r="K10" s="91">
        <f>+H10+I10+J10</f>
        <v/>
      </c>
      <c r="L10" s="91" t="inlineStr">
        <is>
          <t>5折</t>
        </is>
      </c>
      <c r="M10" s="91" t="inlineStr"/>
      <c r="N10" s="91" t="n"/>
      <c r="O10" s="91" t="n"/>
      <c r="P10" s="91" t="n"/>
      <c r="Q10" s="91" t="n"/>
      <c r="R10" s="91" t="n"/>
      <c r="S10" s="91" t="n"/>
      <c r="T10" s="91" t="n"/>
      <c r="U10" s="91" t="n"/>
      <c r="V10" s="91" t="n"/>
      <c r="W10" s="91" t="n"/>
      <c r="X10" s="91" t="n"/>
      <c r="Y10" s="91" t="n"/>
      <c r="Z10" s="91" t="n"/>
      <c r="AA10" s="91" t="n"/>
      <c r="AB10" s="91" t="n"/>
      <c r="AC10" s="91" t="n"/>
      <c r="AD10" s="91" t="n"/>
      <c r="AE10" s="91" t="n"/>
      <c r="AF10" s="91" t="n"/>
      <c r="AG10" s="91" t="n"/>
      <c r="AH10" s="91" t="n"/>
      <c r="AI10" s="91" t="n"/>
      <c r="AJ10" s="91" t="n">
        <v>18497</v>
      </c>
      <c r="AK10" s="91" t="n">
        <v>69885</v>
      </c>
      <c r="AL10" s="91" t="n">
        <v>152759</v>
      </c>
      <c r="AM10" s="91">
        <f>SUM(AA10:AL10)</f>
        <v/>
      </c>
      <c r="AN10" s="91" t="n">
        <v>16375</v>
      </c>
      <c r="AO10" s="91" t="n">
        <v>345</v>
      </c>
      <c r="AP10" s="91" t="n">
        <v>157609</v>
      </c>
      <c r="AQ10" s="91" t="n">
        <v>143898</v>
      </c>
      <c r="AR10" s="91" t="n">
        <v>92241</v>
      </c>
      <c r="AS10" s="91" t="n">
        <v>76788</v>
      </c>
      <c r="AT10" s="31" t="n">
        <v>104603</v>
      </c>
      <c r="AU10" s="31">
        <f>210733+5746</f>
        <v/>
      </c>
      <c r="AV10" s="31" t="n">
        <v>162432</v>
      </c>
      <c r="AW10" s="36" t="n">
        <v>93672</v>
      </c>
      <c r="AX10" s="91" t="n">
        <v>94635</v>
      </c>
      <c r="AY10" s="31" t="n">
        <v>92060</v>
      </c>
      <c r="AZ10" s="92">
        <f>SUM(AN10:AY10)</f>
        <v/>
      </c>
      <c r="BA10" s="91" t="n"/>
      <c r="BB10" s="30" t="n">
        <v>93874</v>
      </c>
      <c r="BC10" s="91">
        <f>64983+220</f>
        <v/>
      </c>
      <c r="BD10" s="91" t="n">
        <v>62388</v>
      </c>
      <c r="BE10" s="91" t="n">
        <v>78255</v>
      </c>
      <c r="BF10" s="91" t="n">
        <v>60073</v>
      </c>
      <c r="BG10" s="91" t="n">
        <v>20130</v>
      </c>
      <c r="BH10" s="91" t="n">
        <v>101897</v>
      </c>
      <c r="BI10" s="91" t="n">
        <v>131106</v>
      </c>
      <c r="BJ10" s="91" t="n">
        <v>102539</v>
      </c>
      <c r="BK10" s="91" t="n">
        <v>91063</v>
      </c>
      <c r="BL10" s="91" t="n">
        <v>114198</v>
      </c>
      <c r="BM10" s="91">
        <f>SUM(BA10:BL10)</f>
        <v/>
      </c>
      <c r="BN10" s="91" t="n">
        <v>1630</v>
      </c>
      <c r="BO10" s="91" t="n">
        <v>36776</v>
      </c>
      <c r="BP10" s="91" t="n">
        <v>65011</v>
      </c>
      <c r="BQ10" s="91" t="n">
        <v>103075</v>
      </c>
      <c r="BR10" s="91" t="n">
        <v>82425</v>
      </c>
      <c r="BS10" s="91" t="n">
        <v>79861</v>
      </c>
      <c r="BT10" s="91">
        <f>5066+95171.91</f>
        <v/>
      </c>
      <c r="BU10" s="91" t="n">
        <v>60646.61</v>
      </c>
      <c r="BV10" s="91" t="n">
        <v>74452.12</v>
      </c>
      <c r="BW10" s="91" t="n">
        <v>82470.3</v>
      </c>
      <c r="BX10" s="91" t="n">
        <v>92384.59</v>
      </c>
      <c r="BY10" s="91" t="n">
        <v>36180.52</v>
      </c>
      <c r="BZ10" s="91">
        <f>SUM(BN10:BY10)</f>
        <v/>
      </c>
      <c r="CA10" s="91" t="n">
        <v>51614.29</v>
      </c>
      <c r="CB10" s="91">
        <f>41596.43+1034</f>
        <v/>
      </c>
      <c r="CC10" s="91" t="n">
        <v>93566.50999999999</v>
      </c>
      <c r="CD10" s="91" t="n">
        <v>94284.53</v>
      </c>
      <c r="CE10" s="91" t="n">
        <v>54732.9</v>
      </c>
      <c r="CF10" s="91" t="n">
        <v>88166.96000000001</v>
      </c>
      <c r="CG10" s="91" t="n">
        <v>5883.27</v>
      </c>
      <c r="CH10" s="91" t="n">
        <v>16788.03</v>
      </c>
      <c r="CI10" s="91" t="n">
        <v>12693.63</v>
      </c>
      <c r="CJ10" s="91" t="inlineStr"/>
      <c r="CK10" s="91" t="n">
        <v>46232.31</v>
      </c>
      <c r="CL10" s="91" t="n">
        <v>20289.42</v>
      </c>
      <c r="CM10" s="91">
        <f>SUM(CA10:CL10)</f>
        <v/>
      </c>
      <c r="CN10" s="91" t="n"/>
      <c r="CO10" s="91" t="n"/>
      <c r="CP10" s="93" t="n"/>
      <c r="CQ10" s="93" t="n"/>
      <c r="CR10" s="94" t="n"/>
      <c r="CS10" s="94" t="n"/>
      <c r="CT10" s="91" t="n"/>
      <c r="CU10" s="91" t="n"/>
      <c r="CV10" s="91" t="n"/>
      <c r="CW10" s="91" t="n"/>
      <c r="CX10" s="91" t="n"/>
      <c r="CY10" s="91" t="n"/>
      <c r="CZ10" s="91">
        <f>SUM(CN10:CY10)</f>
        <v/>
      </c>
      <c r="DA10" s="35" t="n"/>
    </row>
    <row r="11" ht="20" customFormat="1" customHeight="1" s="1">
      <c r="A11" s="30" t="n">
        <v>9</v>
      </c>
      <c r="B11" s="37" t="inlineStr">
        <is>
          <t>陕西</t>
        </is>
      </c>
      <c r="C11" s="37" t="inlineStr">
        <is>
          <t>咸阳</t>
        </is>
      </c>
      <c r="D11" s="37" t="inlineStr">
        <is>
          <t>程权龙</t>
        </is>
      </c>
      <c r="E11" s="89" t="n"/>
      <c r="F11" s="27" t="inlineStr">
        <is>
          <t>2021/2022/2023/2024/2025</t>
        </is>
      </c>
      <c r="G11" s="27" t="inlineStr">
        <is>
          <t>11/12/2/4/5/12/8/9/12</t>
        </is>
      </c>
      <c r="H11" s="90">
        <f>139297+12144+1828+1992+1711+804+1670+989+1399+997+1031+683</f>
        <v/>
      </c>
      <c r="I11" s="91" t="n"/>
      <c r="J11" s="91" t="n">
        <v>2500</v>
      </c>
      <c r="K11" s="91">
        <f>+H11+I11+J11</f>
        <v/>
      </c>
      <c r="L11" s="91" t="inlineStr">
        <is>
          <t>5折</t>
        </is>
      </c>
      <c r="M11" s="91" t="inlineStr"/>
      <c r="N11" s="91" t="n"/>
      <c r="O11" s="91" t="n"/>
      <c r="P11" s="91" t="n"/>
      <c r="Q11" s="91" t="n"/>
      <c r="R11" s="91" t="n"/>
      <c r="S11" s="91" t="n"/>
      <c r="T11" s="91" t="n"/>
      <c r="U11" s="91" t="n"/>
      <c r="V11" s="91" t="n"/>
      <c r="W11" s="91" t="n"/>
      <c r="X11" s="91" t="n"/>
      <c r="Y11" s="91" t="n"/>
      <c r="Z11" s="91" t="n"/>
      <c r="AA11" s="91" t="n"/>
      <c r="AB11" s="91" t="n"/>
      <c r="AC11" s="91" t="n"/>
      <c r="AD11" s="91" t="n"/>
      <c r="AE11" s="91" t="n"/>
      <c r="AF11" s="91" t="n"/>
      <c r="AG11" s="30" t="n"/>
      <c r="AH11" s="30" t="n"/>
      <c r="AI11" s="30" t="n"/>
      <c r="AJ11" s="95" t="n">
        <v>7769</v>
      </c>
      <c r="AK11" s="30" t="n"/>
      <c r="AL11" s="30" t="n"/>
      <c r="AM11" s="91">
        <f>SUM(AA11:AL11)</f>
        <v/>
      </c>
      <c r="AN11" s="91" t="n"/>
      <c r="AO11" s="91" t="n"/>
      <c r="AP11" s="91" t="n"/>
      <c r="AQ11" s="91" t="n"/>
      <c r="AR11" s="91" t="n">
        <v>88889</v>
      </c>
      <c r="AS11" s="91" t="n">
        <v>104623</v>
      </c>
      <c r="AT11" s="31" t="n">
        <v>126509</v>
      </c>
      <c r="AU11" s="31" t="n">
        <v>272795</v>
      </c>
      <c r="AV11" s="31" t="n">
        <v>65768</v>
      </c>
      <c r="AW11" s="36" t="n">
        <v>150517</v>
      </c>
      <c r="AX11" s="91" t="n">
        <v>178205</v>
      </c>
      <c r="AY11" s="31" t="n">
        <v>142271</v>
      </c>
      <c r="AZ11" s="92">
        <f>SUM(AN11:AY11)</f>
        <v/>
      </c>
      <c r="BA11" s="91" t="n"/>
      <c r="BB11" s="30" t="n">
        <v>24556</v>
      </c>
      <c r="BC11" s="91" t="n">
        <v>127219</v>
      </c>
      <c r="BD11" s="91" t="n">
        <v>69696</v>
      </c>
      <c r="BE11" s="91" t="n">
        <v>74100</v>
      </c>
      <c r="BF11" s="91" t="n">
        <v>114439</v>
      </c>
      <c r="BG11" s="91" t="n">
        <v>52757</v>
      </c>
      <c r="BH11" s="91" t="n">
        <v>271</v>
      </c>
      <c r="BI11" s="91" t="n">
        <v>161142</v>
      </c>
      <c r="BJ11" s="91" t="n">
        <v>216652</v>
      </c>
      <c r="BK11" s="91" t="n">
        <v>300297</v>
      </c>
      <c r="BL11" s="91" t="n">
        <v>275286</v>
      </c>
      <c r="BM11" s="91">
        <f>SUM(BA11:BL11)</f>
        <v/>
      </c>
      <c r="BN11" s="91" t="n">
        <v>4376</v>
      </c>
      <c r="BO11" s="91" t="n">
        <v>5903</v>
      </c>
      <c r="BP11" s="91" t="n">
        <v>107575</v>
      </c>
      <c r="BQ11" s="91" t="n"/>
      <c r="BR11" s="91" t="n">
        <v>84446</v>
      </c>
      <c r="BS11" s="91" t="n">
        <v>636</v>
      </c>
      <c r="BT11" s="91">
        <f>706+17014</f>
        <v/>
      </c>
      <c r="BU11" s="91" t="n">
        <v>8384</v>
      </c>
      <c r="BV11" s="91" t="n">
        <v>38923</v>
      </c>
      <c r="BW11" s="91" t="n">
        <v>33508</v>
      </c>
      <c r="BX11" s="91" t="n">
        <v>3848</v>
      </c>
      <c r="BY11" s="91" t="n">
        <v>20901</v>
      </c>
      <c r="BZ11" s="91">
        <f>SUM(BN11:BY11)</f>
        <v/>
      </c>
      <c r="CA11" s="91" t="inlineStr"/>
      <c r="CB11" s="91" t="inlineStr"/>
      <c r="CC11" s="91" t="n">
        <v>19363.58</v>
      </c>
      <c r="CD11" s="91" t="n">
        <v>92437.97</v>
      </c>
      <c r="CE11" s="91" t="n">
        <v>166844.63</v>
      </c>
      <c r="CF11" s="91" t="n">
        <v>17879.71</v>
      </c>
      <c r="CG11" s="91" t="n">
        <v>69462.78999999999</v>
      </c>
      <c r="CH11" s="91" t="n">
        <v>4973.73</v>
      </c>
      <c r="CI11" s="91" t="n">
        <v>202.8</v>
      </c>
      <c r="CJ11" s="91" t="n">
        <v>0</v>
      </c>
      <c r="CK11" s="91" t="n"/>
      <c r="CL11" s="91" t="n">
        <v>53184.81</v>
      </c>
      <c r="CM11" s="91">
        <f>SUM(CA11:CL11)</f>
        <v/>
      </c>
      <c r="CN11" s="91" t="n"/>
      <c r="CO11" s="91" t="n"/>
      <c r="CP11" s="91" t="n"/>
      <c r="CQ11" s="93" t="n"/>
      <c r="CR11" s="94" t="n"/>
      <c r="CS11" s="94" t="n"/>
      <c r="CT11" s="91" t="n"/>
      <c r="CU11" s="91" t="n"/>
      <c r="CV11" s="91" t="n"/>
      <c r="CW11" s="91" t="n"/>
      <c r="CX11" s="91" t="n"/>
      <c r="CY11" s="91" t="n"/>
      <c r="CZ11" s="91">
        <f>SUM(CN11:CY11)</f>
        <v/>
      </c>
      <c r="DA11" s="35" t="n"/>
    </row>
    <row r="12" ht="20" customFormat="1" customHeight="1" s="2">
      <c r="A12" s="30" t="n">
        <v>10</v>
      </c>
      <c r="B12" s="37" t="inlineStr">
        <is>
          <t>山西</t>
        </is>
      </c>
      <c r="C12" s="37" t="inlineStr">
        <is>
          <t>河津</t>
        </is>
      </c>
      <c r="D12" s="37" t="inlineStr">
        <is>
          <t>杨海奇</t>
        </is>
      </c>
      <c r="E12" s="89" t="n"/>
      <c r="F12" s="27" t="inlineStr">
        <is>
          <t>2021/2022/2023/2024/2025</t>
        </is>
      </c>
      <c r="G12" s="27" t="inlineStr">
        <is>
          <t>11/1/3/4/12/4/8</t>
        </is>
      </c>
      <c r="H12" s="90">
        <f>84581+1183+1149+1069+402+3179+1399+20358+1422+372+84+537</f>
        <v/>
      </c>
      <c r="I12" s="91" t="n">
        <v>3364</v>
      </c>
      <c r="J12" s="91" t="n">
        <v>2280</v>
      </c>
      <c r="K12" s="91">
        <f>+H12+I12+J12</f>
        <v/>
      </c>
      <c r="L12" s="91" t="inlineStr">
        <is>
          <t>5折/8.5折</t>
        </is>
      </c>
      <c r="M12" s="91" t="inlineStr"/>
      <c r="N12" s="91" t="n"/>
      <c r="O12" s="91" t="n"/>
      <c r="P12" s="91" t="n"/>
      <c r="Q12" s="91" t="n"/>
      <c r="R12" s="91" t="n"/>
      <c r="S12" s="91" t="n"/>
      <c r="T12" s="91" t="n"/>
      <c r="U12" s="91" t="n"/>
      <c r="V12" s="91" t="n"/>
      <c r="W12" s="91" t="n"/>
      <c r="X12" s="91" t="n"/>
      <c r="Y12" s="91" t="n"/>
      <c r="Z12" s="91" t="n"/>
      <c r="AA12" s="91" t="n"/>
      <c r="AB12" s="91" t="n"/>
      <c r="AC12" s="91" t="n"/>
      <c r="AD12" s="91" t="n"/>
      <c r="AE12" s="91" t="n"/>
      <c r="AF12" s="91" t="n"/>
      <c r="AG12" s="30" t="n"/>
      <c r="AH12" s="30" t="n"/>
      <c r="AI12" s="30" t="n"/>
      <c r="AJ12" s="30" t="n"/>
      <c r="AK12" s="30" t="n"/>
      <c r="AL12" s="30" t="n"/>
      <c r="AM12" s="91" t="n"/>
      <c r="AN12" s="91" t="n"/>
      <c r="AO12" s="91" t="n"/>
      <c r="AP12" s="91">
        <f>67208+4383</f>
        <v/>
      </c>
      <c r="AQ12" s="91" t="n">
        <v>79231</v>
      </c>
      <c r="AR12" s="91" t="n">
        <v>139700</v>
      </c>
      <c r="AS12" s="91" t="n">
        <v>142146</v>
      </c>
      <c r="AT12" s="31" t="n">
        <v>78599</v>
      </c>
      <c r="AU12" s="31">
        <f>59460+3371</f>
        <v/>
      </c>
      <c r="AV12" s="31" t="n">
        <v>88235</v>
      </c>
      <c r="AW12" s="36" t="n">
        <v>113536</v>
      </c>
      <c r="AX12" s="91" t="n">
        <v>46343</v>
      </c>
      <c r="AY12" s="31" t="n">
        <v>109601</v>
      </c>
      <c r="AZ12" s="92">
        <f>SUM(AN12:AY12)</f>
        <v/>
      </c>
      <c r="BA12" s="91" t="n"/>
      <c r="BB12" s="30" t="n">
        <v>7669</v>
      </c>
      <c r="BC12" s="91">
        <f>66628+3398</f>
        <v/>
      </c>
      <c r="BD12" s="91">
        <f>93143+3663</f>
        <v/>
      </c>
      <c r="BE12" s="91" t="n">
        <v>28889</v>
      </c>
      <c r="BF12" s="91" t="n">
        <v>153340</v>
      </c>
      <c r="BG12" s="91" t="n">
        <v>84900</v>
      </c>
      <c r="BH12" s="91" t="n">
        <v>115202</v>
      </c>
      <c r="BI12" s="91" t="n">
        <v>31064</v>
      </c>
      <c r="BJ12" s="91" t="n">
        <v>39840</v>
      </c>
      <c r="BK12" s="91" t="n">
        <v>137298</v>
      </c>
      <c r="BL12" s="91" t="n">
        <v>119633</v>
      </c>
      <c r="BM12" s="91">
        <f>SUM(BA12:BL12)</f>
        <v/>
      </c>
      <c r="BN12" s="91" t="n">
        <v>17484</v>
      </c>
      <c r="BO12" s="91" t="n"/>
      <c r="BP12" s="91" t="n">
        <v>57791</v>
      </c>
      <c r="BQ12" s="91" t="n">
        <v>3279</v>
      </c>
      <c r="BR12" s="91" t="n">
        <v>21288</v>
      </c>
      <c r="BS12" s="91" t="n">
        <v>100020</v>
      </c>
      <c r="BT12" s="91" t="n">
        <v>78895</v>
      </c>
      <c r="BU12" s="91" t="n">
        <v>112730.21</v>
      </c>
      <c r="BV12" s="91" t="n">
        <v>114671.93</v>
      </c>
      <c r="BW12" s="91" t="n">
        <v>67102.82000000001</v>
      </c>
      <c r="BX12" s="91" t="n">
        <v>75653.58</v>
      </c>
      <c r="BY12" s="91" t="n">
        <v>21429.17</v>
      </c>
      <c r="BZ12" s="91">
        <f>SUM(BN12:BY12)</f>
        <v/>
      </c>
      <c r="CA12" s="91" t="inlineStr"/>
      <c r="CB12" s="91" t="n">
        <v>529.27</v>
      </c>
      <c r="CC12" s="91" t="n">
        <v>44806.3</v>
      </c>
      <c r="CD12" s="91" t="n">
        <v>52337.97</v>
      </c>
      <c r="CE12" s="91" t="n">
        <v>7365.31</v>
      </c>
      <c r="CF12" s="91" t="n">
        <v>106209.54</v>
      </c>
      <c r="CG12" s="91" t="n">
        <v>5191.39</v>
      </c>
      <c r="CH12" s="91" t="n">
        <v>66580.60000000001</v>
      </c>
      <c r="CI12" s="91" t="n">
        <v>4277.87</v>
      </c>
      <c r="CJ12" s="91" t="n">
        <v>99785.23</v>
      </c>
      <c r="CK12" s="91" t="n">
        <v>79750.35000000001</v>
      </c>
      <c r="CL12" s="91" t="n">
        <v>44398.15</v>
      </c>
      <c r="CM12" s="91">
        <f>SUM(CA12:CL12)</f>
        <v/>
      </c>
      <c r="CN12" s="91" t="n"/>
      <c r="CO12" s="91" t="n"/>
      <c r="CP12" s="91" t="n"/>
      <c r="CQ12" s="93" t="n"/>
      <c r="CR12" s="94" t="n"/>
      <c r="CS12" s="94" t="n"/>
      <c r="CT12" s="91" t="n"/>
      <c r="CU12" s="91" t="n"/>
      <c r="CV12" s="91" t="n"/>
      <c r="CW12" s="91" t="n"/>
      <c r="CX12" s="91" t="n"/>
      <c r="CY12" s="91" t="n"/>
      <c r="CZ12" s="91">
        <f>SUM(CN12:CY12)</f>
        <v/>
      </c>
      <c r="DA12" s="35" t="n"/>
    </row>
    <row r="13" ht="20" customFormat="1" customHeight="1" s="2">
      <c r="A13" s="30" t="n">
        <v>11</v>
      </c>
      <c r="B13" s="37" t="inlineStr">
        <is>
          <t>重庆</t>
        </is>
      </c>
      <c r="C13" s="37" t="inlineStr">
        <is>
          <t>云阳</t>
        </is>
      </c>
      <c r="D13" s="37" t="inlineStr">
        <is>
          <t>张淞</t>
        </is>
      </c>
      <c r="E13" s="89" t="n"/>
      <c r="F13" s="27" t="inlineStr">
        <is>
          <t>2021/2022/2023/2025</t>
        </is>
      </c>
      <c r="G13" s="27" t="inlineStr">
        <is>
          <t>5/9/3/4/8/12/2/8/9/10/11/12/3/10</t>
        </is>
      </c>
      <c r="H13" s="90">
        <f>95967+767+361+936+636+651+60+380+13324+470+3008+53656+1805</f>
        <v/>
      </c>
      <c r="I13" s="91">
        <f>2929+33776</f>
        <v/>
      </c>
      <c r="J13" s="91">
        <f>990+4580</f>
        <v/>
      </c>
      <c r="K13" s="91">
        <f>+H13+I13+J13</f>
        <v/>
      </c>
      <c r="L13" s="91" t="inlineStr">
        <is>
          <t>5折</t>
        </is>
      </c>
      <c r="M13" s="91" t="inlineStr"/>
      <c r="N13" s="91" t="n"/>
      <c r="O13" s="91" t="n"/>
      <c r="P13" s="91" t="n"/>
      <c r="Q13" s="91" t="n"/>
      <c r="R13" s="91" t="n"/>
      <c r="S13" s="91" t="n"/>
      <c r="T13" s="91" t="n"/>
      <c r="U13" s="91" t="n"/>
      <c r="V13" s="91" t="n"/>
      <c r="W13" s="91" t="n"/>
      <c r="X13" s="91" t="n"/>
      <c r="Y13" s="91" t="n"/>
      <c r="Z13" s="91" t="n"/>
      <c r="AA13" s="91" t="n"/>
      <c r="AB13" s="91" t="n"/>
      <c r="AC13" s="91" t="n"/>
      <c r="AD13" s="91" t="n"/>
      <c r="AE13" s="91" t="n"/>
      <c r="AF13" s="30" t="n"/>
      <c r="AG13" s="30" t="n">
        <v>45361</v>
      </c>
      <c r="AH13" s="30" t="n">
        <v>44262</v>
      </c>
      <c r="AI13" s="30" t="n">
        <v>33567</v>
      </c>
      <c r="AJ13" s="30" t="n">
        <v>74956</v>
      </c>
      <c r="AK13" s="30">
        <f>60879+7421</f>
        <v/>
      </c>
      <c r="AL13" s="30">
        <f>117786+3940</f>
        <v/>
      </c>
      <c r="AM13" s="91">
        <f>SUM(AA13:AL13)</f>
        <v/>
      </c>
      <c r="AN13" s="91" t="n"/>
      <c r="AO13" s="91" t="n"/>
      <c r="AP13" s="91" t="n">
        <v>73621</v>
      </c>
      <c r="AQ13" s="91" t="n">
        <v>23206</v>
      </c>
      <c r="AR13" s="91" t="n">
        <v>96444</v>
      </c>
      <c r="AS13" s="91" t="n">
        <v>223472</v>
      </c>
      <c r="AT13" s="31" t="n">
        <v>61369</v>
      </c>
      <c r="AU13" s="31">
        <f>71824+2499</f>
        <v/>
      </c>
      <c r="AV13" s="31">
        <f>80029+30388</f>
        <v/>
      </c>
      <c r="AW13" s="36" t="n">
        <v>108689</v>
      </c>
      <c r="AX13" s="91" t="n">
        <v>67937</v>
      </c>
      <c r="AY13" s="31" t="n">
        <v>39764</v>
      </c>
      <c r="AZ13" s="92">
        <f>SUM(AN13:AY13)</f>
        <v/>
      </c>
      <c r="BA13" s="91" t="n">
        <v>234</v>
      </c>
      <c r="BB13" s="30" t="n">
        <v>22247</v>
      </c>
      <c r="BC13" s="91">
        <f>24491+2172</f>
        <v/>
      </c>
      <c r="BD13" s="91">
        <f>48038+1766</f>
        <v/>
      </c>
      <c r="BE13" s="91" t="n">
        <v>87519</v>
      </c>
      <c r="BF13" s="91" t="n">
        <v>134683</v>
      </c>
      <c r="BG13" s="91" t="n">
        <v>47795</v>
      </c>
      <c r="BH13" s="91" t="n">
        <v>24884</v>
      </c>
      <c r="BI13" s="91" t="n">
        <v>85805</v>
      </c>
      <c r="BJ13" s="91" t="n">
        <v>46547</v>
      </c>
      <c r="BK13" s="91" t="n">
        <v>40639</v>
      </c>
      <c r="BL13" s="91" t="n">
        <v>7497</v>
      </c>
      <c r="BM13" s="91">
        <f>SUM(BA13:BL13)</f>
        <v/>
      </c>
      <c r="BN13" s="91" t="n">
        <v>461</v>
      </c>
      <c r="BO13" s="91" t="n"/>
      <c r="BP13" s="91" t="n">
        <v>26466</v>
      </c>
      <c r="BQ13" s="91" t="n">
        <v>28351</v>
      </c>
      <c r="BR13" s="91" t="n">
        <v>2865</v>
      </c>
      <c r="BS13" s="91" t="n">
        <v>25675</v>
      </c>
      <c r="BT13" s="91">
        <f>7093+26214.4</f>
        <v/>
      </c>
      <c r="BU13" s="91" t="n">
        <v>42733.39</v>
      </c>
      <c r="BV13" s="91" t="n">
        <v>2221</v>
      </c>
      <c r="BW13" s="91" t="n">
        <v>19244.8</v>
      </c>
      <c r="BX13" s="91" t="n">
        <v>4170</v>
      </c>
      <c r="BY13" s="91" t="n">
        <v>25659.41</v>
      </c>
      <c r="BZ13" s="91">
        <f>SUM(BN13:BY13)</f>
        <v/>
      </c>
      <c r="CA13" s="91" t="n">
        <v>19548.46</v>
      </c>
      <c r="CB13" s="91" t="n">
        <v>3599</v>
      </c>
      <c r="CC13" s="91" t="n">
        <v>873.11</v>
      </c>
      <c r="CD13" s="91" t="n"/>
      <c r="CE13" s="91" t="n">
        <v>43171.58</v>
      </c>
      <c r="CF13" s="91" t="n">
        <v>4195.87</v>
      </c>
      <c r="CG13" s="91" t="n">
        <v>11154.98</v>
      </c>
      <c r="CH13" s="91" t="n">
        <v>37833.8</v>
      </c>
      <c r="CI13" s="91" t="n"/>
      <c r="CJ13" s="91" t="n">
        <v>15987.17</v>
      </c>
      <c r="CK13" s="91" t="n">
        <v>41356.1</v>
      </c>
      <c r="CL13" s="91" t="n">
        <v>2162.97</v>
      </c>
      <c r="CM13" s="91">
        <f>SUM(CA13:CL13)</f>
        <v/>
      </c>
      <c r="CN13" s="91" t="n"/>
      <c r="CO13" s="91" t="n"/>
      <c r="CP13" s="91" t="n"/>
      <c r="CQ13" s="93" t="n"/>
      <c r="CR13" s="94" t="n"/>
      <c r="CS13" s="94" t="n"/>
      <c r="CT13" s="91" t="n"/>
      <c r="CU13" s="91" t="n"/>
      <c r="CV13" s="91" t="n"/>
      <c r="CW13" s="91" t="n"/>
      <c r="CX13" s="91" t="n"/>
      <c r="CY13" s="91" t="n"/>
      <c r="CZ13" s="91">
        <f>SUM(CN13:CY13)</f>
        <v/>
      </c>
      <c r="DA13" s="35" t="n"/>
    </row>
    <row r="14" ht="20" customFormat="1" customHeight="1" s="1">
      <c r="A14" s="30" t="n">
        <v>12</v>
      </c>
      <c r="B14" s="37" t="inlineStr">
        <is>
          <t>山东</t>
        </is>
      </c>
      <c r="C14" s="37" t="inlineStr">
        <is>
          <t>青岛</t>
        </is>
      </c>
      <c r="D14" s="37" t="inlineStr">
        <is>
          <t>吴耀来</t>
        </is>
      </c>
      <c r="E14" s="89" t="n"/>
      <c r="F14" s="27" t="inlineStr">
        <is>
          <t>2021/2022/2023/2024</t>
        </is>
      </c>
      <c r="G14" s="27" t="inlineStr">
        <is>
          <t>9/10/11/12/1/3/4/5/7/11/12/2/4/3</t>
        </is>
      </c>
      <c r="H14" s="90">
        <f>101809+8529+326+2490+13919+279+1321+2456+2142+83+995+651+294+24776+787+52719+116</f>
        <v/>
      </c>
      <c r="I14" s="91">
        <f>4131+1258</f>
        <v/>
      </c>
      <c r="J14" s="91" t="n">
        <v>4664</v>
      </c>
      <c r="K14" s="91">
        <f>+H14+I14+J14</f>
        <v/>
      </c>
      <c r="L14" s="91" t="inlineStr">
        <is>
          <t>5折</t>
        </is>
      </c>
      <c r="M14" s="91" t="inlineStr"/>
      <c r="N14" s="91" t="n"/>
      <c r="O14" s="91" t="n"/>
      <c r="P14" s="91" t="n"/>
      <c r="Q14" s="91" t="n"/>
      <c r="R14" s="91" t="n"/>
      <c r="S14" s="91" t="n"/>
      <c r="T14" s="91" t="n"/>
      <c r="U14" s="91" t="n"/>
      <c r="V14" s="91" t="n"/>
      <c r="W14" s="91" t="n"/>
      <c r="X14" s="91" t="n"/>
      <c r="Y14" s="91" t="n"/>
      <c r="Z14" s="91" t="n"/>
      <c r="AA14" s="91" t="n"/>
      <c r="AB14" s="91" t="n"/>
      <c r="AC14" s="91" t="n"/>
      <c r="AD14" s="91" t="n"/>
      <c r="AE14" s="91" t="n"/>
      <c r="AF14" s="91" t="n"/>
      <c r="AG14" s="91" t="n"/>
      <c r="AH14" s="91" t="n"/>
      <c r="AI14" s="91" t="n"/>
      <c r="AJ14" s="91" t="n"/>
      <c r="AK14" s="91" t="n"/>
      <c r="AL14" s="91">
        <f>88811+2133</f>
        <v/>
      </c>
      <c r="AM14" s="91">
        <f>SUM(AA14:AL14)</f>
        <v/>
      </c>
      <c r="AN14" s="91" t="n"/>
      <c r="AO14" s="91" t="n">
        <v>299</v>
      </c>
      <c r="AP14" s="91">
        <f>116142+3928</f>
        <v/>
      </c>
      <c r="AQ14" s="91">
        <f>60055+31796</f>
        <v/>
      </c>
      <c r="AR14" s="91" t="n">
        <v>166489</v>
      </c>
      <c r="AS14" s="91" t="n">
        <v>81946</v>
      </c>
      <c r="AT14" s="31" t="n">
        <v>98083</v>
      </c>
      <c r="AU14" s="31">
        <f>30566+3000</f>
        <v/>
      </c>
      <c r="AV14" s="31" t="n">
        <v>156534</v>
      </c>
      <c r="AW14" s="36" t="n">
        <v>20832</v>
      </c>
      <c r="AX14" s="91" t="n">
        <v>6376</v>
      </c>
      <c r="AY14" s="31" t="n">
        <v>0</v>
      </c>
      <c r="AZ14" s="92">
        <f>SUM(AN14:AY14)</f>
        <v/>
      </c>
      <c r="BA14" s="91" t="n">
        <v>3368</v>
      </c>
      <c r="BB14" s="30" t="n">
        <v>3030</v>
      </c>
      <c r="BC14" s="83">
        <f>107709+222</f>
        <v/>
      </c>
      <c r="BD14" s="41">
        <f>90461+7817</f>
        <v/>
      </c>
      <c r="BE14" s="91" t="n">
        <v>23162</v>
      </c>
      <c r="BF14" s="91" t="n">
        <v>128676</v>
      </c>
      <c r="BG14" s="91" t="n">
        <v>41487</v>
      </c>
      <c r="BH14" s="91" t="n">
        <v>53202</v>
      </c>
      <c r="BI14" s="91" t="n">
        <v>63242</v>
      </c>
      <c r="BJ14" s="91" t="n">
        <v>31391</v>
      </c>
      <c r="BK14" s="91" t="n">
        <v>1622</v>
      </c>
      <c r="BL14" s="91" t="n">
        <v>24667</v>
      </c>
      <c r="BM14" s="91">
        <f>SUM(BA14:BL14)</f>
        <v/>
      </c>
      <c r="BN14" s="91" t="n">
        <v>1145</v>
      </c>
      <c r="BO14" s="91" t="n">
        <v>132</v>
      </c>
      <c r="BP14" s="91" t="n">
        <v>28406</v>
      </c>
      <c r="BQ14" s="91" t="n">
        <v>58533</v>
      </c>
      <c r="BR14" s="91" t="n">
        <v>47191</v>
      </c>
      <c r="BS14" s="91" t="n">
        <v>301</v>
      </c>
      <c r="BT14" s="91" t="n">
        <v>31869</v>
      </c>
      <c r="BU14" s="91" t="n">
        <v>353</v>
      </c>
      <c r="BV14" s="91" t="inlineStr"/>
      <c r="BW14" s="91" t="n">
        <v>38711.71</v>
      </c>
      <c r="BX14" s="91" t="n">
        <v>39000.99</v>
      </c>
      <c r="BY14" s="91" t="n">
        <v>226.84</v>
      </c>
      <c r="BZ14" s="91">
        <f>SUM(BN14:BY14)</f>
        <v/>
      </c>
      <c r="CA14" s="91" t="n">
        <v>11420</v>
      </c>
      <c r="CB14" s="91" t="n">
        <v>2249</v>
      </c>
      <c r="CC14" s="91" t="n">
        <v>25068</v>
      </c>
      <c r="CD14" s="91" t="n">
        <v>42846.61</v>
      </c>
      <c r="CE14" s="91" t="n">
        <v>5539</v>
      </c>
      <c r="CF14" s="91" t="n"/>
      <c r="CG14" s="91" t="n"/>
      <c r="CH14" s="91" t="n">
        <v>39218.12</v>
      </c>
      <c r="CI14" s="91" t="n">
        <v>1242</v>
      </c>
      <c r="CJ14" s="91" t="inlineStr"/>
      <c r="CK14" s="91" t="n">
        <v>260</v>
      </c>
      <c r="CL14" s="91" t="inlineStr"/>
      <c r="CM14" s="91">
        <f>SUM(CA14:CL14)</f>
        <v/>
      </c>
      <c r="CN14" s="91" t="n"/>
      <c r="CO14" s="91" t="n"/>
      <c r="CP14" s="91" t="n"/>
      <c r="CQ14" s="93" t="n"/>
      <c r="CR14" s="94" t="n"/>
      <c r="CS14" s="94" t="n"/>
      <c r="CT14" s="91" t="n"/>
      <c r="CU14" s="91" t="n"/>
      <c r="CV14" s="91" t="n"/>
      <c r="CW14" s="91" t="n"/>
      <c r="CX14" s="91" t="n"/>
      <c r="CY14" s="91" t="n"/>
      <c r="CZ14" s="91">
        <f>SUM(CN14:CY14)</f>
        <v/>
      </c>
      <c r="DA14" s="35" t="n"/>
    </row>
    <row r="15" ht="20" customFormat="1" customHeight="1" s="1">
      <c r="A15" s="30" t="n">
        <v>13</v>
      </c>
      <c r="B15" s="37" t="inlineStr">
        <is>
          <t>重庆</t>
        </is>
      </c>
      <c r="C15" s="37" t="inlineStr">
        <is>
          <t>大足</t>
        </is>
      </c>
      <c r="D15" s="37" t="inlineStr">
        <is>
          <t>彭川</t>
        </is>
      </c>
      <c r="E15" s="89" t="n"/>
      <c r="F15" s="27" t="inlineStr">
        <is>
          <t>2021/2022/2023/2024</t>
        </is>
      </c>
      <c r="G15" s="27" t="inlineStr">
        <is>
          <t>9/10/11/3/5/10/11/4</t>
        </is>
      </c>
      <c r="H15" s="90">
        <f>175886+462+18236+94+986+6975+108798+23770+1675</f>
        <v/>
      </c>
      <c r="I15" s="91">
        <f>12383+3216</f>
        <v/>
      </c>
      <c r="J15" s="91" t="n">
        <v>1410</v>
      </c>
      <c r="K15" s="91">
        <f>+H15+I15+J15</f>
        <v/>
      </c>
      <c r="L15" s="91" t="inlineStr">
        <is>
          <t>5折</t>
        </is>
      </c>
      <c r="M15" s="91" t="inlineStr"/>
      <c r="N15" s="91" t="n"/>
      <c r="O15" s="91" t="n"/>
      <c r="P15" s="91" t="n"/>
      <c r="Q15" s="91" t="n"/>
      <c r="R15" s="91" t="n"/>
      <c r="S15" s="91" t="n"/>
      <c r="T15" s="91" t="n"/>
      <c r="U15" s="91" t="n"/>
      <c r="V15" s="91" t="n"/>
      <c r="W15" s="91" t="n"/>
      <c r="X15" s="91" t="n"/>
      <c r="Y15" s="91" t="n"/>
      <c r="Z15" s="91" t="n"/>
      <c r="AA15" s="91" t="n"/>
      <c r="AB15" s="91" t="n"/>
      <c r="AC15" s="91" t="n"/>
      <c r="AD15" s="91" t="n"/>
      <c r="AE15" s="91" t="n"/>
      <c r="AF15" s="30" t="n"/>
      <c r="AG15" s="30" t="n"/>
      <c r="AH15" s="30" t="n"/>
      <c r="AI15" s="30" t="n"/>
      <c r="AJ15" s="30" t="n"/>
      <c r="AK15" s="30" t="n">
        <v>38113</v>
      </c>
      <c r="AL15" s="30" t="n">
        <v>40828</v>
      </c>
      <c r="AM15" s="91">
        <f>SUM(AA15:AL15)</f>
        <v/>
      </c>
      <c r="AN15" s="91" t="n">
        <v>78337</v>
      </c>
      <c r="AO15" s="91" t="n">
        <v>33215</v>
      </c>
      <c r="AP15" s="91" t="n">
        <v>144601</v>
      </c>
      <c r="AQ15" s="91" t="n">
        <v>119845</v>
      </c>
      <c r="AR15" s="91" t="n">
        <v>13082</v>
      </c>
      <c r="AS15" s="91" t="n">
        <v>78641</v>
      </c>
      <c r="AT15" s="31" t="n">
        <v>82396</v>
      </c>
      <c r="AU15" s="31" t="n">
        <v>30163</v>
      </c>
      <c r="AV15" s="31" t="n">
        <v>120414</v>
      </c>
      <c r="AW15" s="36" t="n">
        <v>59901</v>
      </c>
      <c r="AX15" s="91" t="n">
        <v>40772</v>
      </c>
      <c r="AY15" s="31" t="n">
        <v>91840</v>
      </c>
      <c r="AZ15" s="92">
        <f>SUM(AN15:AY15)</f>
        <v/>
      </c>
      <c r="BA15" s="91" t="n"/>
      <c r="BB15" s="30" t="n">
        <v>110377</v>
      </c>
      <c r="BC15" s="91">
        <f>20880+70678</f>
        <v/>
      </c>
      <c r="BD15" s="91">
        <f>2589+35103</f>
        <v/>
      </c>
      <c r="BE15" s="91" t="n">
        <v>11926</v>
      </c>
      <c r="BF15" s="91" t="n">
        <v>13532</v>
      </c>
      <c r="BG15" s="91" t="n">
        <v>168746</v>
      </c>
      <c r="BH15" s="91" t="n">
        <v>54687</v>
      </c>
      <c r="BI15" s="91" t="n">
        <v>20570</v>
      </c>
      <c r="BJ15" s="91" t="n">
        <v>107238</v>
      </c>
      <c r="BK15" s="91" t="n">
        <v>1004</v>
      </c>
      <c r="BL15" s="91" t="n">
        <v>6806</v>
      </c>
      <c r="BM15" s="91">
        <f>SUM(BA15:BL15)</f>
        <v/>
      </c>
      <c r="BN15" s="91" t="n">
        <v>360</v>
      </c>
      <c r="BO15" s="91" t="n">
        <v>18942</v>
      </c>
      <c r="BP15" s="91" t="n">
        <v>37134</v>
      </c>
      <c r="BQ15" s="91" t="n">
        <v>48297</v>
      </c>
      <c r="BR15" s="91" t="n">
        <v>48018</v>
      </c>
      <c r="BS15" s="91" t="n">
        <v>36363</v>
      </c>
      <c r="BT15" s="91">
        <f>2223+20641.27</f>
        <v/>
      </c>
      <c r="BU15" s="91" t="n">
        <v>101627.65</v>
      </c>
      <c r="BV15" s="91" t="inlineStr"/>
      <c r="BW15" s="91" t="n">
        <v>43466.43</v>
      </c>
      <c r="BX15" s="91" t="n">
        <v>4441.19</v>
      </c>
      <c r="BY15" s="91" t="n">
        <v>66194.67</v>
      </c>
      <c r="BZ15" s="91">
        <f>SUM(BN15:BY15)</f>
        <v/>
      </c>
      <c r="CA15" s="91" t="n">
        <v>53597.68</v>
      </c>
      <c r="CB15" s="91" t="inlineStr"/>
      <c r="CC15" s="91" t="n">
        <v>933.64</v>
      </c>
      <c r="CD15" s="91" t="n">
        <v>52381.86</v>
      </c>
      <c r="CE15" s="91" t="n">
        <v>708.5599999999999</v>
      </c>
      <c r="CF15" s="91" t="n">
        <v>460</v>
      </c>
      <c r="CG15" s="91" t="n">
        <v>2488.9</v>
      </c>
      <c r="CH15" s="91" t="inlineStr"/>
      <c r="CI15" s="91" t="n"/>
      <c r="CJ15" s="91" t="inlineStr"/>
      <c r="CK15" s="91" t="n"/>
      <c r="CL15" s="91" t="inlineStr"/>
      <c r="CM15" s="91">
        <f>SUM(CA15:CL15)</f>
        <v/>
      </c>
      <c r="CN15" s="91" t="n"/>
      <c r="CO15" s="91" t="n"/>
      <c r="CP15" s="91" t="n"/>
      <c r="CQ15" s="93" t="n"/>
      <c r="CR15" s="94" t="n"/>
      <c r="CS15" s="94" t="n"/>
      <c r="CT15" s="91" t="n"/>
      <c r="CU15" s="91" t="n"/>
      <c r="CV15" s="91" t="n"/>
      <c r="CW15" s="91" t="n"/>
      <c r="CX15" s="91" t="n"/>
      <c r="CY15" s="91" t="n"/>
      <c r="CZ15" s="91">
        <f>SUM(CN15:CY15)</f>
        <v/>
      </c>
      <c r="DA15" s="35" t="n"/>
    </row>
    <row r="16" ht="20" customFormat="1" customHeight="1" s="2">
      <c r="A16" s="30" t="n">
        <v>14</v>
      </c>
      <c r="B16" s="37" t="inlineStr">
        <is>
          <t>山西</t>
        </is>
      </c>
      <c r="C16" s="37" t="inlineStr">
        <is>
          <t>晋城</t>
        </is>
      </c>
      <c r="D16" s="37" t="inlineStr">
        <is>
          <t>张晋芳</t>
        </is>
      </c>
      <c r="E16" s="89" t="n"/>
      <c r="F16" s="27" t="inlineStr">
        <is>
          <t>2020/2021/2022/2023/2024</t>
        </is>
      </c>
      <c r="G16" s="27" t="inlineStr">
        <is>
          <t>12/5/6/9/3/4/8/12/12/1/3/9</t>
        </is>
      </c>
      <c r="H16" s="90">
        <f>2198+136649+36295+2198+1110+789+569+55445+22998+780+1010+40969+4955+1399+441+420</f>
        <v/>
      </c>
      <c r="I16" s="91">
        <f>1600+1600</f>
        <v/>
      </c>
      <c r="J16" s="91">
        <f>6198+3553</f>
        <v/>
      </c>
      <c r="K16" s="91">
        <f>+H16+I16+J16</f>
        <v/>
      </c>
      <c r="L16" s="91" t="inlineStr">
        <is>
          <t>5折/8折</t>
        </is>
      </c>
      <c r="M16" s="91" t="inlineStr"/>
      <c r="N16" s="91" t="n"/>
      <c r="O16" s="91" t="n"/>
      <c r="P16" s="91" t="n"/>
      <c r="Q16" s="91" t="n"/>
      <c r="R16" s="91" t="n"/>
      <c r="S16" s="91" t="n"/>
      <c r="T16" s="91" t="n"/>
      <c r="U16" s="91" t="n"/>
      <c r="V16" s="91" t="n"/>
      <c r="W16" s="91" t="n"/>
      <c r="X16" s="91" t="n"/>
      <c r="Y16" s="91" t="n"/>
      <c r="Z16" s="91" t="n"/>
      <c r="AA16" s="91" t="n">
        <v>54044</v>
      </c>
      <c r="AB16" s="91" t="n"/>
      <c r="AC16" s="91" t="n">
        <v>96229</v>
      </c>
      <c r="AD16" s="91" t="n">
        <v>69341</v>
      </c>
      <c r="AE16" s="91" t="n">
        <v>54136</v>
      </c>
      <c r="AF16" s="91">
        <f>2435+115835</f>
        <v/>
      </c>
      <c r="AG16" s="91" t="n">
        <v>75720</v>
      </c>
      <c r="AH16" s="91" t="n">
        <v>13035</v>
      </c>
      <c r="AI16" s="91">
        <f>100427+1054</f>
        <v/>
      </c>
      <c r="AJ16" s="91" t="n">
        <v>227183</v>
      </c>
      <c r="AK16" s="91">
        <f>138836+245</f>
        <v/>
      </c>
      <c r="AL16" s="91">
        <f>113491+80</f>
        <v/>
      </c>
      <c r="AM16" s="91">
        <f>SUM(AA16:AL16)</f>
        <v/>
      </c>
      <c r="AN16" s="91" t="n">
        <v>27809</v>
      </c>
      <c r="AO16" s="91" t="n">
        <v>1669</v>
      </c>
      <c r="AP16" s="91">
        <f>79422+13611</f>
        <v/>
      </c>
      <c r="AQ16" s="91" t="n">
        <v>46697</v>
      </c>
      <c r="AR16" s="91" t="n">
        <v>26585</v>
      </c>
      <c r="AS16" s="91">
        <f>183034+17878</f>
        <v/>
      </c>
      <c r="AT16" s="31" t="n">
        <v>49040</v>
      </c>
      <c r="AU16" s="31" t="n">
        <v>85733</v>
      </c>
      <c r="AV16" s="31" t="n">
        <v>110265</v>
      </c>
      <c r="AW16" s="36" t="n">
        <v>107614</v>
      </c>
      <c r="AX16" s="91" t="n"/>
      <c r="AY16" s="31" t="n">
        <v>80313</v>
      </c>
      <c r="AZ16" s="92">
        <f>SUM(AN16:AY16)</f>
        <v/>
      </c>
      <c r="BA16" s="91" t="n"/>
      <c r="BB16" s="30" t="n">
        <v>31635</v>
      </c>
      <c r="BC16" s="91">
        <f>96720+2301</f>
        <v/>
      </c>
      <c r="BD16" s="91">
        <f>13711+276</f>
        <v/>
      </c>
      <c r="BE16" s="91">
        <f>184477+56630</f>
        <v/>
      </c>
      <c r="BF16" s="91" t="n">
        <v>138313</v>
      </c>
      <c r="BG16" s="91" t="n">
        <v>49498</v>
      </c>
      <c r="BH16" s="91" t="n">
        <v>199508</v>
      </c>
      <c r="BI16" s="91" t="n">
        <v>151193</v>
      </c>
      <c r="BJ16" s="91" t="n">
        <v>85176</v>
      </c>
      <c r="BK16" s="91" t="n"/>
      <c r="BL16" s="91" t="n">
        <v>256795</v>
      </c>
      <c r="BM16" s="91">
        <f>SUM(BA16:BL16)</f>
        <v/>
      </c>
      <c r="BN16" s="91" t="n">
        <v>1447</v>
      </c>
      <c r="BO16" s="91" t="n"/>
      <c r="BP16" s="91" t="n">
        <v>132499</v>
      </c>
      <c r="BQ16" s="91" t="n">
        <v>192962</v>
      </c>
      <c r="BR16" s="91" t="n">
        <v>190543</v>
      </c>
      <c r="BS16" s="91" t="n">
        <v>134699</v>
      </c>
      <c r="BT16" s="91" t="n">
        <v>112585</v>
      </c>
      <c r="BU16" s="91" t="n">
        <v>86708</v>
      </c>
      <c r="BV16" s="91">
        <f>4387+35248</f>
        <v/>
      </c>
      <c r="BW16" s="91" t="n">
        <v>86540.03</v>
      </c>
      <c r="BX16" s="91" t="n">
        <v>28193.91</v>
      </c>
      <c r="BY16" s="91" t="n">
        <v>59682.95</v>
      </c>
      <c r="BZ16" s="91">
        <f>SUM(BN16:BY16)</f>
        <v/>
      </c>
      <c r="CA16" s="91" t="n">
        <v>1707</v>
      </c>
      <c r="CB16" s="91" t="n">
        <v>39342.49</v>
      </c>
      <c r="CC16" s="91" t="n">
        <v>38067.97</v>
      </c>
      <c r="CD16" s="91" t="n">
        <v>63261.69</v>
      </c>
      <c r="CE16" s="91" t="n">
        <v>73467.95</v>
      </c>
      <c r="CF16" s="91" t="n">
        <v>4019</v>
      </c>
      <c r="CG16" s="91" t="n">
        <v>1627</v>
      </c>
      <c r="CH16" s="91" t="n">
        <v>72360.00999999999</v>
      </c>
      <c r="CI16" s="91" t="n">
        <v>1157</v>
      </c>
      <c r="CJ16" s="91" t="n">
        <v>63036.91</v>
      </c>
      <c r="CK16" s="91" t="n">
        <v>681</v>
      </c>
      <c r="CL16" s="91" t="n">
        <v>60057.91</v>
      </c>
      <c r="CM16" s="91">
        <f>SUM(CA16:CL16)</f>
        <v/>
      </c>
      <c r="CN16" s="91" t="n"/>
      <c r="CO16" s="91" t="n"/>
      <c r="CP16" s="91" t="n"/>
      <c r="CQ16" s="93" t="n"/>
      <c r="CR16" s="94" t="n"/>
      <c r="CS16" s="94" t="n"/>
      <c r="CT16" s="91" t="n"/>
      <c r="CU16" s="91" t="n"/>
      <c r="CV16" s="91" t="n"/>
      <c r="CW16" s="91" t="n"/>
      <c r="CX16" s="91" t="n"/>
      <c r="CY16" s="91" t="n"/>
      <c r="CZ16" s="91">
        <f>SUM(CN16:CY16)</f>
        <v/>
      </c>
      <c r="DA16" s="35" t="n"/>
    </row>
    <row r="17" ht="20" customFormat="1" customHeight="1" s="1">
      <c r="A17" s="30" t="n">
        <v>15</v>
      </c>
      <c r="B17" s="37" t="inlineStr">
        <is>
          <t>重庆</t>
        </is>
      </c>
      <c r="C17" s="37" t="inlineStr">
        <is>
          <t>丰都</t>
        </is>
      </c>
      <c r="D17" s="37" t="inlineStr">
        <is>
          <t>王亚林</t>
        </is>
      </c>
      <c r="E17" s="89" t="n"/>
      <c r="F17" s="27" t="inlineStr">
        <is>
          <t>2021/2022/2023/2024/2025</t>
        </is>
      </c>
      <c r="G17" s="27" t="inlineStr">
        <is>
          <t>10/11/3/4/12/9/9/10/11/3</t>
        </is>
      </c>
      <c r="H17" s="90">
        <f>133765+5226+302+393+593+162+146+1399+164+55596+579+1346+126</f>
        <v/>
      </c>
      <c r="I17" s="91" t="n">
        <v>4384</v>
      </c>
      <c r="J17" s="91" t="n">
        <v>1410</v>
      </c>
      <c r="K17" s="91">
        <f>+H17+I17+J17</f>
        <v/>
      </c>
      <c r="L17" s="91" t="inlineStr">
        <is>
          <t>5折</t>
        </is>
      </c>
      <c r="M17" s="91" t="inlineStr"/>
      <c r="N17" s="91" t="n"/>
      <c r="O17" s="91" t="n"/>
      <c r="P17" s="91" t="n"/>
      <c r="Q17" s="91" t="n"/>
      <c r="R17" s="91" t="n"/>
      <c r="S17" s="91" t="n"/>
      <c r="T17" s="91" t="n"/>
      <c r="U17" s="91" t="n"/>
      <c r="V17" s="91" t="n"/>
      <c r="W17" s="91" t="n"/>
      <c r="X17" s="91" t="n"/>
      <c r="Y17" s="91" t="n"/>
      <c r="Z17" s="91" t="n"/>
      <c r="AA17" s="91" t="n"/>
      <c r="AB17" s="91" t="n"/>
      <c r="AC17" s="91" t="n"/>
      <c r="AD17" s="91" t="n"/>
      <c r="AE17" s="91" t="n"/>
      <c r="AF17" s="30" t="n"/>
      <c r="AG17" s="30" t="n"/>
      <c r="AH17" s="30" t="n"/>
      <c r="AI17" s="30" t="n"/>
      <c r="AJ17" s="30" t="n"/>
      <c r="AK17" s="30" t="n"/>
      <c r="AL17" s="30" t="n"/>
      <c r="AM17" s="91" t="n"/>
      <c r="AN17" s="91" t="n">
        <v>2066</v>
      </c>
      <c r="AO17" s="91" t="n">
        <v>15149</v>
      </c>
      <c r="AP17" s="91" t="n">
        <v>35748</v>
      </c>
      <c r="AQ17" s="91" t="n">
        <v>53687</v>
      </c>
      <c r="AR17" s="91" t="n">
        <v>112964</v>
      </c>
      <c r="AS17" s="91" t="n">
        <v>101497</v>
      </c>
      <c r="AT17" s="31" t="n">
        <v>93789</v>
      </c>
      <c r="AU17" s="31" t="n">
        <v>61475</v>
      </c>
      <c r="AV17" s="31" t="n">
        <v>128026</v>
      </c>
      <c r="AW17" s="36">
        <f>4562+11723+38108+70958</f>
        <v/>
      </c>
      <c r="AX17" s="91" t="n">
        <v>60538</v>
      </c>
      <c r="AY17" s="31" t="n">
        <v>45783</v>
      </c>
      <c r="AZ17" s="92">
        <f>SUM(AN17:AY17)</f>
        <v/>
      </c>
      <c r="BA17" s="91" t="n"/>
      <c r="BB17" s="91">
        <f>189362+1999</f>
        <v/>
      </c>
      <c r="BC17" s="91" t="n">
        <v>34346</v>
      </c>
      <c r="BD17" s="91" t="n">
        <v>21889</v>
      </c>
      <c r="BE17" s="91" t="n">
        <v>104848</v>
      </c>
      <c r="BF17" s="91" t="n">
        <v>26013</v>
      </c>
      <c r="BG17" s="91" t="n">
        <v>60869</v>
      </c>
      <c r="BH17" s="91" t="n">
        <v>161905</v>
      </c>
      <c r="BI17" s="91" t="n">
        <v>96462</v>
      </c>
      <c r="BJ17" s="91" t="n">
        <v>64473</v>
      </c>
      <c r="BK17" s="91" t="n">
        <v>73613</v>
      </c>
      <c r="BL17" s="91" t="n">
        <v>100687</v>
      </c>
      <c r="BM17" s="91">
        <f>SUM(BA17:BL17)</f>
        <v/>
      </c>
      <c r="BN17" s="91" t="n">
        <v>1406</v>
      </c>
      <c r="BO17" s="91" t="n">
        <v>25505</v>
      </c>
      <c r="BP17" s="91" t="n">
        <v>53756</v>
      </c>
      <c r="BQ17" s="91" t="n">
        <v>20887</v>
      </c>
      <c r="BR17" s="91" t="n">
        <v>16385</v>
      </c>
      <c r="BS17" s="91" t="n">
        <v>105841</v>
      </c>
      <c r="BT17" s="91" t="n">
        <v>1183</v>
      </c>
      <c r="BU17" s="91" t="n">
        <v>59552.22</v>
      </c>
      <c r="BV17" s="91" t="n">
        <v>46393.05</v>
      </c>
      <c r="BW17" s="91" t="n">
        <v>9042.790000000001</v>
      </c>
      <c r="BX17" s="91" t="n">
        <v>9235.790000000001</v>
      </c>
      <c r="BY17" s="91" t="n">
        <v>36246.33</v>
      </c>
      <c r="BZ17" s="91">
        <f>SUM(BN17:BY17)</f>
        <v/>
      </c>
      <c r="CA17" s="91" t="n">
        <v>22620.49</v>
      </c>
      <c r="CB17" s="91" t="n">
        <v>22408.28</v>
      </c>
      <c r="CC17" s="91" t="n">
        <v>74.98999999999999</v>
      </c>
      <c r="CD17" s="91" t="n">
        <v>35193.54</v>
      </c>
      <c r="CE17" s="91" t="n">
        <v>98519.00999999999</v>
      </c>
      <c r="CF17" s="91" t="n">
        <v>17681.7</v>
      </c>
      <c r="CG17" s="91" t="n">
        <v>1101.18</v>
      </c>
      <c r="CH17" s="91" t="n">
        <v>36038.53</v>
      </c>
      <c r="CI17" s="91" t="n">
        <v>39448.43</v>
      </c>
      <c r="CJ17" s="91" t="n">
        <v>4830.75</v>
      </c>
      <c r="CK17" s="91" t="n">
        <v>35314.13</v>
      </c>
      <c r="CL17" s="91" t="n">
        <v>27950.87</v>
      </c>
      <c r="CM17" s="91">
        <f>SUM(CA17:CL17)</f>
        <v/>
      </c>
      <c r="CN17" s="91" t="n"/>
      <c r="CO17" s="91" t="n"/>
      <c r="CP17" s="91" t="n"/>
      <c r="CQ17" s="93" t="n"/>
      <c r="CR17" s="94" t="n"/>
      <c r="CS17" s="94" t="n"/>
      <c r="CT17" s="91" t="n"/>
      <c r="CU17" s="91" t="n"/>
      <c r="CV17" s="91" t="n"/>
      <c r="CW17" s="91" t="n"/>
      <c r="CX17" s="91" t="n"/>
      <c r="CY17" s="91" t="n"/>
      <c r="CZ17" s="91">
        <f>SUM(CN17:CY17)</f>
        <v/>
      </c>
      <c r="DA17" s="35" t="n"/>
    </row>
    <row r="18" ht="20" customFormat="1" customHeight="1" s="2">
      <c r="A18" s="30" t="n">
        <v>16</v>
      </c>
      <c r="B18" s="37" t="inlineStr">
        <is>
          <t>浙江</t>
        </is>
      </c>
      <c r="C18" s="37" t="inlineStr">
        <is>
          <t>温州苍南</t>
        </is>
      </c>
      <c r="D18" s="37" t="inlineStr">
        <is>
          <t>曾喻寿</t>
        </is>
      </c>
      <c r="E18" s="89" t="n"/>
      <c r="F18" s="27" t="inlineStr">
        <is>
          <t>2021/2020/2022/2023/2024</t>
        </is>
      </c>
      <c r="G18" s="27" t="inlineStr">
        <is>
          <t>7/12/4/4</t>
        </is>
      </c>
      <c r="H18" s="90">
        <f>79379+871+58623+1804+1675</f>
        <v/>
      </c>
      <c r="I18" s="91">
        <f>1664</f>
        <v/>
      </c>
      <c r="J18" s="91" t="n">
        <v>1414</v>
      </c>
      <c r="K18" s="91">
        <f>+H18+I18+J18</f>
        <v/>
      </c>
      <c r="L18" s="91" t="inlineStr">
        <is>
          <t>5折/8折</t>
        </is>
      </c>
      <c r="M18" s="91" t="inlineStr"/>
      <c r="N18" s="91" t="n"/>
      <c r="O18" s="91" t="n"/>
      <c r="P18" s="91" t="n"/>
      <c r="Q18" s="91" t="n"/>
      <c r="R18" s="91" t="n"/>
      <c r="S18" s="91" t="n"/>
      <c r="T18" s="91" t="n"/>
      <c r="U18" s="91" t="n"/>
      <c r="V18" s="91" t="n"/>
      <c r="W18" s="91" t="n"/>
      <c r="X18" s="91" t="n"/>
      <c r="Y18" s="91" t="n"/>
      <c r="Z18" s="91" t="n"/>
      <c r="AA18" s="91" t="n"/>
      <c r="AB18" s="91" t="n"/>
      <c r="AC18" s="91" t="n"/>
      <c r="AD18" s="91" t="n"/>
      <c r="AE18" s="91" t="n"/>
      <c r="AF18" s="30" t="n"/>
      <c r="AG18" s="30" t="n"/>
      <c r="AH18" s="30" t="n"/>
      <c r="AI18" s="30" t="n"/>
      <c r="AJ18" s="30" t="n"/>
      <c r="AK18" s="30" t="n">
        <v>26505</v>
      </c>
      <c r="AL18" s="30">
        <f>32049+744</f>
        <v/>
      </c>
      <c r="AM18" s="91">
        <f>SUM(AA18:AL18)</f>
        <v/>
      </c>
      <c r="AN18" s="91" t="n">
        <v>2716</v>
      </c>
      <c r="AO18" s="91" t="n">
        <v>614</v>
      </c>
      <c r="AP18" s="91" t="n"/>
      <c r="AQ18" s="91" t="n">
        <v>32411</v>
      </c>
      <c r="AR18" s="91" t="n">
        <v>6244</v>
      </c>
      <c r="AS18" s="91" t="n">
        <v>22076</v>
      </c>
      <c r="AT18" s="31" t="n">
        <v>29044</v>
      </c>
      <c r="AU18" s="31">
        <f>75555+4241</f>
        <v/>
      </c>
      <c r="AV18" s="31">
        <f>174863+88703</f>
        <v/>
      </c>
      <c r="AW18" s="36" t="n">
        <v>201902</v>
      </c>
      <c r="AX18" s="91" t="n">
        <v>12170</v>
      </c>
      <c r="AY18" s="31" t="n">
        <v>79208</v>
      </c>
      <c r="AZ18" s="92">
        <f>SUM(AN18:AY18)</f>
        <v/>
      </c>
      <c r="BA18" s="91" t="n">
        <v>252</v>
      </c>
      <c r="BB18" s="30">
        <f>36240+5558</f>
        <v/>
      </c>
      <c r="BC18" s="91" t="n">
        <v>6073</v>
      </c>
      <c r="BD18" s="91">
        <f>59192+6335</f>
        <v/>
      </c>
      <c r="BE18" s="91" t="n"/>
      <c r="BF18" s="91" t="n">
        <v>59749</v>
      </c>
      <c r="BG18" s="91" t="n">
        <v>6071</v>
      </c>
      <c r="BH18" s="91" t="n">
        <v>33259</v>
      </c>
      <c r="BI18" s="91" t="n">
        <v>39019</v>
      </c>
      <c r="BJ18" s="91" t="n">
        <v>4966</v>
      </c>
      <c r="BK18" s="91" t="n">
        <v>27856</v>
      </c>
      <c r="BL18" s="91" t="n">
        <v>5596</v>
      </c>
      <c r="BM18" s="91">
        <f>SUM(BA18:BL18)</f>
        <v/>
      </c>
      <c r="BN18" s="91" t="n">
        <v>56828</v>
      </c>
      <c r="BO18" s="91" t="n"/>
      <c r="BP18" s="91" t="n">
        <v>92331</v>
      </c>
      <c r="BQ18" s="91" t="n">
        <v>4654</v>
      </c>
      <c r="BR18" s="91" t="n">
        <v>745</v>
      </c>
      <c r="BS18" s="91" t="inlineStr"/>
      <c r="BT18" s="91" t="n"/>
      <c r="BU18" s="91" t="n"/>
      <c r="BV18" s="91" t="inlineStr"/>
      <c r="BW18" s="91" t="n">
        <v>20954.7</v>
      </c>
      <c r="BX18" s="91" t="n">
        <v>498</v>
      </c>
      <c r="BY18" s="91" t="n">
        <v>792.08</v>
      </c>
      <c r="BZ18" s="91">
        <f>SUM(BN18:BY18)</f>
        <v/>
      </c>
      <c r="CA18" s="91" t="n">
        <v>44746</v>
      </c>
      <c r="CB18" s="91">
        <f>44463.29+5126</f>
        <v/>
      </c>
      <c r="CC18" s="91" t="n">
        <v>581.84</v>
      </c>
      <c r="CD18" s="91" t="n">
        <v>86.92</v>
      </c>
      <c r="CE18" s="91" t="n"/>
      <c r="CF18" s="91" t="n">
        <v>392</v>
      </c>
      <c r="CG18" s="91" t="n"/>
      <c r="CH18" s="91" t="inlineStr"/>
      <c r="CI18" s="91" t="n">
        <v>45077</v>
      </c>
      <c r="CJ18" s="91" t="n">
        <v>187</v>
      </c>
      <c r="CK18" s="91" t="n">
        <v>821</v>
      </c>
      <c r="CL18" s="91" t="inlineStr"/>
      <c r="CM18" s="91">
        <f>SUM(CA18:CL18)</f>
        <v/>
      </c>
      <c r="CN18" s="91" t="n"/>
      <c r="CO18" s="91" t="n"/>
      <c r="CP18" s="91" t="n"/>
      <c r="CQ18" s="93" t="n"/>
      <c r="CR18" s="94" t="n"/>
      <c r="CS18" s="94" t="n"/>
      <c r="CT18" s="91" t="n"/>
      <c r="CU18" s="91" t="n"/>
      <c r="CV18" s="91" t="n"/>
      <c r="CW18" s="91" t="n"/>
      <c r="CX18" s="91" t="n"/>
      <c r="CY18" s="91" t="n"/>
      <c r="CZ18" s="91">
        <f>SUM(CN18:CY18)</f>
        <v/>
      </c>
      <c r="DA18" s="35" t="n"/>
    </row>
    <row r="19" ht="20" customFormat="1" customHeight="1" s="1">
      <c r="A19" s="30" t="n">
        <v>17</v>
      </c>
      <c r="B19" s="37" t="inlineStr">
        <is>
          <t>新疆</t>
        </is>
      </c>
      <c r="C19" s="37" t="inlineStr">
        <is>
          <t>乌鲁木齐</t>
        </is>
      </c>
      <c r="D19" s="37" t="inlineStr">
        <is>
          <t>李佳儒</t>
        </is>
      </c>
      <c r="E19" s="89" t="n"/>
      <c r="F19" s="27" t="inlineStr">
        <is>
          <t>2021/2022/2023</t>
        </is>
      </c>
      <c r="G19" s="27" t="inlineStr">
        <is>
          <t>11/1/3/3/4/5</t>
        </is>
      </c>
      <c r="H19" s="90">
        <f>156604+426+1629+47358+24196+1735</f>
        <v/>
      </c>
      <c r="I19" s="91" t="n">
        <v>25574</v>
      </c>
      <c r="J19" s="91" t="n">
        <v>5008</v>
      </c>
      <c r="K19" s="91">
        <f>+H19+I19+J19</f>
        <v/>
      </c>
      <c r="L19" s="91" t="inlineStr">
        <is>
          <t>5折</t>
        </is>
      </c>
      <c r="M19" s="91" t="inlineStr"/>
      <c r="N19" s="91" t="n"/>
      <c r="O19" s="91" t="n"/>
      <c r="P19" s="91" t="n"/>
      <c r="Q19" s="91" t="n"/>
      <c r="R19" s="91" t="n"/>
      <c r="S19" s="91" t="n"/>
      <c r="T19" s="91" t="n"/>
      <c r="U19" s="91" t="n"/>
      <c r="V19" s="91" t="n"/>
      <c r="W19" s="91" t="n"/>
      <c r="X19" s="91" t="n"/>
      <c r="Y19" s="91" t="n"/>
      <c r="Z19" s="91" t="n"/>
      <c r="AA19" s="91" t="n"/>
      <c r="AB19" s="91" t="n"/>
      <c r="AC19" s="91" t="n"/>
      <c r="AD19" s="91" t="n"/>
      <c r="AE19" s="91" t="n"/>
      <c r="AF19" s="91" t="n"/>
      <c r="AG19" s="30" t="n"/>
      <c r="AH19" s="30" t="n"/>
      <c r="AI19" s="30" t="n"/>
      <c r="AJ19" s="30" t="n"/>
      <c r="AK19" s="30" t="n"/>
      <c r="AL19" s="30" t="n"/>
      <c r="AM19" s="91" t="n"/>
      <c r="AN19" s="91" t="n"/>
      <c r="AO19" s="91" t="n"/>
      <c r="AP19" s="91" t="n">
        <v>118140</v>
      </c>
      <c r="AQ19" s="91">
        <f>29615+159662</f>
        <v/>
      </c>
      <c r="AR19" s="91" t="n">
        <v>108177</v>
      </c>
      <c r="AS19" s="91" t="n">
        <v>50470</v>
      </c>
      <c r="AT19" s="31" t="n">
        <v>59799</v>
      </c>
      <c r="AU19" s="31" t="n">
        <v>1906</v>
      </c>
      <c r="AV19" s="31" t="n">
        <v>103983</v>
      </c>
      <c r="AW19" s="36" t="n"/>
      <c r="AX19" s="91" t="n"/>
      <c r="AY19" s="31" t="n">
        <v>0</v>
      </c>
      <c r="AZ19" s="92">
        <f>SUM(AN19:AY19)</f>
        <v/>
      </c>
      <c r="BA19" s="91" t="n"/>
      <c r="BB19" s="91">
        <f>36717+60+6233</f>
        <v/>
      </c>
      <c r="BC19" s="91">
        <f>35813+8357+47358</f>
        <v/>
      </c>
      <c r="BD19" s="91" t="n">
        <v>54277</v>
      </c>
      <c r="BE19" s="91" t="n">
        <v>82370</v>
      </c>
      <c r="BF19" s="91" t="n">
        <v>49702</v>
      </c>
      <c r="BG19" s="91" t="n">
        <v>4716</v>
      </c>
      <c r="BH19" s="91" t="n">
        <v>106602</v>
      </c>
      <c r="BI19" s="91" t="n">
        <v>135272</v>
      </c>
      <c r="BJ19" s="91" t="n">
        <v>103278</v>
      </c>
      <c r="BK19" s="91" t="n"/>
      <c r="BL19" s="91" t="n">
        <v>39050</v>
      </c>
      <c r="BM19" s="91">
        <f>SUM(BA19:BL19)</f>
        <v/>
      </c>
      <c r="BN19" s="91" t="n"/>
      <c r="BO19" s="91" t="n">
        <v>724</v>
      </c>
      <c r="BP19" s="91" t="n">
        <v>135</v>
      </c>
      <c r="BQ19" s="91" t="n">
        <v>99595</v>
      </c>
      <c r="BR19" s="91" t="n">
        <v>77492</v>
      </c>
      <c r="BS19" s="91" t="n">
        <v>6053</v>
      </c>
      <c r="BT19" s="91" t="n">
        <v>1264</v>
      </c>
      <c r="BU19" s="91" t="n">
        <v>123166</v>
      </c>
      <c r="BV19" s="91" t="inlineStr"/>
      <c r="BW19" s="91" t="n">
        <v>4922</v>
      </c>
      <c r="BX19" s="91" t="n">
        <v>27587.76</v>
      </c>
      <c r="BY19" s="91" t="n"/>
      <c r="BZ19" s="91">
        <f>SUM(BN19:BY19)</f>
        <v/>
      </c>
      <c r="CA19" s="91" t="inlineStr"/>
      <c r="CB19" s="91" t="n">
        <v>2842</v>
      </c>
      <c r="CC19" s="91" t="inlineStr"/>
      <c r="CD19" s="91" t="n"/>
      <c r="CE19" s="91" t="n"/>
      <c r="CF19" s="91" t="n"/>
      <c r="CG19" s="91" t="n"/>
      <c r="CH19" s="91" t="inlineStr"/>
      <c r="CI19" s="91" t="n"/>
      <c r="CJ19" s="91" t="inlineStr"/>
      <c r="CK19" s="91" t="n"/>
      <c r="CL19" s="91" t="inlineStr"/>
      <c r="CM19" s="91">
        <f>SUM(CA19:CL19)</f>
        <v/>
      </c>
      <c r="CN19" s="91" t="n"/>
      <c r="CO19" s="91" t="n"/>
      <c r="CP19" s="91" t="n"/>
      <c r="CQ19" s="93" t="n"/>
      <c r="CR19" s="94" t="n"/>
      <c r="CS19" s="94" t="n"/>
      <c r="CT19" s="91" t="n"/>
      <c r="CU19" s="91" t="n"/>
      <c r="CV19" s="91" t="n"/>
      <c r="CW19" s="91" t="n"/>
      <c r="CX19" s="91" t="n"/>
      <c r="CY19" s="91" t="n"/>
      <c r="CZ19" s="91">
        <f>SUM(CN19:CY19)</f>
        <v/>
      </c>
      <c r="DA19" s="35" t="n"/>
    </row>
    <row r="20" ht="20" customFormat="1" customHeight="1" s="1">
      <c r="A20" s="30" t="n">
        <v>18</v>
      </c>
      <c r="B20" s="37" t="inlineStr">
        <is>
          <t>江苏</t>
        </is>
      </c>
      <c r="C20" s="37" t="inlineStr">
        <is>
          <t>张家港</t>
        </is>
      </c>
      <c r="D20" s="37" t="inlineStr">
        <is>
          <t>陈泽普</t>
        </is>
      </c>
      <c r="E20" s="89" t="n"/>
      <c r="F20" s="27" t="inlineStr">
        <is>
          <t>2021/2022/2023/2024</t>
        </is>
      </c>
      <c r="G20" s="27" t="inlineStr">
        <is>
          <t>4/6/7/8/9/12/2/3/4/12/2/3/4</t>
        </is>
      </c>
      <c r="H20" s="90">
        <f>167281+1870+114+320+648+516+1185+418+636+8799+5646+636+1020</f>
        <v/>
      </c>
      <c r="I20" s="91" t="n">
        <v>1664</v>
      </c>
      <c r="J20" s="91" t="n">
        <v>3650</v>
      </c>
      <c r="K20" s="91">
        <f>+H20+I20+J20</f>
        <v/>
      </c>
      <c r="L20" s="91" t="inlineStr">
        <is>
          <t>5折</t>
        </is>
      </c>
      <c r="M20" s="91" t="inlineStr"/>
      <c r="N20" s="91" t="n"/>
      <c r="O20" s="91" t="n"/>
      <c r="P20" s="91" t="n"/>
      <c r="Q20" s="91" t="n"/>
      <c r="R20" s="91" t="n"/>
      <c r="S20" s="91" t="n"/>
      <c r="T20" s="91" t="n"/>
      <c r="U20" s="91" t="n"/>
      <c r="V20" s="91" t="n"/>
      <c r="W20" s="91" t="n"/>
      <c r="X20" s="91" t="n"/>
      <c r="Y20" s="91" t="n"/>
      <c r="Z20" s="91" t="n"/>
      <c r="AA20" s="91" t="n"/>
      <c r="AB20" s="91" t="n"/>
      <c r="AC20" s="91" t="n"/>
      <c r="AD20" s="91" t="n"/>
      <c r="AE20" s="91" t="n"/>
      <c r="AF20" s="91" t="n"/>
      <c r="AG20" s="30" t="n">
        <v>9592</v>
      </c>
      <c r="AH20" s="30">
        <f>43100+2815</f>
        <v/>
      </c>
      <c r="AI20" s="30" t="n">
        <v>7704</v>
      </c>
      <c r="AJ20" s="30" t="n">
        <v>138</v>
      </c>
      <c r="AK20" s="30" t="n">
        <v>17914</v>
      </c>
      <c r="AL20" s="30">
        <f>69300+5209</f>
        <v/>
      </c>
      <c r="AM20" s="91">
        <f>SUM(AA20:AL20)</f>
        <v/>
      </c>
      <c r="AN20" s="91" t="n">
        <v>119380</v>
      </c>
      <c r="AO20" s="91" t="n">
        <v>483</v>
      </c>
      <c r="AP20" s="91" t="n">
        <v>35625</v>
      </c>
      <c r="AQ20" s="91" t="n">
        <v>10500</v>
      </c>
      <c r="AR20" s="91" t="n">
        <v>16521</v>
      </c>
      <c r="AS20" s="91" t="n">
        <v>48712</v>
      </c>
      <c r="AT20" s="31" t="n">
        <v>72978</v>
      </c>
      <c r="AU20" s="31">
        <f>109654+1666</f>
        <v/>
      </c>
      <c r="AV20" s="31" t="n">
        <v>70986</v>
      </c>
      <c r="AW20" s="36" t="n">
        <v>144549</v>
      </c>
      <c r="AX20" s="91" t="n">
        <v>37335</v>
      </c>
      <c r="AY20" s="31" t="n">
        <v>2590</v>
      </c>
      <c r="AZ20" s="92">
        <f>SUM(AN20:AY20)</f>
        <v/>
      </c>
      <c r="BA20" s="91" t="n"/>
      <c r="BB20" s="1">
        <f>69107+660</f>
        <v/>
      </c>
      <c r="BC20" s="91">
        <f>215803+543</f>
        <v/>
      </c>
      <c r="BD20" s="91">
        <f>47098+336</f>
        <v/>
      </c>
      <c r="BE20" s="91" t="n">
        <v>94064</v>
      </c>
      <c r="BF20" s="91" t="n">
        <v>102221</v>
      </c>
      <c r="BG20" s="91" t="n">
        <v>20371</v>
      </c>
      <c r="BH20" s="91" t="n">
        <v>1001</v>
      </c>
      <c r="BI20" s="91" t="n">
        <v>82154</v>
      </c>
      <c r="BJ20" s="91" t="n">
        <v>45062</v>
      </c>
      <c r="BK20" s="91" t="n">
        <v>64339</v>
      </c>
      <c r="BL20" s="91" t="n">
        <v>327</v>
      </c>
      <c r="BM20" s="91">
        <f>SUM(BA20:BL20)</f>
        <v/>
      </c>
      <c r="BN20" s="91" t="n">
        <v>6126</v>
      </c>
      <c r="BO20" s="91" t="n">
        <v>34770</v>
      </c>
      <c r="BP20" s="91" t="n">
        <v>82014</v>
      </c>
      <c r="BQ20" s="91" t="n"/>
      <c r="BR20" s="91" t="n">
        <v>68914</v>
      </c>
      <c r="BS20" s="91" t="n">
        <v>33308</v>
      </c>
      <c r="BT20" s="91" t="n">
        <v>140</v>
      </c>
      <c r="BU20" s="91" t="n">
        <v>24881.9</v>
      </c>
      <c r="BV20" s="91" t="n">
        <v>6868</v>
      </c>
      <c r="BW20" s="91" t="n">
        <v>113644.49</v>
      </c>
      <c r="BX20" s="91" t="n">
        <v>63986.14</v>
      </c>
      <c r="BY20" s="91" t="n">
        <v>37004.73</v>
      </c>
      <c r="BZ20" s="91">
        <f>SUM(BN20:BY20)</f>
        <v/>
      </c>
      <c r="CA20" s="91" t="n">
        <v>126</v>
      </c>
      <c r="CB20" s="91">
        <f>83+688</f>
        <v/>
      </c>
      <c r="CC20" s="91" t="n">
        <v>263</v>
      </c>
      <c r="CD20" s="91" t="n"/>
      <c r="CE20" s="91" t="n"/>
      <c r="CF20" s="91" t="n"/>
      <c r="CG20" s="91" t="n"/>
      <c r="CH20" s="91" t="inlineStr"/>
      <c r="CI20" s="91" t="n">
        <v>195</v>
      </c>
      <c r="CJ20" s="91" t="inlineStr"/>
      <c r="CK20" s="91" t="n"/>
      <c r="CL20" s="91" t="inlineStr"/>
      <c r="CM20" s="91">
        <f>SUM(CA20:CL20)</f>
        <v/>
      </c>
      <c r="CN20" s="91" t="n"/>
      <c r="CO20" s="91" t="n"/>
      <c r="CP20" s="91" t="n"/>
      <c r="CQ20" s="93" t="n"/>
      <c r="CR20" s="94" t="n"/>
      <c r="CS20" s="94" t="n"/>
      <c r="CT20" s="91" t="n"/>
      <c r="CU20" s="91" t="n"/>
      <c r="CV20" s="91" t="n"/>
      <c r="CW20" s="91" t="n"/>
      <c r="CX20" s="91" t="n"/>
      <c r="CY20" s="91" t="n"/>
      <c r="CZ20" s="91">
        <f>SUM(CN20:CY20)</f>
        <v/>
      </c>
      <c r="DA20" s="35" t="n"/>
    </row>
    <row r="21" ht="20" customFormat="1" customHeight="1" s="1">
      <c r="A21" s="30" t="n">
        <v>19</v>
      </c>
      <c r="B21" s="37" t="inlineStr">
        <is>
          <t>宁夏</t>
        </is>
      </c>
      <c r="C21" s="37" t="inlineStr">
        <is>
          <t>银川</t>
        </is>
      </c>
      <c r="D21" s="37" t="inlineStr">
        <is>
          <t>李莲</t>
        </is>
      </c>
      <c r="E21" s="89" t="n"/>
      <c r="F21" s="27" t="inlineStr">
        <is>
          <t>2022</t>
        </is>
      </c>
      <c r="G21" s="27" t="inlineStr">
        <is>
          <t>1/3/4/12</t>
        </is>
      </c>
      <c r="H21" s="90">
        <f>114434+3303+1445+140+756</f>
        <v/>
      </c>
      <c r="I21" s="91" t="n"/>
      <c r="J21" s="91" t="n">
        <v>3365</v>
      </c>
      <c r="K21" s="91">
        <f>+H21+I21+J21</f>
        <v/>
      </c>
      <c r="L21" s="91" t="inlineStr">
        <is>
          <t>5折</t>
        </is>
      </c>
      <c r="M21" s="91" t="inlineStr"/>
      <c r="N21" s="91" t="n"/>
      <c r="O21" s="91" t="n"/>
      <c r="P21" s="91" t="n"/>
      <c r="Q21" s="91" t="n"/>
      <c r="R21" s="91" t="n"/>
      <c r="S21" s="91" t="n"/>
      <c r="T21" s="91" t="n"/>
      <c r="U21" s="91" t="n"/>
      <c r="V21" s="91" t="n"/>
      <c r="W21" s="91" t="n"/>
      <c r="X21" s="91" t="n"/>
      <c r="Y21" s="91" t="n"/>
      <c r="Z21" s="91" t="n"/>
      <c r="AA21" s="91" t="n"/>
      <c r="AB21" s="91" t="n"/>
      <c r="AC21" s="91" t="n"/>
      <c r="AD21" s="91" t="n"/>
      <c r="AE21" s="91" t="n"/>
      <c r="AF21" s="91" t="n"/>
      <c r="AG21" s="30" t="n"/>
      <c r="AH21" s="30" t="n"/>
      <c r="AI21" s="30" t="n"/>
      <c r="AJ21" s="30" t="n"/>
      <c r="AK21" s="30" t="n"/>
      <c r="AL21" s="30" t="n"/>
      <c r="AM21" s="91" t="n"/>
      <c r="AN21" s="91" t="n"/>
      <c r="AO21" s="91" t="n"/>
      <c r="AP21" s="91" t="n"/>
      <c r="AQ21" s="91" t="n"/>
      <c r="AR21" s="91" t="n">
        <v>45604</v>
      </c>
      <c r="AS21" s="91" t="n">
        <v>96471</v>
      </c>
      <c r="AT21" s="31" t="n">
        <v>59237</v>
      </c>
      <c r="AU21" s="31" t="n">
        <v>143121</v>
      </c>
      <c r="AV21" s="31" t="n">
        <v>201002</v>
      </c>
      <c r="AW21" s="36" t="n">
        <v>50218</v>
      </c>
      <c r="AX21" s="91" t="n">
        <v>88171</v>
      </c>
      <c r="AY21" s="31" t="n">
        <v>127369</v>
      </c>
      <c r="AZ21" s="92">
        <f>SUM(AN21:AY21)</f>
        <v/>
      </c>
      <c r="BA21" s="91" t="n"/>
      <c r="BB21" s="30" t="n">
        <v>120422</v>
      </c>
      <c r="BC21" s="91" t="n">
        <v>110349</v>
      </c>
      <c r="BD21" s="91" t="n">
        <v>52703</v>
      </c>
      <c r="BE21" s="91" t="n">
        <v>5702</v>
      </c>
      <c r="BF21" s="91" t="n">
        <v>335965</v>
      </c>
      <c r="BG21" s="91" t="n">
        <v>34469</v>
      </c>
      <c r="BH21" s="91" t="n">
        <v>143523</v>
      </c>
      <c r="BI21" s="91" t="n">
        <v>81081</v>
      </c>
      <c r="BJ21" s="91" t="n">
        <v>50497</v>
      </c>
      <c r="BK21" s="91" t="n">
        <v>61577</v>
      </c>
      <c r="BL21" s="91" t="n">
        <v>147170</v>
      </c>
      <c r="BM21" s="91">
        <f>SUM(BA21:BL21)</f>
        <v/>
      </c>
      <c r="BN21" s="91" t="n">
        <v>6880</v>
      </c>
      <c r="BO21" s="91" t="n">
        <v>85</v>
      </c>
      <c r="BP21" s="91" t="n">
        <v>31849</v>
      </c>
      <c r="BQ21" s="91" t="n">
        <v>2785</v>
      </c>
      <c r="BR21" s="91" t="n">
        <v>12338</v>
      </c>
      <c r="BS21" s="91" t="inlineStr"/>
      <c r="BT21" s="91" t="n"/>
      <c r="BU21" s="91" t="n"/>
      <c r="BV21" s="91" t="inlineStr"/>
      <c r="BW21" s="91" t="inlineStr"/>
      <c r="BX21" s="91" t="n"/>
      <c r="BY21" s="91" t="n"/>
      <c r="BZ21" s="91">
        <f>SUM(BN21:BY21)</f>
        <v/>
      </c>
      <c r="CA21" s="91" t="inlineStr"/>
      <c r="CB21" s="91" t="inlineStr"/>
      <c r="CC21" s="91" t="inlineStr"/>
      <c r="CD21" s="91" t="n"/>
      <c r="CE21" s="91" t="n"/>
      <c r="CF21" s="91" t="n"/>
      <c r="CG21" s="91" t="n"/>
      <c r="CH21" s="91" t="inlineStr"/>
      <c r="CI21" s="91" t="n"/>
      <c r="CJ21" s="91" t="inlineStr"/>
      <c r="CK21" s="91" t="n"/>
      <c r="CL21" s="91" t="inlineStr"/>
      <c r="CM21" s="91">
        <f>SUM(CA21:CL21)</f>
        <v/>
      </c>
      <c r="CN21" s="91" t="n"/>
      <c r="CO21" s="91" t="n"/>
      <c r="CP21" s="91" t="n"/>
      <c r="CQ21" s="93" t="n"/>
      <c r="CR21" s="94" t="n"/>
      <c r="CS21" s="94" t="n"/>
      <c r="CT21" s="91" t="n"/>
      <c r="CU21" s="91" t="n"/>
      <c r="CV21" s="91" t="n"/>
      <c r="CW21" s="91" t="n"/>
      <c r="CX21" s="91" t="n"/>
      <c r="CY21" s="91" t="n"/>
      <c r="CZ21" s="91">
        <f>SUM(CN21:CY21)</f>
        <v/>
      </c>
      <c r="DA21" s="35" t="n"/>
    </row>
    <row r="22" ht="20" customFormat="1" customHeight="1" s="1">
      <c r="A22" s="30" t="n">
        <v>20</v>
      </c>
      <c r="B22" s="37" t="inlineStr">
        <is>
          <t>新疆</t>
        </is>
      </c>
      <c r="C22" s="37" t="inlineStr">
        <is>
          <t>石河子</t>
        </is>
      </c>
      <c r="D22" s="37" t="inlineStr">
        <is>
          <t>韩彦平</t>
        </is>
      </c>
      <c r="E22" s="89" t="n"/>
      <c r="F22" s="27" t="inlineStr">
        <is>
          <t>2021/2022/2023/2024/2025</t>
        </is>
      </c>
      <c r="G22" s="27" t="inlineStr">
        <is>
          <t>7/8/9/10/11/2/3/5/7/12/2/8/10/12/3</t>
        </is>
      </c>
      <c r="H22" s="90">
        <f>140538+27447+79+648+3245+2257+244+986+24771+783+2373+1970+7449+72+37969+5979+210+539</f>
        <v/>
      </c>
      <c r="I22" s="91" t="n">
        <v>2139</v>
      </c>
      <c r="J22" s="91" t="n">
        <v>14464</v>
      </c>
      <c r="K22" s="91">
        <f>+H22+I22+J22</f>
        <v/>
      </c>
      <c r="L22" s="91" t="inlineStr">
        <is>
          <t>5折</t>
        </is>
      </c>
      <c r="M22" s="91" t="inlineStr"/>
      <c r="N22" s="91" t="n"/>
      <c r="O22" s="91" t="n"/>
      <c r="P22" s="91" t="n"/>
      <c r="Q22" s="91" t="n"/>
      <c r="R22" s="91" t="n"/>
      <c r="S22" s="91" t="n"/>
      <c r="T22" s="91" t="n"/>
      <c r="U22" s="91" t="n"/>
      <c r="V22" s="91" t="n"/>
      <c r="W22" s="91" t="n"/>
      <c r="X22" s="91" t="n"/>
      <c r="Y22" s="91" t="n"/>
      <c r="Z22" s="91" t="n"/>
      <c r="AA22" s="91" t="n"/>
      <c r="AB22" s="91" t="n"/>
      <c r="AC22" s="91" t="n"/>
      <c r="AD22" s="91" t="n"/>
      <c r="AE22" s="91" t="n"/>
      <c r="AF22" s="91" t="n"/>
      <c r="AG22" s="91" t="n"/>
      <c r="AH22" s="91" t="n"/>
      <c r="AI22" s="91" t="n">
        <v>14438</v>
      </c>
      <c r="AJ22" s="91" t="n">
        <v>44251</v>
      </c>
      <c r="AK22" s="91" t="n">
        <v>120262</v>
      </c>
      <c r="AL22" s="91" t="n">
        <v>22942</v>
      </c>
      <c r="AM22" s="91">
        <f>SUM(AA22:AL22)</f>
        <v/>
      </c>
      <c r="AN22" s="91" t="n">
        <v>56475</v>
      </c>
      <c r="AO22" s="91" t="n">
        <v>6437</v>
      </c>
      <c r="AP22" s="91" t="n">
        <v>198260</v>
      </c>
      <c r="AQ22" s="91" t="n">
        <v>35461</v>
      </c>
      <c r="AR22" s="91" t="n">
        <v>160787</v>
      </c>
      <c r="AS22" s="91">
        <f>18941+57260</f>
        <v/>
      </c>
      <c r="AT22" s="31" t="n">
        <v>11358</v>
      </c>
      <c r="AU22" s="31" t="n">
        <v>22668</v>
      </c>
      <c r="AV22" s="31" t="n"/>
      <c r="AW22" s="36" t="n"/>
      <c r="AX22" s="91" t="n"/>
      <c r="AY22" s="31" t="n">
        <v>52</v>
      </c>
      <c r="AZ22" s="92">
        <f>SUM(AN22:AY22)</f>
        <v/>
      </c>
      <c r="BA22" s="91" t="n"/>
      <c r="BB22" s="30" t="n">
        <v>606</v>
      </c>
      <c r="BC22" s="91" t="n">
        <v>23092</v>
      </c>
      <c r="BD22" s="91" t="n">
        <v>28607</v>
      </c>
      <c r="BE22" s="91" t="n">
        <v>28487</v>
      </c>
      <c r="BF22" s="91" t="n">
        <v>53410</v>
      </c>
      <c r="BG22" s="91" t="n">
        <v>38982</v>
      </c>
      <c r="BH22" s="91" t="n">
        <v>50212</v>
      </c>
      <c r="BI22" s="91" t="n">
        <v>8544</v>
      </c>
      <c r="BJ22" s="91" t="n">
        <v>93254</v>
      </c>
      <c r="BK22" s="91" t="n">
        <v>19836</v>
      </c>
      <c r="BL22" s="91" t="n">
        <v>41751</v>
      </c>
      <c r="BM22" s="91">
        <f>SUM(BA22:BL22)</f>
        <v/>
      </c>
      <c r="BN22" s="31">
        <f>4906+4535</f>
        <v/>
      </c>
      <c r="BO22" s="31" t="n">
        <v>34481</v>
      </c>
      <c r="BP22" s="31">
        <f>132402+24988</f>
        <v/>
      </c>
      <c r="BQ22" s="31">
        <f>34911+1141</f>
        <v/>
      </c>
      <c r="BR22" s="31">
        <f>48559+396</f>
        <v/>
      </c>
      <c r="BS22" s="31" t="n">
        <v>11824</v>
      </c>
      <c r="BT22" s="91" t="n">
        <v>71181</v>
      </c>
      <c r="BU22" s="91" t="n">
        <v>105761</v>
      </c>
      <c r="BV22" s="91" t="n">
        <v>31805.62</v>
      </c>
      <c r="BW22" s="91" t="n">
        <v>59925.41</v>
      </c>
      <c r="BX22" s="91" t="n">
        <v>120387.58</v>
      </c>
      <c r="BY22" s="91" t="n">
        <v>80027.02</v>
      </c>
      <c r="BZ22" s="91">
        <f>SUM(BN22:BY22)</f>
        <v/>
      </c>
      <c r="CA22" s="91" t="n">
        <v>3944</v>
      </c>
      <c r="CB22" s="91">
        <f>21556.23+3304</f>
        <v/>
      </c>
      <c r="CC22" s="91" t="n">
        <v>71337.71000000001</v>
      </c>
      <c r="CD22" s="91" t="n">
        <v>43805.81</v>
      </c>
      <c r="CE22" s="91" t="n">
        <v>77215.25999999999</v>
      </c>
      <c r="CF22" s="91" t="n">
        <v>117220.27</v>
      </c>
      <c r="CG22" s="91" t="n">
        <v>64023.51</v>
      </c>
      <c r="CH22" s="91" t="n">
        <v>49509.6</v>
      </c>
      <c r="CI22" s="91" t="n">
        <v>72769.60000000001</v>
      </c>
      <c r="CJ22" s="91" t="n">
        <v>23701.88</v>
      </c>
      <c r="CK22" s="91" t="n">
        <v>42416.24</v>
      </c>
      <c r="CL22" s="91" t="n">
        <v>7174.02</v>
      </c>
      <c r="CM22" s="91">
        <f>SUM(CA22:CL22)</f>
        <v/>
      </c>
      <c r="CN22" s="91" t="n"/>
      <c r="CO22" s="91" t="n"/>
      <c r="CP22" s="91" t="n"/>
      <c r="CQ22" s="93" t="n"/>
      <c r="CR22" s="94" t="n"/>
      <c r="CS22" s="94" t="n"/>
      <c r="CT22" s="91" t="n"/>
      <c r="CU22" s="91" t="n"/>
      <c r="CV22" s="91" t="n"/>
      <c r="CW22" s="91" t="n"/>
      <c r="CX22" s="91" t="n"/>
      <c r="CY22" s="91" t="n"/>
      <c r="CZ22" s="91">
        <f>SUM(CN22:CY22)</f>
        <v/>
      </c>
      <c r="DA22" s="35" t="n"/>
    </row>
    <row r="23" ht="20" customFormat="1" customHeight="1" s="2">
      <c r="A23" s="30" t="n">
        <v>21</v>
      </c>
      <c r="B23" s="37" t="inlineStr">
        <is>
          <t>河南</t>
        </is>
      </c>
      <c r="C23" s="37" t="inlineStr">
        <is>
          <t>固始</t>
        </is>
      </c>
      <c r="D23" s="37" t="inlineStr">
        <is>
          <t>杨宽超</t>
        </is>
      </c>
      <c r="E23" s="89" t="n"/>
      <c r="F23" s="27" t="inlineStr">
        <is>
          <t>2022/2024/2025</t>
        </is>
      </c>
      <c r="G23" s="27" t="inlineStr">
        <is>
          <t>3/4/5/8/12/7/10/4/11</t>
        </is>
      </c>
      <c r="H23" s="90">
        <f>170629+5580+1517+25+651+1399+18025+72+834+938+16606.39+725</f>
        <v/>
      </c>
      <c r="I23" s="91" t="n">
        <v>5260</v>
      </c>
      <c r="J23" s="91">
        <f>6844+789</f>
        <v/>
      </c>
      <c r="K23" s="91">
        <f>+H23+I23+J23</f>
        <v/>
      </c>
      <c r="L23" s="91" t="inlineStr">
        <is>
          <t>5折/8.5折</t>
        </is>
      </c>
      <c r="M23" s="91" t="inlineStr"/>
      <c r="N23" s="91" t="n"/>
      <c r="O23" s="91" t="n"/>
      <c r="P23" s="91" t="n"/>
      <c r="Q23" s="91" t="n"/>
      <c r="R23" s="91" t="n"/>
      <c r="S23" s="91" t="n"/>
      <c r="T23" s="91" t="n"/>
      <c r="U23" s="91" t="n"/>
      <c r="V23" s="91" t="n"/>
      <c r="W23" s="91" t="n"/>
      <c r="X23" s="91" t="n"/>
      <c r="Y23" s="91" t="n"/>
      <c r="Z23" s="91" t="n"/>
      <c r="AA23" s="91" t="n"/>
      <c r="AB23" s="91" t="n"/>
      <c r="AC23" s="91" t="n"/>
      <c r="AD23" s="91" t="n"/>
      <c r="AE23" s="91" t="n"/>
      <c r="AF23" s="91" t="n"/>
      <c r="AG23" s="30" t="n"/>
      <c r="AH23" s="30" t="n"/>
      <c r="AI23" s="30" t="n"/>
      <c r="AJ23" s="30" t="n"/>
      <c r="AK23" s="30" t="n"/>
      <c r="AL23" s="30" t="n"/>
      <c r="AM23" s="91" t="n"/>
      <c r="AN23" s="91" t="n"/>
      <c r="AO23" s="91" t="n"/>
      <c r="AP23" s="91" t="n"/>
      <c r="AQ23" s="91" t="n">
        <v>12038</v>
      </c>
      <c r="AR23" s="91" t="n">
        <v>30643</v>
      </c>
      <c r="AS23" s="91" t="n">
        <v>63428</v>
      </c>
      <c r="AT23" s="31" t="n">
        <v>113663</v>
      </c>
      <c r="AU23" s="31">
        <f>109622+6774</f>
        <v/>
      </c>
      <c r="AV23" s="31" t="n">
        <v>83524</v>
      </c>
      <c r="AW23" s="36" t="n">
        <v>102462</v>
      </c>
      <c r="AX23" s="91" t="n">
        <v>17085</v>
      </c>
      <c r="AY23" s="31" t="n">
        <v>428</v>
      </c>
      <c r="AZ23" s="92">
        <f>SUM(AN23:AY23)</f>
        <v/>
      </c>
      <c r="BA23" s="91" t="n"/>
      <c r="BB23" s="30">
        <f>46571+5663</f>
        <v/>
      </c>
      <c r="BC23" s="30" t="n">
        <v>7281</v>
      </c>
      <c r="BD23" s="91">
        <f>106443+10052</f>
        <v/>
      </c>
      <c r="BE23" s="91" t="n">
        <v>127068</v>
      </c>
      <c r="BF23" s="91" t="n">
        <v>107654</v>
      </c>
      <c r="BG23" s="91" t="n">
        <v>57807</v>
      </c>
      <c r="BH23" s="91" t="n">
        <v>132774</v>
      </c>
      <c r="BI23" s="91" t="n">
        <v>68684</v>
      </c>
      <c r="BJ23" s="91" t="n">
        <v>71862</v>
      </c>
      <c r="BK23" s="91" t="n">
        <v>110068</v>
      </c>
      <c r="BL23" s="91" t="n">
        <v>128642</v>
      </c>
      <c r="BM23" s="91">
        <f>SUM(BA23:BL23)</f>
        <v/>
      </c>
      <c r="BN23" s="91" t="n">
        <v>1385</v>
      </c>
      <c r="BO23" s="91" t="n"/>
      <c r="BP23" s="91" t="n">
        <v>11714</v>
      </c>
      <c r="BQ23" s="91" t="n">
        <v>71376</v>
      </c>
      <c r="BR23" s="91" t="n">
        <v>109694</v>
      </c>
      <c r="BS23" s="91" t="n">
        <v>92079</v>
      </c>
      <c r="BT23" s="91" t="n">
        <v>49655</v>
      </c>
      <c r="BU23" s="91" t="n">
        <v>68760.03999999999</v>
      </c>
      <c r="BV23" s="91" t="n">
        <v>41961.88</v>
      </c>
      <c r="BW23" s="91" t="n">
        <v>5468</v>
      </c>
      <c r="BX23" s="91" t="n">
        <v>3394</v>
      </c>
      <c r="BY23" s="91" t="n">
        <v>1470</v>
      </c>
      <c r="BZ23" s="91">
        <f>SUM(BN23:BY23)</f>
        <v/>
      </c>
      <c r="CA23" s="91" t="inlineStr"/>
      <c r="CB23" s="91" t="n">
        <v>40710</v>
      </c>
      <c r="CC23" s="91" t="n">
        <v>5624</v>
      </c>
      <c r="CD23" s="91" t="n">
        <v>1315</v>
      </c>
      <c r="CE23" s="91" t="n">
        <v>1819</v>
      </c>
      <c r="CF23" s="91" t="n"/>
      <c r="CG23" s="91" t="n">
        <v>34260.4</v>
      </c>
      <c r="CH23" s="91" t="n">
        <v>3581.75</v>
      </c>
      <c r="CI23" s="91" t="n">
        <v>29006.91</v>
      </c>
      <c r="CJ23" s="91" t="n">
        <v>3468</v>
      </c>
      <c r="CK23" s="91" t="n">
        <v>7002</v>
      </c>
      <c r="CL23" s="91" t="n">
        <v>3057</v>
      </c>
      <c r="CM23" s="91">
        <f>SUM(CA23:CL23)</f>
        <v/>
      </c>
      <c r="CN23" s="91" t="n"/>
      <c r="CO23" s="91" t="n"/>
      <c r="CP23" s="91" t="n"/>
      <c r="CQ23" s="93" t="n"/>
      <c r="CR23" s="94" t="n"/>
      <c r="CS23" s="94" t="n"/>
      <c r="CT23" s="91" t="n"/>
      <c r="CU23" s="91" t="n"/>
      <c r="CV23" s="91" t="n"/>
      <c r="CW23" s="91" t="n"/>
      <c r="CX23" s="91" t="n"/>
      <c r="CY23" s="91" t="n"/>
      <c r="CZ23" s="91">
        <f>SUM(CN23:CY23)</f>
        <v/>
      </c>
      <c r="DA23" s="35" t="n"/>
    </row>
    <row r="24" ht="20" customFormat="1" customHeight="1" s="1">
      <c r="A24" s="30" t="n">
        <v>22</v>
      </c>
      <c r="B24" s="25" t="inlineStr">
        <is>
          <t>四川</t>
        </is>
      </c>
      <c r="C24" s="25" t="inlineStr">
        <is>
          <t>简阳</t>
        </is>
      </c>
      <c r="D24" s="25" t="inlineStr">
        <is>
          <t>晋军</t>
        </is>
      </c>
      <c r="E24" s="89" t="n"/>
      <c r="F24" s="27" t="inlineStr">
        <is>
          <t>2019/2021/2022/2023/2024/2025</t>
        </is>
      </c>
      <c r="G24" s="27" t="inlineStr">
        <is>
          <t>11/11/3/4/5/12/8/3/4/11/2/3</t>
        </is>
      </c>
      <c r="H24" s="90">
        <f>87095+1564+328+279+10937+122+651+157+572+37137+1675+252+2221+21+537</f>
        <v/>
      </c>
      <c r="I24" s="91">
        <f>6149+60+180+6818</f>
        <v/>
      </c>
      <c r="J24" s="91" t="n">
        <v>8764</v>
      </c>
      <c r="K24" s="91">
        <f>+H24+I24+J24</f>
        <v/>
      </c>
      <c r="L24" s="91" t="inlineStr">
        <is>
          <t>5折</t>
        </is>
      </c>
      <c r="M24" s="91" t="inlineStr"/>
      <c r="N24" s="91" t="n"/>
      <c r="O24" s="91" t="n"/>
      <c r="P24" s="91" t="n"/>
      <c r="Q24" s="91" t="n"/>
      <c r="R24" s="91" t="n"/>
      <c r="S24" s="91" t="n"/>
      <c r="T24" s="91" t="n"/>
      <c r="U24" s="91" t="n"/>
      <c r="V24" s="91" t="n"/>
      <c r="W24" s="91" t="n"/>
      <c r="X24" s="91" t="n"/>
      <c r="Y24" s="91" t="n"/>
      <c r="Z24" s="91" t="n"/>
      <c r="AA24" s="91" t="n">
        <v>21201</v>
      </c>
      <c r="AB24" s="91" t="n">
        <v>212</v>
      </c>
      <c r="AC24" s="91" t="n">
        <v>113302</v>
      </c>
      <c r="AD24" s="91">
        <f>51247+4165</f>
        <v/>
      </c>
      <c r="AE24" s="91">
        <f>71158+14289+684</f>
        <v/>
      </c>
      <c r="AF24" s="42" t="n">
        <v>91606</v>
      </c>
      <c r="AG24" s="30" t="n">
        <v>111366</v>
      </c>
      <c r="AH24" s="30">
        <f>51280+3873+2198</f>
        <v/>
      </c>
      <c r="AI24" s="30" t="n">
        <v>167366</v>
      </c>
      <c r="AJ24" s="30" t="n">
        <v>14589</v>
      </c>
      <c r="AK24" s="30" t="n">
        <v>101270</v>
      </c>
      <c r="AL24" s="30">
        <f>52372+2510</f>
        <v/>
      </c>
      <c r="AM24" s="91">
        <f>SUM(AA24:AL24)</f>
        <v/>
      </c>
      <c r="AN24" s="91" t="n">
        <v>932</v>
      </c>
      <c r="AO24" s="91">
        <f>17952+80</f>
        <v/>
      </c>
      <c r="AP24" s="91" t="n">
        <v>55339</v>
      </c>
      <c r="AQ24" s="91" t="n">
        <v>64687</v>
      </c>
      <c r="AR24" s="91" t="n">
        <v>2684</v>
      </c>
      <c r="AS24" s="91" t="n">
        <v>95423</v>
      </c>
      <c r="AT24" s="31" t="n">
        <v>84670</v>
      </c>
      <c r="AU24" s="31">
        <f>98080+341</f>
        <v/>
      </c>
      <c r="AV24" s="31" t="n">
        <v>31275</v>
      </c>
      <c r="AW24" s="36" t="n">
        <v>60357</v>
      </c>
      <c r="AX24" s="91" t="n">
        <v>63944</v>
      </c>
      <c r="AY24" s="31" t="n">
        <v>10050</v>
      </c>
      <c r="AZ24" s="92">
        <f>SUM(AN24:AY24)</f>
        <v/>
      </c>
      <c r="BA24" s="91" t="n">
        <v>524</v>
      </c>
      <c r="BB24" s="83">
        <f>200+33343+598</f>
        <v/>
      </c>
      <c r="BC24" s="91" t="n">
        <v>100180</v>
      </c>
      <c r="BD24" s="91" t="n">
        <v>3590</v>
      </c>
      <c r="BE24" s="91" t="n">
        <v>42210</v>
      </c>
      <c r="BF24" s="91" t="n">
        <v>125217</v>
      </c>
      <c r="BG24" s="91" t="n">
        <v>161240</v>
      </c>
      <c r="BH24" s="91" t="n">
        <v>1443</v>
      </c>
      <c r="BI24" s="91" t="n">
        <v>93312</v>
      </c>
      <c r="BJ24" s="91" t="n">
        <v>2434</v>
      </c>
      <c r="BK24" s="91" t="n">
        <v>16125</v>
      </c>
      <c r="BL24" s="91" t="n">
        <v>45112</v>
      </c>
      <c r="BM24" s="91">
        <f>SUM(BA24:BL24)</f>
        <v/>
      </c>
      <c r="BN24" s="91" t="n">
        <v>2505</v>
      </c>
      <c r="BO24" s="91" t="n">
        <v>2853</v>
      </c>
      <c r="BP24" s="91" t="n">
        <v>58879</v>
      </c>
      <c r="BQ24" s="91" t="n">
        <v>3283</v>
      </c>
      <c r="BR24" s="91" t="n">
        <v>72620</v>
      </c>
      <c r="BS24" s="91" t="n">
        <v>2680</v>
      </c>
      <c r="BT24" s="91">
        <f>6707+24434.82</f>
        <v/>
      </c>
      <c r="BU24" s="91" t="n">
        <v>2077</v>
      </c>
      <c r="BV24" s="91" t="n">
        <v>77867.09</v>
      </c>
      <c r="BW24" s="91" t="n">
        <v>51337.71</v>
      </c>
      <c r="BX24" s="91" t="n">
        <v>42136.4</v>
      </c>
      <c r="BY24" s="91" t="n">
        <v>2732</v>
      </c>
      <c r="BZ24" s="91">
        <f>SUM(BN24:BY24)</f>
        <v/>
      </c>
      <c r="CA24" s="91" t="n">
        <v>375</v>
      </c>
      <c r="CB24" s="91" t="n">
        <v>848</v>
      </c>
      <c r="CC24" s="91" t="n">
        <v>35244.8</v>
      </c>
      <c r="CD24" s="91" t="n">
        <v>3114</v>
      </c>
      <c r="CE24" s="91" t="n">
        <v>25680.05</v>
      </c>
      <c r="CF24" s="91" t="n">
        <v>58</v>
      </c>
      <c r="CG24" s="91" t="n"/>
      <c r="CH24" s="91" t="n">
        <v>4217.59</v>
      </c>
      <c r="CI24" s="91" t="n">
        <v>22334.92</v>
      </c>
      <c r="CJ24" s="91" t="inlineStr"/>
      <c r="CK24" s="91" t="n">
        <v>58</v>
      </c>
      <c r="CL24" s="91" t="n">
        <v>8749.35</v>
      </c>
      <c r="CM24" s="91">
        <f>SUM(CA24:CL24)</f>
        <v/>
      </c>
      <c r="CN24" s="91" t="n"/>
      <c r="CO24" s="91" t="n"/>
      <c r="CP24" s="91" t="n"/>
      <c r="CQ24" s="93" t="n"/>
      <c r="CR24" s="94" t="n"/>
      <c r="CS24" s="94" t="n"/>
      <c r="CT24" s="91" t="n"/>
      <c r="CU24" s="91" t="n"/>
      <c r="CV24" s="91" t="n"/>
      <c r="CW24" s="91" t="n"/>
      <c r="CX24" s="91" t="n"/>
      <c r="CY24" s="91" t="n"/>
      <c r="CZ24" s="91">
        <f>SUM(CN24:CY24)</f>
        <v/>
      </c>
      <c r="DA24" s="35" t="n"/>
    </row>
    <row r="25" ht="20" customFormat="1" customHeight="1" s="2">
      <c r="A25" s="30" t="n">
        <v>23</v>
      </c>
      <c r="B25" s="37" t="inlineStr">
        <is>
          <t>四川</t>
        </is>
      </c>
      <c r="C25" s="37" t="inlineStr">
        <is>
          <t>仁寿</t>
        </is>
      </c>
      <c r="D25" s="37" t="inlineStr">
        <is>
          <t>姜燕</t>
        </is>
      </c>
      <c r="E25" s="89" t="n"/>
      <c r="F25" s="27" t="inlineStr">
        <is>
          <t>2021/2022/2023</t>
        </is>
      </c>
      <c r="G25" s="27" t="inlineStr">
        <is>
          <t>10/11/3/4/12/8</t>
        </is>
      </c>
      <c r="H25" s="90">
        <f>109247+3530+279+2924+1740+651+31478+333</f>
        <v/>
      </c>
      <c r="I25" s="91" t="n">
        <v>3696</v>
      </c>
      <c r="J25" s="91" t="n">
        <v>3475</v>
      </c>
      <c r="K25" s="91">
        <f>+H25+I25+J25</f>
        <v/>
      </c>
      <c r="L25" s="91" t="inlineStr">
        <is>
          <t>5折</t>
        </is>
      </c>
      <c r="M25" s="91" t="inlineStr"/>
      <c r="N25" s="91" t="n"/>
      <c r="O25" s="91" t="n"/>
      <c r="P25" s="91" t="n"/>
      <c r="Q25" s="91" t="n"/>
      <c r="R25" s="91" t="n"/>
      <c r="S25" s="91" t="n"/>
      <c r="T25" s="91" t="n"/>
      <c r="U25" s="91" t="n"/>
      <c r="V25" s="91" t="n"/>
      <c r="W25" s="91" t="n"/>
      <c r="X25" s="91" t="n"/>
      <c r="Y25" s="91" t="n"/>
      <c r="Z25" s="91" t="n"/>
      <c r="AA25" s="91" t="n"/>
      <c r="AB25" s="91" t="n"/>
      <c r="AC25" s="91" t="n"/>
      <c r="AD25" s="91" t="n"/>
      <c r="AE25" s="91" t="n"/>
      <c r="AF25" s="91" t="n"/>
      <c r="AG25" s="30" t="n"/>
      <c r="AH25" s="30" t="n"/>
      <c r="AI25" s="30" t="n"/>
      <c r="AJ25" s="30" t="n"/>
      <c r="AK25" s="30" t="n"/>
      <c r="AL25" s="30" t="n"/>
      <c r="AM25" s="91" t="n"/>
      <c r="AN25" s="91" t="n"/>
      <c r="AO25" s="91">
        <f>7253+3318</f>
        <v/>
      </c>
      <c r="AP25" s="91">
        <f>60528+3438</f>
        <v/>
      </c>
      <c r="AQ25" s="91" t="n">
        <v>36340</v>
      </c>
      <c r="AR25" s="91" t="n">
        <v>68993</v>
      </c>
      <c r="AS25" s="91" t="n">
        <v>25497</v>
      </c>
      <c r="AT25" s="31" t="n">
        <v>28984</v>
      </c>
      <c r="AU25" s="31">
        <f>148571+574</f>
        <v/>
      </c>
      <c r="AV25" s="31" t="n">
        <v>34342</v>
      </c>
      <c r="AW25" s="36" t="n">
        <v>77798</v>
      </c>
      <c r="AX25" s="91" t="n">
        <v>38059</v>
      </c>
      <c r="AY25" s="31" t="n">
        <v>27742</v>
      </c>
      <c r="AZ25" s="92">
        <f>SUM(AN25:AY25)</f>
        <v/>
      </c>
      <c r="BA25" s="91" t="n"/>
      <c r="BB25" s="30" t="n">
        <v>31648</v>
      </c>
      <c r="BC25" s="91" t="n">
        <v>36647</v>
      </c>
      <c r="BD25" s="91" t="n">
        <v>36484</v>
      </c>
      <c r="BE25" s="91" t="n">
        <v>33947</v>
      </c>
      <c r="BF25" s="91" t="n">
        <v>18913</v>
      </c>
      <c r="BG25" s="91" t="n">
        <v>67832</v>
      </c>
      <c r="BH25" s="91" t="n">
        <v>36764</v>
      </c>
      <c r="BI25" s="91" t="n">
        <v>2678</v>
      </c>
      <c r="BJ25" s="91" t="n">
        <v>415</v>
      </c>
      <c r="BK25" s="91" t="n">
        <v>50308</v>
      </c>
      <c r="BL25" s="91" t="n">
        <v>26789</v>
      </c>
      <c r="BM25" s="91">
        <f>SUM(BA25:BL25)</f>
        <v/>
      </c>
      <c r="BN25" s="91" t="n"/>
      <c r="BO25" s="91" t="n"/>
      <c r="BP25" s="91" t="n">
        <v>27327</v>
      </c>
      <c r="BQ25" s="91" t="n">
        <v>100026</v>
      </c>
      <c r="BR25" s="91" t="n">
        <v>563</v>
      </c>
      <c r="BS25" s="91" t="n">
        <v>11455</v>
      </c>
      <c r="BT25" s="91" t="n">
        <v>16548</v>
      </c>
      <c r="BU25" s="91" t="n">
        <v>32.82</v>
      </c>
      <c r="BV25" s="91" t="n">
        <v>16</v>
      </c>
      <c r="BW25" s="91" t="n">
        <v>50</v>
      </c>
      <c r="BX25" s="91" t="n"/>
      <c r="BY25" s="91" t="n"/>
      <c r="BZ25" s="91">
        <f>SUM(BN25:BY25)</f>
        <v/>
      </c>
      <c r="CA25" s="91" t="inlineStr"/>
      <c r="CB25" s="91" t="inlineStr"/>
      <c r="CC25" s="91" t="inlineStr"/>
      <c r="CD25" s="91" t="n"/>
      <c r="CE25" s="91" t="n"/>
      <c r="CF25" s="91" t="n">
        <v>91391</v>
      </c>
      <c r="CG25" s="91" t="n">
        <v>1275</v>
      </c>
      <c r="CH25" s="91" t="n">
        <v>1202</v>
      </c>
      <c r="CI25" s="91" t="n">
        <v>35872</v>
      </c>
      <c r="CJ25" s="91" t="n">
        <v>18315</v>
      </c>
      <c r="CK25" s="91" t="n">
        <v>374</v>
      </c>
      <c r="CL25" s="91" t="n">
        <v>1729</v>
      </c>
      <c r="CM25" s="91">
        <f>SUM(CA25:CL25)</f>
        <v/>
      </c>
      <c r="CN25" s="91" t="n"/>
      <c r="CO25" s="91" t="n"/>
      <c r="CP25" s="91" t="n"/>
      <c r="CQ25" s="93" t="n"/>
      <c r="CR25" s="94" t="n"/>
      <c r="CS25" s="94" t="n"/>
      <c r="CT25" s="91" t="n"/>
      <c r="CU25" s="91" t="n"/>
      <c r="CV25" s="91" t="n"/>
      <c r="CW25" s="91" t="n"/>
      <c r="CX25" s="91" t="n"/>
      <c r="CY25" s="91" t="n"/>
      <c r="CZ25" s="91">
        <f>SUM(CN25:CY25)</f>
        <v/>
      </c>
      <c r="DA25" s="35" t="n"/>
    </row>
    <row r="26" ht="20" customFormat="1" customHeight="1" s="1">
      <c r="A26" s="30" t="n">
        <v>24</v>
      </c>
      <c r="B26" s="37" t="inlineStr">
        <is>
          <t>甘肃</t>
        </is>
      </c>
      <c r="C26" s="37" t="inlineStr">
        <is>
          <t>清水</t>
        </is>
      </c>
      <c r="D26" s="37" t="inlineStr">
        <is>
          <t>高志杰</t>
        </is>
      </c>
      <c r="E26" s="89" t="n"/>
      <c r="F26" s="27" t="inlineStr">
        <is>
          <t>2021/2022/2023/2024/2026</t>
        </is>
      </c>
      <c r="G26" s="27" t="inlineStr">
        <is>
          <t>7/10/3/4/12/3/5/7/1</t>
        </is>
      </c>
      <c r="H26" s="90">
        <f>83661+2480+583+986+699+7240+1399+47956+135+27+104+132+43239+690</f>
        <v/>
      </c>
      <c r="I26" s="91">
        <f>1600+2565+250</f>
        <v/>
      </c>
      <c r="J26" s="91">
        <f>124+564</f>
        <v/>
      </c>
      <c r="K26" s="91">
        <f>+H26+I26+J26</f>
        <v/>
      </c>
      <c r="L26" s="91" t="inlineStr">
        <is>
          <t>5折</t>
        </is>
      </c>
      <c r="M26" s="91" t="inlineStr"/>
      <c r="N26" s="91" t="n"/>
      <c r="O26" s="91" t="n"/>
      <c r="P26" s="91" t="n"/>
      <c r="Q26" s="91" t="n"/>
      <c r="R26" s="91" t="n"/>
      <c r="S26" s="91" t="n"/>
      <c r="T26" s="91" t="n"/>
      <c r="U26" s="91" t="n"/>
      <c r="V26" s="91" t="n"/>
      <c r="W26" s="91" t="n"/>
      <c r="X26" s="91" t="n"/>
      <c r="Y26" s="91" t="n"/>
      <c r="Z26" s="91" t="n"/>
      <c r="AA26" s="91" t="n"/>
      <c r="AB26" s="91" t="n"/>
      <c r="AC26" s="91" t="n"/>
      <c r="AD26" s="91" t="n"/>
      <c r="AE26" s="91" t="n"/>
      <c r="AF26" s="91" t="n"/>
      <c r="AG26" s="91" t="n"/>
      <c r="AH26" s="91" t="n"/>
      <c r="AI26" s="91" t="n"/>
      <c r="AJ26" s="91" t="n"/>
      <c r="AK26" s="91" t="n"/>
      <c r="AL26" s="91" t="n">
        <v>59291</v>
      </c>
      <c r="AM26" s="91">
        <f>SUM(AA26:AL26)</f>
        <v/>
      </c>
      <c r="AN26" s="91" t="n"/>
      <c r="AO26" s="91" t="n">
        <v>100</v>
      </c>
      <c r="AP26" s="91" t="n">
        <v>18454</v>
      </c>
      <c r="AQ26" s="91" t="n">
        <v>16955</v>
      </c>
      <c r="AR26" s="91" t="n">
        <v>16780</v>
      </c>
      <c r="AS26" s="91" t="n">
        <v>69649</v>
      </c>
      <c r="AT26" s="31" t="n">
        <v>21913</v>
      </c>
      <c r="AU26" s="31" t="n">
        <v>102573</v>
      </c>
      <c r="AV26" s="31" t="n">
        <v>147460</v>
      </c>
      <c r="AW26" s="36" t="n">
        <v>49726</v>
      </c>
      <c r="AX26" s="91" t="n">
        <v>54349</v>
      </c>
      <c r="AY26" s="31" t="n">
        <v>1575</v>
      </c>
      <c r="AZ26" s="92">
        <f>SUM(AN26:AY26)</f>
        <v/>
      </c>
      <c r="BA26" s="91" t="n"/>
      <c r="BB26" s="91" t="n">
        <v>25930</v>
      </c>
      <c r="BC26" s="91" t="n">
        <v>55644</v>
      </c>
      <c r="BD26" s="91" t="n">
        <v>143665</v>
      </c>
      <c r="BE26" s="91" t="n">
        <v>205785</v>
      </c>
      <c r="BF26" s="91" t="n">
        <v>195330</v>
      </c>
      <c r="BG26" s="91" t="n">
        <v>208313</v>
      </c>
      <c r="BH26" s="91" t="n">
        <v>221121</v>
      </c>
      <c r="BI26" s="91" t="n">
        <v>216901</v>
      </c>
      <c r="BJ26" s="91" t="n">
        <v>260178</v>
      </c>
      <c r="BK26" s="91" t="n">
        <v>349329</v>
      </c>
      <c r="BL26" s="91" t="n">
        <v>38587</v>
      </c>
      <c r="BM26" s="91">
        <f>SUM(BA26:BL26)</f>
        <v/>
      </c>
      <c r="BN26" s="91" t="n">
        <v>66</v>
      </c>
      <c r="BO26" s="91" t="n">
        <v>19240</v>
      </c>
      <c r="BP26" s="91" t="n">
        <v>69327</v>
      </c>
      <c r="BQ26" s="91" t="n">
        <v>211564</v>
      </c>
      <c r="BR26" s="91" t="n">
        <v>260027</v>
      </c>
      <c r="BS26" s="91" t="n">
        <v>261268</v>
      </c>
      <c r="BT26" s="91">
        <f>191905+2932</f>
        <v/>
      </c>
      <c r="BU26" s="91" t="n">
        <v>180102.53</v>
      </c>
      <c r="BV26" s="91" t="n">
        <v>147562.35</v>
      </c>
      <c r="BW26" s="91" t="n">
        <v>182778.7</v>
      </c>
      <c r="BX26" s="91" t="n">
        <v>97732.71000000001</v>
      </c>
      <c r="BY26" s="91" t="n">
        <v>3615.76</v>
      </c>
      <c r="BZ26" s="91">
        <f>SUM(BN26:BY26)</f>
        <v/>
      </c>
      <c r="CA26" s="91" t="n">
        <v>22924</v>
      </c>
      <c r="CB26" s="91" t="n">
        <v>22408.06</v>
      </c>
      <c r="CC26" s="91" t="n">
        <v>105598.34</v>
      </c>
      <c r="CD26" s="91" t="n">
        <v>230284.01</v>
      </c>
      <c r="CE26" s="91" t="n">
        <v>180476.46</v>
      </c>
      <c r="CF26" s="91" t="n">
        <v>212358.32</v>
      </c>
      <c r="CG26" s="91" t="n">
        <v>98488.38</v>
      </c>
      <c r="CH26" s="91" t="n">
        <v>83690.09</v>
      </c>
      <c r="CI26" s="91" t="n">
        <v>58405.03</v>
      </c>
      <c r="CJ26" s="91" t="n">
        <v>25252.56</v>
      </c>
      <c r="CK26" s="91" t="n">
        <v>2322.67</v>
      </c>
      <c r="CL26" s="91" t="n">
        <v>37535.47</v>
      </c>
      <c r="CM26" s="91">
        <f>SUM(CA26:CL26)</f>
        <v/>
      </c>
      <c r="CN26" s="91" t="n"/>
      <c r="CO26" s="91" t="n"/>
      <c r="CP26" s="91" t="n"/>
      <c r="CQ26" s="93" t="n"/>
      <c r="CR26" s="94" t="n"/>
      <c r="CS26" s="94" t="n"/>
      <c r="CT26" s="91" t="n"/>
      <c r="CU26" s="91" t="n"/>
      <c r="CV26" s="91" t="n"/>
      <c r="CW26" s="91" t="n"/>
      <c r="CX26" s="91" t="n"/>
      <c r="CY26" s="91" t="n"/>
      <c r="CZ26" s="91">
        <f>SUM(CN26:CY26)</f>
        <v/>
      </c>
      <c r="DA26" s="35" t="n"/>
    </row>
    <row r="27" ht="20" customFormat="1" customHeight="1" s="2">
      <c r="A27" s="30" t="n">
        <v>25</v>
      </c>
      <c r="B27" s="37" t="inlineStr">
        <is>
          <t>内蒙古</t>
        </is>
      </c>
      <c r="C27" s="37" t="inlineStr">
        <is>
          <t>乌海</t>
        </is>
      </c>
      <c r="D27" s="37" t="inlineStr">
        <is>
          <t>苏苏</t>
        </is>
      </c>
      <c r="E27" s="89" t="n"/>
      <c r="F27" s="27" t="inlineStr">
        <is>
          <t>2021/2022/2023/2024/2026</t>
        </is>
      </c>
      <c r="G27" s="27" t="inlineStr">
        <is>
          <t>5/8/10/11/2/3/2/4/5/9/6</t>
        </is>
      </c>
      <c r="H27" s="90">
        <f>2198+116680+11919+648+4573+260+486+651+1399+15202+2969+1780+10078</f>
        <v/>
      </c>
      <c r="I27" s="91">
        <f>1600+2208</f>
        <v/>
      </c>
      <c r="J27" s="91">
        <f>1705+2468</f>
        <v/>
      </c>
      <c r="K27" s="91">
        <f>+H27+I27+J27</f>
        <v/>
      </c>
      <c r="L27" s="91" t="inlineStr">
        <is>
          <t>5折</t>
        </is>
      </c>
      <c r="M27" s="91" t="inlineStr"/>
      <c r="N27" s="91" t="n"/>
      <c r="O27" s="91" t="n"/>
      <c r="P27" s="91" t="n"/>
      <c r="Q27" s="91" t="n"/>
      <c r="R27" s="91" t="n"/>
      <c r="S27" s="91" t="n"/>
      <c r="T27" s="91" t="n"/>
      <c r="U27" s="91" t="n"/>
      <c r="V27" s="91" t="n"/>
      <c r="W27" s="91" t="n"/>
      <c r="X27" s="91" t="n"/>
      <c r="Y27" s="91" t="n"/>
      <c r="Z27" s="91" t="n"/>
      <c r="AA27" s="91" t="n"/>
      <c r="AB27" s="91" t="n"/>
      <c r="AC27" s="91" t="n"/>
      <c r="AD27" s="91" t="n"/>
      <c r="AE27" s="91" t="n"/>
      <c r="AF27" s="91" t="n"/>
      <c r="AG27" s="30" t="n">
        <v>12905</v>
      </c>
      <c r="AH27" s="30" t="n"/>
      <c r="AI27" s="30" t="n"/>
      <c r="AJ27" s="30" t="n">
        <v>20</v>
      </c>
      <c r="AK27" s="30" t="n">
        <v>12080</v>
      </c>
      <c r="AL27" s="30" t="n">
        <v>10098</v>
      </c>
      <c r="AM27" s="91">
        <f>SUM(AA27:AL27)</f>
        <v/>
      </c>
      <c r="AN27" s="91" t="n">
        <v>24242</v>
      </c>
      <c r="AO27" s="91">
        <f>33150+3753</f>
        <v/>
      </c>
      <c r="AP27" s="91" t="n">
        <v>114396</v>
      </c>
      <c r="AQ27" s="91" t="n">
        <v>41313</v>
      </c>
      <c r="AR27" s="91" t="n">
        <v>36592</v>
      </c>
      <c r="AS27" s="91" t="n">
        <v>21269</v>
      </c>
      <c r="AT27" s="31" t="n">
        <v>67027</v>
      </c>
      <c r="AU27" s="31">
        <f>10589+5250</f>
        <v/>
      </c>
      <c r="AV27" s="31" t="n">
        <v>10681</v>
      </c>
      <c r="AW27" s="36" t="n">
        <v>52133</v>
      </c>
      <c r="AX27" s="91" t="n">
        <v>32094</v>
      </c>
      <c r="AY27" s="31" t="n">
        <v>17188</v>
      </c>
      <c r="AZ27" s="92">
        <f>SUM(AN27:AY27)</f>
        <v/>
      </c>
      <c r="BA27" s="91" t="n"/>
      <c r="BB27" s="30">
        <f>69278+7370</f>
        <v/>
      </c>
      <c r="BC27" s="91">
        <f>24029+4537</f>
        <v/>
      </c>
      <c r="BD27" s="91">
        <f>1765+1953</f>
        <v/>
      </c>
      <c r="BE27" s="91" t="n">
        <v>22675</v>
      </c>
      <c r="BF27" s="91" t="n">
        <v>244</v>
      </c>
      <c r="BG27" s="91" t="n">
        <v>31408</v>
      </c>
      <c r="BH27" s="91" t="n">
        <v>38705</v>
      </c>
      <c r="BI27" s="91" t="n">
        <v>83566</v>
      </c>
      <c r="BJ27" s="91" t="n">
        <v>23671</v>
      </c>
      <c r="BK27" s="91" t="n">
        <v>47254</v>
      </c>
      <c r="BL27" s="91" t="n">
        <v>99317</v>
      </c>
      <c r="BM27" s="91">
        <f>SUM(BA27:BL27)</f>
        <v/>
      </c>
      <c r="BN27" s="91" t="n">
        <v>7307</v>
      </c>
      <c r="BO27" s="91" t="n"/>
      <c r="BP27" s="91" t="n"/>
      <c r="BQ27" s="91" t="n">
        <v>1139</v>
      </c>
      <c r="BR27" s="91" t="n">
        <v>12100</v>
      </c>
      <c r="BS27" s="91" t="n">
        <v>7129</v>
      </c>
      <c r="BT27" s="91" t="n">
        <v>62127</v>
      </c>
      <c r="BU27" s="91" t="n"/>
      <c r="BV27" s="91" t="n">
        <v>25004</v>
      </c>
      <c r="BW27" s="91" t="n">
        <v>39495</v>
      </c>
      <c r="BX27" s="91" t="n">
        <v>12619</v>
      </c>
      <c r="BY27" s="91" t="n">
        <v>172108</v>
      </c>
      <c r="BZ27" s="91">
        <f>SUM(BN27:BY27)</f>
        <v/>
      </c>
      <c r="CA27" s="91" t="inlineStr"/>
      <c r="CB27" s="91" t="n">
        <v>4470</v>
      </c>
      <c r="CC27" s="91" t="n">
        <v>41674</v>
      </c>
      <c r="CD27" s="91" t="n">
        <v>13194.76</v>
      </c>
      <c r="CE27" s="91" t="n">
        <v>55289.04</v>
      </c>
      <c r="CF27" s="91" t="n">
        <v>88633.53</v>
      </c>
      <c r="CG27" s="91" t="n">
        <v>4007.37</v>
      </c>
      <c r="CH27" s="91" t="n">
        <v>56730.29</v>
      </c>
      <c r="CI27" s="91" t="n">
        <v>39530.49</v>
      </c>
      <c r="CJ27" s="91" t="n">
        <v>35267.71</v>
      </c>
      <c r="CK27" s="91" t="n">
        <v>82.02</v>
      </c>
      <c r="CL27" s="91" t="n">
        <v>52066.05</v>
      </c>
      <c r="CM27" s="91">
        <f>SUM(CA27:CL27)</f>
        <v/>
      </c>
      <c r="CN27" s="91" t="n"/>
      <c r="CO27" s="91" t="n"/>
      <c r="CP27" s="91" t="n"/>
      <c r="CQ27" s="93" t="n"/>
      <c r="CR27" s="94" t="n"/>
      <c r="CS27" s="94" t="n"/>
      <c r="CT27" s="91" t="n"/>
      <c r="CU27" s="91" t="n"/>
      <c r="CV27" s="91" t="n"/>
      <c r="CW27" s="91" t="n"/>
      <c r="CX27" s="91" t="n"/>
      <c r="CY27" s="91" t="n"/>
      <c r="CZ27" s="91">
        <f>SUM(CN27:CY27)</f>
        <v/>
      </c>
      <c r="DA27" s="35" t="n"/>
    </row>
    <row r="28" ht="20" customFormat="1" customHeight="1" s="1">
      <c r="A28" s="30" t="n">
        <v>26</v>
      </c>
      <c r="B28" s="25" t="inlineStr">
        <is>
          <t>湖南</t>
        </is>
      </c>
      <c r="C28" s="25" t="inlineStr">
        <is>
          <t>怀化</t>
        </is>
      </c>
      <c r="D28" s="25" t="inlineStr">
        <is>
          <t>王同叶</t>
        </is>
      </c>
      <c r="E28" s="89" t="n"/>
      <c r="F28" s="27" t="inlineStr">
        <is>
          <t>2020/2022/2023</t>
        </is>
      </c>
      <c r="G28" s="27" t="inlineStr">
        <is>
          <t>7/3/4/8/10/12/7/10</t>
        </is>
      </c>
      <c r="H28" s="90">
        <f>119449+1046+182+231+762+14897+3955+498+28432+31228</f>
        <v/>
      </c>
      <c r="I28" s="91">
        <f>20434+146</f>
        <v/>
      </c>
      <c r="J28" s="91" t="n">
        <v>1910</v>
      </c>
      <c r="K28" s="91">
        <f>+H28+I28+J28</f>
        <v/>
      </c>
      <c r="L28" s="91" t="inlineStr">
        <is>
          <t>5折</t>
        </is>
      </c>
      <c r="M28" s="91" t="inlineStr"/>
      <c r="N28" s="91" t="n"/>
      <c r="O28" s="91" t="n"/>
      <c r="P28" s="91" t="n"/>
      <c r="Q28" s="91" t="n"/>
      <c r="R28" s="91" t="n"/>
      <c r="S28" s="91" t="n"/>
      <c r="T28" s="91" t="n"/>
      <c r="U28" s="91" t="n"/>
      <c r="V28" s="91" t="n"/>
      <c r="W28" s="91" t="n"/>
      <c r="X28" s="91" t="n"/>
      <c r="Y28" s="91" t="n"/>
      <c r="Z28" s="91" t="n"/>
      <c r="AA28" s="91" t="n">
        <v>18694</v>
      </c>
      <c r="AB28" s="91" t="n">
        <v>334</v>
      </c>
      <c r="AC28" s="91" t="n">
        <v>7390</v>
      </c>
      <c r="AD28" s="91" t="n">
        <v>2064</v>
      </c>
      <c r="AE28" s="91" t="n">
        <v>83086</v>
      </c>
      <c r="AF28" s="30" t="n">
        <v>65366</v>
      </c>
      <c r="AG28" s="30" t="n">
        <v>86856</v>
      </c>
      <c r="AH28" s="30" t="n">
        <v>404</v>
      </c>
      <c r="AI28" s="30" t="n">
        <v>26793</v>
      </c>
      <c r="AJ28" s="30">
        <f>81684+1815</f>
        <v/>
      </c>
      <c r="AK28" s="30" t="n">
        <v>8370</v>
      </c>
      <c r="AL28" s="30" t="n">
        <v>35221</v>
      </c>
      <c r="AM28" s="91">
        <f>SUM(AA28:AL28)</f>
        <v/>
      </c>
      <c r="AN28" s="91" t="n">
        <v>25110</v>
      </c>
      <c r="AO28" s="91" t="n">
        <v>927</v>
      </c>
      <c r="AP28" s="91" t="n">
        <v>46443</v>
      </c>
      <c r="AQ28" s="91" t="n">
        <v>2658</v>
      </c>
      <c r="AR28" s="91" t="n">
        <v>49894</v>
      </c>
      <c r="AS28" s="91">
        <f>3587+70596</f>
        <v/>
      </c>
      <c r="AT28" s="31" t="n">
        <v>37265</v>
      </c>
      <c r="AU28" s="31">
        <f>48499+4274</f>
        <v/>
      </c>
      <c r="AV28" s="31" t="n">
        <v>67660</v>
      </c>
      <c r="AW28" s="36" t="n">
        <v>42908</v>
      </c>
      <c r="AX28" s="91" t="n">
        <v>7378</v>
      </c>
      <c r="AY28" s="31" t="n">
        <v>4345</v>
      </c>
      <c r="AZ28" s="92">
        <f>SUM(AN28:AY28)</f>
        <v/>
      </c>
      <c r="BA28" s="91" t="n"/>
      <c r="BB28" s="30" t="n">
        <v>10293</v>
      </c>
      <c r="BC28" s="91">
        <f>32287+3285</f>
        <v/>
      </c>
      <c r="BD28" s="91" t="n">
        <v>16385</v>
      </c>
      <c r="BE28" s="91" t="n">
        <v>41432</v>
      </c>
      <c r="BF28" s="91" t="n">
        <v>41186</v>
      </c>
      <c r="BG28" s="91" t="n">
        <v>3090</v>
      </c>
      <c r="BH28" s="91" t="n">
        <v>452</v>
      </c>
      <c r="BI28" s="91" t="n">
        <v>57787</v>
      </c>
      <c r="BJ28" s="91" t="n">
        <v>52900</v>
      </c>
      <c r="BK28" s="91" t="n">
        <v>82410</v>
      </c>
      <c r="BL28" s="91" t="n">
        <v>16346</v>
      </c>
      <c r="BM28" s="91">
        <f>SUM(BA28:BL28)</f>
        <v/>
      </c>
      <c r="BN28" s="91" t="n">
        <v>11862</v>
      </c>
      <c r="BO28" s="91" t="n">
        <v>166</v>
      </c>
      <c r="BP28" s="91" t="n">
        <v>6781</v>
      </c>
      <c r="BQ28" s="91" t="n">
        <v>10788</v>
      </c>
      <c r="BR28" s="91" t="n">
        <v>21638</v>
      </c>
      <c r="BS28" s="91" t="n">
        <v>4216</v>
      </c>
      <c r="BT28" s="91">
        <f>2214+62450.88</f>
        <v/>
      </c>
      <c r="BU28" s="91" t="n">
        <v>7625.14</v>
      </c>
      <c r="BV28" s="91" t="n">
        <v>36208.47</v>
      </c>
      <c r="BW28" s="91" t="n">
        <v>92858.72</v>
      </c>
      <c r="BX28" s="91" t="n">
        <v>38875.98</v>
      </c>
      <c r="BY28" s="91" t="n">
        <v>3670.07</v>
      </c>
      <c r="BZ28" s="91">
        <f>SUM(BN28:BY28)</f>
        <v/>
      </c>
      <c r="CA28" s="91" t="n">
        <v>16846.62</v>
      </c>
      <c r="CB28" s="91" t="n">
        <v>16846.62</v>
      </c>
      <c r="CC28" s="91" t="n">
        <v>13632</v>
      </c>
      <c r="CD28" s="91" t="n"/>
      <c r="CE28" s="91" t="n">
        <v>228.46</v>
      </c>
      <c r="CF28" s="91" t="n">
        <v>1210</v>
      </c>
      <c r="CG28" s="91" t="n"/>
      <c r="CH28" s="91" t="n">
        <v>16657.11</v>
      </c>
      <c r="CI28" s="91" t="n"/>
      <c r="CJ28" s="91" t="n">
        <v>14715.25</v>
      </c>
      <c r="CK28" s="91" t="n"/>
      <c r="CL28" s="91" t="inlineStr"/>
      <c r="CM28" s="91">
        <f>SUM(CA28:CL28)</f>
        <v/>
      </c>
      <c r="CN28" s="91" t="n"/>
      <c r="CO28" s="91" t="n"/>
      <c r="CP28" s="91" t="n"/>
      <c r="CQ28" s="93" t="n"/>
      <c r="CR28" s="94" t="n"/>
      <c r="CS28" s="94" t="n"/>
      <c r="CT28" s="91" t="n"/>
      <c r="CU28" s="91" t="n"/>
      <c r="CV28" s="91" t="n"/>
      <c r="CW28" s="91" t="n"/>
      <c r="CX28" s="91" t="n"/>
      <c r="CY28" s="91" t="n"/>
      <c r="CZ28" s="91">
        <f>SUM(CN28:CY28)</f>
        <v/>
      </c>
      <c r="DA28" s="35" t="n"/>
    </row>
    <row r="29" ht="20" customFormat="1" customHeight="1" s="2">
      <c r="A29" s="30" t="n">
        <v>27</v>
      </c>
      <c r="B29" s="37" t="inlineStr">
        <is>
          <t>福建</t>
        </is>
      </c>
      <c r="C29" s="37" t="inlineStr">
        <is>
          <t>福清</t>
        </is>
      </c>
      <c r="D29" s="37" t="inlineStr">
        <is>
          <t>陈小雄</t>
        </is>
      </c>
      <c r="E29" s="89" t="n"/>
      <c r="F29" s="27" t="inlineStr">
        <is>
          <t>2021/2022/2023</t>
        </is>
      </c>
      <c r="G29" s="27" t="inlineStr">
        <is>
          <t>3/4/6/9/3/4/8/9</t>
        </is>
      </c>
      <c r="H29" s="90">
        <f>2198+126415+144+848+341+1574+636+3338+44885+35+12</f>
        <v/>
      </c>
      <c r="I29" s="91">
        <f>1600+12295+1080+324</f>
        <v/>
      </c>
      <c r="J29" s="91" t="n">
        <v>2570</v>
      </c>
      <c r="K29" s="91">
        <f>+H29+I29+J29</f>
        <v/>
      </c>
      <c r="L29" s="91" t="inlineStr">
        <is>
          <t>5折</t>
        </is>
      </c>
      <c r="M29" s="91" t="inlineStr"/>
      <c r="N29" s="91" t="n"/>
      <c r="O29" s="91" t="n"/>
      <c r="P29" s="91" t="n"/>
      <c r="Q29" s="91" t="n"/>
      <c r="R29" s="91" t="n"/>
      <c r="S29" s="91" t="n"/>
      <c r="T29" s="91" t="n"/>
      <c r="U29" s="91" t="n"/>
      <c r="V29" s="91" t="n"/>
      <c r="W29" s="91" t="n"/>
      <c r="X29" s="91" t="n"/>
      <c r="Y29" s="91" t="n"/>
      <c r="Z29" s="91" t="n"/>
      <c r="AA29" s="91" t="n"/>
      <c r="AB29" s="91" t="n"/>
      <c r="AC29" s="91" t="n"/>
      <c r="AD29" s="91" t="n"/>
      <c r="AE29" s="91">
        <f>22601+3091</f>
        <v/>
      </c>
      <c r="AF29" s="91">
        <f>9423+102346</f>
        <v/>
      </c>
      <c r="AG29" s="30">
        <f>11235+490</f>
        <v/>
      </c>
      <c r="AH29" s="30" t="n">
        <v>1576</v>
      </c>
      <c r="AI29" s="30" t="n">
        <v>7936</v>
      </c>
      <c r="AJ29" s="30">
        <f>187786+10844</f>
        <v/>
      </c>
      <c r="AK29" s="30" t="n"/>
      <c r="AL29" s="30">
        <f>137853+501</f>
        <v/>
      </c>
      <c r="AM29" s="91">
        <f>SUM(AA29:AL29)</f>
        <v/>
      </c>
      <c r="AN29" s="91" t="n">
        <v>6095</v>
      </c>
      <c r="AO29" s="91" t="n">
        <v>24973</v>
      </c>
      <c r="AP29" s="91">
        <f>141847+4290</f>
        <v/>
      </c>
      <c r="AQ29" s="91" t="n">
        <v>105894</v>
      </c>
      <c r="AR29" s="91" t="n">
        <v>34499</v>
      </c>
      <c r="AS29" s="91" t="n">
        <v>4452</v>
      </c>
      <c r="AT29" s="31" t="n">
        <v>165</v>
      </c>
      <c r="AU29" s="31">
        <f>25488+732</f>
        <v/>
      </c>
      <c r="AV29" s="31" t="n">
        <v>43577</v>
      </c>
      <c r="AW29" s="36" t="n">
        <v>511</v>
      </c>
      <c r="AX29" s="91" t="n">
        <v>1378</v>
      </c>
      <c r="AY29" s="31" t="n">
        <v>3578</v>
      </c>
      <c r="AZ29" s="92">
        <f>SUM(AN29:AY29)</f>
        <v/>
      </c>
      <c r="BA29" s="91" t="n"/>
      <c r="BB29" s="91" t="n">
        <v>2384</v>
      </c>
      <c r="BC29" s="91" t="n"/>
      <c r="BD29" s="91" t="n"/>
      <c r="BE29" s="91" t="n"/>
      <c r="BF29" s="91" t="n">
        <v>4023</v>
      </c>
      <c r="BG29" s="91" t="n">
        <v>3402</v>
      </c>
      <c r="BH29" s="91" t="n">
        <v>306</v>
      </c>
      <c r="BI29" s="91" t="n"/>
      <c r="BJ29" s="91" t="n"/>
      <c r="BK29" s="91" t="n"/>
      <c r="BL29" s="91" t="n">
        <v>7848</v>
      </c>
      <c r="BM29" s="91">
        <f>SUM(BA29:BL29)</f>
        <v/>
      </c>
      <c r="BN29" s="91" t="n"/>
      <c r="BO29" s="91" t="n"/>
      <c r="BP29" s="91" t="n"/>
      <c r="BQ29" s="91" t="n">
        <v>86856</v>
      </c>
      <c r="BR29" s="91" t="n">
        <v>184</v>
      </c>
      <c r="BS29" s="91" t="n">
        <v>492</v>
      </c>
      <c r="BT29" s="91" t="n"/>
      <c r="BU29" s="91" t="n"/>
      <c r="BV29" s="91" t="n">
        <v>66</v>
      </c>
      <c r="BW29" s="91" t="inlineStr"/>
      <c r="BX29" s="91" t="n"/>
      <c r="BY29" s="91" t="n"/>
      <c r="BZ29" s="91">
        <f>SUM(BN29:BY29)</f>
        <v/>
      </c>
      <c r="CA29" s="91" t="inlineStr"/>
      <c r="CB29" s="91" t="inlineStr"/>
      <c r="CC29" s="91" t="inlineStr"/>
      <c r="CD29" s="91" t="n"/>
      <c r="CE29" s="91" t="n"/>
      <c r="CF29" s="91" t="n"/>
      <c r="CG29" s="91" t="n"/>
      <c r="CH29" s="91" t="inlineStr"/>
      <c r="CI29" s="91" t="n"/>
      <c r="CJ29" s="91" t="inlineStr"/>
      <c r="CK29" s="91" t="n"/>
      <c r="CL29" s="91" t="inlineStr"/>
      <c r="CM29" s="91">
        <f>SUM(CA29:CL29)</f>
        <v/>
      </c>
      <c r="CN29" s="91" t="n"/>
      <c r="CO29" s="91" t="n"/>
      <c r="CP29" s="91" t="n"/>
      <c r="CQ29" s="93" t="n"/>
      <c r="CR29" s="94" t="n"/>
      <c r="CS29" s="94" t="n"/>
      <c r="CT29" s="91" t="n"/>
      <c r="CU29" s="91" t="n"/>
      <c r="CV29" s="91" t="n"/>
      <c r="CW29" s="91" t="n"/>
      <c r="CX29" s="91" t="n"/>
      <c r="CY29" s="91" t="n"/>
      <c r="CZ29" s="91">
        <f>SUM(CN29:CY29)</f>
        <v/>
      </c>
      <c r="DA29" s="35" t="n"/>
    </row>
    <row r="30" ht="20" customFormat="1" customHeight="1" s="2">
      <c r="A30" s="30" t="n">
        <v>28</v>
      </c>
      <c r="B30" s="37" t="inlineStr">
        <is>
          <t>贵州</t>
        </is>
      </c>
      <c r="C30" s="37" t="inlineStr">
        <is>
          <t>瓮安</t>
        </is>
      </c>
      <c r="D30" s="37" t="inlineStr">
        <is>
          <t>谢玉先</t>
        </is>
      </c>
      <c r="E30" s="89" t="n"/>
      <c r="F30" s="43" t="inlineStr">
        <is>
          <t>2021/2022/2023/2024</t>
        </is>
      </c>
      <c r="G30" s="27" t="inlineStr">
        <is>
          <t>4/9/3/4/12/9/4</t>
        </is>
      </c>
      <c r="H30" s="90">
        <f>122721+238+648+285+986+651+1462+1675+6238+160+12</f>
        <v/>
      </c>
      <c r="I30" s="91" t="n">
        <v>2179</v>
      </c>
      <c r="J30" s="91">
        <f>3120+735</f>
        <v/>
      </c>
      <c r="K30" s="91">
        <f>+H30+I30+J30</f>
        <v/>
      </c>
      <c r="L30" s="91" t="inlineStr">
        <is>
          <t>5折</t>
        </is>
      </c>
      <c r="M30" s="91" t="inlineStr"/>
      <c r="N30" s="91" t="n"/>
      <c r="O30" s="91" t="n"/>
      <c r="P30" s="91" t="n"/>
      <c r="Q30" s="91" t="n"/>
      <c r="R30" s="91" t="n"/>
      <c r="S30" s="91" t="n"/>
      <c r="T30" s="91" t="n"/>
      <c r="U30" s="91" t="n"/>
      <c r="V30" s="91" t="n"/>
      <c r="W30" s="91" t="n"/>
      <c r="X30" s="91" t="n"/>
      <c r="Y30" s="91" t="n"/>
      <c r="Z30" s="91" t="n"/>
      <c r="AA30" s="91" t="n"/>
      <c r="AB30" s="91" t="n"/>
      <c r="AC30" s="91" t="n"/>
      <c r="AD30" s="91" t="n"/>
      <c r="AE30" s="91" t="n"/>
      <c r="AF30" s="91" t="n"/>
      <c r="AG30" s="30">
        <f>28175+128</f>
        <v/>
      </c>
      <c r="AH30" s="30" t="n">
        <v>29238</v>
      </c>
      <c r="AI30" s="30" t="n">
        <v>21293</v>
      </c>
      <c r="AJ30" s="30" t="n">
        <v>89814</v>
      </c>
      <c r="AK30" s="30" t="n">
        <v>41419</v>
      </c>
      <c r="AL30" s="30" t="n">
        <v>22751</v>
      </c>
      <c r="AM30" s="91">
        <f>SUM(AA30:AL30)</f>
        <v/>
      </c>
      <c r="AN30" s="91" t="n"/>
      <c r="AO30" s="91" t="n">
        <v>41602</v>
      </c>
      <c r="AP30" s="91">
        <f>88384+1868</f>
        <v/>
      </c>
      <c r="AQ30" s="91" t="n">
        <v>16156</v>
      </c>
      <c r="AR30" s="91" t="n">
        <v>21468</v>
      </c>
      <c r="AS30" s="91" t="n">
        <v>19938</v>
      </c>
      <c r="AT30" s="31" t="n">
        <v>70118</v>
      </c>
      <c r="AU30" s="31" t="n">
        <v>18024</v>
      </c>
      <c r="AV30" s="31" t="n">
        <v>34958</v>
      </c>
      <c r="AW30" s="36" t="n">
        <v>73645</v>
      </c>
      <c r="AX30" s="91" t="n">
        <v>15806</v>
      </c>
      <c r="AY30" s="31" t="n">
        <v>788</v>
      </c>
      <c r="AZ30" s="92">
        <f>SUM(AN30:AY30)</f>
        <v/>
      </c>
      <c r="BA30" s="91" t="n"/>
      <c r="BB30" s="30" t="n">
        <v>18879</v>
      </c>
      <c r="BC30" s="91" t="n">
        <v>80761</v>
      </c>
      <c r="BD30" s="91" t="n">
        <v>15945</v>
      </c>
      <c r="BE30" s="91" t="n">
        <v>45990</v>
      </c>
      <c r="BF30" s="91" t="n">
        <v>3241</v>
      </c>
      <c r="BG30" s="91" t="n">
        <v>26557</v>
      </c>
      <c r="BH30" s="91" t="n">
        <v>63080</v>
      </c>
      <c r="BI30" s="91" t="n">
        <v>79057</v>
      </c>
      <c r="BJ30" s="91" t="n">
        <v>3838</v>
      </c>
      <c r="BK30" s="91" t="n">
        <v>40517</v>
      </c>
      <c r="BL30" s="91" t="n">
        <v>4650</v>
      </c>
      <c r="BM30" s="91">
        <f>SUM(BA30:BL30)</f>
        <v/>
      </c>
      <c r="BN30" s="91" t="n"/>
      <c r="BO30" s="91" t="n"/>
      <c r="BP30" s="91" t="n"/>
      <c r="BQ30" s="91" t="n">
        <v>376</v>
      </c>
      <c r="BR30" s="91" t="n">
        <v>28956</v>
      </c>
      <c r="BS30" s="91" t="n">
        <v>6106</v>
      </c>
      <c r="BT30" s="91" t="n">
        <v>45000</v>
      </c>
      <c r="BU30" s="91" t="n">
        <v>143</v>
      </c>
      <c r="BV30" s="91" t="n">
        <v>1172</v>
      </c>
      <c r="BW30" s="91" t="n">
        <v>770</v>
      </c>
      <c r="BX30" s="91" t="n">
        <v>2953</v>
      </c>
      <c r="BY30" s="91" t="n"/>
      <c r="BZ30" s="91">
        <f>SUM(BN30:BY30)</f>
        <v/>
      </c>
      <c r="CA30" s="91" t="inlineStr"/>
      <c r="CB30" s="91" t="inlineStr"/>
      <c r="CC30" s="91" t="n">
        <v>27288.61</v>
      </c>
      <c r="CD30" s="91" t="n">
        <v>202</v>
      </c>
      <c r="CE30" s="91" t="n"/>
      <c r="CF30" s="91" t="n">
        <v>811</v>
      </c>
      <c r="CG30" s="91" t="n">
        <v>7011.05</v>
      </c>
      <c r="CH30" s="91" t="n">
        <v>34358.05</v>
      </c>
      <c r="CI30" s="91" t="n"/>
      <c r="CJ30" s="91" t="inlineStr"/>
      <c r="CK30" s="91" t="n"/>
      <c r="CL30" s="91" t="inlineStr"/>
      <c r="CM30" s="91">
        <f>SUM(CA30:CL30)</f>
        <v/>
      </c>
      <c r="CN30" s="91" t="n"/>
      <c r="CO30" s="91" t="n"/>
      <c r="CP30" s="91" t="n"/>
      <c r="CQ30" s="93" t="n"/>
      <c r="CR30" s="94" t="n"/>
      <c r="CS30" s="94" t="n"/>
      <c r="CT30" s="91" t="n"/>
      <c r="CU30" s="91" t="n"/>
      <c r="CV30" s="91" t="n"/>
      <c r="CW30" s="91" t="n"/>
      <c r="CX30" s="91" t="n"/>
      <c r="CY30" s="91" t="n"/>
      <c r="CZ30" s="91">
        <f>SUM(CN30:CY30)</f>
        <v/>
      </c>
      <c r="DA30" s="35" t="n"/>
    </row>
    <row r="31" ht="20" customFormat="1" customHeight="1" s="1">
      <c r="A31" s="30" t="n">
        <v>29</v>
      </c>
      <c r="B31" s="25" t="inlineStr">
        <is>
          <t>四川</t>
        </is>
      </c>
      <c r="C31" s="25" t="inlineStr">
        <is>
          <t>阆中</t>
        </is>
      </c>
      <c r="D31" s="25" t="inlineStr">
        <is>
          <t>蒲晓兵</t>
        </is>
      </c>
      <c r="E31" s="89" t="n"/>
      <c r="F31" s="27" t="inlineStr">
        <is>
          <t>2020/2021/2022/2023</t>
        </is>
      </c>
      <c r="G31" s="27" t="inlineStr">
        <is>
          <t>3/9/3/4/1/2/8</t>
        </is>
      </c>
      <c r="H31" s="90">
        <f>139783+159+11499+279+444+286+365+117+192</f>
        <v/>
      </c>
      <c r="I31" s="91" t="n">
        <v>26301</v>
      </c>
      <c r="J31" s="91">
        <f>5538+660</f>
        <v/>
      </c>
      <c r="K31" s="91">
        <f>+H31+I31+J31</f>
        <v/>
      </c>
      <c r="L31" s="91" t="inlineStr">
        <is>
          <t>5折</t>
        </is>
      </c>
      <c r="M31" s="91" t="inlineStr"/>
      <c r="N31" s="91" t="n"/>
      <c r="O31" s="91" t="n"/>
      <c r="P31" s="91" t="n"/>
      <c r="Q31" s="91" t="n"/>
      <c r="R31" s="91" t="n"/>
      <c r="S31" s="91" t="n"/>
      <c r="T31" s="91" t="n"/>
      <c r="U31" s="91" t="n"/>
      <c r="V31" s="91" t="n"/>
      <c r="W31" s="91" t="n"/>
      <c r="X31" s="91" t="n"/>
      <c r="Y31" s="91" t="n"/>
      <c r="Z31" s="91" t="n"/>
      <c r="AA31" s="91" t="n">
        <v>1528</v>
      </c>
      <c r="AB31" s="91" t="n">
        <v>1958</v>
      </c>
      <c r="AC31" s="91" t="n">
        <v>124306</v>
      </c>
      <c r="AD31" s="91">
        <f>107569+982+2380</f>
        <v/>
      </c>
      <c r="AE31" s="91">
        <f>2051+408</f>
        <v/>
      </c>
      <c r="AF31" s="91" t="n">
        <v>20520</v>
      </c>
      <c r="AG31" s="30" t="n">
        <v>39833</v>
      </c>
      <c r="AH31" s="30" t="n">
        <v>1888</v>
      </c>
      <c r="AI31" s="30">
        <f>25455+3197</f>
        <v/>
      </c>
      <c r="AJ31" s="30">
        <f>30346+2352</f>
        <v/>
      </c>
      <c r="AK31" s="30">
        <f>13675+336</f>
        <v/>
      </c>
      <c r="AL31" s="30" t="n">
        <v>61205</v>
      </c>
      <c r="AM31" s="91">
        <f>SUM(AA31:AL31)</f>
        <v/>
      </c>
      <c r="AN31" s="91" t="n">
        <v>48846</v>
      </c>
      <c r="AO31" s="91" t="n">
        <v>842</v>
      </c>
      <c r="AP31" s="91">
        <f>28301+2950</f>
        <v/>
      </c>
      <c r="AQ31" s="91" t="n">
        <v>42045</v>
      </c>
      <c r="AR31" s="91" t="n">
        <v>37856</v>
      </c>
      <c r="AS31" s="91" t="n">
        <v>86798</v>
      </c>
      <c r="AT31" s="31" t="n">
        <v>1209</v>
      </c>
      <c r="AU31" s="31" t="n">
        <v>25235</v>
      </c>
      <c r="AV31" s="31" t="n">
        <v>22406</v>
      </c>
      <c r="AW31" s="36" t="n">
        <v>85444</v>
      </c>
      <c r="AX31" s="91" t="n">
        <v>71416</v>
      </c>
      <c r="AY31" s="31" t="n">
        <v>2175</v>
      </c>
      <c r="AZ31" s="92">
        <f>SUM(AN31:AY31)</f>
        <v/>
      </c>
      <c r="BA31" s="91" t="n">
        <v>66</v>
      </c>
      <c r="BB31" s="91" t="n"/>
      <c r="BC31" s="91" t="n">
        <v>18284</v>
      </c>
      <c r="BD31" s="91" t="n">
        <v>492</v>
      </c>
      <c r="BE31" s="91" t="n"/>
      <c r="BF31" s="91" t="n"/>
      <c r="BG31" s="91" t="n"/>
      <c r="BH31" s="91" t="n">
        <v>37699</v>
      </c>
      <c r="BI31" s="91" t="n">
        <v>21462</v>
      </c>
      <c r="BJ31" s="91" t="n">
        <v>6823</v>
      </c>
      <c r="BK31" s="91" t="n">
        <v>61969</v>
      </c>
      <c r="BL31" s="91" t="n">
        <v>23773</v>
      </c>
      <c r="BM31" s="91">
        <f>SUM(BA31:BL31)</f>
        <v/>
      </c>
      <c r="BN31" s="91" t="n">
        <v>681</v>
      </c>
      <c r="BO31" s="91" t="n">
        <v>39</v>
      </c>
      <c r="BP31" s="91" t="n">
        <v>110</v>
      </c>
      <c r="BQ31" s="91" t="n">
        <v>1710</v>
      </c>
      <c r="BR31" s="91" t="inlineStr"/>
      <c r="BS31" s="91" t="n">
        <v>3958</v>
      </c>
      <c r="BT31" s="91" t="n">
        <v>152</v>
      </c>
      <c r="BU31" s="91" t="n"/>
      <c r="BV31" s="91" t="n">
        <v>45431</v>
      </c>
      <c r="BW31" s="91" t="n">
        <v>31224</v>
      </c>
      <c r="BX31" s="91" t="n">
        <v>1876</v>
      </c>
      <c r="BY31" s="91" t="n">
        <v>6309</v>
      </c>
      <c r="BZ31" s="91">
        <f>SUM(BN31:BY31)</f>
        <v/>
      </c>
      <c r="CA31" s="91" t="n">
        <v>24</v>
      </c>
      <c r="CB31" s="91" t="inlineStr"/>
      <c r="CC31" s="91" t="inlineStr"/>
      <c r="CD31" s="91" t="n"/>
      <c r="CE31" s="91" t="n"/>
      <c r="CF31" s="91" t="n"/>
      <c r="CG31" s="91" t="n"/>
      <c r="CH31" s="91" t="inlineStr"/>
      <c r="CI31" s="91" t="n"/>
      <c r="CJ31" s="91" t="inlineStr"/>
      <c r="CK31" s="91" t="n"/>
      <c r="CL31" s="91" t="inlineStr"/>
      <c r="CM31" s="91">
        <f>SUM(CA31:CL31)</f>
        <v/>
      </c>
      <c r="CN31" s="91" t="n"/>
      <c r="CO31" s="91" t="n"/>
      <c r="CP31" s="91" t="n"/>
      <c r="CQ31" s="93" t="n"/>
      <c r="CR31" s="94" t="n"/>
      <c r="CS31" s="94" t="n"/>
      <c r="CT31" s="91" t="n"/>
      <c r="CU31" s="91" t="n"/>
      <c r="CV31" s="91" t="n"/>
      <c r="CW31" s="91" t="n"/>
      <c r="CX31" s="91" t="n"/>
      <c r="CY31" s="91" t="n"/>
      <c r="CZ31" s="91">
        <f>SUM(CN31:CY31)</f>
        <v/>
      </c>
      <c r="DA31" s="35" t="n"/>
    </row>
    <row r="32" ht="20" customFormat="1" customHeight="1" s="1">
      <c r="A32" s="30" t="n">
        <v>30</v>
      </c>
      <c r="B32" s="37" t="inlineStr">
        <is>
          <t>贵州</t>
        </is>
      </c>
      <c r="C32" s="37" t="inlineStr">
        <is>
          <t>凤岗</t>
        </is>
      </c>
      <c r="D32" s="37" t="inlineStr">
        <is>
          <t>王胜</t>
        </is>
      </c>
      <c r="E32" s="89" t="n"/>
      <c r="F32" s="27" t="inlineStr">
        <is>
          <t>2021/2022/2023/2024</t>
        </is>
      </c>
      <c r="G32" s="27" t="inlineStr">
        <is>
          <t>11/1/2/4/7/4/5/9/4/7</t>
        </is>
      </c>
      <c r="H32" s="90">
        <f>114719+19240+1333+3350+4706+336+3092+69553+2130</f>
        <v/>
      </c>
      <c r="I32" s="91" t="n">
        <v>1600</v>
      </c>
      <c r="J32" s="91" t="n">
        <v>2040</v>
      </c>
      <c r="K32" s="91">
        <f>+H32+I32+J32</f>
        <v/>
      </c>
      <c r="L32" s="91" t="inlineStr">
        <is>
          <t>5折</t>
        </is>
      </c>
      <c r="M32" s="91" t="inlineStr"/>
      <c r="N32" s="91" t="n"/>
      <c r="O32" s="91" t="n"/>
      <c r="P32" s="91" t="n"/>
      <c r="Q32" s="91" t="n"/>
      <c r="R32" s="91" t="n"/>
      <c r="S32" s="91" t="n"/>
      <c r="T32" s="91" t="n"/>
      <c r="U32" s="91" t="n"/>
      <c r="V32" s="91" t="n"/>
      <c r="W32" s="91" t="n"/>
      <c r="X32" s="91" t="n"/>
      <c r="Y32" s="91" t="n"/>
      <c r="Z32" s="91" t="n"/>
      <c r="AA32" s="91" t="n"/>
      <c r="AB32" s="91" t="n"/>
      <c r="AC32" s="91" t="n"/>
      <c r="AD32" s="91" t="n"/>
      <c r="AE32" s="91" t="n"/>
      <c r="AF32" s="91" t="n"/>
      <c r="AG32" s="30" t="n"/>
      <c r="AH32" s="30" t="n"/>
      <c r="AI32" s="30" t="n"/>
      <c r="AJ32" s="30" t="n"/>
      <c r="AK32" s="30" t="n"/>
      <c r="AL32" s="30" t="n"/>
      <c r="AM32" s="91" t="n"/>
      <c r="AN32" s="91" t="n"/>
      <c r="AO32" s="91" t="n"/>
      <c r="AP32" s="91" t="n">
        <v>28171</v>
      </c>
      <c r="AQ32" s="91" t="n">
        <v>29010</v>
      </c>
      <c r="AR32" s="91" t="n">
        <v>48508</v>
      </c>
      <c r="AS32" s="91" t="n">
        <v>33662</v>
      </c>
      <c r="AT32" s="31" t="n">
        <v>29917</v>
      </c>
      <c r="AU32" s="31">
        <f>6164+1571</f>
        <v/>
      </c>
      <c r="AV32" s="31" t="n">
        <v>104184</v>
      </c>
      <c r="AW32" s="36" t="n">
        <v>98819</v>
      </c>
      <c r="AX32" s="91" t="n">
        <v>21918</v>
      </c>
      <c r="AY32" s="31" t="n">
        <v>5538</v>
      </c>
      <c r="AZ32" s="92">
        <f>SUM(AN32:AY32)</f>
        <v/>
      </c>
      <c r="BA32" s="91" t="n"/>
      <c r="BB32" s="30" t="n">
        <v>98</v>
      </c>
      <c r="BC32" s="91" t="n"/>
      <c r="BD32" s="91" t="n">
        <v>26128</v>
      </c>
      <c r="BE32" s="91" t="n">
        <v>44428</v>
      </c>
      <c r="BF32" s="91" t="n">
        <v>40986</v>
      </c>
      <c r="BG32" s="91" t="n">
        <v>61432</v>
      </c>
      <c r="BH32" s="91" t="n">
        <v>24987</v>
      </c>
      <c r="BI32" s="91" t="n">
        <v>4954</v>
      </c>
      <c r="BJ32" s="91" t="n">
        <v>83557</v>
      </c>
      <c r="BK32" s="91" t="n">
        <v>41693</v>
      </c>
      <c r="BL32" s="91" t="n">
        <v>4447</v>
      </c>
      <c r="BM32" s="91">
        <f>SUM(BA32:BL32)</f>
        <v/>
      </c>
      <c r="BN32" s="91" t="n">
        <v>2023</v>
      </c>
      <c r="BO32" s="91" t="n">
        <v>37852</v>
      </c>
      <c r="BP32" s="91" t="n">
        <v>35709</v>
      </c>
      <c r="BQ32" s="91" t="n">
        <v>1766</v>
      </c>
      <c r="BR32" s="91" t="n">
        <v>72590</v>
      </c>
      <c r="BS32" s="91" t="n">
        <v>36154</v>
      </c>
      <c r="BT32" s="91">
        <f>37119+23769.48</f>
        <v/>
      </c>
      <c r="BU32" s="91" t="n">
        <v>22839.28</v>
      </c>
      <c r="BV32" s="91" t="n">
        <v>982.39</v>
      </c>
      <c r="BW32" s="91" t="n">
        <v>444</v>
      </c>
      <c r="BX32" s="91" t="n">
        <v>46006.56</v>
      </c>
      <c r="BY32" s="91" t="n">
        <v>3992</v>
      </c>
      <c r="BZ32" s="91">
        <f>SUM(BN32:BY32)</f>
        <v/>
      </c>
      <c r="CA32" s="91" t="inlineStr"/>
      <c r="CB32" s="91" t="inlineStr"/>
      <c r="CC32" s="91" t="n">
        <v>29217.35</v>
      </c>
      <c r="CD32" s="91" t="n">
        <v>2657</v>
      </c>
      <c r="CE32" s="91" t="n">
        <v>1831</v>
      </c>
      <c r="CF32" s="91" t="n">
        <v>896</v>
      </c>
      <c r="CG32" s="91" t="n">
        <v>2919.79</v>
      </c>
      <c r="CH32" s="91" t="inlineStr"/>
      <c r="CI32" s="91" t="n">
        <v>39193.98</v>
      </c>
      <c r="CJ32" s="91" t="n">
        <v>1478.74</v>
      </c>
      <c r="CK32" s="91" t="n">
        <v>706.9299999999999</v>
      </c>
      <c r="CL32" s="91" t="n">
        <v>352</v>
      </c>
      <c r="CM32" s="91">
        <f>SUM(CA32:CL32)</f>
        <v/>
      </c>
      <c r="CN32" s="91" t="n"/>
      <c r="CO32" s="91" t="n"/>
      <c r="CP32" s="91" t="n"/>
      <c r="CQ32" s="93" t="n"/>
      <c r="CR32" s="94" t="n"/>
      <c r="CS32" s="94" t="n"/>
      <c r="CT32" s="91" t="n"/>
      <c r="CU32" s="91" t="n"/>
      <c r="CV32" s="91" t="n"/>
      <c r="CW32" s="91" t="n"/>
      <c r="CX32" s="91" t="n"/>
      <c r="CY32" s="91" t="n"/>
      <c r="CZ32" s="91">
        <f>SUM(CN32:CY32)</f>
        <v/>
      </c>
      <c r="DA32" s="35" t="n"/>
    </row>
    <row r="33" ht="20" customFormat="1" customHeight="1" s="1">
      <c r="A33" s="30" t="n">
        <v>31</v>
      </c>
      <c r="B33" s="37" t="inlineStr">
        <is>
          <t>四川</t>
        </is>
      </c>
      <c r="C33" s="37" t="inlineStr">
        <is>
          <t>安岳</t>
        </is>
      </c>
      <c r="D33" s="37" t="inlineStr">
        <is>
          <t>侯小均</t>
        </is>
      </c>
      <c r="E33" s="89" t="n"/>
      <c r="F33" s="27" t="inlineStr">
        <is>
          <t>2022/2023/2024/2025</t>
        </is>
      </c>
      <c r="G33" s="27" t="inlineStr">
        <is>
          <t>3/4/5/12/9/2</t>
        </is>
      </c>
      <c r="H33" s="90">
        <f>129398+3092+1399+12+511+84+1561</f>
        <v/>
      </c>
      <c r="I33" s="91">
        <f>1600+1934</f>
        <v/>
      </c>
      <c r="J33" s="91" t="n">
        <v>4516</v>
      </c>
      <c r="K33" s="91">
        <f>+H33+I33+J33</f>
        <v/>
      </c>
      <c r="L33" s="91" t="inlineStr">
        <is>
          <t>5折</t>
        </is>
      </c>
      <c r="M33" s="91" t="inlineStr"/>
      <c r="N33" s="91" t="n"/>
      <c r="O33" s="91" t="n"/>
      <c r="P33" s="91" t="n"/>
      <c r="Q33" s="91" t="n"/>
      <c r="R33" s="91" t="n"/>
      <c r="S33" s="91" t="n"/>
      <c r="T33" s="91" t="n"/>
      <c r="U33" s="91" t="n"/>
      <c r="V33" s="91" t="n"/>
      <c r="W33" s="91" t="n"/>
      <c r="X33" s="91" t="n"/>
      <c r="Y33" s="91" t="n"/>
      <c r="Z33" s="91" t="n"/>
      <c r="AA33" s="91" t="n"/>
      <c r="AB33" s="91" t="n"/>
      <c r="AC33" s="91" t="n"/>
      <c r="AD33" s="91" t="n"/>
      <c r="AE33" s="91" t="n"/>
      <c r="AF33" s="91" t="n"/>
      <c r="AG33" s="30" t="n"/>
      <c r="AH33" s="30" t="n"/>
      <c r="AI33" s="30" t="n"/>
      <c r="AJ33" s="30" t="n"/>
      <c r="AK33" s="30" t="n"/>
      <c r="AL33" s="30" t="n"/>
      <c r="AM33" s="91" t="n"/>
      <c r="AN33" s="91" t="n"/>
      <c r="AO33" s="91" t="n"/>
      <c r="AP33" s="91" t="n"/>
      <c r="AQ33" s="91" t="n"/>
      <c r="AR33" s="91" t="n">
        <v>30085</v>
      </c>
      <c r="AS33" s="91" t="n">
        <v>75428</v>
      </c>
      <c r="AT33" s="31" t="n">
        <v>48193</v>
      </c>
      <c r="AU33" s="31">
        <f>109339+17363</f>
        <v/>
      </c>
      <c r="AV33" s="31" t="n">
        <v>13871</v>
      </c>
      <c r="AW33" s="36" t="n">
        <v>72669</v>
      </c>
      <c r="AX33" s="91">
        <f>59417+18525</f>
        <v/>
      </c>
      <c r="AY33" s="31" t="n">
        <v>81471</v>
      </c>
      <c r="AZ33" s="92">
        <f>SUM(AN33:AY33)</f>
        <v/>
      </c>
      <c r="BA33" s="91">
        <f>345+189</f>
        <v/>
      </c>
      <c r="BB33" s="30">
        <f>101708+22918</f>
        <v/>
      </c>
      <c r="BC33" s="91">
        <f>24070+160</f>
        <v/>
      </c>
      <c r="BD33" s="91">
        <f>93689+10153</f>
        <v/>
      </c>
      <c r="BE33" s="91" t="n">
        <v>128176</v>
      </c>
      <c r="BF33" s="91" t="n">
        <v>39602</v>
      </c>
      <c r="BG33" s="91" t="n">
        <v>96942</v>
      </c>
      <c r="BH33" s="91" t="n">
        <v>6537</v>
      </c>
      <c r="BI33" s="91" t="n">
        <v>126764</v>
      </c>
      <c r="BJ33" s="91" t="n">
        <v>96880</v>
      </c>
      <c r="BK33" s="91" t="n">
        <v>93611</v>
      </c>
      <c r="BL33" s="91" t="n">
        <v>128678</v>
      </c>
      <c r="BM33" s="91">
        <f>SUM(BA33:BL33)</f>
        <v/>
      </c>
      <c r="BN33" s="91" t="n">
        <v>25970</v>
      </c>
      <c r="BO33" s="91" t="n">
        <v>3356</v>
      </c>
      <c r="BP33" s="91" t="n">
        <v>79638</v>
      </c>
      <c r="BQ33" s="91" t="n">
        <v>66805</v>
      </c>
      <c r="BR33" s="91" t="n">
        <v>27616</v>
      </c>
      <c r="BS33" s="91" t="n">
        <v>71796</v>
      </c>
      <c r="BT33" s="91">
        <f>25694+22594.15</f>
        <v/>
      </c>
      <c r="BU33" s="91" t="n">
        <v>81251.53999999999</v>
      </c>
      <c r="BV33" s="91" t="n">
        <v>64758.82</v>
      </c>
      <c r="BW33" s="91" t="n">
        <v>78602.22</v>
      </c>
      <c r="BX33" s="91" t="n">
        <v>28748.8</v>
      </c>
      <c r="BY33" s="91" t="n">
        <v>119787.08</v>
      </c>
      <c r="BZ33" s="91">
        <f>SUM(BN33:BY33)</f>
        <v/>
      </c>
      <c r="CA33" s="91" t="n">
        <v>434</v>
      </c>
      <c r="CB33" s="91" t="n">
        <v>60</v>
      </c>
      <c r="CC33" s="91" t="n">
        <v>101573.02</v>
      </c>
      <c r="CD33" s="91" t="n">
        <v>6739</v>
      </c>
      <c r="CE33" s="91" t="n">
        <v>89172.7</v>
      </c>
      <c r="CF33" s="91" t="n">
        <v>87756.14</v>
      </c>
      <c r="CG33" s="91" t="n">
        <v>21697.62</v>
      </c>
      <c r="CH33" s="91" t="n">
        <v>1646</v>
      </c>
      <c r="CI33" s="91" t="n">
        <v>26824.17</v>
      </c>
      <c r="CJ33" s="91" t="n">
        <v>8892.809999999999</v>
      </c>
      <c r="CK33" s="91" t="n">
        <v>246</v>
      </c>
      <c r="CL33" s="91" t="n">
        <v>124160.28</v>
      </c>
      <c r="CM33" s="91">
        <f>SUM(CA33:CL33)</f>
        <v/>
      </c>
      <c r="CN33" s="91" t="n"/>
      <c r="CO33" s="91" t="n"/>
      <c r="CP33" s="91" t="n"/>
      <c r="CQ33" s="93" t="n"/>
      <c r="CR33" s="94" t="n"/>
      <c r="CS33" s="94" t="n"/>
      <c r="CT33" s="91" t="n"/>
      <c r="CU33" s="91" t="n"/>
      <c r="CV33" s="91" t="n"/>
      <c r="CW33" s="91" t="n"/>
      <c r="CX33" s="91" t="n"/>
      <c r="CY33" s="91" t="n"/>
      <c r="CZ33" s="91">
        <f>SUM(CN33:CY33)</f>
        <v/>
      </c>
      <c r="DA33" s="35" t="n"/>
    </row>
    <row r="34" ht="20" customFormat="1" customHeight="1" s="1">
      <c r="A34" s="30" t="n">
        <v>32</v>
      </c>
      <c r="B34" s="25" t="inlineStr">
        <is>
          <t>四川</t>
        </is>
      </c>
      <c r="C34" s="25" t="inlineStr">
        <is>
          <t>广元</t>
        </is>
      </c>
      <c r="D34" s="25" t="inlineStr">
        <is>
          <t>吴强</t>
        </is>
      </c>
      <c r="E34" s="89" t="n"/>
      <c r="F34" s="27" t="inlineStr">
        <is>
          <t>2020/2022/2023/2024/2025</t>
        </is>
      </c>
      <c r="G34" s="27" t="inlineStr">
        <is>
          <t>8/10/1/3/4/5/2/8/10/4/2</t>
        </is>
      </c>
      <c r="H34" s="90">
        <f>107499+7875+7496+251+279+986+785+6974+333+1675+501</f>
        <v/>
      </c>
      <c r="I34" s="91" t="n">
        <v>1600</v>
      </c>
      <c r="J34" s="91">
        <f>4240+3019</f>
        <v/>
      </c>
      <c r="K34" s="91">
        <f>+H34+I34+J34</f>
        <v/>
      </c>
      <c r="L34" s="91" t="inlineStr">
        <is>
          <t>5折</t>
        </is>
      </c>
      <c r="M34" s="91" t="inlineStr"/>
      <c r="N34" s="91" t="n"/>
      <c r="O34" s="91" t="n"/>
      <c r="P34" s="91" t="n"/>
      <c r="Q34" s="91" t="n"/>
      <c r="R34" s="91" t="n"/>
      <c r="S34" s="91" t="n"/>
      <c r="T34" s="91" t="n"/>
      <c r="U34" s="91" t="n"/>
      <c r="V34" s="91" t="n"/>
      <c r="W34" s="91" t="n"/>
      <c r="X34" s="91" t="n"/>
      <c r="Y34" s="91" t="n"/>
      <c r="Z34" s="91" t="n"/>
      <c r="AA34" s="91" t="n">
        <v>1464</v>
      </c>
      <c r="AB34" s="91" t="n">
        <v>274</v>
      </c>
      <c r="AC34" s="91" t="n">
        <v>55701</v>
      </c>
      <c r="AD34" s="91">
        <f>41401+3505</f>
        <v/>
      </c>
      <c r="AE34" s="91">
        <f>46892+49907+14878</f>
        <v/>
      </c>
      <c r="AF34" s="30" t="n">
        <v>78672</v>
      </c>
      <c r="AG34" s="30">
        <f>146510+300</f>
        <v/>
      </c>
      <c r="AH34" s="30">
        <f>139869+1979+11007</f>
        <v/>
      </c>
      <c r="AI34" s="30">
        <f>91896+10078+2300</f>
        <v/>
      </c>
      <c r="AJ34" s="30">
        <f>216537+23118</f>
        <v/>
      </c>
      <c r="AK34" s="30">
        <f>86321+14052</f>
        <v/>
      </c>
      <c r="AL34" s="30">
        <f>24891+1710</f>
        <v/>
      </c>
      <c r="AM34" s="91">
        <f>SUM(AA34:AL34)</f>
        <v/>
      </c>
      <c r="AN34" s="91">
        <f>689+125</f>
        <v/>
      </c>
      <c r="AO34" s="91" t="n">
        <v>20056</v>
      </c>
      <c r="AP34" s="91">
        <f>43811+3394</f>
        <v/>
      </c>
      <c r="AQ34" s="91" t="n">
        <v>6724</v>
      </c>
      <c r="AR34" s="91" t="n">
        <v>57996</v>
      </c>
      <c r="AS34" s="91" t="n">
        <v>93611</v>
      </c>
      <c r="AT34" s="31" t="n">
        <v>9182</v>
      </c>
      <c r="AU34" s="31">
        <f>56728+8085</f>
        <v/>
      </c>
      <c r="AV34" s="31" t="n">
        <v>51064</v>
      </c>
      <c r="AW34" s="36" t="n">
        <v>12751</v>
      </c>
      <c r="AX34" s="91" t="n">
        <v>6154</v>
      </c>
      <c r="AY34" s="31" t="n">
        <v>22436</v>
      </c>
      <c r="AZ34" s="92">
        <f>SUM(AN34:AY34)</f>
        <v/>
      </c>
      <c r="BA34" s="91" t="n"/>
      <c r="BB34" s="91">
        <f>56279+3431</f>
        <v/>
      </c>
      <c r="BC34" s="91">
        <f>29214+4300</f>
        <v/>
      </c>
      <c r="BD34" s="91" t="n">
        <v>36351</v>
      </c>
      <c r="BE34" s="91" t="n">
        <v>64583</v>
      </c>
      <c r="BF34" s="91" t="n">
        <v>7415</v>
      </c>
      <c r="BG34" s="91" t="n">
        <v>8489</v>
      </c>
      <c r="BH34" s="91" t="n">
        <v>26040</v>
      </c>
      <c r="BI34" s="91" t="n">
        <v>13840</v>
      </c>
      <c r="BJ34" s="91" t="n">
        <v>11837</v>
      </c>
      <c r="BK34" s="91" t="n">
        <v>71653</v>
      </c>
      <c r="BL34" s="91" t="n">
        <v>1229</v>
      </c>
      <c r="BM34" s="91">
        <f>SUM(BA34:BL34)</f>
        <v/>
      </c>
      <c r="BN34" s="91" t="n">
        <v>50</v>
      </c>
      <c r="BO34" s="91" t="n">
        <v>3641</v>
      </c>
      <c r="BP34" s="91" t="n">
        <v>54552</v>
      </c>
      <c r="BQ34" s="91" t="n">
        <v>13359</v>
      </c>
      <c r="BR34" s="91" t="n">
        <v>26435</v>
      </c>
      <c r="BS34" s="91" t="n">
        <v>35826</v>
      </c>
      <c r="BT34" s="91">
        <f>10646+48709.25</f>
        <v/>
      </c>
      <c r="BU34" s="91" t="n">
        <v>14897.14</v>
      </c>
      <c r="BV34" s="91" t="n">
        <v>85547.97</v>
      </c>
      <c r="BW34" s="91" t="n">
        <v>45122.61</v>
      </c>
      <c r="BX34" s="91" t="n">
        <v>8647.52</v>
      </c>
      <c r="BY34" s="91" t="n">
        <v>258.67</v>
      </c>
      <c r="BZ34" s="91">
        <f>SUM(BN34:BY34)</f>
        <v/>
      </c>
      <c r="CA34" s="91" t="n">
        <v>133.9</v>
      </c>
      <c r="CB34" s="91" t="n">
        <v>4112</v>
      </c>
      <c r="CC34" s="91" t="n">
        <v>3928.44</v>
      </c>
      <c r="CD34" s="91" t="n">
        <v>54.81</v>
      </c>
      <c r="CE34" s="91" t="n"/>
      <c r="CF34" s="91" t="n">
        <v>2132</v>
      </c>
      <c r="CG34" s="91" t="n"/>
      <c r="CH34" s="91" t="n">
        <v>2592</v>
      </c>
      <c r="CI34" s="91" t="n">
        <v>2766</v>
      </c>
      <c r="CJ34" s="91" t="n">
        <v>29080.48</v>
      </c>
      <c r="CK34" s="91" t="n"/>
      <c r="CL34" s="91" t="inlineStr"/>
      <c r="CM34" s="91">
        <f>SUM(CA34:CL34)</f>
        <v/>
      </c>
      <c r="CN34" s="91" t="n"/>
      <c r="CO34" s="91" t="n"/>
      <c r="CP34" s="91" t="n"/>
      <c r="CQ34" s="93" t="n"/>
      <c r="CR34" s="94" t="n"/>
      <c r="CS34" s="94" t="n"/>
      <c r="CT34" s="91" t="n"/>
      <c r="CU34" s="91" t="n"/>
      <c r="CV34" s="91" t="n"/>
      <c r="CW34" s="91" t="n"/>
      <c r="CX34" s="91" t="n"/>
      <c r="CY34" s="91" t="n"/>
      <c r="CZ34" s="91">
        <f>SUM(CN34:CY34)</f>
        <v/>
      </c>
      <c r="DA34" s="35" t="n"/>
    </row>
    <row r="35" ht="20" customFormat="1" customHeight="1" s="1">
      <c r="A35" s="30" t="n">
        <v>33</v>
      </c>
      <c r="B35" s="37" t="inlineStr">
        <is>
          <t>江苏</t>
        </is>
      </c>
      <c r="C35" s="37" t="inlineStr">
        <is>
          <t>海安</t>
        </is>
      </c>
      <c r="D35" s="25" t="inlineStr">
        <is>
          <t>何海华</t>
        </is>
      </c>
      <c r="E35" s="89" t="n"/>
      <c r="F35" s="27" t="inlineStr">
        <is>
          <t>2020/2021/2022/2023/2024/2025</t>
        </is>
      </c>
      <c r="G35" s="27" t="inlineStr">
        <is>
          <t>9/3/4/2/11/3</t>
        </is>
      </c>
      <c r="H35" s="90">
        <f>114698+648+263+986+757+1399+72+642</f>
        <v/>
      </c>
      <c r="I35" s="91" t="n">
        <v>45447</v>
      </c>
      <c r="J35" s="91" t="n">
        <v>3945</v>
      </c>
      <c r="K35" s="91">
        <f>+H35+I35+J35</f>
        <v/>
      </c>
      <c r="L35" s="91" t="inlineStr">
        <is>
          <t>5折</t>
        </is>
      </c>
      <c r="M35" s="91" t="inlineStr"/>
      <c r="N35" s="91" t="n"/>
      <c r="O35" s="91" t="n"/>
      <c r="P35" s="91" t="n"/>
      <c r="Q35" s="91" t="n"/>
      <c r="R35" s="91" t="n"/>
      <c r="S35" s="91" t="n"/>
      <c r="T35" s="91" t="n"/>
      <c r="U35" s="91" t="n"/>
      <c r="V35" s="91" t="n"/>
      <c r="W35" s="91" t="n"/>
      <c r="X35" s="91" t="n"/>
      <c r="Y35" s="91" t="n"/>
      <c r="Z35" s="91" t="n"/>
      <c r="AA35" s="91" t="n"/>
      <c r="AB35" s="91" t="n"/>
      <c r="AC35" s="91" t="n">
        <v>33045</v>
      </c>
      <c r="AD35" s="91" t="n">
        <v>26885</v>
      </c>
      <c r="AE35" s="91" t="n"/>
      <c r="AF35" s="91" t="n"/>
      <c r="AG35" s="30" t="n">
        <v>33504</v>
      </c>
      <c r="AH35" s="30" t="n">
        <v>56770</v>
      </c>
      <c r="AI35" s="30" t="n">
        <v>5598</v>
      </c>
      <c r="AJ35" s="30">
        <f>100971+716</f>
        <v/>
      </c>
      <c r="AK35" s="30" t="n">
        <v>4105</v>
      </c>
      <c r="AL35" s="30" t="n">
        <v>91289</v>
      </c>
      <c r="AM35" s="91">
        <f>SUM(AA35:AL35)</f>
        <v/>
      </c>
      <c r="AN35" s="91" t="n">
        <v>1239</v>
      </c>
      <c r="AO35" s="91" t="n"/>
      <c r="AP35" s="91" t="n">
        <v>43913</v>
      </c>
      <c r="AQ35" s="91" t="n">
        <v>16992</v>
      </c>
      <c r="AR35" s="91" t="n">
        <v>58639</v>
      </c>
      <c r="AS35" s="91">
        <f>20991+39274</f>
        <v/>
      </c>
      <c r="AT35" s="31" t="n">
        <v>89573</v>
      </c>
      <c r="AU35" s="31" t="n">
        <v>2673</v>
      </c>
      <c r="AV35" s="31" t="n">
        <v>6293</v>
      </c>
      <c r="AW35" s="36" t="n">
        <v>76608</v>
      </c>
      <c r="AX35" s="91" t="n">
        <v>49373</v>
      </c>
      <c r="AY35" s="31" t="n">
        <v>9763</v>
      </c>
      <c r="AZ35" s="92">
        <f>SUM(AN35:AY35)</f>
        <v/>
      </c>
      <c r="BA35" s="91" t="n">
        <v>145</v>
      </c>
      <c r="BB35" s="91" t="n">
        <v>2229</v>
      </c>
      <c r="BC35" s="91">
        <f>24444+4892</f>
        <v/>
      </c>
      <c r="BD35" s="91">
        <f>12479+46</f>
        <v/>
      </c>
      <c r="BE35" s="91" t="n">
        <v>26035</v>
      </c>
      <c r="BF35" s="91" t="n">
        <v>33672</v>
      </c>
      <c r="BG35" s="91" t="n">
        <v>627</v>
      </c>
      <c r="BH35" s="91" t="n">
        <v>75136</v>
      </c>
      <c r="BI35" s="91" t="n">
        <v>58</v>
      </c>
      <c r="BJ35" s="91" t="n">
        <v>4714</v>
      </c>
      <c r="BK35" s="91" t="n">
        <v>882</v>
      </c>
      <c r="BL35" s="91" t="n">
        <v>101714</v>
      </c>
      <c r="BM35" s="91">
        <f>SUM(BA35:BL35)</f>
        <v/>
      </c>
      <c r="BN35" s="91" t="n">
        <v>3370</v>
      </c>
      <c r="BO35" s="91" t="n">
        <v>927</v>
      </c>
      <c r="BP35" s="91" t="n">
        <v>49981</v>
      </c>
      <c r="BQ35" s="91" t="n">
        <v>4321</v>
      </c>
      <c r="BR35" s="91" t="n">
        <v>15018</v>
      </c>
      <c r="BS35" s="91" t="n">
        <v>109721</v>
      </c>
      <c r="BT35" s="91" t="n">
        <v>1494</v>
      </c>
      <c r="BU35" s="91" t="n">
        <v>3978</v>
      </c>
      <c r="BV35" s="91" t="n">
        <v>40982.63</v>
      </c>
      <c r="BW35" s="91" t="n">
        <v>21893.4</v>
      </c>
      <c r="BX35" s="91" t="n">
        <v>860</v>
      </c>
      <c r="BY35" s="91" t="n">
        <v>136690.15</v>
      </c>
      <c r="BZ35" s="91">
        <f>SUM(BN35:BY35)</f>
        <v/>
      </c>
      <c r="CA35" s="91" t="n">
        <v>1376</v>
      </c>
      <c r="CB35" s="91" t="inlineStr"/>
      <c r="CC35" s="91" t="inlineStr"/>
      <c r="CD35" s="91" t="n">
        <v>18617.17</v>
      </c>
      <c r="CE35" s="91" t="n">
        <v>367</v>
      </c>
      <c r="CF35" s="91" t="n">
        <v>2492.67</v>
      </c>
      <c r="CG35" s="91" t="n">
        <v>373.96</v>
      </c>
      <c r="CH35" s="91" t="n">
        <v>90946.66</v>
      </c>
      <c r="CI35" s="91" t="n">
        <v>8716.940000000001</v>
      </c>
      <c r="CJ35" s="91" t="n">
        <v>38749.05</v>
      </c>
      <c r="CK35" s="91" t="n">
        <v>4471.21</v>
      </c>
      <c r="CL35" s="91" t="n">
        <v>11075.96</v>
      </c>
      <c r="CM35" s="91">
        <f>SUM(CA35:CL35)</f>
        <v/>
      </c>
      <c r="CN35" s="91" t="n"/>
      <c r="CO35" s="91" t="n"/>
      <c r="CP35" s="91" t="n"/>
      <c r="CQ35" s="93" t="n"/>
      <c r="CR35" s="94" t="n"/>
      <c r="CS35" s="94" t="n"/>
      <c r="CT35" s="91" t="n"/>
      <c r="CU35" s="91" t="n"/>
      <c r="CV35" s="91" t="n"/>
      <c r="CW35" s="91" t="n"/>
      <c r="CX35" s="91" t="n"/>
      <c r="CY35" s="91" t="n"/>
      <c r="CZ35" s="91">
        <f>SUM(CN35:CY35)</f>
        <v/>
      </c>
      <c r="DA35" s="35" t="n"/>
    </row>
    <row r="36" ht="20" customFormat="1" customHeight="1" s="1">
      <c r="A36" s="30" t="n">
        <v>34</v>
      </c>
      <c r="B36" s="25" t="inlineStr">
        <is>
          <t>重庆</t>
        </is>
      </c>
      <c r="C36" s="25" t="inlineStr">
        <is>
          <t>酉阳</t>
        </is>
      </c>
      <c r="D36" s="25" t="inlineStr">
        <is>
          <t>陈大勇</t>
        </is>
      </c>
      <c r="E36" s="89" t="n"/>
      <c r="F36" s="27" t="inlineStr">
        <is>
          <t>2020/2022/2024</t>
        </is>
      </c>
      <c r="G36" s="27" t="inlineStr">
        <is>
          <t>7/3/12/3/4/6</t>
        </is>
      </c>
      <c r="H36" s="90">
        <f>698+90947+1080+754+1399+246+352+39188+537</f>
        <v/>
      </c>
      <c r="I36" s="91">
        <f>660+31714</f>
        <v/>
      </c>
      <c r="J36" s="91" t="n">
        <v>6181</v>
      </c>
      <c r="K36" s="91">
        <f>+H36+I36+J36</f>
        <v/>
      </c>
      <c r="L36" s="91" t="inlineStr">
        <is>
          <t>5折/8.5折</t>
        </is>
      </c>
      <c r="M36" s="91" t="inlineStr"/>
      <c r="N36" s="91" t="n"/>
      <c r="O36" s="91" t="n"/>
      <c r="P36" s="91" t="n"/>
      <c r="Q36" s="91" t="n"/>
      <c r="R36" s="91" t="n"/>
      <c r="S36" s="91" t="n"/>
      <c r="T36" s="91" t="n"/>
      <c r="U36" s="91" t="n"/>
      <c r="V36" s="91" t="n"/>
      <c r="W36" s="91" t="n"/>
      <c r="X36" s="91" t="n"/>
      <c r="Y36" s="91" t="n"/>
      <c r="Z36" s="91" t="n"/>
      <c r="AA36" s="91" t="n">
        <v>256</v>
      </c>
      <c r="AB36" s="91" t="n"/>
      <c r="AC36" s="91" t="n">
        <v>68246</v>
      </c>
      <c r="AD36" s="91">
        <f>45118+2553</f>
        <v/>
      </c>
      <c r="AE36" s="91">
        <f>29813+2785</f>
        <v/>
      </c>
      <c r="AF36" s="91" t="n">
        <v>22455</v>
      </c>
      <c r="AG36" s="91">
        <f>63347+2378</f>
        <v/>
      </c>
      <c r="AH36" s="91" t="n">
        <v>320</v>
      </c>
      <c r="AI36" s="91">
        <f>37391+6029</f>
        <v/>
      </c>
      <c r="AJ36" s="91">
        <f>71167+302</f>
        <v/>
      </c>
      <c r="AK36" s="91" t="n">
        <v>351</v>
      </c>
      <c r="AL36" s="91">
        <f>18280+2677</f>
        <v/>
      </c>
      <c r="AM36" s="91">
        <f>SUM(AA36:AL36)</f>
        <v/>
      </c>
      <c r="AN36" s="91" t="n"/>
      <c r="AO36" s="91" t="n">
        <v>205</v>
      </c>
      <c r="AP36" s="91" t="n">
        <v>72065</v>
      </c>
      <c r="AQ36" s="91" t="n">
        <v>11567</v>
      </c>
      <c r="AR36" s="91" t="n">
        <v>16316</v>
      </c>
      <c r="AS36" s="91" t="n">
        <v>17133</v>
      </c>
      <c r="AT36" s="31" t="n">
        <v>5082</v>
      </c>
      <c r="AU36" s="31">
        <f>267+8231</f>
        <v/>
      </c>
      <c r="AV36" s="31" t="n">
        <v>80837</v>
      </c>
      <c r="AW36" s="36" t="n">
        <v>125864</v>
      </c>
      <c r="AX36" s="91" t="n">
        <v>29219</v>
      </c>
      <c r="AY36" s="31" t="n">
        <v>550</v>
      </c>
      <c r="AZ36" s="92">
        <f>SUM(AN36:AY36)</f>
        <v/>
      </c>
      <c r="BA36" s="91" t="n"/>
      <c r="BB36" s="30">
        <f>155+5100</f>
        <v/>
      </c>
      <c r="BC36" s="91" t="n"/>
      <c r="BD36" s="91" t="n">
        <v>41939</v>
      </c>
      <c r="BE36" s="91" t="n">
        <v>78171</v>
      </c>
      <c r="BF36" s="91" t="n">
        <v>40063</v>
      </c>
      <c r="BG36" s="91" t="n">
        <v>4578</v>
      </c>
      <c r="BH36" s="91" t="n">
        <v>38636</v>
      </c>
      <c r="BI36" s="91" t="n">
        <v>36</v>
      </c>
      <c r="BJ36" s="91" t="n">
        <v>48347</v>
      </c>
      <c r="BK36" s="91" t="n">
        <v>50143</v>
      </c>
      <c r="BL36" s="91" t="n">
        <v>64764</v>
      </c>
      <c r="BM36" s="91">
        <f>SUM(BA36:BL36)</f>
        <v/>
      </c>
      <c r="BN36" s="91" t="n">
        <v>2339</v>
      </c>
      <c r="BO36" s="91" t="n"/>
      <c r="BP36" s="91" t="n">
        <v>130538</v>
      </c>
      <c r="BQ36" s="91" t="n">
        <v>66052</v>
      </c>
      <c r="BR36" s="91" t="inlineStr"/>
      <c r="BS36" s="91" t="n">
        <v>144616</v>
      </c>
      <c r="BT36" s="91">
        <f>3339+32624.25</f>
        <v/>
      </c>
      <c r="BU36" s="91" t="n">
        <v>13463.77</v>
      </c>
      <c r="BV36" s="91" t="n">
        <v>40829.61</v>
      </c>
      <c r="BW36" s="91" t="n">
        <v>58310.07</v>
      </c>
      <c r="BX36" s="91" t="n">
        <v>68668.14999999999</v>
      </c>
      <c r="BY36" s="91" t="n">
        <v>606</v>
      </c>
      <c r="BZ36" s="91">
        <f>SUM(BN36:BY36)</f>
        <v/>
      </c>
      <c r="CA36" s="91" t="n">
        <v>222</v>
      </c>
      <c r="CB36" s="91" t="n">
        <v>137</v>
      </c>
      <c r="CC36" s="91" t="n">
        <v>6821.82</v>
      </c>
      <c r="CD36" s="91" t="n">
        <v>77</v>
      </c>
      <c r="CE36" s="91" t="n"/>
      <c r="CF36" s="91" t="n">
        <v>21707.49</v>
      </c>
      <c r="CG36" s="91" t="n"/>
      <c r="CH36" s="91" t="n">
        <v>45958.36</v>
      </c>
      <c r="CI36" s="91" t="n">
        <v>88936.3</v>
      </c>
      <c r="CJ36" s="91" t="n">
        <v>41802.14</v>
      </c>
      <c r="CK36" s="91" t="n">
        <v>505.68</v>
      </c>
      <c r="CL36" s="91" t="n">
        <v>243.82</v>
      </c>
      <c r="CM36" s="91">
        <f>SUM(CA36:CL36)</f>
        <v/>
      </c>
      <c r="CN36" s="91" t="n"/>
      <c r="CO36" s="91" t="n"/>
      <c r="CP36" s="91" t="n"/>
      <c r="CQ36" s="93" t="n"/>
      <c r="CR36" s="94" t="n"/>
      <c r="CS36" s="94" t="n"/>
      <c r="CT36" s="91" t="n"/>
      <c r="CU36" s="91" t="n"/>
      <c r="CV36" s="91" t="n"/>
      <c r="CW36" s="91" t="n"/>
      <c r="CX36" s="91" t="n"/>
      <c r="CY36" s="91" t="n"/>
      <c r="CZ36" s="91">
        <f>SUM(CN36:CY36)</f>
        <v/>
      </c>
      <c r="DA36" s="35" t="n"/>
    </row>
    <row r="37" ht="20" customFormat="1" customHeight="1" s="2">
      <c r="A37" s="30" t="n">
        <v>35</v>
      </c>
      <c r="B37" s="37" t="inlineStr">
        <is>
          <t>重庆</t>
        </is>
      </c>
      <c r="C37" s="37" t="inlineStr">
        <is>
          <t>巫溪</t>
        </is>
      </c>
      <c r="D37" s="37" t="inlineStr">
        <is>
          <t>梁成魏</t>
        </is>
      </c>
      <c r="E37" s="89" t="n"/>
      <c r="F37" s="27" t="inlineStr">
        <is>
          <t>2021/2022/2023</t>
        </is>
      </c>
      <c r="G37" s="27" t="inlineStr">
        <is>
          <t>3/6/8/12/4/2</t>
        </is>
      </c>
      <c r="H37" s="90">
        <f>103268+119+648+449+986+2267</f>
        <v/>
      </c>
      <c r="I37" s="91" t="n">
        <v>1600</v>
      </c>
      <c r="J37" s="91" t="n"/>
      <c r="K37" s="91">
        <f>+H37+I37+J37</f>
        <v/>
      </c>
      <c r="L37" s="91" t="inlineStr">
        <is>
          <t>5折</t>
        </is>
      </c>
      <c r="M37" s="91" t="inlineStr"/>
      <c r="N37" s="91" t="n"/>
      <c r="O37" s="91" t="n"/>
      <c r="P37" s="91" t="n"/>
      <c r="Q37" s="91" t="n"/>
      <c r="R37" s="91" t="n"/>
      <c r="S37" s="91" t="n"/>
      <c r="T37" s="91" t="n"/>
      <c r="U37" s="91" t="n"/>
      <c r="V37" s="91" t="n"/>
      <c r="W37" s="91" t="n"/>
      <c r="X37" s="91" t="n"/>
      <c r="Y37" s="91" t="n"/>
      <c r="Z37" s="91" t="n"/>
      <c r="AA37" s="91" t="n"/>
      <c r="AB37" s="91" t="n"/>
      <c r="AC37" s="91" t="n"/>
      <c r="AD37" s="91" t="n"/>
      <c r="AE37" s="91" t="n"/>
      <c r="AF37" s="30" t="n"/>
      <c r="AG37" s="30" t="n">
        <v>39833</v>
      </c>
      <c r="AH37" s="30" t="n">
        <v>101817</v>
      </c>
      <c r="AI37" s="30">
        <f>94089+8259</f>
        <v/>
      </c>
      <c r="AJ37" s="30" t="n">
        <v>142325</v>
      </c>
      <c r="AK37" s="30" t="n">
        <v>257714</v>
      </c>
      <c r="AL37" s="30" t="n">
        <v>146182</v>
      </c>
      <c r="AM37" s="91">
        <f>SUM(AA37:AL37)</f>
        <v/>
      </c>
      <c r="AN37" s="91" t="n"/>
      <c r="AO37" s="91" t="n"/>
      <c r="AP37" s="91" t="n">
        <v>47349</v>
      </c>
      <c r="AQ37" s="91" t="n">
        <v>48256</v>
      </c>
      <c r="AR37" s="91" t="n">
        <v>32498</v>
      </c>
      <c r="AS37" s="91" t="n">
        <v>31205</v>
      </c>
      <c r="AT37" s="31" t="n">
        <v>85762</v>
      </c>
      <c r="AU37" s="31" t="n">
        <v>40373</v>
      </c>
      <c r="AV37" s="31" t="n">
        <v>30097</v>
      </c>
      <c r="AW37" s="36" t="n">
        <v>1217</v>
      </c>
      <c r="AX37" s="91" t="n">
        <v>106</v>
      </c>
      <c r="AY37" s="31" t="n">
        <v>94</v>
      </c>
      <c r="AZ37" s="92">
        <f>SUM(AN37:AY37)</f>
        <v/>
      </c>
      <c r="BA37" s="91" t="n"/>
      <c r="BB37" s="30" t="n">
        <v>33017</v>
      </c>
      <c r="BC37" s="91">
        <f>15382+23752</f>
        <v/>
      </c>
      <c r="BD37" s="91" t="n">
        <v>86411</v>
      </c>
      <c r="BE37" s="91" t="n">
        <v>89351</v>
      </c>
      <c r="BF37" s="91" t="n">
        <v>35260</v>
      </c>
      <c r="BG37" s="91" t="n">
        <v>71086</v>
      </c>
      <c r="BH37" s="91" t="n">
        <v>3490</v>
      </c>
      <c r="BI37" s="91" t="n">
        <v>265</v>
      </c>
      <c r="BJ37" s="91" t="n">
        <v>13679</v>
      </c>
      <c r="BK37" s="91" t="n">
        <v>26038</v>
      </c>
      <c r="BL37" s="91" t="n">
        <v>189</v>
      </c>
      <c r="BM37" s="91">
        <f>SUM(BA37:BL37)</f>
        <v/>
      </c>
      <c r="BN37" s="91" t="n"/>
      <c r="BO37" s="91" t="n"/>
      <c r="BP37" s="91" t="n">
        <v>160</v>
      </c>
      <c r="BQ37" s="91" t="n">
        <v>40</v>
      </c>
      <c r="BR37" s="91" t="n">
        <v>72765</v>
      </c>
      <c r="BS37" s="91">
        <f>37254+3518</f>
        <v/>
      </c>
      <c r="BT37" s="91" t="n">
        <v>252</v>
      </c>
      <c r="BU37" s="91" t="n">
        <v>279</v>
      </c>
      <c r="BV37" s="91" t="n">
        <v>728</v>
      </c>
      <c r="BW37" s="91" t="inlineStr"/>
      <c r="BX37" s="91" t="n"/>
      <c r="BY37" s="91" t="n"/>
      <c r="BZ37" s="91">
        <f>SUM(BN37:BY37)</f>
        <v/>
      </c>
      <c r="CA37" s="91" t="inlineStr"/>
      <c r="CB37" s="91" t="inlineStr"/>
      <c r="CC37" s="91" t="inlineStr"/>
      <c r="CD37" s="91" t="n"/>
      <c r="CE37" s="91" t="n"/>
      <c r="CF37" s="91" t="n"/>
      <c r="CG37" s="91" t="n">
        <v>7453</v>
      </c>
      <c r="CH37" s="91" t="n">
        <v>221</v>
      </c>
      <c r="CI37" s="91" t="n"/>
      <c r="CJ37" s="91" t="n">
        <v>42</v>
      </c>
      <c r="CK37" s="91" t="n"/>
      <c r="CL37" s="91" t="inlineStr"/>
      <c r="CM37" s="91">
        <f>SUM(CA37:CL37)</f>
        <v/>
      </c>
      <c r="CN37" s="91" t="n"/>
      <c r="CO37" s="91" t="n"/>
      <c r="CP37" s="91" t="n"/>
      <c r="CQ37" s="93" t="n"/>
      <c r="CR37" s="94" t="n"/>
      <c r="CS37" s="94" t="n"/>
      <c r="CT37" s="91" t="n"/>
      <c r="CU37" s="91" t="n"/>
      <c r="CV37" s="91" t="n"/>
      <c r="CW37" s="91" t="n"/>
      <c r="CX37" s="91" t="n"/>
      <c r="CY37" s="91" t="n"/>
      <c r="CZ37" s="91">
        <f>SUM(CN37:CY37)</f>
        <v/>
      </c>
      <c r="DA37" s="35" t="n"/>
    </row>
    <row r="38" ht="20" customFormat="1" customHeight="1" s="2">
      <c r="A38" s="30" t="n">
        <v>36</v>
      </c>
      <c r="B38" s="25" t="inlineStr">
        <is>
          <t>山西</t>
        </is>
      </c>
      <c r="C38" s="25" t="inlineStr">
        <is>
          <t>晋中</t>
        </is>
      </c>
      <c r="D38" s="25" t="inlineStr">
        <is>
          <t>何洋</t>
        </is>
      </c>
      <c r="E38" s="89" t="n"/>
      <c r="F38" s="27" t="inlineStr">
        <is>
          <t>2020/2021/2022/2023/2024</t>
        </is>
      </c>
      <c r="G38" s="27" t="inlineStr">
        <is>
          <t>8/9/3/4/12/10/11</t>
        </is>
      </c>
      <c r="H38" s="90">
        <f>109979+838+648+279+986+526+13006+1399+32+61155+168+537</f>
        <v/>
      </c>
      <c r="I38" s="91">
        <f>1600+130</f>
        <v/>
      </c>
      <c r="J38" s="91" t="n"/>
      <c r="K38" s="91">
        <f>+H38+I38+J38</f>
        <v/>
      </c>
      <c r="L38" s="91" t="inlineStr">
        <is>
          <t>5折</t>
        </is>
      </c>
      <c r="M38" s="91" t="inlineStr"/>
      <c r="N38" s="91" t="n"/>
      <c r="O38" s="91" t="n"/>
      <c r="P38" s="91" t="n"/>
      <c r="Q38" s="91" t="n"/>
      <c r="R38" s="91" t="n"/>
      <c r="S38" s="91" t="n"/>
      <c r="T38" s="91" t="n"/>
      <c r="U38" s="91" t="n"/>
      <c r="V38" s="91" t="n"/>
      <c r="W38" s="91" t="n"/>
      <c r="X38" s="91" t="n"/>
      <c r="Y38" s="91" t="n"/>
      <c r="Z38" s="91" t="n"/>
      <c r="AA38" s="91" t="n">
        <v>227</v>
      </c>
      <c r="AB38" s="91" t="n">
        <v>258</v>
      </c>
      <c r="AC38" s="91" t="n">
        <v>789</v>
      </c>
      <c r="AD38" s="91" t="n">
        <v>51113</v>
      </c>
      <c r="AE38" s="91" t="n">
        <v>4942</v>
      </c>
      <c r="AF38" s="91" t="n">
        <v>39125</v>
      </c>
      <c r="AG38" s="30" t="n">
        <v>80739</v>
      </c>
      <c r="AH38" s="30" t="n">
        <v>52020</v>
      </c>
      <c r="AI38" s="30" t="n">
        <v>60062</v>
      </c>
      <c r="AJ38" s="30" t="n">
        <v>64667</v>
      </c>
      <c r="AK38" s="30" t="n">
        <v>120232</v>
      </c>
      <c r="AL38" s="30" t="n">
        <v>951</v>
      </c>
      <c r="AM38" s="91">
        <f>SUM(AA38:AL38)</f>
        <v/>
      </c>
      <c r="AN38" s="91" t="n">
        <v>39371</v>
      </c>
      <c r="AO38" s="91" t="n">
        <v>726</v>
      </c>
      <c r="AP38" s="91" t="n">
        <v>3266</v>
      </c>
      <c r="AQ38" s="91" t="n">
        <v>38820</v>
      </c>
      <c r="AR38" s="91" t="n">
        <v>78489</v>
      </c>
      <c r="AS38" s="91">
        <f>12446+23395</f>
        <v/>
      </c>
      <c r="AT38" s="31" t="n">
        <v>35804</v>
      </c>
      <c r="AU38" s="31" t="n">
        <v>72157</v>
      </c>
      <c r="AV38" s="31" t="n">
        <v>4855</v>
      </c>
      <c r="AW38" s="36" t="n">
        <v>7012</v>
      </c>
      <c r="AX38" s="91" t="n">
        <v>1038</v>
      </c>
      <c r="AY38" s="31" t="n">
        <v>0</v>
      </c>
      <c r="AZ38" s="92">
        <f>SUM(AN38:AY38)</f>
        <v/>
      </c>
      <c r="BA38" s="91" t="n"/>
      <c r="BB38" s="91" t="n">
        <v>20816</v>
      </c>
      <c r="BC38" s="91" t="n"/>
      <c r="BD38" s="91" t="n">
        <v>44629</v>
      </c>
      <c r="BE38" s="91" t="n">
        <v>24474</v>
      </c>
      <c r="BF38" s="91" t="n">
        <v>63734</v>
      </c>
      <c r="BG38" s="91" t="n">
        <v>101115</v>
      </c>
      <c r="BH38" s="91" t="n">
        <v>12827</v>
      </c>
      <c r="BI38" s="91" t="n">
        <v>67259</v>
      </c>
      <c r="BJ38" s="91" t="n">
        <v>116878</v>
      </c>
      <c r="BK38" s="91" t="n">
        <v>117873</v>
      </c>
      <c r="BL38" s="91" t="n">
        <v>67785</v>
      </c>
      <c r="BM38" s="91">
        <f>SUM(BA38:BL38)</f>
        <v/>
      </c>
      <c r="BN38" s="91" t="n">
        <v>21954</v>
      </c>
      <c r="BO38" s="91" t="n"/>
      <c r="BP38" s="91" t="n">
        <v>51506</v>
      </c>
      <c r="BQ38" s="91" t="n">
        <v>6715</v>
      </c>
      <c r="BR38" s="91" t="n">
        <v>2297</v>
      </c>
      <c r="BS38" s="91" t="n">
        <v>173776</v>
      </c>
      <c r="BT38" s="91">
        <f>101608+45318</f>
        <v/>
      </c>
      <c r="BU38" s="91" t="n">
        <v>5627.88</v>
      </c>
      <c r="BV38" s="91" t="n">
        <v>25896.3</v>
      </c>
      <c r="BW38" s="91" t="n">
        <v>99514.71000000001</v>
      </c>
      <c r="BX38" s="91" t="n">
        <v>73452.16</v>
      </c>
      <c r="BY38" s="91" t="n">
        <v>44784.96</v>
      </c>
      <c r="BZ38" s="91">
        <f>SUM(BN38:BY38)</f>
        <v/>
      </c>
      <c r="CA38" s="91" t="n">
        <v>63342.76</v>
      </c>
      <c r="CB38" s="91">
        <f>61883.36+1091</f>
        <v/>
      </c>
      <c r="CC38" s="91" t="n">
        <v>26662.46</v>
      </c>
      <c r="CD38" s="91" t="n">
        <v>52006.53</v>
      </c>
      <c r="CE38" s="91">
        <f>5319+55331</f>
        <v/>
      </c>
      <c r="CF38" s="91" t="n">
        <v>188151.97</v>
      </c>
      <c r="CG38" s="91" t="n">
        <v>154574.73</v>
      </c>
      <c r="CH38" s="91" t="n">
        <v>135787.06</v>
      </c>
      <c r="CI38" s="91" t="n">
        <v>2421.2</v>
      </c>
      <c r="CJ38" s="91" t="n">
        <v>153594.71</v>
      </c>
      <c r="CK38" s="91" t="n">
        <v>73407.97</v>
      </c>
      <c r="CL38" s="91" t="n">
        <v>39171.03</v>
      </c>
      <c r="CM38" s="91">
        <f>SUM(CA38:CL38)</f>
        <v/>
      </c>
      <c r="CN38" s="91" t="n"/>
      <c r="CO38" s="91" t="n"/>
      <c r="CP38" s="91" t="n"/>
      <c r="CQ38" s="93" t="n"/>
      <c r="CR38" s="94" t="n"/>
      <c r="CS38" s="94" t="n"/>
      <c r="CT38" s="91" t="n"/>
      <c r="CU38" s="91" t="n"/>
      <c r="CV38" s="91" t="n"/>
      <c r="CW38" s="91" t="n"/>
      <c r="CX38" s="91" t="n"/>
      <c r="CY38" s="91" t="n"/>
      <c r="CZ38" s="91">
        <f>SUM(CN38:CY38)</f>
        <v/>
      </c>
      <c r="DA38" s="35" t="n"/>
    </row>
    <row r="39" ht="20" customFormat="1" customHeight="1" s="1">
      <c r="A39" s="30" t="n">
        <v>37</v>
      </c>
      <c r="B39" s="37" t="inlineStr">
        <is>
          <t>辽宁</t>
        </is>
      </c>
      <c r="C39" s="37" t="inlineStr">
        <is>
          <t>大连</t>
        </is>
      </c>
      <c r="D39" s="37" t="inlineStr">
        <is>
          <t>张守芹</t>
        </is>
      </c>
      <c r="E39" s="89" t="n"/>
      <c r="F39" s="27" t="inlineStr">
        <is>
          <t>2021/2022/2023/2024/2025</t>
        </is>
      </c>
      <c r="G39" s="27" t="inlineStr">
        <is>
          <t>11/12/3/4/8/12/7/4/8/10/12/3/9</t>
        </is>
      </c>
      <c r="H39" s="90">
        <f>197794+19360+19123+1022+302+24619+50222+1675+1296+72933+1988+417+8638+926</f>
        <v/>
      </c>
      <c r="I39" s="91" t="n">
        <v>734</v>
      </c>
      <c r="J39" s="91" t="n">
        <v>396</v>
      </c>
      <c r="K39" s="91">
        <f>+H39+I39+J39</f>
        <v/>
      </c>
      <c r="L39" s="91" t="inlineStr">
        <is>
          <t>5折</t>
        </is>
      </c>
      <c r="M39" s="91" t="inlineStr"/>
      <c r="N39" s="91" t="n"/>
      <c r="O39" s="91" t="n"/>
      <c r="P39" s="91" t="n"/>
      <c r="Q39" s="91" t="n"/>
      <c r="R39" s="91" t="n"/>
      <c r="S39" s="91" t="n"/>
      <c r="T39" s="91" t="n"/>
      <c r="U39" s="91" t="n"/>
      <c r="V39" s="91" t="n"/>
      <c r="W39" s="91" t="n"/>
      <c r="X39" s="91" t="n"/>
      <c r="Y39" s="91" t="n"/>
      <c r="Z39" s="91" t="n"/>
      <c r="AA39" s="91" t="n"/>
      <c r="AB39" s="91" t="n"/>
      <c r="AC39" s="91" t="n"/>
      <c r="AD39" s="91" t="n"/>
      <c r="AE39" s="91" t="n"/>
      <c r="AF39" s="91" t="n"/>
      <c r="AG39" s="30" t="n"/>
      <c r="AH39" s="30" t="n"/>
      <c r="AI39" s="30" t="n"/>
      <c r="AJ39" s="30" t="n"/>
      <c r="AK39" s="30" t="n"/>
      <c r="AL39" s="30" t="n"/>
      <c r="AM39" s="91" t="n"/>
      <c r="AN39" s="91" t="n"/>
      <c r="AO39" s="91" t="n"/>
      <c r="AP39" s="91" t="n">
        <v>8130</v>
      </c>
      <c r="AQ39" s="91" t="n">
        <v>2997</v>
      </c>
      <c r="AR39" s="91" t="n">
        <v>11902</v>
      </c>
      <c r="AS39" s="91" t="n"/>
      <c r="AT39" s="31" t="n">
        <v>22301</v>
      </c>
      <c r="AU39" s="31" t="n">
        <v>67137</v>
      </c>
      <c r="AV39" s="31" t="n">
        <v>108664</v>
      </c>
      <c r="AW39" s="36" t="n">
        <v>63931</v>
      </c>
      <c r="AX39" s="91" t="n">
        <v>174445</v>
      </c>
      <c r="AY39" s="31" t="n">
        <v>111356</v>
      </c>
      <c r="AZ39" s="92">
        <f>SUM(AN39:AY39)</f>
        <v/>
      </c>
      <c r="BA39" s="91" t="n"/>
      <c r="BB39" s="91" t="n">
        <v>28377</v>
      </c>
      <c r="BC39" s="91" t="n">
        <v>73571</v>
      </c>
      <c r="BD39" s="91" t="n">
        <v>77730</v>
      </c>
      <c r="BE39" s="91" t="n">
        <v>51512</v>
      </c>
      <c r="BF39" s="91" t="n">
        <v>154442</v>
      </c>
      <c r="BG39" s="91" t="n">
        <v>231703</v>
      </c>
      <c r="BH39" s="91" t="n">
        <v>74715</v>
      </c>
      <c r="BI39" s="91" t="n">
        <v>148796</v>
      </c>
      <c r="BJ39" s="91" t="n">
        <v>90121</v>
      </c>
      <c r="BK39" s="91" t="n">
        <v>125895</v>
      </c>
      <c r="BL39" s="91" t="n">
        <v>126911</v>
      </c>
      <c r="BM39" s="91">
        <f>SUM(BA39:BL39)</f>
        <v/>
      </c>
      <c r="BN39" s="91" t="n">
        <v>22149</v>
      </c>
      <c r="BO39" s="91" t="n">
        <v>928</v>
      </c>
      <c r="BP39" s="91" t="n">
        <v>130539</v>
      </c>
      <c r="BQ39" s="91" t="n">
        <v>168524</v>
      </c>
      <c r="BR39" s="91" t="n">
        <v>13417</v>
      </c>
      <c r="BS39" s="91" t="n">
        <v>216286</v>
      </c>
      <c r="BT39" s="91" t="n">
        <v>143991</v>
      </c>
      <c r="BU39" s="91" t="n">
        <v>84516</v>
      </c>
      <c r="BV39" s="91" t="n">
        <v>209922.31</v>
      </c>
      <c r="BW39" s="91" t="n">
        <v>86941.03</v>
      </c>
      <c r="BX39" s="91" t="n">
        <v>364604.69</v>
      </c>
      <c r="BY39" s="91" t="n">
        <v>151778.4</v>
      </c>
      <c r="BZ39" s="91">
        <f>SUM(BN39:BY39)</f>
        <v/>
      </c>
      <c r="CA39" s="91" t="n">
        <v>77134.38</v>
      </c>
      <c r="CB39" s="91" t="n">
        <v>49974.32</v>
      </c>
      <c r="CC39" s="91" t="n">
        <v>17392.64</v>
      </c>
      <c r="CD39" s="91" t="n">
        <v>125038.85</v>
      </c>
      <c r="CE39" s="91" t="n">
        <v>27762.16</v>
      </c>
      <c r="CF39" s="91" t="n">
        <v>38008.4</v>
      </c>
      <c r="CG39" s="91" t="n">
        <v>50645.61</v>
      </c>
      <c r="CH39" s="91" t="n">
        <v>169756.84</v>
      </c>
      <c r="CI39" s="91" t="n">
        <v>195224.34</v>
      </c>
      <c r="CJ39" s="91" t="n">
        <v>87450.58</v>
      </c>
      <c r="CK39" s="91" t="n">
        <v>152527.8</v>
      </c>
      <c r="CL39" s="91" t="n">
        <v>37003.13</v>
      </c>
      <c r="CM39" s="91">
        <f>SUM(CA39:CL39)</f>
        <v/>
      </c>
      <c r="CN39" s="91" t="n"/>
      <c r="CO39" s="91" t="n"/>
      <c r="CP39" s="91" t="n"/>
      <c r="CQ39" s="93" t="n"/>
      <c r="CR39" s="94" t="n"/>
      <c r="CS39" s="94" t="n"/>
      <c r="CT39" s="91" t="n"/>
      <c r="CU39" s="91" t="n"/>
      <c r="CV39" s="91" t="n"/>
      <c r="CW39" s="91" t="n"/>
      <c r="CX39" s="91" t="n"/>
      <c r="CY39" s="91" t="n"/>
      <c r="CZ39" s="91">
        <f>SUM(CN39:CY39)</f>
        <v/>
      </c>
      <c r="DA39" s="35" t="n"/>
    </row>
    <row r="40" ht="20" customFormat="1" customHeight="1" s="2">
      <c r="A40" s="30" t="n">
        <v>38</v>
      </c>
      <c r="B40" s="37" t="inlineStr">
        <is>
          <t>山西</t>
        </is>
      </c>
      <c r="C40" s="37" t="inlineStr">
        <is>
          <t>临汾</t>
        </is>
      </c>
      <c r="D40" s="37" t="inlineStr">
        <is>
          <t>焦对风</t>
        </is>
      </c>
      <c r="E40" s="89" t="n"/>
      <c r="F40" s="27" t="inlineStr">
        <is>
          <t>2021/2022/2023/2024</t>
        </is>
      </c>
      <c r="G40" s="27" t="inlineStr">
        <is>
          <t>4/9/4/5/2/4/6/10/3</t>
        </is>
      </c>
      <c r="H40" s="90">
        <f>114413+60+648+986+11144+1646+1032+678+2347+1399+53</f>
        <v/>
      </c>
      <c r="I40" s="91" t="n">
        <v>10635</v>
      </c>
      <c r="J40" s="91" t="n">
        <v>3665</v>
      </c>
      <c r="K40" s="91">
        <f>+H40+I40+J40</f>
        <v/>
      </c>
      <c r="L40" s="91" t="inlineStr">
        <is>
          <t>5折</t>
        </is>
      </c>
      <c r="M40" s="91" t="inlineStr"/>
      <c r="N40" s="91" t="n"/>
      <c r="O40" s="91" t="n"/>
      <c r="P40" s="91" t="n"/>
      <c r="Q40" s="91" t="n"/>
      <c r="R40" s="91" t="n"/>
      <c r="S40" s="91" t="n"/>
      <c r="T40" s="91" t="n"/>
      <c r="U40" s="91" t="n"/>
      <c r="V40" s="91" t="n"/>
      <c r="W40" s="91" t="n"/>
      <c r="X40" s="91" t="n"/>
      <c r="Y40" s="91" t="n"/>
      <c r="Z40" s="91" t="n"/>
      <c r="AA40" s="91" t="n"/>
      <c r="AB40" s="91" t="n"/>
      <c r="AC40" s="91" t="n"/>
      <c r="AD40" s="91" t="n"/>
      <c r="AE40" s="91" t="n">
        <v>1661</v>
      </c>
      <c r="AF40" s="91" t="n"/>
      <c r="AG40" s="91" t="n">
        <v>14666</v>
      </c>
      <c r="AH40" s="91" t="n">
        <v>9198</v>
      </c>
      <c r="AI40" s="91" t="n">
        <v>84190</v>
      </c>
      <c r="AJ40" s="91" t="n">
        <v>54532</v>
      </c>
      <c r="AK40" s="91" t="n">
        <v>31268</v>
      </c>
      <c r="AL40" s="91" t="n">
        <v>52836</v>
      </c>
      <c r="AM40" s="91">
        <f>SUM(AA40:AL40)</f>
        <v/>
      </c>
      <c r="AN40" s="91" t="n">
        <v>58519</v>
      </c>
      <c r="AO40" s="91" t="n">
        <v>23390</v>
      </c>
      <c r="AP40" s="91" t="n">
        <v>4583</v>
      </c>
      <c r="AQ40" s="91">
        <f>36487+36265</f>
        <v/>
      </c>
      <c r="AR40" s="91" t="n">
        <v>13417</v>
      </c>
      <c r="AS40" s="91" t="n">
        <v>1229</v>
      </c>
      <c r="AT40" s="31" t="n">
        <v>74</v>
      </c>
      <c r="AU40" s="31" t="n">
        <v>104340</v>
      </c>
      <c r="AV40" s="31" t="n">
        <v>2860</v>
      </c>
      <c r="AW40" s="36" t="n"/>
      <c r="AX40" s="91" t="n">
        <v>72310</v>
      </c>
      <c r="AY40" s="31" t="n">
        <v>0</v>
      </c>
      <c r="AZ40" s="92">
        <f>SUM(AN40:AY40)</f>
        <v/>
      </c>
      <c r="BA40" s="91" t="n"/>
      <c r="BB40" s="30" t="n">
        <v>451</v>
      </c>
      <c r="BC40" s="91" t="n">
        <v>92837</v>
      </c>
      <c r="BD40" s="91" t="n">
        <v>4739</v>
      </c>
      <c r="BE40" s="91" t="n">
        <v>66744</v>
      </c>
      <c r="BF40" s="91" t="n"/>
      <c r="BG40" s="91" t="n">
        <v>56924</v>
      </c>
      <c r="BH40" s="91" t="n">
        <v>73134</v>
      </c>
      <c r="BI40" s="91" t="n">
        <v>2329</v>
      </c>
      <c r="BJ40" s="91" t="n">
        <v>44827</v>
      </c>
      <c r="BK40" s="91" t="n">
        <v>73374</v>
      </c>
      <c r="BL40" s="91" t="n">
        <v>55761</v>
      </c>
      <c r="BM40" s="91">
        <f>SUM(BA40:BL40)</f>
        <v/>
      </c>
      <c r="BN40" s="91" t="n"/>
      <c r="BO40" s="91" t="n">
        <v>7699</v>
      </c>
      <c r="BP40" s="91" t="n">
        <v>21322</v>
      </c>
      <c r="BQ40" s="91" t="n"/>
      <c r="BR40" s="91" t="n">
        <v>78580</v>
      </c>
      <c r="BS40" s="91" t="inlineStr"/>
      <c r="BT40" s="91" t="n">
        <v>45100</v>
      </c>
      <c r="BU40" s="91" t="n">
        <v>42</v>
      </c>
      <c r="BV40" s="91" t="n">
        <v>957</v>
      </c>
      <c r="BW40" s="91" t="n">
        <v>497</v>
      </c>
      <c r="BX40" s="91" t="n">
        <v>0</v>
      </c>
      <c r="BY40" s="91" t="n"/>
      <c r="BZ40" s="91">
        <f>SUM(BN40:BY40)</f>
        <v/>
      </c>
      <c r="CA40" s="91" t="n">
        <v>38148</v>
      </c>
      <c r="CB40" s="91" t="inlineStr"/>
      <c r="CC40" s="91" t="n">
        <v>66127</v>
      </c>
      <c r="CD40" s="91" t="n">
        <v>97900</v>
      </c>
      <c r="CE40" s="91" t="n">
        <v>62984</v>
      </c>
      <c r="CF40" s="91" t="n">
        <v>28710</v>
      </c>
      <c r="CG40" s="91" t="n">
        <v>31825</v>
      </c>
      <c r="CH40" s="91" t="inlineStr"/>
      <c r="CI40" s="91" t="n">
        <v>3075</v>
      </c>
      <c r="CJ40" s="91" t="n">
        <v>120</v>
      </c>
      <c r="CK40" s="91" t="n">
        <v>203</v>
      </c>
      <c r="CL40" s="91" t="inlineStr"/>
      <c r="CM40" s="91">
        <f>SUM(CA40:CL40)</f>
        <v/>
      </c>
      <c r="CN40" s="91" t="n"/>
      <c r="CO40" s="91" t="n"/>
      <c r="CP40" s="91" t="n"/>
      <c r="CQ40" s="93" t="n"/>
      <c r="CR40" s="94" t="n"/>
      <c r="CS40" s="94" t="n"/>
      <c r="CT40" s="91" t="n"/>
      <c r="CU40" s="91" t="n"/>
      <c r="CV40" s="91" t="n"/>
      <c r="CW40" s="91" t="n"/>
      <c r="CX40" s="91" t="n"/>
      <c r="CY40" s="91" t="n"/>
      <c r="CZ40" s="91">
        <f>SUM(CN40:CY40)</f>
        <v/>
      </c>
      <c r="DA40" s="35" t="n"/>
    </row>
    <row r="41" ht="20" customFormat="1" customHeight="1" s="1">
      <c r="A41" s="30" t="n">
        <v>39</v>
      </c>
      <c r="B41" s="25" t="inlineStr">
        <is>
          <t>四川</t>
        </is>
      </c>
      <c r="C41" s="25" t="inlineStr">
        <is>
          <t>合江</t>
        </is>
      </c>
      <c r="D41" s="25" t="inlineStr">
        <is>
          <t>赵勇</t>
        </is>
      </c>
      <c r="E41" s="89" t="n"/>
      <c r="F41" s="27" t="inlineStr">
        <is>
          <t>2020/2022/2023/2025</t>
        </is>
      </c>
      <c r="G41" s="27" t="inlineStr">
        <is>
          <t>5/10/3/4/12/2/4/8/9</t>
        </is>
      </c>
      <c r="H41" s="90">
        <f>174446+4719+617+156+986+1019+33904+420+419+2903+126</f>
        <v/>
      </c>
      <c r="I41" s="91" t="n">
        <v>7614</v>
      </c>
      <c r="J41" s="91" t="n">
        <v>7626</v>
      </c>
      <c r="K41" s="91">
        <f>+H41+I41+J41</f>
        <v/>
      </c>
      <c r="L41" s="91" t="inlineStr">
        <is>
          <t>5折</t>
        </is>
      </c>
      <c r="M41" s="91" t="inlineStr"/>
      <c r="N41" s="91" t="n"/>
      <c r="O41" s="91" t="n"/>
      <c r="P41" s="91" t="n"/>
      <c r="Q41" s="91" t="n"/>
      <c r="R41" s="91" t="n"/>
      <c r="S41" s="91" t="n"/>
      <c r="T41" s="91" t="n"/>
      <c r="U41" s="91" t="n"/>
      <c r="V41" s="91" t="n"/>
      <c r="W41" s="91" t="n"/>
      <c r="X41" s="91" t="n"/>
      <c r="Y41" s="91" t="n"/>
      <c r="Z41" s="91" t="n"/>
      <c r="AA41" s="91" t="n"/>
      <c r="AB41" s="91" t="n"/>
      <c r="AC41" s="91" t="n">
        <v>13204</v>
      </c>
      <c r="AD41" s="91">
        <f>4149+3339</f>
        <v/>
      </c>
      <c r="AE41" s="91">
        <f>45871+4224</f>
        <v/>
      </c>
      <c r="AF41" s="91" t="n">
        <v>6981</v>
      </c>
      <c r="AG41" s="91" t="n">
        <v>1061</v>
      </c>
      <c r="AH41" s="91">
        <f>4762+3450</f>
        <v/>
      </c>
      <c r="AI41" s="91" t="n"/>
      <c r="AJ41" s="91">
        <f>38968+4674</f>
        <v/>
      </c>
      <c r="AK41" s="91">
        <f>7853+4086</f>
        <v/>
      </c>
      <c r="AL41" s="91">
        <f>33892+2946</f>
        <v/>
      </c>
      <c r="AM41" s="91">
        <f>SUM(AA41:AL41)</f>
        <v/>
      </c>
      <c r="AN41" s="91" t="n">
        <v>4240</v>
      </c>
      <c r="AO41" s="91" t="n">
        <v>17195</v>
      </c>
      <c r="AP41" s="91">
        <f>13137+26</f>
        <v/>
      </c>
      <c r="AQ41" s="91" t="n">
        <v>5158</v>
      </c>
      <c r="AR41" s="91" t="n">
        <v>49142</v>
      </c>
      <c r="AS41" s="91" t="n">
        <v>58993</v>
      </c>
      <c r="AT41" s="31" t="n">
        <v>38015</v>
      </c>
      <c r="AU41" s="31">
        <f>30436+2362</f>
        <v/>
      </c>
      <c r="AV41" s="31" t="n"/>
      <c r="AW41" s="36" t="n">
        <v>31025</v>
      </c>
      <c r="AX41" s="91" t="n">
        <v>21813</v>
      </c>
      <c r="AY41" s="31" t="n">
        <v>403</v>
      </c>
      <c r="AZ41" s="92">
        <f>SUM(AN41:AY41)</f>
        <v/>
      </c>
      <c r="BA41" s="91" t="n"/>
      <c r="BB41" s="30">
        <f>30+2088</f>
        <v/>
      </c>
      <c r="BC41" s="91" t="n">
        <v>5420</v>
      </c>
      <c r="BD41" s="91" t="n"/>
      <c r="BE41" s="91" t="n">
        <v>2432</v>
      </c>
      <c r="BF41" s="91" t="n">
        <v>13026</v>
      </c>
      <c r="BG41" s="91" t="n">
        <v>25457</v>
      </c>
      <c r="BH41" s="91" t="n">
        <v>26992</v>
      </c>
      <c r="BI41" s="91" t="n">
        <v>27364</v>
      </c>
      <c r="BJ41" s="91" t="n">
        <v>336</v>
      </c>
      <c r="BK41" s="91" t="n">
        <v>20851</v>
      </c>
      <c r="BL41" s="91" t="n">
        <v>2368</v>
      </c>
      <c r="BM41" s="91">
        <f>SUM(BA41:BL41)</f>
        <v/>
      </c>
      <c r="BN41" s="91" t="n">
        <v>3571</v>
      </c>
      <c r="BO41" s="91" t="n">
        <v>144</v>
      </c>
      <c r="BP41" s="91" t="n">
        <v>17548</v>
      </c>
      <c r="BQ41" s="91" t="n">
        <v>1122</v>
      </c>
      <c r="BR41" s="91" t="n">
        <v>65839</v>
      </c>
      <c r="BS41" s="91" t="n">
        <v>39283</v>
      </c>
      <c r="BT41" s="91" t="n">
        <v>3929</v>
      </c>
      <c r="BU41" s="91" t="n">
        <v>92581</v>
      </c>
      <c r="BV41" s="91" t="n">
        <v>9710</v>
      </c>
      <c r="BW41" s="91" t="n">
        <v>20710.99</v>
      </c>
      <c r="BX41" s="91" t="n">
        <v>21609.51</v>
      </c>
      <c r="BY41" s="91" t="n">
        <v>20648</v>
      </c>
      <c r="BZ41" s="91">
        <f>SUM(BN41:BY41)</f>
        <v/>
      </c>
      <c r="CA41" s="91" t="inlineStr"/>
      <c r="CB41" s="91">
        <f>15138.54+1958</f>
        <v/>
      </c>
      <c r="CC41" s="91" t="n">
        <v>45108.75</v>
      </c>
      <c r="CD41" s="91" t="n">
        <v>3016.89</v>
      </c>
      <c r="CE41" s="91" t="n">
        <v>23.6</v>
      </c>
      <c r="CF41" s="91" t="n">
        <v>31442.27</v>
      </c>
      <c r="CG41" s="91" t="n">
        <v>2910</v>
      </c>
      <c r="CH41" s="91" t="n">
        <v>3883</v>
      </c>
      <c r="CI41" s="91" t="n">
        <v>1052.2</v>
      </c>
      <c r="CJ41" s="91" t="n">
        <v>2292</v>
      </c>
      <c r="CK41" s="91" t="n">
        <v>18</v>
      </c>
      <c r="CL41" s="91" t="n">
        <v>7216</v>
      </c>
      <c r="CM41" s="91">
        <f>SUM(CA41:CL41)</f>
        <v/>
      </c>
      <c r="CN41" s="91" t="n"/>
      <c r="CO41" s="91" t="n"/>
      <c r="CP41" s="91" t="n"/>
      <c r="CQ41" s="93" t="n"/>
      <c r="CR41" s="94" t="n"/>
      <c r="CS41" s="94" t="n"/>
      <c r="CT41" s="91" t="n"/>
      <c r="CU41" s="91" t="n"/>
      <c r="CV41" s="91" t="n"/>
      <c r="CW41" s="91" t="n"/>
      <c r="CX41" s="91" t="n"/>
      <c r="CY41" s="91" t="n"/>
      <c r="CZ41" s="91">
        <f>SUM(CN41:CY41)</f>
        <v/>
      </c>
      <c r="DA41" s="35" t="n"/>
    </row>
    <row r="42" ht="20" customFormat="1" customHeight="1" s="2">
      <c r="A42" s="30" t="n">
        <v>40</v>
      </c>
      <c r="B42" s="25" t="inlineStr">
        <is>
          <t>内蒙古</t>
        </is>
      </c>
      <c r="C42" s="25" t="inlineStr">
        <is>
          <t>巴彦淖尔</t>
        </is>
      </c>
      <c r="D42" s="25" t="inlineStr">
        <is>
          <t>张春海</t>
        </is>
      </c>
      <c r="E42" s="89" t="n"/>
      <c r="F42" s="27" t="inlineStr">
        <is>
          <t>2020/2021/2022/2023/2024</t>
        </is>
      </c>
      <c r="G42" s="27" t="inlineStr">
        <is>
          <t>6/6/9/2/4/5/12/9</t>
        </is>
      </c>
      <c r="H42" s="90">
        <f>698+116253+1398+648+279+74090+781+442+651+2053+1399</f>
        <v/>
      </c>
      <c r="I42" s="91" t="n">
        <v>1600</v>
      </c>
      <c r="J42" s="91">
        <f>5961+2860</f>
        <v/>
      </c>
      <c r="K42" s="91">
        <f>+H42+I42+J42</f>
        <v/>
      </c>
      <c r="L42" s="91" t="inlineStr">
        <is>
          <t>5折/8.5折</t>
        </is>
      </c>
      <c r="M42" s="91" t="inlineStr"/>
      <c r="N42" s="91" t="n"/>
      <c r="O42" s="91" t="n"/>
      <c r="P42" s="91" t="n"/>
      <c r="Q42" s="91" t="n"/>
      <c r="R42" s="91" t="n"/>
      <c r="S42" s="91" t="n"/>
      <c r="T42" s="91" t="n"/>
      <c r="U42" s="91" t="n"/>
      <c r="V42" s="91" t="n"/>
      <c r="W42" s="91" t="n"/>
      <c r="X42" s="91" t="n"/>
      <c r="Y42" s="91" t="n"/>
      <c r="Z42" s="91" t="n"/>
      <c r="AA42" s="91" t="n">
        <v>1878</v>
      </c>
      <c r="AB42" s="91" t="n"/>
      <c r="AC42" s="91" t="n">
        <v>37025</v>
      </c>
      <c r="AD42" s="91">
        <f>28239+3702</f>
        <v/>
      </c>
      <c r="AE42" s="91" t="n">
        <v>11622</v>
      </c>
      <c r="AF42" s="91" t="n"/>
      <c r="AG42" s="30" t="n">
        <v>51587</v>
      </c>
      <c r="AH42" s="30" t="n"/>
      <c r="AI42" s="30" t="n">
        <v>130</v>
      </c>
      <c r="AJ42" s="30">
        <f>81850+2557</f>
        <v/>
      </c>
      <c r="AK42" s="30">
        <f>32406+6365</f>
        <v/>
      </c>
      <c r="AL42" s="30" t="n">
        <v>40517</v>
      </c>
      <c r="AM42" s="91">
        <f>SUM(AA42:AL42)</f>
        <v/>
      </c>
      <c r="AN42" s="91" t="n">
        <v>840</v>
      </c>
      <c r="AO42" s="91">
        <f>277+6107</f>
        <v/>
      </c>
      <c r="AP42" s="91">
        <f>22627+2537</f>
        <v/>
      </c>
      <c r="AQ42" s="91" t="n">
        <v>38082</v>
      </c>
      <c r="AR42" s="91" t="n">
        <v>59846</v>
      </c>
      <c r="AS42" s="91" t="n">
        <v>12120</v>
      </c>
      <c r="AT42" s="31" t="n">
        <v>18981</v>
      </c>
      <c r="AU42" s="31" t="n">
        <v>38334</v>
      </c>
      <c r="AV42" s="31" t="n">
        <v>32224</v>
      </c>
      <c r="AW42" s="36" t="n">
        <v>13140</v>
      </c>
      <c r="AX42" s="91" t="n"/>
      <c r="AY42" s="31" t="n">
        <v>100</v>
      </c>
      <c r="AZ42" s="92">
        <f>SUM(AN42:AY42)</f>
        <v/>
      </c>
      <c r="BA42" s="91" t="n"/>
      <c r="BB42" s="91" t="n"/>
      <c r="BC42" s="91" t="n">
        <v>63351</v>
      </c>
      <c r="BD42" s="91">
        <f>47982+3583</f>
        <v/>
      </c>
      <c r="BE42" s="91" t="n">
        <v>1892</v>
      </c>
      <c r="BF42" s="91" t="n">
        <v>36695</v>
      </c>
      <c r="BG42" s="91" t="n">
        <v>89</v>
      </c>
      <c r="BH42" s="91" t="n">
        <v>47750</v>
      </c>
      <c r="BI42" s="91" t="n">
        <v>21883</v>
      </c>
      <c r="BJ42" s="91" t="n">
        <v>27080</v>
      </c>
      <c r="BK42" s="91" t="n">
        <v>50180</v>
      </c>
      <c r="BL42" s="91" t="n">
        <v>26706</v>
      </c>
      <c r="BM42" s="91">
        <f>SUM(BA42:BL42)</f>
        <v/>
      </c>
      <c r="BN42" s="91" t="n">
        <v>423</v>
      </c>
      <c r="BO42" s="91" t="n"/>
      <c r="BP42" s="91" t="n">
        <v>956</v>
      </c>
      <c r="BQ42" s="91" t="n">
        <v>959</v>
      </c>
      <c r="BR42" s="91" t="n">
        <v>24999</v>
      </c>
      <c r="BS42" s="91" t="n">
        <v>38395</v>
      </c>
      <c r="BT42" s="91" t="n"/>
      <c r="BU42" s="91" t="n">
        <v>62659</v>
      </c>
      <c r="BV42" s="91" t="inlineStr"/>
      <c r="BW42" s="91" t="n">
        <v>48049</v>
      </c>
      <c r="BX42" s="91" t="n">
        <v>8989</v>
      </c>
      <c r="BY42" s="91" t="n">
        <v>731</v>
      </c>
      <c r="BZ42" s="91">
        <f>SUM(BN42:BY42)</f>
        <v/>
      </c>
      <c r="CA42" s="91" t="inlineStr"/>
      <c r="CB42" s="91">
        <f>155+6452</f>
        <v/>
      </c>
      <c r="CC42" s="91" t="n">
        <v>34739</v>
      </c>
      <c r="CD42" s="91" t="n">
        <v>37147</v>
      </c>
      <c r="CE42" s="91" t="n">
        <v>1997</v>
      </c>
      <c r="CF42" s="91" t="n"/>
      <c r="CG42" s="91" t="n"/>
      <c r="CH42" s="91" t="n">
        <v>9367</v>
      </c>
      <c r="CI42" s="91" t="n"/>
      <c r="CJ42" s="91" t="n">
        <v>239</v>
      </c>
      <c r="CK42" s="91" t="n"/>
      <c r="CL42" s="91" t="inlineStr"/>
      <c r="CM42" s="91">
        <f>SUM(CA42:CL42)</f>
        <v/>
      </c>
      <c r="CN42" s="91" t="n"/>
      <c r="CO42" s="91" t="n"/>
      <c r="CP42" s="91" t="n"/>
      <c r="CQ42" s="93" t="n"/>
      <c r="CR42" s="94" t="n"/>
      <c r="CS42" s="94" t="n"/>
      <c r="CT42" s="91" t="n"/>
      <c r="CU42" s="91" t="n"/>
      <c r="CV42" s="91" t="n"/>
      <c r="CW42" s="91" t="n"/>
      <c r="CX42" s="91" t="n"/>
      <c r="CY42" s="91" t="n"/>
      <c r="CZ42" s="91">
        <f>SUM(CN42:CY42)</f>
        <v/>
      </c>
      <c r="DA42" s="35" t="n"/>
    </row>
    <row r="43" ht="20" customFormat="1" customHeight="1" s="1">
      <c r="A43" s="30" t="n">
        <v>41</v>
      </c>
      <c r="B43" s="44" t="inlineStr">
        <is>
          <t>内蒙古</t>
        </is>
      </c>
      <c r="C43" s="44" t="inlineStr">
        <is>
          <t>呼和浩特</t>
        </is>
      </c>
      <c r="D43" s="44" t="inlineStr">
        <is>
          <t>张鹏飞</t>
        </is>
      </c>
      <c r="E43" s="89" t="n"/>
      <c r="F43" s="27" t="inlineStr">
        <is>
          <t>2022/2024/2025</t>
        </is>
      </c>
      <c r="G43" s="27" t="inlineStr">
        <is>
          <t>6/7/12/7/8/9/11/2/9/10</t>
        </is>
      </c>
      <c r="H43" s="90">
        <f>146860+12240+816+1399+464973+13419+33529+6284+7324+1760+84+8436+12239+537</f>
        <v/>
      </c>
      <c r="I43" s="91">
        <f>69722+13071+63789+4660</f>
        <v/>
      </c>
      <c r="J43" s="91" t="n">
        <v>2377</v>
      </c>
      <c r="K43" s="91">
        <f>+H43+I43+J43</f>
        <v/>
      </c>
      <c r="L43" s="91" t="inlineStr">
        <is>
          <t>6折</t>
        </is>
      </c>
      <c r="M43" s="91" t="inlineStr"/>
      <c r="N43" s="91" t="n"/>
      <c r="O43" s="91" t="n"/>
      <c r="P43" s="91" t="n"/>
      <c r="Q43" s="91" t="n"/>
      <c r="R43" s="91" t="n"/>
      <c r="S43" s="91" t="n"/>
      <c r="T43" s="91" t="n"/>
      <c r="U43" s="91" t="n"/>
      <c r="V43" s="91" t="n"/>
      <c r="W43" s="91" t="n"/>
      <c r="X43" s="91" t="n"/>
      <c r="Y43" s="91" t="n"/>
      <c r="Z43" s="91" t="n"/>
      <c r="AA43" s="91" t="n"/>
      <c r="AB43" s="91" t="n"/>
      <c r="AC43" s="91" t="n"/>
      <c r="AD43" s="91" t="n"/>
      <c r="AE43" s="91" t="n"/>
      <c r="AF43" s="91" t="n"/>
      <c r="AG43" s="30" t="n"/>
      <c r="AH43" s="30" t="n"/>
      <c r="AI43" s="30" t="n"/>
      <c r="AJ43" s="30" t="n"/>
      <c r="AK43" s="30" t="n"/>
      <c r="AL43" s="30" t="n"/>
      <c r="AM43" s="91" t="n"/>
      <c r="AN43" s="91" t="n"/>
      <c r="AO43" s="91" t="n"/>
      <c r="AP43" s="91" t="n"/>
      <c r="AQ43" s="91" t="n"/>
      <c r="AR43" s="91" t="n"/>
      <c r="AS43" s="91" t="n"/>
      <c r="AT43" s="31" t="n"/>
      <c r="AU43" s="31" t="n">
        <v>49966</v>
      </c>
      <c r="AV43" s="31" t="n">
        <v>47874</v>
      </c>
      <c r="AW43" s="36" t="n">
        <v>144213</v>
      </c>
      <c r="AX43" s="91" t="n"/>
      <c r="AY43" s="31" t="n">
        <v>212552</v>
      </c>
      <c r="AZ43" s="92">
        <f>SUM(AN43:AY43)</f>
        <v/>
      </c>
      <c r="BA43" s="91" t="n"/>
      <c r="BB43" s="91" t="n">
        <v>94543</v>
      </c>
      <c r="BC43" s="30" t="n">
        <v>210390</v>
      </c>
      <c r="BD43" s="91" t="n">
        <v>156033</v>
      </c>
      <c r="BE43" s="91" t="n">
        <v>241497</v>
      </c>
      <c r="BF43" s="91" t="n">
        <v>469832</v>
      </c>
      <c r="BG43" s="91" t="n">
        <v>28005</v>
      </c>
      <c r="BH43" s="91" t="n">
        <v>249815</v>
      </c>
      <c r="BI43" s="91" t="n">
        <v>309756</v>
      </c>
      <c r="BJ43" s="91" t="n">
        <v>153079</v>
      </c>
      <c r="BK43" s="91" t="n">
        <v>479342</v>
      </c>
      <c r="BL43" s="91" t="n">
        <v>1047219</v>
      </c>
      <c r="BM43" s="91">
        <f>SUM(BA43:BL43)</f>
        <v/>
      </c>
      <c r="BN43" s="91" t="n">
        <v>1912</v>
      </c>
      <c r="BO43" s="91">
        <f>155215-120685</f>
        <v/>
      </c>
      <c r="BP43" s="91">
        <f>406847-122406</f>
        <v/>
      </c>
      <c r="BQ43" s="91" t="n">
        <v>314809</v>
      </c>
      <c r="BR43" s="91" t="n">
        <v>305495</v>
      </c>
      <c r="BS43" s="91" t="n">
        <v>515995</v>
      </c>
      <c r="BT43" s="91">
        <f>2446+2090+317422.11</f>
        <v/>
      </c>
      <c r="BU43" s="91" t="n">
        <v>680281.03</v>
      </c>
      <c r="BV43" s="91" t="n">
        <v>528217.27</v>
      </c>
      <c r="BW43" s="91" t="n">
        <v>323066.58</v>
      </c>
      <c r="BX43" s="91" t="n">
        <v>306661.89</v>
      </c>
      <c r="BY43" s="91" t="n">
        <v>789730.28</v>
      </c>
      <c r="BZ43" s="91">
        <f>SUM(BN43:BY43)</f>
        <v/>
      </c>
      <c r="CA43" s="91" t="n">
        <v>43082.46</v>
      </c>
      <c r="CB43" s="91">
        <f>118901.58+2021</f>
        <v/>
      </c>
      <c r="CC43" s="91" t="n">
        <v>312010.35</v>
      </c>
      <c r="CD43" s="91" t="n">
        <v>412812.5</v>
      </c>
      <c r="CE43" s="91" t="n">
        <v>419677.74</v>
      </c>
      <c r="CF43" s="91" t="n">
        <v>120361.75</v>
      </c>
      <c r="CG43" s="91" t="n">
        <v>275231.94</v>
      </c>
      <c r="CH43" s="91" t="n">
        <v>440703.3</v>
      </c>
      <c r="CI43" s="91" t="n">
        <v>458307.4</v>
      </c>
      <c r="CJ43" s="91" t="n">
        <v>541318.6800000001</v>
      </c>
      <c r="CK43" s="91" t="n">
        <v>442204.45</v>
      </c>
      <c r="CL43" s="91" t="n">
        <v>390800.44</v>
      </c>
      <c r="CM43" s="91">
        <f>SUM(CA43:CL43)</f>
        <v/>
      </c>
      <c r="CN43" s="91" t="n"/>
      <c r="CO43" s="91" t="n"/>
      <c r="CP43" s="91" t="n"/>
      <c r="CQ43" s="93" t="n"/>
      <c r="CR43" s="94">
        <f>364563.85+4549</f>
        <v/>
      </c>
      <c r="CS43" s="94">
        <f>721417.38+7782</f>
        <v/>
      </c>
      <c r="CT43" s="91" t="n"/>
      <c r="CU43" s="91" t="n"/>
      <c r="CV43" s="91" t="n"/>
      <c r="CW43" s="91" t="n"/>
      <c r="CX43" s="91" t="n"/>
      <c r="CY43" s="91" t="n"/>
      <c r="CZ43" s="91">
        <f>SUM(CN43:CY43)</f>
        <v/>
      </c>
      <c r="DA43" s="35" t="n"/>
    </row>
    <row r="44" ht="20" customFormat="1" customHeight="1" s="1">
      <c r="A44" s="30" t="n">
        <v>42</v>
      </c>
      <c r="B44" s="37" t="inlineStr">
        <is>
          <t>青海</t>
        </is>
      </c>
      <c r="C44" s="37" t="inlineStr">
        <is>
          <t>西宁</t>
        </is>
      </c>
      <c r="D44" s="37" t="inlineStr">
        <is>
          <t>陈建磊</t>
        </is>
      </c>
      <c r="E44" s="89" t="n"/>
      <c r="F44" s="27" t="inlineStr">
        <is>
          <t>2021/2022/2023/2024/2025</t>
        </is>
      </c>
      <c r="G44" s="27" t="inlineStr">
        <is>
          <t>8/9/11/2/3/5/12/2/12/4/6</t>
        </is>
      </c>
      <c r="H44" s="90">
        <f>3138+89367+1090+50+3106+986+106+365+23222+1675+21+132</f>
        <v/>
      </c>
      <c r="I44" s="96">
        <f>1600+2230+16830+744</f>
        <v/>
      </c>
      <c r="J44" s="91">
        <f>5125+1380+2490</f>
        <v/>
      </c>
      <c r="K44" s="91">
        <f>+H44+I44+J44</f>
        <v/>
      </c>
      <c r="L44" s="91" t="inlineStr">
        <is>
          <t>5折</t>
        </is>
      </c>
      <c r="M44" s="91" t="inlineStr"/>
      <c r="N44" s="91" t="n"/>
      <c r="O44" s="91" t="n"/>
      <c r="P44" s="91" t="n"/>
      <c r="Q44" s="91" t="n"/>
      <c r="R44" s="91" t="n"/>
      <c r="S44" s="91" t="n"/>
      <c r="T44" s="91" t="n"/>
      <c r="U44" s="91" t="n"/>
      <c r="V44" s="91" t="n"/>
      <c r="W44" s="91" t="n"/>
      <c r="X44" s="91" t="n"/>
      <c r="Y44" s="91" t="n"/>
      <c r="Z44" s="91" t="n"/>
      <c r="AA44" s="91" t="n"/>
      <c r="AB44" s="91" t="n"/>
      <c r="AC44" s="91" t="n"/>
      <c r="AD44" s="91" t="n"/>
      <c r="AE44" s="91" t="n"/>
      <c r="AF44" s="91" t="n"/>
      <c r="AG44" s="91" t="n"/>
      <c r="AH44" s="91" t="n"/>
      <c r="AI44" s="91" t="n"/>
      <c r="AJ44" s="91" t="n">
        <v>5647</v>
      </c>
      <c r="AK44" s="91" t="n">
        <v>11612</v>
      </c>
      <c r="AL44" s="91">
        <f>73926+2013</f>
        <v/>
      </c>
      <c r="AM44" s="91">
        <f>SUM(AA44:AL44)</f>
        <v/>
      </c>
      <c r="AN44" s="91" t="n">
        <v>3813</v>
      </c>
      <c r="AO44" s="91" t="n">
        <v>18163</v>
      </c>
      <c r="AP44" s="91" t="n">
        <v>10360</v>
      </c>
      <c r="AQ44" s="91" t="n">
        <v>16814</v>
      </c>
      <c r="AR44" s="91" t="n">
        <v>10668</v>
      </c>
      <c r="AS44" s="91" t="n">
        <v>10248</v>
      </c>
      <c r="AT44" s="31" t="n">
        <v>14470</v>
      </c>
      <c r="AU44" s="31">
        <f>32746+5300</f>
        <v/>
      </c>
      <c r="AV44" s="31">
        <f>24454+22932</f>
        <v/>
      </c>
      <c r="AW44" s="36" t="n">
        <v>65182</v>
      </c>
      <c r="AX44" s="91" t="n"/>
      <c r="AY44" s="31" t="n">
        <v>1119</v>
      </c>
      <c r="AZ44" s="92">
        <f>SUM(AN44:AY44)</f>
        <v/>
      </c>
      <c r="BA44" s="91" t="n"/>
      <c r="BB44" s="91">
        <f>12860+8440+5851</f>
        <v/>
      </c>
      <c r="BC44" s="91">
        <f>43932+8919</f>
        <v/>
      </c>
      <c r="BD44" s="91" t="n">
        <v>13336</v>
      </c>
      <c r="BE44" s="91" t="n">
        <v>15507</v>
      </c>
      <c r="BF44" s="91" t="n">
        <v>14086</v>
      </c>
      <c r="BG44" s="91" t="n">
        <v>3703</v>
      </c>
      <c r="BH44" s="91" t="n">
        <v>68521</v>
      </c>
      <c r="BI44" s="91" t="n">
        <v>23870</v>
      </c>
      <c r="BJ44" s="91" t="n">
        <v>94171</v>
      </c>
      <c r="BK44" s="91" t="n">
        <v>3466</v>
      </c>
      <c r="BL44" s="91" t="n">
        <v>10842</v>
      </c>
      <c r="BM44" s="91">
        <f>SUM(BA44:BL44)</f>
        <v/>
      </c>
      <c r="BN44" s="91" t="n">
        <v>33</v>
      </c>
      <c r="BO44" s="91" t="n">
        <v>156</v>
      </c>
      <c r="BP44" s="91" t="n">
        <v>214859</v>
      </c>
      <c r="BQ44" s="91" t="n">
        <v>40744</v>
      </c>
      <c r="BR44" s="91" t="n">
        <v>8848</v>
      </c>
      <c r="BS44" s="91" t="n">
        <v>171029</v>
      </c>
      <c r="BT44" s="91" t="n">
        <v>21304</v>
      </c>
      <c r="BU44" s="91" t="n">
        <v>2940.64</v>
      </c>
      <c r="BV44" s="91" t="n">
        <v>187317.93</v>
      </c>
      <c r="BW44" s="91" t="n">
        <v>166656.55</v>
      </c>
      <c r="BX44" s="91" t="n">
        <v>355582.82</v>
      </c>
      <c r="BY44" s="91" t="n">
        <v>21159.71</v>
      </c>
      <c r="BZ44" s="91">
        <f>SUM(BN44:BY44)</f>
        <v/>
      </c>
      <c r="CA44" s="91" t="n">
        <v>30548</v>
      </c>
      <c r="CB44" s="91">
        <f>30802.88+2184</f>
        <v/>
      </c>
      <c r="CC44" s="91" t="n">
        <v>27717</v>
      </c>
      <c r="CD44" s="91" t="n">
        <v>73749.14999999999</v>
      </c>
      <c r="CE44" s="91" t="n">
        <v>31911.74</v>
      </c>
      <c r="CF44" s="91" t="n">
        <v>73772.69</v>
      </c>
      <c r="CG44" s="91" t="n">
        <v>142094.2</v>
      </c>
      <c r="CH44" s="91" t="n">
        <v>68702.77</v>
      </c>
      <c r="CI44" s="91" t="n">
        <v>3442.75</v>
      </c>
      <c r="CJ44" s="91" t="n">
        <v>44300.86</v>
      </c>
      <c r="CK44" s="91" t="n"/>
      <c r="CL44" s="91" t="inlineStr"/>
      <c r="CM44" s="91">
        <f>SUM(CA44:CL44)</f>
        <v/>
      </c>
      <c r="CN44" s="91" t="n"/>
      <c r="CO44" s="91" t="n"/>
      <c r="CP44" s="91" t="n"/>
      <c r="CQ44" s="93" t="n"/>
      <c r="CR44" s="94" t="n"/>
      <c r="CS44" s="94" t="n"/>
      <c r="CT44" s="91" t="n"/>
      <c r="CU44" s="91" t="n"/>
      <c r="CV44" s="91" t="n"/>
      <c r="CW44" s="91" t="n"/>
      <c r="CX44" s="91" t="n"/>
      <c r="CY44" s="91" t="n"/>
      <c r="CZ44" s="91">
        <f>SUM(CN44:CY44)</f>
        <v/>
      </c>
      <c r="DA44" s="35" t="n"/>
    </row>
    <row r="45" ht="20" customFormat="1" customHeight="1" s="2">
      <c r="A45" s="30" t="n">
        <v>43</v>
      </c>
      <c r="B45" s="37" t="inlineStr">
        <is>
          <t>四川</t>
        </is>
      </c>
      <c r="C45" s="37" t="inlineStr">
        <is>
          <t>蓬安</t>
        </is>
      </c>
      <c r="D45" s="37" t="inlineStr">
        <is>
          <t>唐虎</t>
        </is>
      </c>
      <c r="E45" s="89" t="n"/>
      <c r="F45" s="27" t="inlineStr">
        <is>
          <t>2021/2022/2023/2024</t>
        </is>
      </c>
      <c r="G45" s="27" t="inlineStr">
        <is>
          <t>7/9/3/4/1/2/6/11</t>
        </is>
      </c>
      <c r="H45" s="90">
        <f>74685+3802+346+611+743+60+343+348+1399</f>
        <v/>
      </c>
      <c r="I45" s="91" t="n">
        <v>1600</v>
      </c>
      <c r="J45" s="91" t="n"/>
      <c r="K45" s="91">
        <f>+H45+I45+J45</f>
        <v/>
      </c>
      <c r="L45" s="91" t="inlineStr">
        <is>
          <t>5折</t>
        </is>
      </c>
      <c r="M45" s="91" t="inlineStr"/>
      <c r="N45" s="91" t="n"/>
      <c r="O45" s="91" t="n"/>
      <c r="P45" s="91" t="n"/>
      <c r="Q45" s="91" t="n"/>
      <c r="R45" s="91" t="n"/>
      <c r="S45" s="91" t="n"/>
      <c r="T45" s="91" t="n"/>
      <c r="U45" s="91" t="n"/>
      <c r="V45" s="91" t="n"/>
      <c r="W45" s="91" t="n"/>
      <c r="X45" s="91" t="n"/>
      <c r="Y45" s="91" t="n"/>
      <c r="Z45" s="91" t="n"/>
      <c r="AA45" s="91" t="n"/>
      <c r="AB45" s="91" t="n"/>
      <c r="AC45" s="91" t="n"/>
      <c r="AD45" s="91" t="n"/>
      <c r="AE45" s="91" t="n"/>
      <c r="AF45" s="91" t="n"/>
      <c r="AG45" s="91" t="n"/>
      <c r="AH45" s="91" t="n"/>
      <c r="AI45" s="91" t="n"/>
      <c r="AJ45" s="91" t="n">
        <v>32848</v>
      </c>
      <c r="AK45" s="30" t="n">
        <v>19228</v>
      </c>
      <c r="AL45" s="91" t="n">
        <v>19748</v>
      </c>
      <c r="AM45" s="91">
        <f>SUM(AA45:AL45)</f>
        <v/>
      </c>
      <c r="AN45" s="91" t="n">
        <v>90</v>
      </c>
      <c r="AO45" s="91" t="n"/>
      <c r="AP45" s="91" t="n">
        <v>20897</v>
      </c>
      <c r="AQ45" s="91">
        <f>56321+1651</f>
        <v/>
      </c>
      <c r="AR45" s="91" t="n">
        <v>4806</v>
      </c>
      <c r="AS45" s="91" t="n">
        <v>28817</v>
      </c>
      <c r="AT45" s="31" t="n">
        <v>52681</v>
      </c>
      <c r="AU45" s="31" t="n"/>
      <c r="AV45" s="31" t="n">
        <v>21889</v>
      </c>
      <c r="AW45" s="36" t="n">
        <v>45783</v>
      </c>
      <c r="AX45" s="91" t="n">
        <v>109229</v>
      </c>
      <c r="AY45" s="31" t="n">
        <v>1140</v>
      </c>
      <c r="AZ45" s="92">
        <f>SUM(AN45:AY45)</f>
        <v/>
      </c>
      <c r="BA45" s="91" t="n"/>
      <c r="BB45" s="30" t="n">
        <v>775</v>
      </c>
      <c r="BC45" s="91">
        <f>67132+12141</f>
        <v/>
      </c>
      <c r="BD45" s="91" t="n">
        <v>28380</v>
      </c>
      <c r="BE45" s="91" t="n">
        <v>78021</v>
      </c>
      <c r="BF45" s="91" t="n">
        <v>109624</v>
      </c>
      <c r="BG45" s="91" t="n">
        <v>25186</v>
      </c>
      <c r="BH45" s="91" t="n">
        <v>43120</v>
      </c>
      <c r="BI45" s="91" t="n">
        <v>13939</v>
      </c>
      <c r="BJ45" s="91" t="n">
        <v>19394</v>
      </c>
      <c r="BK45" s="91" t="n">
        <v>59959</v>
      </c>
      <c r="BL45" s="91" t="n">
        <v>20928</v>
      </c>
      <c r="BM45" s="91">
        <f>SUM(BA45:BL45)</f>
        <v/>
      </c>
      <c r="BN45" s="91" t="n">
        <v>12410</v>
      </c>
      <c r="BO45" s="91" t="n"/>
      <c r="BP45" s="91" t="n">
        <v>79258</v>
      </c>
      <c r="BQ45" s="91" t="n">
        <v>55786</v>
      </c>
      <c r="BR45" s="91" t="n">
        <v>17033</v>
      </c>
      <c r="BS45" s="91" t="n">
        <v>35</v>
      </c>
      <c r="BT45" s="91">
        <f>1230+17159.24</f>
        <v/>
      </c>
      <c r="BU45" s="91" t="n"/>
      <c r="BV45" s="91" t="inlineStr"/>
      <c r="BW45" s="91" t="inlineStr"/>
      <c r="BX45" s="91" t="n"/>
      <c r="BY45" s="91" t="n"/>
      <c r="BZ45" s="91">
        <f>SUM(BN45:BY45)</f>
        <v/>
      </c>
      <c r="CA45" s="91" t="inlineStr"/>
      <c r="CB45" s="91" t="inlineStr"/>
      <c r="CC45" s="91" t="inlineStr"/>
      <c r="CD45" s="91" t="n"/>
      <c r="CE45" s="91" t="n"/>
      <c r="CF45" s="91" t="n"/>
      <c r="CG45" s="91" t="n"/>
      <c r="CH45" s="91" t="inlineStr"/>
      <c r="CI45" s="91" t="n"/>
      <c r="CJ45" s="91" t="inlineStr"/>
      <c r="CK45" s="91" t="n"/>
      <c r="CL45" s="91" t="inlineStr"/>
      <c r="CM45" s="91">
        <f>SUM(CA45:CL45)</f>
        <v/>
      </c>
      <c r="CN45" s="91" t="n"/>
      <c r="CO45" s="91" t="n"/>
      <c r="CP45" s="91" t="n"/>
      <c r="CQ45" s="93" t="n"/>
      <c r="CR45" s="94" t="n"/>
      <c r="CS45" s="94" t="n"/>
      <c r="CT45" s="91" t="n"/>
      <c r="CU45" s="91" t="n"/>
      <c r="CV45" s="91" t="n"/>
      <c r="CW45" s="91" t="n"/>
      <c r="CX45" s="91" t="n"/>
      <c r="CY45" s="91" t="n"/>
      <c r="CZ45" s="91">
        <f>SUM(CN45:CY45)</f>
        <v/>
      </c>
      <c r="DA45" s="35" t="n"/>
    </row>
    <row r="46" ht="20" customFormat="1" customHeight="1" s="2">
      <c r="A46" s="30" t="n">
        <v>44</v>
      </c>
      <c r="B46" s="37" t="inlineStr">
        <is>
          <t>陕西</t>
        </is>
      </c>
      <c r="C46" s="37" t="inlineStr">
        <is>
          <t>山阳</t>
        </is>
      </c>
      <c r="D46" s="37" t="inlineStr">
        <is>
          <t>阮国政</t>
        </is>
      </c>
      <c r="E46" s="89" t="n"/>
      <c r="F46" s="27" t="inlineStr">
        <is>
          <t>2021/2022/2024/2025</t>
        </is>
      </c>
      <c r="G46" s="27" t="inlineStr">
        <is>
          <t>7/10/3/5/12/3/6</t>
        </is>
      </c>
      <c r="H46" s="90">
        <f>130628+752+726+986+539+1399+4981+6300.02+418</f>
        <v/>
      </c>
      <c r="I46" s="91">
        <f>3194+15392+3331</f>
        <v/>
      </c>
      <c r="J46" s="91" t="n">
        <v>600</v>
      </c>
      <c r="K46" s="91">
        <f>+H46+I46+J46</f>
        <v/>
      </c>
      <c r="L46" s="91" t="inlineStr">
        <is>
          <t>5折</t>
        </is>
      </c>
      <c r="M46" s="91" t="inlineStr"/>
      <c r="N46" s="91" t="n"/>
      <c r="O46" s="91" t="n"/>
      <c r="P46" s="91" t="n"/>
      <c r="Q46" s="91" t="n"/>
      <c r="R46" s="91" t="n"/>
      <c r="S46" s="91" t="n"/>
      <c r="T46" s="91" t="n"/>
      <c r="U46" s="91" t="n"/>
      <c r="V46" s="91" t="n"/>
      <c r="W46" s="91" t="n"/>
      <c r="X46" s="91" t="n"/>
      <c r="Y46" s="91" t="n"/>
      <c r="Z46" s="91" t="n"/>
      <c r="AA46" s="91" t="n"/>
      <c r="AB46" s="91" t="n"/>
      <c r="AC46" s="91" t="n"/>
      <c r="AD46" s="91" t="n"/>
      <c r="AE46" s="91" t="n"/>
      <c r="AF46" s="91" t="n"/>
      <c r="AG46" s="91" t="n"/>
      <c r="AH46" s="91" t="n">
        <v>5119</v>
      </c>
      <c r="AI46" s="91" t="n"/>
      <c r="AJ46" s="91" t="n"/>
      <c r="AK46" s="30" t="n">
        <v>15473</v>
      </c>
      <c r="AL46" s="91" t="n"/>
      <c r="AM46" s="91">
        <f>SUM(AA46:AL46)</f>
        <v/>
      </c>
      <c r="AN46" s="91" t="n"/>
      <c r="AO46" s="91" t="n"/>
      <c r="AP46" s="91" t="n">
        <v>28543</v>
      </c>
      <c r="AQ46" s="91" t="n">
        <v>8923</v>
      </c>
      <c r="AR46" s="91" t="n">
        <v>24462</v>
      </c>
      <c r="AS46" s="91" t="n">
        <v>53725</v>
      </c>
      <c r="AT46" s="31" t="n">
        <v>72891</v>
      </c>
      <c r="AU46" s="31" t="n"/>
      <c r="AV46" s="31" t="n">
        <v>26454</v>
      </c>
      <c r="AW46" s="36" t="n"/>
      <c r="AX46" s="91" t="n">
        <v>51218</v>
      </c>
      <c r="AY46" s="31" t="n">
        <v>11765</v>
      </c>
      <c r="AZ46" s="92">
        <f>SUM(AN46:AY46)</f>
        <v/>
      </c>
      <c r="BA46" s="91" t="n"/>
      <c r="BB46" s="91" t="n"/>
      <c r="BC46" s="91">
        <f>50420+2394</f>
        <v/>
      </c>
      <c r="BD46" s="91" t="n">
        <v>140161</v>
      </c>
      <c r="BE46" s="91" t="n">
        <v>73410</v>
      </c>
      <c r="BF46" s="91" t="n">
        <v>60737</v>
      </c>
      <c r="BG46" s="91" t="n">
        <v>101329</v>
      </c>
      <c r="BH46" s="91" t="n">
        <v>29434</v>
      </c>
      <c r="BI46" s="91" t="n">
        <v>49845</v>
      </c>
      <c r="BJ46" s="91" t="n">
        <v>128677</v>
      </c>
      <c r="BK46" s="91" t="n">
        <v>53471</v>
      </c>
      <c r="BL46" s="91" t="n">
        <v>20796</v>
      </c>
      <c r="BM46" s="91">
        <f>SUM(BA46:BL46)</f>
        <v/>
      </c>
      <c r="BN46" s="91" t="n">
        <v>50659</v>
      </c>
      <c r="BO46" s="91" t="n"/>
      <c r="BP46" s="91" t="n">
        <v>26936</v>
      </c>
      <c r="BQ46" s="91" t="n">
        <v>4210</v>
      </c>
      <c r="BR46" s="91" t="n">
        <v>97199</v>
      </c>
      <c r="BS46" s="91" t="n">
        <v>81603</v>
      </c>
      <c r="BT46" s="91">
        <f>521+18601.66</f>
        <v/>
      </c>
      <c r="BU46" s="91" t="n">
        <v>25.96</v>
      </c>
      <c r="BV46" s="91" t="n">
        <v>35988.53</v>
      </c>
      <c r="BW46" s="91" t="inlineStr"/>
      <c r="BX46" s="91" t="n">
        <v>52279.53</v>
      </c>
      <c r="BY46" s="91" t="n"/>
      <c r="BZ46" s="91">
        <f>SUM(BN46:BY46)</f>
        <v/>
      </c>
      <c r="CA46" s="91" t="inlineStr"/>
      <c r="CB46" s="91" t="inlineStr"/>
      <c r="CC46" s="91" t="inlineStr"/>
      <c r="CD46" s="91" t="n">
        <v>962.7</v>
      </c>
      <c r="CE46" s="91" t="n"/>
      <c r="CF46" s="91" t="n"/>
      <c r="CG46" s="91" t="n"/>
      <c r="CH46" s="91" t="n">
        <v>123908.58</v>
      </c>
      <c r="CI46" s="91" t="n">
        <v>33431.96</v>
      </c>
      <c r="CJ46" s="91" t="n">
        <v>19889.51</v>
      </c>
      <c r="CK46" s="91" t="n"/>
      <c r="CL46" s="91" t="n">
        <v>30961.06</v>
      </c>
      <c r="CM46" s="91">
        <f>SUM(CA46:CL46)</f>
        <v/>
      </c>
      <c r="CN46" s="91" t="n"/>
      <c r="CO46" s="91" t="n"/>
      <c r="CP46" s="91" t="n"/>
      <c r="CQ46" s="93" t="n"/>
      <c r="CR46" s="94" t="n"/>
      <c r="CS46" s="94" t="n"/>
      <c r="CT46" s="91" t="n"/>
      <c r="CU46" s="91" t="n"/>
      <c r="CV46" s="91" t="n"/>
      <c r="CW46" s="91" t="n"/>
      <c r="CX46" s="91" t="n"/>
      <c r="CY46" s="91" t="n"/>
      <c r="CZ46" s="91">
        <f>SUM(CN46:CY46)</f>
        <v/>
      </c>
      <c r="DA46" s="35" t="n"/>
    </row>
    <row r="47" ht="20" customFormat="1" customHeight="1" s="1">
      <c r="A47" s="30" t="n">
        <v>45</v>
      </c>
      <c r="B47" s="37" t="inlineStr">
        <is>
          <t>吉林</t>
        </is>
      </c>
      <c r="C47" s="37" t="inlineStr">
        <is>
          <t>四平</t>
        </is>
      </c>
      <c r="D47" s="37" t="inlineStr">
        <is>
          <t>孙洪亮</t>
        </is>
      </c>
      <c r="E47" s="89" t="n"/>
      <c r="F47" s="27" t="inlineStr">
        <is>
          <t>2021/2022/2023/2024/2025</t>
        </is>
      </c>
      <c r="G47" s="27" t="inlineStr">
        <is>
          <t>2/9/3/5/12/9/3/4/5/12/3</t>
        </is>
      </c>
      <c r="H47" s="90">
        <f>152220+72+648+1067+533+986+636+651+472+336+46056+11821+57003+786+580+126+84</f>
        <v/>
      </c>
      <c r="I47" s="91">
        <f>1600+2079</f>
        <v/>
      </c>
      <c r="J47" s="91" t="n"/>
      <c r="K47" s="91">
        <f>+H47+I47+J47</f>
        <v/>
      </c>
      <c r="L47" s="91" t="inlineStr">
        <is>
          <t>5折</t>
        </is>
      </c>
      <c r="M47" s="91" t="inlineStr"/>
      <c r="N47" s="91" t="n"/>
      <c r="O47" s="91" t="n"/>
      <c r="P47" s="91" t="n"/>
      <c r="Q47" s="91" t="n"/>
      <c r="R47" s="91" t="n"/>
      <c r="S47" s="91" t="n"/>
      <c r="T47" s="91" t="n"/>
      <c r="U47" s="91" t="n"/>
      <c r="V47" s="91" t="n"/>
      <c r="W47" s="91" t="n"/>
      <c r="X47" s="91" t="n"/>
      <c r="Y47" s="91" t="n"/>
      <c r="Z47" s="91" t="n"/>
      <c r="AA47" s="91" t="n"/>
      <c r="AB47" s="91" t="n"/>
      <c r="AC47" s="91" t="n"/>
      <c r="AD47" s="91" t="n">
        <v>27726</v>
      </c>
      <c r="AE47" s="91" t="n"/>
      <c r="AF47" s="91" t="n"/>
      <c r="AG47" s="30" t="n">
        <v>58045</v>
      </c>
      <c r="AH47" s="30">
        <f>52193+1530</f>
        <v/>
      </c>
      <c r="AI47" s="30" t="n">
        <v>6013</v>
      </c>
      <c r="AJ47" s="30" t="n">
        <v>103471</v>
      </c>
      <c r="AK47" s="30" t="n">
        <v>79664</v>
      </c>
      <c r="AL47" s="30" t="n">
        <v>59673</v>
      </c>
      <c r="AM47" s="91">
        <f>SUM(AA47:AL47)</f>
        <v/>
      </c>
      <c r="AN47" s="91" t="n">
        <v>22373</v>
      </c>
      <c r="AO47" s="91" t="n"/>
      <c r="AP47" s="91" t="n">
        <v>4688</v>
      </c>
      <c r="AQ47" s="91" t="n"/>
      <c r="AR47" s="91" t="n">
        <v>17095</v>
      </c>
      <c r="AS47" s="91" t="n"/>
      <c r="AT47" s="31" t="n">
        <v>44246</v>
      </c>
      <c r="AU47" s="31" t="n">
        <v>23858</v>
      </c>
      <c r="AV47" s="31" t="n">
        <v>369</v>
      </c>
      <c r="AW47" s="36" t="n">
        <v>96945</v>
      </c>
      <c r="AX47" s="91" t="n">
        <v>17845</v>
      </c>
      <c r="AY47" s="31" t="n">
        <v>54396</v>
      </c>
      <c r="AZ47" s="92">
        <f>SUM(AN47:AY47)</f>
        <v/>
      </c>
      <c r="BA47" s="91" t="n"/>
      <c r="BB47" s="91" t="n">
        <v>38285</v>
      </c>
      <c r="BC47" s="91">
        <f>137028+1257</f>
        <v/>
      </c>
      <c r="BD47" s="91" t="n">
        <v>2055</v>
      </c>
      <c r="BE47" s="91" t="n"/>
      <c r="BF47" s="91" t="n">
        <v>64648</v>
      </c>
      <c r="BG47" s="91" t="n">
        <v>318</v>
      </c>
      <c r="BH47" s="91" t="n">
        <v>47999</v>
      </c>
      <c r="BI47" s="91" t="n">
        <v>116634</v>
      </c>
      <c r="BJ47" s="91" t="n">
        <v>40609</v>
      </c>
      <c r="BK47" s="91" t="n">
        <v>73940</v>
      </c>
      <c r="BL47" s="91" t="n">
        <v>113978</v>
      </c>
      <c r="BM47" s="91">
        <f>SUM(BA47:BL47)</f>
        <v/>
      </c>
      <c r="BN47" s="91" t="n">
        <v>54233</v>
      </c>
      <c r="BO47" s="91" t="n">
        <v>63806</v>
      </c>
      <c r="BP47" s="91" t="n">
        <v>36457</v>
      </c>
      <c r="BQ47" s="91" t="n">
        <v>42629</v>
      </c>
      <c r="BR47" s="91" t="n">
        <v>5753</v>
      </c>
      <c r="BS47" s="91" t="n">
        <v>126989</v>
      </c>
      <c r="BT47" s="91" t="n">
        <v>39594</v>
      </c>
      <c r="BU47" s="91" t="n">
        <v>511</v>
      </c>
      <c r="BV47" s="91" t="n">
        <v>21769.71</v>
      </c>
      <c r="BW47" s="91" t="n">
        <v>64435.89</v>
      </c>
      <c r="BX47" s="91" t="n">
        <v>64168.29</v>
      </c>
      <c r="BY47" s="91" t="n">
        <v>5296.18</v>
      </c>
      <c r="BZ47" s="91">
        <f>SUM(BN47:BY47)</f>
        <v/>
      </c>
      <c r="CA47" s="91" t="n">
        <v>1309.2</v>
      </c>
      <c r="CB47" s="91" t="n">
        <v>1132.19</v>
      </c>
      <c r="CC47" s="91" t="n">
        <v>770.24</v>
      </c>
      <c r="CD47" s="91" t="n"/>
      <c r="CE47" s="91" t="n">
        <v>90643.63</v>
      </c>
      <c r="CF47" s="91" t="n">
        <v>128962.94</v>
      </c>
      <c r="CG47" s="91" t="n">
        <v>10672.48</v>
      </c>
      <c r="CH47" s="91" t="n">
        <v>48961.46</v>
      </c>
      <c r="CI47" s="91" t="n">
        <v>3038.84</v>
      </c>
      <c r="CJ47" s="91" t="n">
        <v>66217.85000000001</v>
      </c>
      <c r="CK47" s="91" t="n">
        <v>8445.940000000001</v>
      </c>
      <c r="CL47" s="91" t="inlineStr"/>
      <c r="CM47" s="91">
        <f>SUM(CA47:CL47)</f>
        <v/>
      </c>
      <c r="CN47" s="91" t="n"/>
      <c r="CO47" s="91" t="n"/>
      <c r="CP47" s="91" t="n"/>
      <c r="CQ47" s="93" t="n"/>
      <c r="CR47" s="94" t="n"/>
      <c r="CS47" s="94" t="n"/>
      <c r="CT47" s="91" t="n"/>
      <c r="CU47" s="91" t="n"/>
      <c r="CV47" s="91" t="n"/>
      <c r="CW47" s="91" t="n"/>
      <c r="CX47" s="91" t="n"/>
      <c r="CY47" s="91" t="n"/>
      <c r="CZ47" s="91">
        <f>SUM(CN47:CY47)</f>
        <v/>
      </c>
      <c r="DA47" s="35" t="n"/>
    </row>
    <row r="48" ht="20" customFormat="1" customHeight="1" s="1">
      <c r="A48" s="30" t="n">
        <v>46</v>
      </c>
      <c r="B48" s="37" t="inlineStr">
        <is>
          <t>陕西</t>
        </is>
      </c>
      <c r="C48" s="37" t="inlineStr">
        <is>
          <t>泾阳</t>
        </is>
      </c>
      <c r="D48" s="37" t="inlineStr">
        <is>
          <t>艾伟朝</t>
        </is>
      </c>
      <c r="E48" s="89" t="n"/>
      <c r="F48" s="27" t="inlineStr">
        <is>
          <t>2021/2022/2024/2026</t>
        </is>
      </c>
      <c r="G48" s="27" t="inlineStr">
        <is>
          <t>10/11/3/12/4/5/11/4</t>
        </is>
      </c>
      <c r="H48" s="90">
        <f>97630+3340+156+477+756+1399+493+9962+7410+1031+282+6602+6602</f>
        <v/>
      </c>
      <c r="I48" s="91" t="n">
        <v>4948</v>
      </c>
      <c r="J48" s="91" t="n">
        <v>1870</v>
      </c>
      <c r="K48" s="91">
        <f>+H48+I48+J48</f>
        <v/>
      </c>
      <c r="L48" s="91" t="inlineStr">
        <is>
          <t>5折</t>
        </is>
      </c>
      <c r="M48" s="91" t="inlineStr"/>
      <c r="N48" s="91" t="n"/>
      <c r="O48" s="91" t="n"/>
      <c r="P48" s="91" t="n"/>
      <c r="Q48" s="91" t="n"/>
      <c r="R48" s="91" t="n"/>
      <c r="S48" s="91" t="n"/>
      <c r="T48" s="91" t="n"/>
      <c r="U48" s="91" t="n"/>
      <c r="V48" s="91" t="n"/>
      <c r="W48" s="91" t="n"/>
      <c r="X48" s="91" t="n"/>
      <c r="Y48" s="91" t="n"/>
      <c r="Z48" s="91" t="n"/>
      <c r="AA48" s="91" t="n"/>
      <c r="AB48" s="91" t="n"/>
      <c r="AC48" s="91" t="n"/>
      <c r="AD48" s="91" t="n"/>
      <c r="AE48" s="91" t="n"/>
      <c r="AF48" s="91" t="n"/>
      <c r="AG48" s="30" t="n"/>
      <c r="AH48" s="30" t="n"/>
      <c r="AI48" s="30" t="n"/>
      <c r="AJ48" s="30" t="n"/>
      <c r="AK48" s="30" t="n">
        <v>15935</v>
      </c>
      <c r="AL48" s="30" t="n"/>
      <c r="AM48" s="91">
        <f>SUM(AA48:AL48)</f>
        <v/>
      </c>
      <c r="AN48" s="91" t="n"/>
      <c r="AO48" s="91" t="n"/>
      <c r="AP48" s="91" t="n">
        <v>14435</v>
      </c>
      <c r="AQ48" s="91">
        <f>5979+12791</f>
        <v/>
      </c>
      <c r="AR48" s="91" t="n">
        <v>35002</v>
      </c>
      <c r="AS48" s="91" t="n">
        <v>46212</v>
      </c>
      <c r="AT48" s="31" t="n">
        <v>22106</v>
      </c>
      <c r="AU48" s="31" t="n">
        <v>25814</v>
      </c>
      <c r="AV48" s="31" t="n">
        <v>16396</v>
      </c>
      <c r="AW48" s="36" t="n">
        <v>28519</v>
      </c>
      <c r="AX48" s="91" t="n">
        <v>33287</v>
      </c>
      <c r="AY48" s="31" t="n">
        <v>20007</v>
      </c>
      <c r="AZ48" s="92">
        <f>SUM(AN48:AY48)</f>
        <v/>
      </c>
      <c r="BA48" s="91" t="n"/>
      <c r="BB48" s="30" t="n">
        <v>27832</v>
      </c>
      <c r="BC48" s="91" t="n">
        <v>6090</v>
      </c>
      <c r="BD48" s="91" t="n">
        <v>19966</v>
      </c>
      <c r="BE48" s="91" t="n">
        <v>23034</v>
      </c>
      <c r="BF48" s="91" t="n">
        <v>73</v>
      </c>
      <c r="BG48" s="91" t="n">
        <v>135728</v>
      </c>
      <c r="BH48" s="91" t="n">
        <v>16740</v>
      </c>
      <c r="BI48" s="91" t="n">
        <v>57496</v>
      </c>
      <c r="BJ48" s="91" t="n">
        <v>6097</v>
      </c>
      <c r="BK48" s="91" t="n">
        <v>5131</v>
      </c>
      <c r="BL48" s="91" t="n">
        <v>76644</v>
      </c>
      <c r="BM48" s="91">
        <f>SUM(BA48:BL48)</f>
        <v/>
      </c>
      <c r="BN48" s="91" t="n">
        <v>222</v>
      </c>
      <c r="BO48" s="91" t="n">
        <v>19467</v>
      </c>
      <c r="BP48" s="91" t="n">
        <v>46322</v>
      </c>
      <c r="BQ48" s="91" t="n">
        <v>19051</v>
      </c>
      <c r="BR48" s="91" t="n">
        <v>49468</v>
      </c>
      <c r="BS48" s="91" t="n">
        <v>37126</v>
      </c>
      <c r="BT48" s="91" t="n">
        <v>44</v>
      </c>
      <c r="BU48" s="91" t="n">
        <v>46298.07</v>
      </c>
      <c r="BV48" s="91" t="n">
        <v>18675.38</v>
      </c>
      <c r="BW48" s="91" t="n">
        <v>41462.89</v>
      </c>
      <c r="BX48" s="91" t="n">
        <v>31776.14</v>
      </c>
      <c r="BY48" s="91" t="n">
        <v>54443.07</v>
      </c>
      <c r="BZ48" s="91">
        <f>SUM(BN48:BY48)</f>
        <v/>
      </c>
      <c r="CA48" s="91" t="n">
        <v>643</v>
      </c>
      <c r="CB48" s="91" t="n">
        <v>541.5599999999999</v>
      </c>
      <c r="CC48" s="91" t="n">
        <v>34627.38</v>
      </c>
      <c r="CD48" s="91" t="n">
        <v>720.8</v>
      </c>
      <c r="CE48" s="91" t="n"/>
      <c r="CF48" s="91" t="n">
        <v>42266.52</v>
      </c>
      <c r="CG48" s="91" t="n"/>
      <c r="CH48" s="91" t="n">
        <v>21966.21</v>
      </c>
      <c r="CI48" s="91" t="n">
        <v>60131.17</v>
      </c>
      <c r="CJ48" s="91" t="n">
        <v>22876.39</v>
      </c>
      <c r="CK48" s="91" t="n">
        <v>15351.54</v>
      </c>
      <c r="CL48" s="91" t="n">
        <v>12850.58</v>
      </c>
      <c r="CM48" s="91">
        <f>SUM(CA48:CL48)</f>
        <v/>
      </c>
      <c r="CN48" s="91" t="n"/>
      <c r="CO48" s="91" t="n"/>
      <c r="CP48" s="91" t="n"/>
      <c r="CQ48" s="93" t="n"/>
      <c r="CR48" s="94" t="n"/>
      <c r="CS48" s="94" t="n"/>
      <c r="CT48" s="91" t="n"/>
      <c r="CU48" s="91" t="n"/>
      <c r="CV48" s="91" t="n"/>
      <c r="CW48" s="91" t="n"/>
      <c r="CX48" s="91" t="n"/>
      <c r="CY48" s="91" t="n"/>
      <c r="CZ48" s="91">
        <f>SUM(CN48:CY48)</f>
        <v/>
      </c>
      <c r="DA48" s="35" t="n"/>
    </row>
    <row r="49" ht="20" customFormat="1" customHeight="1" s="1">
      <c r="A49" s="30" t="n">
        <v>47</v>
      </c>
      <c r="B49" s="25" t="inlineStr">
        <is>
          <t>四川</t>
        </is>
      </c>
      <c r="C49" s="25" t="inlineStr">
        <is>
          <t>泸县</t>
        </is>
      </c>
      <c r="D49" s="25" t="inlineStr">
        <is>
          <t>姜凤超</t>
        </is>
      </c>
      <c r="E49" s="89" t="n"/>
      <c r="F49" s="27" t="inlineStr">
        <is>
          <t>2020</t>
        </is>
      </c>
      <c r="G49" s="27" t="inlineStr">
        <is>
          <t>3/10/11</t>
        </is>
      </c>
      <c r="H49" s="90">
        <f>134350+698+648+590+7640</f>
        <v/>
      </c>
      <c r="I49" s="91" t="n">
        <v>1600</v>
      </c>
      <c r="J49" s="91" t="n">
        <v>18904</v>
      </c>
      <c r="K49" s="91">
        <f>+H49+I49+J49</f>
        <v/>
      </c>
      <c r="L49" s="91" t="inlineStr">
        <is>
          <t>5折</t>
        </is>
      </c>
      <c r="M49" s="91" t="inlineStr"/>
      <c r="N49" s="91" t="n"/>
      <c r="O49" s="91" t="n"/>
      <c r="P49" s="91" t="n"/>
      <c r="Q49" s="91" t="n"/>
      <c r="R49" s="91" t="n"/>
      <c r="S49" s="91" t="n"/>
      <c r="T49" s="91" t="n"/>
      <c r="U49" s="91" t="n"/>
      <c r="V49" s="91" t="n"/>
      <c r="W49" s="91" t="n"/>
      <c r="X49" s="91" t="n"/>
      <c r="Y49" s="91" t="n"/>
      <c r="Z49" s="91" t="n"/>
      <c r="AA49" s="91" t="n">
        <v>137</v>
      </c>
      <c r="AB49" s="91" t="n"/>
      <c r="AC49" s="91" t="n">
        <v>45527</v>
      </c>
      <c r="AD49" s="91">
        <f>36362+4203</f>
        <v/>
      </c>
      <c r="AE49" s="91">
        <f>30418+9378</f>
        <v/>
      </c>
      <c r="AF49" s="30" t="n">
        <v>43872</v>
      </c>
      <c r="AG49" s="30" t="n">
        <v>56259</v>
      </c>
      <c r="AH49" s="30" t="n">
        <v>17041</v>
      </c>
      <c r="AI49" s="30" t="n">
        <v>114</v>
      </c>
      <c r="AJ49" s="30">
        <f>27476+10970</f>
        <v/>
      </c>
      <c r="AK49" s="30">
        <f>26454+10214</f>
        <v/>
      </c>
      <c r="AL49" s="30">
        <f>18001+7447</f>
        <v/>
      </c>
      <c r="AM49" s="91">
        <f>SUM(AA49:AL49)</f>
        <v/>
      </c>
      <c r="AN49" s="91" t="n">
        <v>175</v>
      </c>
      <c r="AO49" s="91">
        <f>5989+522</f>
        <v/>
      </c>
      <c r="AP49" s="91">
        <f>23930+6678</f>
        <v/>
      </c>
      <c r="AQ49" s="91" t="n">
        <v>28514</v>
      </c>
      <c r="AR49" s="91" t="n">
        <v>25957</v>
      </c>
      <c r="AS49" s="91" t="n">
        <v>32503</v>
      </c>
      <c r="AT49" s="31" t="n">
        <v>69297</v>
      </c>
      <c r="AU49" s="31">
        <f>2460+3246</f>
        <v/>
      </c>
      <c r="AV49" s="31" t="n">
        <v>3076</v>
      </c>
      <c r="AW49" s="36" t="n">
        <v>2387</v>
      </c>
      <c r="AX49" s="91" t="n">
        <v>42210</v>
      </c>
      <c r="AY49" s="31" t="n">
        <v>7031</v>
      </c>
      <c r="AZ49" s="92">
        <f>SUM(AN49:AY49)</f>
        <v/>
      </c>
      <c r="BA49" s="91" t="n"/>
      <c r="BB49" s="30">
        <f>205+3881</f>
        <v/>
      </c>
      <c r="BC49" s="91">
        <f>16785+2081</f>
        <v/>
      </c>
      <c r="BD49" s="91">
        <f>96+3081</f>
        <v/>
      </c>
      <c r="BE49" s="91" t="n"/>
      <c r="BF49" s="91" t="n">
        <v>2372</v>
      </c>
      <c r="BG49" s="91" t="n">
        <v>2372</v>
      </c>
      <c r="BH49" s="91" t="n"/>
      <c r="BI49" s="91" t="n">
        <v>67469</v>
      </c>
      <c r="BJ49" s="91" t="n">
        <v>6673</v>
      </c>
      <c r="BK49" s="91" t="n">
        <v>9113</v>
      </c>
      <c r="BL49" s="91" t="n">
        <v>14507</v>
      </c>
      <c r="BM49" s="91">
        <f>SUM(BA49:BL49)</f>
        <v/>
      </c>
      <c r="BN49" s="91" t="n">
        <v>660</v>
      </c>
      <c r="BO49" s="91" t="n">
        <v>616</v>
      </c>
      <c r="BP49" s="91" t="n">
        <v>5644</v>
      </c>
      <c r="BQ49" s="91" t="n">
        <v>2650</v>
      </c>
      <c r="BR49" s="91" t="inlineStr"/>
      <c r="BS49" s="91" t="inlineStr"/>
      <c r="BT49" s="91" t="n">
        <v>6827</v>
      </c>
      <c r="BU49" s="91" t="n"/>
      <c r="BV49" s="91" t="n">
        <v>1848</v>
      </c>
      <c r="BW49" s="91" t="n">
        <v>1530</v>
      </c>
      <c r="BX49" s="91" t="n">
        <v>1678</v>
      </c>
      <c r="BY49" s="91" t="n">
        <v>2595</v>
      </c>
      <c r="BZ49" s="91">
        <f>SUM(BN49:BY49)</f>
        <v/>
      </c>
      <c r="CA49" s="91" t="inlineStr"/>
      <c r="CB49" s="91" t="inlineStr"/>
      <c r="CC49" s="91" t="n">
        <v>10124</v>
      </c>
      <c r="CD49" s="91" t="n">
        <v>4735</v>
      </c>
      <c r="CE49" s="91" t="n">
        <v>16486</v>
      </c>
      <c r="CF49" s="91" t="n">
        <v>88</v>
      </c>
      <c r="CG49" s="91" t="n"/>
      <c r="CH49" s="91" t="n">
        <v>7962</v>
      </c>
      <c r="CI49" s="91" t="n">
        <v>6551</v>
      </c>
      <c r="CJ49" s="91" t="inlineStr"/>
      <c r="CK49" s="91" t="n"/>
      <c r="CL49" s="91" t="n">
        <v>8071</v>
      </c>
      <c r="CM49" s="91">
        <f>SUM(CA49:CL49)</f>
        <v/>
      </c>
      <c r="CN49" s="91" t="n"/>
      <c r="CO49" s="91" t="n"/>
      <c r="CP49" s="91" t="n"/>
      <c r="CQ49" s="93" t="n"/>
      <c r="CR49" s="94" t="n"/>
      <c r="CS49" s="94" t="n"/>
      <c r="CT49" s="91" t="n"/>
      <c r="CU49" s="91" t="n"/>
      <c r="CV49" s="91" t="n"/>
      <c r="CW49" s="91" t="n"/>
      <c r="CX49" s="91" t="n"/>
      <c r="CY49" s="91" t="n"/>
      <c r="CZ49" s="91">
        <f>SUM(CN49:CY49)</f>
        <v/>
      </c>
      <c r="DA49" s="35" t="n"/>
    </row>
    <row r="50" ht="20" customFormat="1" customHeight="1" s="2">
      <c r="A50" s="30" t="n">
        <v>48</v>
      </c>
      <c r="B50" s="37" t="inlineStr">
        <is>
          <t>湖南</t>
        </is>
      </c>
      <c r="C50" s="37" t="inlineStr">
        <is>
          <t>祁东</t>
        </is>
      </c>
      <c r="D50" s="37" t="inlineStr">
        <is>
          <t>江益蛟</t>
        </is>
      </c>
      <c r="E50" s="89" t="n"/>
      <c r="F50" s="27" t="inlineStr">
        <is>
          <t>2022/2024</t>
        </is>
      </c>
      <c r="G50" s="27" t="inlineStr">
        <is>
          <t>5/7/12/3</t>
        </is>
      </c>
      <c r="H50" s="90">
        <f>249514+405+196+651+9452</f>
        <v/>
      </c>
      <c r="I50" s="91" t="n">
        <v>1600</v>
      </c>
      <c r="J50" s="91" t="n">
        <v>5961</v>
      </c>
      <c r="K50" s="91">
        <f>+H50+I50+J50</f>
        <v/>
      </c>
      <c r="L50" s="91" t="inlineStr">
        <is>
          <t>5折</t>
        </is>
      </c>
      <c r="M50" s="91" t="inlineStr"/>
      <c r="N50" s="91" t="n"/>
      <c r="O50" s="91" t="n"/>
      <c r="P50" s="91" t="n"/>
      <c r="Q50" s="91" t="n"/>
      <c r="R50" s="91" t="n"/>
      <c r="S50" s="91" t="n"/>
      <c r="T50" s="91" t="n"/>
      <c r="U50" s="91" t="n"/>
      <c r="V50" s="91" t="n"/>
      <c r="W50" s="91" t="n"/>
      <c r="X50" s="91" t="n"/>
      <c r="Y50" s="91" t="n"/>
      <c r="Z50" s="91" t="n"/>
      <c r="AA50" s="91" t="n"/>
      <c r="AB50" s="91" t="n"/>
      <c r="AC50" s="91" t="n"/>
      <c r="AD50" s="91" t="n"/>
      <c r="AE50" s="91" t="n"/>
      <c r="AF50" s="91" t="n"/>
      <c r="AG50" s="30" t="n"/>
      <c r="AH50" s="30" t="n"/>
      <c r="AI50" s="30" t="n"/>
      <c r="AJ50" s="30" t="n"/>
      <c r="AK50" s="30" t="n"/>
      <c r="AL50" s="30" t="n"/>
      <c r="AM50" s="91" t="n"/>
      <c r="AN50" s="91" t="n"/>
      <c r="AO50" s="91" t="n"/>
      <c r="AP50" s="91" t="n"/>
      <c r="AQ50" s="91" t="n"/>
      <c r="AR50" s="91" t="n"/>
      <c r="AS50" s="91" t="n">
        <v>27329</v>
      </c>
      <c r="AT50" s="31" t="n">
        <v>660</v>
      </c>
      <c r="AU50" s="31" t="n">
        <v>53200</v>
      </c>
      <c r="AV50" s="31" t="n">
        <v>55671</v>
      </c>
      <c r="AW50" s="36" t="n">
        <v>58210</v>
      </c>
      <c r="AX50" s="91" t="n">
        <v>125339</v>
      </c>
      <c r="AY50" s="31" t="n">
        <v>41386</v>
      </c>
      <c r="AZ50" s="92">
        <f>SUM(AN50:AY50)</f>
        <v/>
      </c>
      <c r="BA50" s="91" t="n"/>
      <c r="BB50" s="30" t="n">
        <v>1569</v>
      </c>
      <c r="BC50" s="91" t="n">
        <v>57056</v>
      </c>
      <c r="BD50" s="91" t="n">
        <v>50734</v>
      </c>
      <c r="BE50" s="91" t="n">
        <v>109510</v>
      </c>
      <c r="BF50" s="91" t="n">
        <v>89146</v>
      </c>
      <c r="BG50" s="91" t="n">
        <v>83455</v>
      </c>
      <c r="BH50" s="91" t="n">
        <v>84988</v>
      </c>
      <c r="BI50" s="91" t="n">
        <v>6223</v>
      </c>
      <c r="BJ50" s="91" t="n">
        <v>3612</v>
      </c>
      <c r="BK50" s="91" t="n">
        <v>20128</v>
      </c>
      <c r="BL50" s="91" t="n">
        <v>2018</v>
      </c>
      <c r="BM50" s="91">
        <f>SUM(BA50:BL50)</f>
        <v/>
      </c>
      <c r="BN50" s="91" t="n">
        <v>434</v>
      </c>
      <c r="BO50" s="91" t="n"/>
      <c r="BP50" s="91" t="n">
        <v>4914</v>
      </c>
      <c r="BQ50" s="91" t="n">
        <v>28615</v>
      </c>
      <c r="BR50" s="91" t="n">
        <v>30980</v>
      </c>
      <c r="BS50" s="91" t="n">
        <v>52760</v>
      </c>
      <c r="BT50" s="91" t="n">
        <v>1982.61</v>
      </c>
      <c r="BU50" s="91" t="n">
        <v>12542.39</v>
      </c>
      <c r="BV50" s="91" t="n">
        <v>12809.08</v>
      </c>
      <c r="BW50" s="91" t="n">
        <v>9546.68</v>
      </c>
      <c r="BX50" s="91" t="n">
        <v>3750.63</v>
      </c>
      <c r="BY50" s="91" t="n"/>
      <c r="BZ50" s="91">
        <f>SUM(BN50:BY50)</f>
        <v/>
      </c>
      <c r="CA50" s="91" t="n">
        <v>4990</v>
      </c>
      <c r="CB50" s="91">
        <f>4990.12+4563</f>
        <v/>
      </c>
      <c r="CC50" s="91" t="n">
        <v>520</v>
      </c>
      <c r="CD50" s="91" t="n"/>
      <c r="CE50" s="91" t="n"/>
      <c r="CF50" s="91" t="n"/>
      <c r="CG50" s="91" t="n"/>
      <c r="CH50" s="91" t="inlineStr"/>
      <c r="CI50" s="91" t="n"/>
      <c r="CJ50" s="91" t="inlineStr"/>
      <c r="CK50" s="91" t="n"/>
      <c r="CL50" s="91" t="inlineStr"/>
      <c r="CM50" s="91">
        <f>SUM(CA50:CL50)</f>
        <v/>
      </c>
      <c r="CN50" s="91" t="n"/>
      <c r="CO50" s="91" t="n"/>
      <c r="CP50" s="91" t="n"/>
      <c r="CQ50" s="93" t="n"/>
      <c r="CR50" s="94" t="n"/>
      <c r="CS50" s="94" t="n"/>
      <c r="CT50" s="91" t="n"/>
      <c r="CU50" s="91" t="n"/>
      <c r="CV50" s="91" t="n"/>
      <c r="CW50" s="91" t="n"/>
      <c r="CX50" s="91" t="n"/>
      <c r="CY50" s="91" t="n"/>
      <c r="CZ50" s="91">
        <f>SUM(CN50:CY50)</f>
        <v/>
      </c>
      <c r="DA50" s="35" t="n"/>
    </row>
    <row r="51" ht="20" customFormat="1" customHeight="1" s="2">
      <c r="A51" s="30" t="n">
        <v>49</v>
      </c>
      <c r="B51" s="37" t="inlineStr">
        <is>
          <t>山西</t>
        </is>
      </c>
      <c r="C51" s="37" t="inlineStr">
        <is>
          <t>侯马</t>
        </is>
      </c>
      <c r="D51" s="37" t="inlineStr">
        <is>
          <t>马国玉</t>
        </is>
      </c>
      <c r="E51" s="89" t="n"/>
      <c r="F51" s="27" t="inlineStr">
        <is>
          <t>2021/2022/2024</t>
        </is>
      </c>
      <c r="G51" s="27" t="inlineStr">
        <is>
          <t>11/12/2/3/4/12</t>
        </is>
      </c>
      <c r="H51" s="90">
        <f>68311+533+1139+418+986+1061+1399+3597</f>
        <v/>
      </c>
      <c r="I51" s="91" t="n">
        <v>256</v>
      </c>
      <c r="J51" s="91" t="n"/>
      <c r="K51" s="91">
        <f>+H51+I51+J51</f>
        <v/>
      </c>
      <c r="L51" s="91" t="inlineStr">
        <is>
          <t>5折</t>
        </is>
      </c>
      <c r="M51" s="91" t="inlineStr"/>
      <c r="N51" s="91" t="n"/>
      <c r="O51" s="91" t="n"/>
      <c r="P51" s="91" t="n"/>
      <c r="Q51" s="91" t="n"/>
      <c r="R51" s="91" t="n"/>
      <c r="S51" s="91" t="n"/>
      <c r="T51" s="91" t="n"/>
      <c r="U51" s="91" t="n"/>
      <c r="V51" s="91" t="n"/>
      <c r="W51" s="91" t="n"/>
      <c r="X51" s="91" t="n"/>
      <c r="Y51" s="91" t="n"/>
      <c r="Z51" s="91" t="n"/>
      <c r="AA51" s="91" t="n"/>
      <c r="AB51" s="91" t="n"/>
      <c r="AC51" s="91" t="n"/>
      <c r="AD51" s="91" t="n"/>
      <c r="AE51" s="91" t="n"/>
      <c r="AF51" s="91" t="n"/>
      <c r="AG51" s="30" t="n"/>
      <c r="AH51" s="30" t="n"/>
      <c r="AI51" s="30" t="n"/>
      <c r="AJ51" s="30" t="n"/>
      <c r="AK51" s="30" t="n">
        <v>14178</v>
      </c>
      <c r="AL51" s="30" t="n"/>
      <c r="AM51" s="91">
        <f>SUM(AA51:AL51)</f>
        <v/>
      </c>
      <c r="AN51" s="91" t="n"/>
      <c r="AO51" s="91" t="n"/>
      <c r="AP51" s="91" t="n">
        <v>22767</v>
      </c>
      <c r="AQ51" s="91" t="n">
        <v>84695</v>
      </c>
      <c r="AR51" s="91" t="n">
        <v>466</v>
      </c>
      <c r="AS51" s="91">
        <f>3255+41685</f>
        <v/>
      </c>
      <c r="AT51" s="31" t="n">
        <v>463</v>
      </c>
      <c r="AU51" s="31">
        <f>1962+3217</f>
        <v/>
      </c>
      <c r="AV51" s="31" t="n">
        <v>198</v>
      </c>
      <c r="AW51" s="36" t="n">
        <v>28818</v>
      </c>
      <c r="AX51" s="91" t="n">
        <v>25138</v>
      </c>
      <c r="AY51" s="31" t="n">
        <v>26509</v>
      </c>
      <c r="AZ51" s="92">
        <f>SUM(AN51:AY51)</f>
        <v/>
      </c>
      <c r="BA51" s="91" t="n"/>
      <c r="BB51" s="30" t="n">
        <v>224</v>
      </c>
      <c r="BC51" s="91" t="n">
        <v>80</v>
      </c>
      <c r="BD51" s="91" t="n">
        <v>17416</v>
      </c>
      <c r="BE51" s="91" t="n">
        <v>21224</v>
      </c>
      <c r="BF51" s="91" t="n">
        <v>192</v>
      </c>
      <c r="BG51" s="91" t="n">
        <v>86</v>
      </c>
      <c r="BH51" s="91" t="n">
        <v>27670</v>
      </c>
      <c r="BI51" s="91" t="n"/>
      <c r="BJ51" s="91" t="n">
        <v>36</v>
      </c>
      <c r="BK51" s="91" t="n">
        <v>24776</v>
      </c>
      <c r="BL51" s="91" t="n">
        <v>79529</v>
      </c>
      <c r="BM51" s="91">
        <f>SUM(BA51:BL51)</f>
        <v/>
      </c>
      <c r="BN51" s="91" t="n">
        <v>1758</v>
      </c>
      <c r="BO51" s="91" t="n"/>
      <c r="BP51" s="91" t="n">
        <v>528</v>
      </c>
      <c r="BQ51" s="91" t="n">
        <v>201</v>
      </c>
      <c r="BR51" s="91" t="inlineStr"/>
      <c r="BS51" s="91" t="inlineStr"/>
      <c r="BT51" s="91" t="n">
        <v>35683</v>
      </c>
      <c r="BU51" s="91" t="n">
        <v>5593</v>
      </c>
      <c r="BV51" s="91" t="inlineStr"/>
      <c r="BW51" s="91" t="n">
        <v>36896</v>
      </c>
      <c r="BX51" s="91" t="n">
        <v>96849</v>
      </c>
      <c r="BY51" s="91" t="n">
        <v>5071</v>
      </c>
      <c r="BZ51" s="91">
        <f>SUM(BN51:BY51)</f>
        <v/>
      </c>
      <c r="CA51" s="91" t="n">
        <v>72</v>
      </c>
      <c r="CB51" s="91">
        <f>53616+4205</f>
        <v/>
      </c>
      <c r="CC51" s="91" t="n">
        <v>795</v>
      </c>
      <c r="CD51" s="91" t="n">
        <v>54</v>
      </c>
      <c r="CE51" s="91" t="n">
        <v>204</v>
      </c>
      <c r="CF51" s="91" t="n"/>
      <c r="CG51" s="91" t="n">
        <v>62</v>
      </c>
      <c r="CH51" s="91" t="inlineStr"/>
      <c r="CI51" s="91" t="n"/>
      <c r="CJ51" s="91" t="inlineStr"/>
      <c r="CK51" s="91" t="n"/>
      <c r="CL51" s="91" t="inlineStr"/>
      <c r="CM51" s="91">
        <f>SUM(CA51:CL51)</f>
        <v/>
      </c>
      <c r="CN51" s="91" t="n"/>
      <c r="CO51" s="91" t="n"/>
      <c r="CP51" s="91" t="n"/>
      <c r="CQ51" s="93" t="n"/>
      <c r="CR51" s="94" t="n"/>
      <c r="CS51" s="94" t="n"/>
      <c r="CT51" s="91" t="n"/>
      <c r="CU51" s="91" t="n"/>
      <c r="CV51" s="91" t="n"/>
      <c r="CW51" s="91" t="n"/>
      <c r="CX51" s="91" t="n"/>
      <c r="CY51" s="91" t="n"/>
      <c r="CZ51" s="91">
        <f>SUM(CN51:CY51)</f>
        <v/>
      </c>
      <c r="DA51" s="35" t="n"/>
    </row>
    <row r="52" ht="20" customFormat="1" customHeight="1" s="2">
      <c r="A52" s="30" t="n">
        <v>50</v>
      </c>
      <c r="B52" s="37" t="inlineStr">
        <is>
          <t>山西</t>
        </is>
      </c>
      <c r="C52" s="37" t="inlineStr">
        <is>
          <t>芮城</t>
        </is>
      </c>
      <c r="D52" s="37" t="inlineStr">
        <is>
          <t>李亚荣</t>
        </is>
      </c>
      <c r="E52" s="89" t="n"/>
      <c r="F52" s="27" t="inlineStr">
        <is>
          <t>2020/2021/2022/2024</t>
        </is>
      </c>
      <c r="G52" s="27" t="inlineStr">
        <is>
          <t>11/9/4/12/5/8/10/12</t>
        </is>
      </c>
      <c r="H52" s="90">
        <f>104983+648+1247+804+83372+1399</f>
        <v/>
      </c>
      <c r="I52" s="91" t="n">
        <v>1600</v>
      </c>
      <c r="J52" s="91">
        <f>2735+4173</f>
        <v/>
      </c>
      <c r="K52" s="91">
        <f>+H52+I52+J52</f>
        <v/>
      </c>
      <c r="L52" s="91" t="inlineStr">
        <is>
          <t>5折</t>
        </is>
      </c>
      <c r="M52" s="91" t="inlineStr"/>
      <c r="N52" s="91" t="n"/>
      <c r="O52" s="91" t="n"/>
      <c r="P52" s="91" t="n"/>
      <c r="Q52" s="91" t="n"/>
      <c r="R52" s="91" t="n"/>
      <c r="S52" s="91" t="n"/>
      <c r="T52" s="91" t="n"/>
      <c r="U52" s="91" t="n"/>
      <c r="V52" s="91" t="n"/>
      <c r="W52" s="91" t="n"/>
      <c r="X52" s="91" t="n"/>
      <c r="Y52" s="91" t="n"/>
      <c r="Z52" s="91" t="n"/>
      <c r="AA52" s="91" t="n"/>
      <c r="AB52" s="91" t="n"/>
      <c r="AC52" s="91" t="n"/>
      <c r="AD52" s="91">
        <f>72472+3402</f>
        <v/>
      </c>
      <c r="AE52" s="91">
        <f>21307+9555</f>
        <v/>
      </c>
      <c r="AF52" s="91" t="n">
        <v>27829</v>
      </c>
      <c r="AG52" s="30" t="n">
        <v>53278</v>
      </c>
      <c r="AH52" s="30">
        <f>58193+538</f>
        <v/>
      </c>
      <c r="AI52" s="30">
        <f>58454+7609+13696</f>
        <v/>
      </c>
      <c r="AJ52" s="30">
        <f>44951+5244</f>
        <v/>
      </c>
      <c r="AK52" s="30">
        <f>57608+2100</f>
        <v/>
      </c>
      <c r="AL52" s="30" t="n">
        <v>30576</v>
      </c>
      <c r="AM52" s="91">
        <f>SUM(AA52:AL52)</f>
        <v/>
      </c>
      <c r="AN52" s="91" t="n">
        <v>25537</v>
      </c>
      <c r="AO52" s="91" t="n">
        <v>272</v>
      </c>
      <c r="AP52" s="91">
        <f>23515+5323</f>
        <v/>
      </c>
      <c r="AQ52" s="91" t="n">
        <v>53355</v>
      </c>
      <c r="AR52" s="91" t="n">
        <v>38487</v>
      </c>
      <c r="AS52" s="91" t="n">
        <v>2820</v>
      </c>
      <c r="AT52" s="31" t="n">
        <v>32518</v>
      </c>
      <c r="AU52" s="31" t="n">
        <v>79</v>
      </c>
      <c r="AV52" s="31" t="n">
        <v>569</v>
      </c>
      <c r="AW52" s="36" t="n">
        <v>2063</v>
      </c>
      <c r="AX52" s="91" t="n">
        <v>23</v>
      </c>
      <c r="AY52" s="31" t="n">
        <v>22925</v>
      </c>
      <c r="AZ52" s="92">
        <f>SUM(AN52:AY52)</f>
        <v/>
      </c>
      <c r="BA52" s="91" t="n"/>
      <c r="BB52" s="83" t="n"/>
      <c r="BC52" s="91" t="n">
        <v>1381</v>
      </c>
      <c r="BD52" s="91" t="n">
        <v>25861</v>
      </c>
      <c r="BE52" s="91" t="n">
        <v>20218</v>
      </c>
      <c r="BF52" s="91" t="n">
        <v>52576</v>
      </c>
      <c r="BG52" s="91" t="n">
        <v>54005</v>
      </c>
      <c r="BH52" s="91" t="n">
        <v>650</v>
      </c>
      <c r="BI52" s="91" t="n"/>
      <c r="BJ52" s="91" t="n">
        <v>72431</v>
      </c>
      <c r="BK52" s="91" t="n">
        <v>59580</v>
      </c>
      <c r="BL52" s="91" t="n">
        <v>34686</v>
      </c>
      <c r="BM52" s="91">
        <f>SUM(BA52:BL52)</f>
        <v/>
      </c>
      <c r="BN52" s="91" t="n">
        <v>2495</v>
      </c>
      <c r="BO52" s="91" t="n"/>
      <c r="BP52" s="91" t="n"/>
      <c r="BQ52" s="91" t="n">
        <v>62407</v>
      </c>
      <c r="BR52" s="91" t="n">
        <v>34314</v>
      </c>
      <c r="BS52" s="91" t="n">
        <v>26015</v>
      </c>
      <c r="BT52" s="91" t="n">
        <v>43540</v>
      </c>
      <c r="BU52" s="91" t="n">
        <v>58208</v>
      </c>
      <c r="BV52" s="91" t="n">
        <v>199</v>
      </c>
      <c r="BW52" s="91" t="n">
        <v>9837</v>
      </c>
      <c r="BX52" s="91" t="n">
        <v>39206.41</v>
      </c>
      <c r="BY52" s="91" t="n">
        <v>2504.2</v>
      </c>
      <c r="BZ52" s="91">
        <f>SUM(BN52:BY52)</f>
        <v/>
      </c>
      <c r="CA52" s="91" t="n">
        <v>1241</v>
      </c>
      <c r="CB52" s="91" t="n">
        <v>1719.22</v>
      </c>
      <c r="CC52" s="91" t="n">
        <v>263.93</v>
      </c>
      <c r="CD52" s="91" t="n">
        <v>20624.73</v>
      </c>
      <c r="CE52" s="91" t="n">
        <v>30614.86</v>
      </c>
      <c r="CF52" s="91" t="n">
        <v>5010.47</v>
      </c>
      <c r="CG52" s="91" t="n">
        <v>15650.96</v>
      </c>
      <c r="CH52" s="91" t="inlineStr"/>
      <c r="CI52" s="91" t="n"/>
      <c r="CJ52" s="91" t="inlineStr"/>
      <c r="CK52" s="91" t="n">
        <v>31827.69</v>
      </c>
      <c r="CL52" s="91" t="n">
        <v>71.36</v>
      </c>
      <c r="CM52" s="91">
        <f>SUM(CA52:CL52)</f>
        <v/>
      </c>
      <c r="CN52" s="91" t="n"/>
      <c r="CO52" s="91" t="n"/>
      <c r="CP52" s="91" t="n"/>
      <c r="CQ52" s="93" t="n"/>
      <c r="CR52" s="94" t="n"/>
      <c r="CS52" s="94" t="n"/>
      <c r="CT52" s="91" t="n"/>
      <c r="CU52" s="91" t="n"/>
      <c r="CV52" s="91" t="n"/>
      <c r="CW52" s="91" t="n"/>
      <c r="CX52" s="91" t="n"/>
      <c r="CY52" s="91" t="n"/>
      <c r="CZ52" s="91">
        <f>SUM(CN52:CY52)</f>
        <v/>
      </c>
      <c r="DA52" s="35" t="n"/>
    </row>
    <row r="53" ht="20" customFormat="1" customHeight="1" s="1">
      <c r="A53" s="30" t="n">
        <v>51</v>
      </c>
      <c r="B53" s="37" t="inlineStr">
        <is>
          <t>陕西</t>
        </is>
      </c>
      <c r="C53" s="37" t="inlineStr">
        <is>
          <t>宝鸡</t>
        </is>
      </c>
      <c r="D53" s="37" t="inlineStr">
        <is>
          <t>李勇</t>
        </is>
      </c>
      <c r="E53" s="89" t="n"/>
      <c r="F53" s="27" t="inlineStr">
        <is>
          <t>2021/2022</t>
        </is>
      </c>
      <c r="G53" s="27" t="inlineStr">
        <is>
          <t>5/6/7/8/11/3/8/3</t>
        </is>
      </c>
      <c r="H53" s="90">
        <f>88372+6418+321+2094+729+250+251+1399+422</f>
        <v/>
      </c>
      <c r="I53" s="91" t="n">
        <v>3289</v>
      </c>
      <c r="J53" s="91" t="n">
        <v>4600</v>
      </c>
      <c r="K53" s="91">
        <f>+H53+I53+J53</f>
        <v/>
      </c>
      <c r="L53" s="91" t="inlineStr">
        <is>
          <t>5折</t>
        </is>
      </c>
      <c r="M53" s="91" t="inlineStr"/>
      <c r="N53" s="91" t="n"/>
      <c r="O53" s="91" t="n"/>
      <c r="P53" s="91" t="n"/>
      <c r="Q53" s="91" t="n"/>
      <c r="R53" s="91" t="n"/>
      <c r="S53" s="91" t="n"/>
      <c r="T53" s="91" t="n"/>
      <c r="U53" s="91" t="n"/>
      <c r="V53" s="91" t="n"/>
      <c r="W53" s="91" t="n"/>
      <c r="X53" s="91" t="n"/>
      <c r="Y53" s="91" t="n"/>
      <c r="Z53" s="91" t="n"/>
      <c r="AA53" s="91" t="n"/>
      <c r="AB53" s="91" t="n"/>
      <c r="AC53" s="91" t="n"/>
      <c r="AD53" s="91" t="n"/>
      <c r="AE53" s="91" t="n"/>
      <c r="AF53" s="91" t="n"/>
      <c r="AG53" s="30" t="n">
        <v>18540</v>
      </c>
      <c r="AH53" s="30">
        <f>25491+2968</f>
        <v/>
      </c>
      <c r="AI53" s="30" t="n"/>
      <c r="AJ53" s="30" t="n">
        <v>14752</v>
      </c>
      <c r="AK53" s="30" t="n">
        <v>34720</v>
      </c>
      <c r="AL53" s="30">
        <f>49800+9868</f>
        <v/>
      </c>
      <c r="AM53" s="91">
        <f>SUM(AA53:AL53)</f>
        <v/>
      </c>
      <c r="AN53" s="91" t="n"/>
      <c r="AO53" s="91" t="n">
        <v>35201</v>
      </c>
      <c r="AP53" s="91" t="n"/>
      <c r="AQ53" s="91" t="n">
        <v>21303</v>
      </c>
      <c r="AR53" s="91" t="n">
        <v>51</v>
      </c>
      <c r="AS53" s="91" t="n">
        <v>27078</v>
      </c>
      <c r="AT53" s="31" t="n">
        <v>35136</v>
      </c>
      <c r="AU53" s="31" t="n">
        <v>20300</v>
      </c>
      <c r="AV53" s="31" t="n">
        <v>29281</v>
      </c>
      <c r="AW53" s="36" t="n"/>
      <c r="AX53" s="91" t="n">
        <v>184</v>
      </c>
      <c r="AY53" s="31" t="n">
        <v>50905</v>
      </c>
      <c r="AZ53" s="92">
        <f>SUM(AN53:AY53)</f>
        <v/>
      </c>
      <c r="BA53" s="91" t="n"/>
      <c r="BB53" s="30">
        <f>35093+980</f>
        <v/>
      </c>
      <c r="BC53" s="91" t="n">
        <v>46366</v>
      </c>
      <c r="BD53" s="91" t="n">
        <v>17928</v>
      </c>
      <c r="BE53" s="91" t="n">
        <v>7301</v>
      </c>
      <c r="BF53" s="91" t="n"/>
      <c r="BG53" s="91" t="n">
        <v>10822</v>
      </c>
      <c r="BH53" s="91" t="n">
        <v>5458</v>
      </c>
      <c r="BI53" s="91" t="n">
        <v>2798</v>
      </c>
      <c r="BJ53" s="91" t="n">
        <v>32085</v>
      </c>
      <c r="BK53" s="91" t="n">
        <v>49393</v>
      </c>
      <c r="BL53" s="91" t="n">
        <v>27808</v>
      </c>
      <c r="BM53" s="91">
        <f>SUM(BA53:BL53)</f>
        <v/>
      </c>
      <c r="BN53" s="91" t="n">
        <v>806</v>
      </c>
      <c r="BO53" s="91" t="n">
        <v>166</v>
      </c>
      <c r="BP53" s="91" t="n">
        <v>5188</v>
      </c>
      <c r="BQ53" s="91" t="n">
        <v>1827</v>
      </c>
      <c r="BR53" s="91" t="n">
        <v>16983</v>
      </c>
      <c r="BS53" s="91" t="n">
        <v>3821</v>
      </c>
      <c r="BT53" s="91" t="n">
        <v>160</v>
      </c>
      <c r="BU53" s="91" t="n">
        <v>758</v>
      </c>
      <c r="BV53" s="91" t="inlineStr"/>
      <c r="BW53" s="91" t="n">
        <v>189</v>
      </c>
      <c r="BX53" s="91" t="n">
        <v>17</v>
      </c>
      <c r="BY53" s="91" t="n"/>
      <c r="BZ53" s="91">
        <f>SUM(BN53:BY53)</f>
        <v/>
      </c>
      <c r="CA53" s="91" t="inlineStr"/>
      <c r="CB53" s="91" t="inlineStr"/>
      <c r="CC53" s="91" t="inlineStr"/>
      <c r="CD53" s="91" t="n"/>
      <c r="CE53" s="91" t="n"/>
      <c r="CF53" s="91" t="n"/>
      <c r="CG53" s="91" t="n"/>
      <c r="CH53" s="91" t="inlineStr"/>
      <c r="CI53" s="91" t="n"/>
      <c r="CJ53" s="91" t="inlineStr"/>
      <c r="CK53" s="91" t="n"/>
      <c r="CL53" s="91" t="inlineStr"/>
      <c r="CM53" s="91">
        <f>SUM(CA53:CL53)</f>
        <v/>
      </c>
      <c r="CN53" s="91" t="n"/>
      <c r="CO53" s="91" t="n"/>
      <c r="CP53" s="91" t="n"/>
      <c r="CQ53" s="93" t="n"/>
      <c r="CR53" s="94" t="n"/>
      <c r="CS53" s="94" t="n"/>
      <c r="CT53" s="91" t="n"/>
      <c r="CU53" s="91" t="n"/>
      <c r="CV53" s="91" t="n"/>
      <c r="CW53" s="91" t="n"/>
      <c r="CX53" s="91" t="n"/>
      <c r="CY53" s="91" t="n"/>
      <c r="CZ53" s="91">
        <f>SUM(CN53:CY53)</f>
        <v/>
      </c>
      <c r="DA53" s="35" t="n"/>
    </row>
    <row r="54" ht="20" customFormat="1" customHeight="1" s="1">
      <c r="A54" s="30" t="n">
        <v>52</v>
      </c>
      <c r="B54" s="25" t="inlineStr">
        <is>
          <t>贵州</t>
        </is>
      </c>
      <c r="C54" s="25" t="inlineStr">
        <is>
          <t>绥阳</t>
        </is>
      </c>
      <c r="D54" s="25" t="inlineStr">
        <is>
          <t>李伦</t>
        </is>
      </c>
      <c r="E54" s="89" t="n"/>
      <c r="F54" s="27" t="inlineStr">
        <is>
          <t>2020/2021/2022</t>
        </is>
      </c>
      <c r="G54" s="27" t="inlineStr">
        <is>
          <t>8/9/3/5/12</t>
        </is>
      </c>
      <c r="H54" s="90">
        <f>937+141291+817+648+279+986+325</f>
        <v/>
      </c>
      <c r="I54" s="91" t="n">
        <v>6656</v>
      </c>
      <c r="J54" s="91" t="n">
        <v>5198</v>
      </c>
      <c r="K54" s="91">
        <f>+H54+I54+J54</f>
        <v/>
      </c>
      <c r="L54" s="91" t="inlineStr">
        <is>
          <t>6折</t>
        </is>
      </c>
      <c r="M54" s="91" t="inlineStr"/>
      <c r="N54" s="91" t="n"/>
      <c r="O54" s="91" t="n"/>
      <c r="P54" s="91" t="n"/>
      <c r="Q54" s="91" t="n"/>
      <c r="R54" s="91" t="n"/>
      <c r="S54" s="91" t="n"/>
      <c r="T54" s="91" t="n"/>
      <c r="U54" s="91" t="n"/>
      <c r="V54" s="91" t="n"/>
      <c r="W54" s="91" t="n"/>
      <c r="X54" s="91" t="n"/>
      <c r="Y54" s="91" t="n"/>
      <c r="Z54" s="91" t="n"/>
      <c r="AA54" s="91" t="n">
        <v>1153</v>
      </c>
      <c r="AB54" s="91" t="n"/>
      <c r="AC54" s="91" t="n">
        <v>40460</v>
      </c>
      <c r="AD54" s="91" t="n">
        <v>1573</v>
      </c>
      <c r="AE54" s="91" t="n">
        <v>540</v>
      </c>
      <c r="AF54" s="30" t="n">
        <v>57748</v>
      </c>
      <c r="AG54" s="30" t="n">
        <v>40501</v>
      </c>
      <c r="AH54" s="30">
        <f>36666+4119</f>
        <v/>
      </c>
      <c r="AI54" s="30">
        <f>25060+2315</f>
        <v/>
      </c>
      <c r="AJ54" s="30" t="n">
        <v>19912</v>
      </c>
      <c r="AK54" s="30">
        <f>32763+3889</f>
        <v/>
      </c>
      <c r="AL54" s="30">
        <f>2037+1290</f>
        <v/>
      </c>
      <c r="AM54" s="91">
        <f>SUM(AA54:AL54)</f>
        <v/>
      </c>
      <c r="AN54" s="91" t="n"/>
      <c r="AO54" s="91" t="n"/>
      <c r="AP54" s="91" t="n">
        <v>3870</v>
      </c>
      <c r="AQ54" s="91" t="n">
        <v>68079</v>
      </c>
      <c r="AR54" s="91" t="n">
        <v>22571</v>
      </c>
      <c r="AS54" s="91" t="n">
        <v>30157</v>
      </c>
      <c r="AT54" s="31" t="n">
        <v>19097</v>
      </c>
      <c r="AU54" s="31">
        <f>20215+2605</f>
        <v/>
      </c>
      <c r="AV54" s="31" t="n">
        <v>419</v>
      </c>
      <c r="AW54" s="36" t="n"/>
      <c r="AX54" s="91" t="n">
        <v>18974</v>
      </c>
      <c r="AY54" s="31" t="n">
        <v>24699</v>
      </c>
      <c r="AZ54" s="92">
        <f>SUM(AN54:AY54)</f>
        <v/>
      </c>
      <c r="BA54" s="91" t="n"/>
      <c r="BB54" s="30">
        <f>24940+2819</f>
        <v/>
      </c>
      <c r="BC54" s="91" t="n"/>
      <c r="BD54" s="91" t="n">
        <v>19280</v>
      </c>
      <c r="BE54" s="91" t="n">
        <v>18639</v>
      </c>
      <c r="BF54" s="91" t="n"/>
      <c r="BG54" s="91" t="n">
        <v>19559</v>
      </c>
      <c r="BH54" s="91" t="n">
        <v>20579</v>
      </c>
      <c r="BI54" s="91" t="n">
        <v>572</v>
      </c>
      <c r="BJ54" s="91" t="n">
        <v>38841</v>
      </c>
      <c r="BK54" s="91" t="n">
        <v>5052</v>
      </c>
      <c r="BL54" s="91" t="n">
        <v>23553</v>
      </c>
      <c r="BM54" s="91">
        <f>SUM(BA54:BL54)</f>
        <v/>
      </c>
      <c r="BN54" s="91" t="n"/>
      <c r="BO54" s="91" t="n">
        <v>113</v>
      </c>
      <c r="BP54" s="91" t="n">
        <v>17885</v>
      </c>
      <c r="BQ54" s="91" t="n"/>
      <c r="BR54" s="91" t="n">
        <v>29795</v>
      </c>
      <c r="BS54" s="91" t="inlineStr"/>
      <c r="BT54" s="91" t="n"/>
      <c r="BU54" s="91" t="n"/>
      <c r="BV54" s="91" t="inlineStr"/>
      <c r="BW54" s="91" t="inlineStr"/>
      <c r="BX54" s="91" t="n"/>
      <c r="BY54" s="91" t="n"/>
      <c r="BZ54" s="91">
        <f>SUM(BN54:BY54)</f>
        <v/>
      </c>
      <c r="CA54" s="91" t="inlineStr"/>
      <c r="CB54" s="91" t="inlineStr"/>
      <c r="CC54" s="91" t="inlineStr"/>
      <c r="CD54" s="91" t="n"/>
      <c r="CE54" s="91" t="n"/>
      <c r="CF54" s="91" t="n"/>
      <c r="CG54" s="91" t="n"/>
      <c r="CH54" s="91" t="inlineStr"/>
      <c r="CI54" s="91" t="n"/>
      <c r="CJ54" s="91" t="inlineStr"/>
      <c r="CK54" s="91" t="n"/>
      <c r="CL54" s="91" t="inlineStr"/>
      <c r="CM54" s="91">
        <f>SUM(CA54:CL54)</f>
        <v/>
      </c>
      <c r="CN54" s="91" t="n"/>
      <c r="CO54" s="91" t="n"/>
      <c r="CP54" s="91" t="n"/>
      <c r="CQ54" s="93" t="n"/>
      <c r="CR54" s="94" t="n"/>
      <c r="CS54" s="94" t="n"/>
      <c r="CT54" s="91" t="n"/>
      <c r="CU54" s="91" t="n"/>
      <c r="CV54" s="91" t="n"/>
      <c r="CW54" s="91" t="n"/>
      <c r="CX54" s="91" t="n"/>
      <c r="CY54" s="91" t="n"/>
      <c r="CZ54" s="91">
        <f>SUM(CN54:CY54)</f>
        <v/>
      </c>
      <c r="DA54" s="35" t="n"/>
    </row>
    <row r="55" ht="20" customFormat="1" customHeight="1" s="1">
      <c r="A55" s="30" t="n">
        <v>53</v>
      </c>
      <c r="B55" s="25" t="inlineStr">
        <is>
          <t>湖南</t>
        </is>
      </c>
      <c r="C55" s="37" t="inlineStr">
        <is>
          <t>郴州</t>
        </is>
      </c>
      <c r="D55" s="25" t="inlineStr">
        <is>
          <t>曹明香</t>
        </is>
      </c>
      <c r="E55" s="89" t="n"/>
      <c r="F55" s="27" t="inlineStr">
        <is>
          <t>2020/2021/2023/2024</t>
        </is>
      </c>
      <c r="G55" s="27" t="inlineStr">
        <is>
          <t>9/9/5/1/12/4/10/11</t>
        </is>
      </c>
      <c r="H55" s="90">
        <f>1023+89982+322+648+1266+1010+6123+1675+65706+2005+660</f>
        <v/>
      </c>
      <c r="I55" s="91">
        <f>1600+1820</f>
        <v/>
      </c>
      <c r="J55" s="91">
        <f>1820+1142</f>
        <v/>
      </c>
      <c r="K55" s="91">
        <f>+H55+I55+J55</f>
        <v/>
      </c>
      <c r="L55" s="91" t="inlineStr">
        <is>
          <t>5折</t>
        </is>
      </c>
      <c r="M55" s="91" t="inlineStr"/>
      <c r="N55" s="91" t="n"/>
      <c r="O55" s="91" t="n"/>
      <c r="P55" s="91" t="n"/>
      <c r="Q55" s="91" t="n"/>
      <c r="R55" s="91" t="n"/>
      <c r="S55" s="91" t="n"/>
      <c r="T55" s="91" t="n"/>
      <c r="U55" s="91" t="n"/>
      <c r="V55" s="91" t="n"/>
      <c r="W55" s="91" t="n"/>
      <c r="X55" s="91" t="n"/>
      <c r="Y55" s="91" t="n"/>
      <c r="Z55" s="91" t="n"/>
      <c r="AA55" s="91" t="n">
        <v>282</v>
      </c>
      <c r="AB55" s="91" t="n"/>
      <c r="AC55" s="91" t="n">
        <v>30546</v>
      </c>
      <c r="AD55" s="91" t="n">
        <v>32232</v>
      </c>
      <c r="AE55" s="91">
        <f>28262+3803</f>
        <v/>
      </c>
      <c r="AF55" s="91" t="n">
        <v>26598</v>
      </c>
      <c r="AG55" s="30" t="n">
        <v>32805</v>
      </c>
      <c r="AH55" s="30" t="n">
        <v>58348</v>
      </c>
      <c r="AI55" s="30" t="n">
        <v>10384</v>
      </c>
      <c r="AJ55" s="30" t="n">
        <v>491</v>
      </c>
      <c r="AK55" s="30" t="n">
        <v>55084</v>
      </c>
      <c r="AL55" s="30" t="n">
        <v>20282</v>
      </c>
      <c r="AM55" s="91">
        <f>SUM(AA55:AL55)</f>
        <v/>
      </c>
      <c r="AN55" s="91" t="n">
        <v>109</v>
      </c>
      <c r="AO55" s="91" t="n"/>
      <c r="AP55" s="91" t="n">
        <v>44575</v>
      </c>
      <c r="AQ55" s="91" t="n">
        <v>95</v>
      </c>
      <c r="AR55" s="91" t="n">
        <v>8555</v>
      </c>
      <c r="AS55" s="91" t="n"/>
      <c r="AT55" s="31" t="n">
        <v>55314</v>
      </c>
      <c r="AU55" s="31" t="n">
        <v>20469</v>
      </c>
      <c r="AV55" s="31" t="n">
        <v>300</v>
      </c>
      <c r="AW55" s="36" t="n">
        <v>26785</v>
      </c>
      <c r="AX55" s="91" t="n">
        <v>160</v>
      </c>
      <c r="AY55" s="31" t="n">
        <v>58952</v>
      </c>
      <c r="AZ55" s="92">
        <f>SUM(AN55:AY55)</f>
        <v/>
      </c>
      <c r="BA55" s="91" t="n">
        <v>62</v>
      </c>
      <c r="BB55" s="91" t="n"/>
      <c r="BC55" s="91" t="n">
        <v>17682</v>
      </c>
      <c r="BD55" s="91" t="n"/>
      <c r="BE55" s="91" t="n"/>
      <c r="BF55" s="91" t="n">
        <v>24550</v>
      </c>
      <c r="BG55" s="91" t="n"/>
      <c r="BH55" s="91" t="n">
        <v>109</v>
      </c>
      <c r="BI55" s="91" t="n">
        <v>59609</v>
      </c>
      <c r="BJ55" s="91" t="n">
        <v>72821</v>
      </c>
      <c r="BK55" s="91" t="n">
        <v>141273</v>
      </c>
      <c r="BL55" s="91" t="n">
        <v>18444</v>
      </c>
      <c r="BM55" s="91">
        <f>SUM(BA55:BL55)</f>
        <v/>
      </c>
      <c r="BN55" s="91" t="n">
        <v>1243</v>
      </c>
      <c r="BO55" s="91" t="n">
        <v>546</v>
      </c>
      <c r="BP55" s="91" t="n">
        <v>51021</v>
      </c>
      <c r="BQ55" s="91" t="n">
        <v>13</v>
      </c>
      <c r="BR55" s="91" t="n">
        <v>32572</v>
      </c>
      <c r="BS55" s="91" t="n">
        <v>3981</v>
      </c>
      <c r="BT55" s="91">
        <f>3355+100943.56</f>
        <v/>
      </c>
      <c r="BU55" s="91" t="n">
        <v>1609.27</v>
      </c>
      <c r="BV55" s="91" t="n">
        <v>49426.61</v>
      </c>
      <c r="BW55" s="91" t="n">
        <v>2847.14</v>
      </c>
      <c r="BX55" s="91" t="n">
        <v>44465.42</v>
      </c>
      <c r="BY55" s="91" t="n">
        <v>130442.69</v>
      </c>
      <c r="BZ55" s="91">
        <f>SUM(BN55:BY55)</f>
        <v/>
      </c>
      <c r="CA55" s="91" t="n">
        <v>2151</v>
      </c>
      <c r="CB55" s="91" t="n">
        <v>6380.65</v>
      </c>
      <c r="CC55" s="91" t="n">
        <v>43958.93</v>
      </c>
      <c r="CD55" s="91" t="n">
        <v>72.44</v>
      </c>
      <c r="CE55" s="91" t="n">
        <v>112104.9</v>
      </c>
      <c r="CF55" s="91" t="n">
        <v>22053.26</v>
      </c>
      <c r="CG55" s="91" t="n">
        <v>36671.65</v>
      </c>
      <c r="CH55" s="91" t="n">
        <v>80208.52</v>
      </c>
      <c r="CI55" s="91" t="n">
        <v>1410.76</v>
      </c>
      <c r="CJ55" s="91" t="n">
        <v>37953.54</v>
      </c>
      <c r="CK55" s="91" t="n">
        <v>70647.69</v>
      </c>
      <c r="CL55" s="91" t="n">
        <v>106959.05</v>
      </c>
      <c r="CM55" s="91">
        <f>SUM(CA55:CL55)</f>
        <v/>
      </c>
      <c r="CN55" s="91" t="n"/>
      <c r="CO55" s="91" t="n"/>
      <c r="CP55" s="91" t="n"/>
      <c r="CQ55" s="93" t="n"/>
      <c r="CR55" s="94" t="n"/>
      <c r="CS55" s="94" t="n"/>
      <c r="CT55" s="91" t="n"/>
      <c r="CU55" s="91" t="n"/>
      <c r="CV55" s="91" t="n"/>
      <c r="CW55" s="91" t="n"/>
      <c r="CX55" s="91" t="n"/>
      <c r="CY55" s="91" t="n"/>
      <c r="CZ55" s="91">
        <f>SUM(CN55:CY55)</f>
        <v/>
      </c>
      <c r="DA55" s="35" t="n"/>
    </row>
    <row r="56" ht="20" customFormat="1" customHeight="1" s="2">
      <c r="A56" s="30" t="n">
        <v>54</v>
      </c>
      <c r="B56" s="37" t="inlineStr">
        <is>
          <t>重庆</t>
        </is>
      </c>
      <c r="C56" s="37" t="inlineStr">
        <is>
          <t>黔江</t>
        </is>
      </c>
      <c r="D56" s="37" t="inlineStr">
        <is>
          <t>王超</t>
        </is>
      </c>
      <c r="E56" s="89" t="n"/>
      <c r="F56" s="27" t="inlineStr">
        <is>
          <t>2021/2022/2023/2024</t>
        </is>
      </c>
      <c r="G56" s="27" t="inlineStr">
        <is>
          <t>12/4/11/12/8/11/3</t>
        </is>
      </c>
      <c r="H56" s="90">
        <f>87487+986+3487+84+264+157+547+1399+170+456+17538</f>
        <v/>
      </c>
      <c r="I56" s="91" t="n"/>
      <c r="J56" s="91" t="n"/>
      <c r="K56" s="91">
        <f>+H56+I56+J56</f>
        <v/>
      </c>
      <c r="L56" s="91" t="inlineStr">
        <is>
          <t>5折</t>
        </is>
      </c>
      <c r="M56" s="91" t="inlineStr"/>
      <c r="N56" s="91" t="n"/>
      <c r="O56" s="91" t="n"/>
      <c r="P56" s="91" t="n"/>
      <c r="Q56" s="91" t="n"/>
      <c r="R56" s="91" t="n"/>
      <c r="S56" s="91" t="n"/>
      <c r="T56" s="91" t="n"/>
      <c r="U56" s="91" t="n"/>
      <c r="V56" s="91" t="n"/>
      <c r="W56" s="91" t="n"/>
      <c r="X56" s="91" t="n"/>
      <c r="Y56" s="91" t="n"/>
      <c r="Z56" s="91" t="n"/>
      <c r="AA56" s="91" t="n"/>
      <c r="AB56" s="91" t="n"/>
      <c r="AC56" s="91" t="n"/>
      <c r="AD56" s="91" t="n"/>
      <c r="AE56" s="91" t="n"/>
      <c r="AF56" s="91" t="n"/>
      <c r="AG56" s="30" t="n"/>
      <c r="AH56" s="30" t="n"/>
      <c r="AI56" s="30" t="n"/>
      <c r="AJ56" s="30" t="n"/>
      <c r="AK56" s="30" t="n"/>
      <c r="AL56" s="30" t="n"/>
      <c r="AM56" s="91" t="n"/>
      <c r="AN56" s="91" t="n"/>
      <c r="AO56" s="91" t="n"/>
      <c r="AP56" s="91" t="n"/>
      <c r="AQ56" s="91" t="n">
        <v>28881</v>
      </c>
      <c r="AR56" s="91" t="n"/>
      <c r="AS56" s="91" t="n"/>
      <c r="AT56" s="31" t="n">
        <v>29844</v>
      </c>
      <c r="AU56" s="31" t="n">
        <v>32442</v>
      </c>
      <c r="AV56" s="31" t="n">
        <v>23881</v>
      </c>
      <c r="AW56" s="36" t="n">
        <v>26463</v>
      </c>
      <c r="AX56" s="91" t="n">
        <v>23908</v>
      </c>
      <c r="AY56" s="31" t="n">
        <v>41012</v>
      </c>
      <c r="AZ56" s="92">
        <f>SUM(AN56:AY56)</f>
        <v/>
      </c>
      <c r="BA56" s="91" t="n"/>
      <c r="BB56" s="30" t="n">
        <v>17203</v>
      </c>
      <c r="BC56" s="91" t="n">
        <v>912</v>
      </c>
      <c r="BD56" s="91" t="n">
        <v>53563</v>
      </c>
      <c r="BE56" s="91" t="n"/>
      <c r="BF56" s="91" t="n">
        <v>55400</v>
      </c>
      <c r="BG56" s="91" t="n">
        <v>58213</v>
      </c>
      <c r="BH56" s="91" t="n">
        <v>3091</v>
      </c>
      <c r="BI56" s="91" t="n">
        <v>33878</v>
      </c>
      <c r="BJ56" s="91" t="n">
        <v>31215</v>
      </c>
      <c r="BK56" s="91" t="n">
        <v>18788</v>
      </c>
      <c r="BL56" s="91" t="n">
        <v>36460</v>
      </c>
      <c r="BM56" s="91">
        <f>SUM(BA56:BL56)</f>
        <v/>
      </c>
      <c r="BN56" s="91" t="n">
        <v>110</v>
      </c>
      <c r="BO56" s="91" t="n">
        <v>839</v>
      </c>
      <c r="BP56" s="91" t="n"/>
      <c r="BQ56" s="91" t="n">
        <v>4262</v>
      </c>
      <c r="BR56" s="91" t="inlineStr"/>
      <c r="BS56" s="91" t="n">
        <v>54380</v>
      </c>
      <c r="BT56" s="91" t="n">
        <v>17742</v>
      </c>
      <c r="BU56" s="91" t="n">
        <v>52219</v>
      </c>
      <c r="BV56" s="91" t="n">
        <v>1733</v>
      </c>
      <c r="BW56" s="91" t="inlineStr"/>
      <c r="BX56" s="91" t="n">
        <v>3411</v>
      </c>
      <c r="BY56" s="91" t="n"/>
      <c r="BZ56" s="91">
        <f>SUM(BN56:BY56)</f>
        <v/>
      </c>
      <c r="CA56" s="91" t="inlineStr"/>
      <c r="CB56" s="91" t="inlineStr"/>
      <c r="CC56" s="91" t="inlineStr"/>
      <c r="CD56" s="91" t="n"/>
      <c r="CE56" s="91" t="n"/>
      <c r="CF56" s="91" t="n"/>
      <c r="CG56" s="91" t="n"/>
      <c r="CH56" s="91" t="inlineStr"/>
      <c r="CI56" s="91" t="n"/>
      <c r="CJ56" s="91" t="inlineStr"/>
      <c r="CK56" s="91" t="n"/>
      <c r="CL56" s="91" t="inlineStr"/>
      <c r="CM56" s="91">
        <f>SUM(CA56:CL56)</f>
        <v/>
      </c>
      <c r="CN56" s="91" t="n"/>
      <c r="CO56" s="91" t="n"/>
      <c r="CP56" s="91" t="n"/>
      <c r="CQ56" s="93" t="n"/>
      <c r="CR56" s="94" t="n"/>
      <c r="CS56" s="94" t="n"/>
      <c r="CT56" s="91" t="n"/>
      <c r="CU56" s="91" t="n"/>
      <c r="CV56" s="91" t="n"/>
      <c r="CW56" s="91" t="n"/>
      <c r="CX56" s="91" t="n"/>
      <c r="CY56" s="91" t="n"/>
      <c r="CZ56" s="91">
        <f>SUM(CN56:CY56)</f>
        <v/>
      </c>
      <c r="DA56" s="35" t="n"/>
    </row>
    <row r="57" ht="20" customFormat="1" customHeight="1" s="2">
      <c r="A57" s="30" t="n">
        <v>55</v>
      </c>
      <c r="B57" s="37" t="inlineStr">
        <is>
          <t>山西</t>
        </is>
      </c>
      <c r="C57" s="37" t="inlineStr">
        <is>
          <t>临汾曲沃</t>
        </is>
      </c>
      <c r="D57" s="37" t="inlineStr">
        <is>
          <t>李再清</t>
        </is>
      </c>
      <c r="E57" s="89" t="n"/>
      <c r="F57" s="27" t="inlineStr">
        <is>
          <t>2022/2023/2024/2025</t>
        </is>
      </c>
      <c r="G57" s="27" t="inlineStr">
        <is>
          <t>2/3/5/12/6/5</t>
        </is>
      </c>
      <c r="H57" s="90">
        <f>5580+140017+1973+367+756+6527+1399+56986+3556+1314</f>
        <v/>
      </c>
      <c r="I57" s="91">
        <f>3745+588+2435+3829</f>
        <v/>
      </c>
      <c r="J57" s="91">
        <f>3480+4607+3217</f>
        <v/>
      </c>
      <c r="K57" s="91">
        <f>+H57+I57+J57</f>
        <v/>
      </c>
      <c r="L57" s="91" t="inlineStr">
        <is>
          <t>5折</t>
        </is>
      </c>
      <c r="M57" s="91" t="inlineStr"/>
      <c r="N57" s="91" t="n"/>
      <c r="O57" s="91" t="n"/>
      <c r="P57" s="91" t="n"/>
      <c r="Q57" s="91" t="n"/>
      <c r="R57" s="91" t="n"/>
      <c r="S57" s="91" t="n"/>
      <c r="T57" s="91" t="n"/>
      <c r="U57" s="91" t="n"/>
      <c r="V57" s="91" t="n"/>
      <c r="W57" s="91" t="n"/>
      <c r="X57" s="91" t="n"/>
      <c r="Y57" s="91" t="n"/>
      <c r="Z57" s="91" t="n"/>
      <c r="AA57" s="91" t="n"/>
      <c r="AB57" s="91" t="n"/>
      <c r="AC57" s="91" t="n"/>
      <c r="AD57" s="91" t="n"/>
      <c r="AE57" s="91" t="n"/>
      <c r="AF57" s="91" t="n"/>
      <c r="AG57" s="30" t="n"/>
      <c r="AH57" s="30" t="n"/>
      <c r="AI57" s="30" t="n"/>
      <c r="AJ57" s="30" t="n"/>
      <c r="AK57" s="30" t="n"/>
      <c r="AL57" s="30" t="n"/>
      <c r="AM57" s="91" t="n"/>
      <c r="AN57" s="91" t="n"/>
      <c r="AO57" s="91" t="n"/>
      <c r="AP57" s="91" t="n"/>
      <c r="AQ57" s="91" t="n"/>
      <c r="AR57" s="91" t="n"/>
      <c r="AS57" s="91" t="n">
        <v>41148</v>
      </c>
      <c r="AT57" s="31" t="n">
        <v>46772</v>
      </c>
      <c r="AU57" s="31" t="n">
        <v>398</v>
      </c>
      <c r="AV57" s="31" t="n">
        <v>25100</v>
      </c>
      <c r="AW57" s="36" t="n">
        <v>23523</v>
      </c>
      <c r="AX57" s="91" t="n"/>
      <c r="AY57" s="31" t="n">
        <v>0</v>
      </c>
      <c r="AZ57" s="92">
        <f>SUM(AN57:AY57)</f>
        <v/>
      </c>
      <c r="BA57" s="91" t="n"/>
      <c r="BB57" s="1">
        <f>91+599</f>
        <v/>
      </c>
      <c r="BC57" s="91" t="n"/>
      <c r="BD57" s="91" t="n">
        <v>39005</v>
      </c>
      <c r="BE57" s="91" t="n">
        <v>27867</v>
      </c>
      <c r="BF57" s="91" t="n">
        <v>35472</v>
      </c>
      <c r="BG57" s="91" t="n">
        <v>29459</v>
      </c>
      <c r="BH57" s="91" t="n">
        <v>42649</v>
      </c>
      <c r="BI57" s="91" t="n">
        <v>35445</v>
      </c>
      <c r="BJ57" s="91" t="n">
        <v>25070</v>
      </c>
      <c r="BK57" s="91" t="n">
        <v>4923</v>
      </c>
      <c r="BL57" s="91" t="n">
        <v>35002</v>
      </c>
      <c r="BM57" s="91">
        <f>SUM(BA57:BL57)</f>
        <v/>
      </c>
      <c r="BN57" s="31" t="n">
        <v>448</v>
      </c>
      <c r="BO57" s="31" t="n">
        <v>0</v>
      </c>
      <c r="BP57" s="31" t="n">
        <v>32048</v>
      </c>
      <c r="BQ57" s="31">
        <f>90424+5338</f>
        <v/>
      </c>
      <c r="BR57" s="31">
        <f>116253+8525</f>
        <v/>
      </c>
      <c r="BS57" s="31">
        <f>17560+38426</f>
        <v/>
      </c>
      <c r="BT57" s="91" t="n">
        <v>70404</v>
      </c>
      <c r="BU57" s="91" t="n">
        <v>59940</v>
      </c>
      <c r="BV57" s="91" t="n">
        <v>21622.47</v>
      </c>
      <c r="BW57" s="91" t="n">
        <v>102</v>
      </c>
      <c r="BX57" s="91" t="n">
        <v>30838.16</v>
      </c>
      <c r="BY57" s="91" t="n">
        <v>34277.44</v>
      </c>
      <c r="BZ57" s="91">
        <f>SUM(BN57:BY57)</f>
        <v/>
      </c>
      <c r="CA57" s="91" t="inlineStr"/>
      <c r="CB57" s="91">
        <f>15975.39+2940</f>
        <v/>
      </c>
      <c r="CC57" s="91" t="n">
        <v>40811.69</v>
      </c>
      <c r="CD57" s="91" t="n">
        <v>23862.65</v>
      </c>
      <c r="CE57" s="91" t="n">
        <v>124964.18</v>
      </c>
      <c r="CF57" s="91">
        <f>75149.94-24000</f>
        <v/>
      </c>
      <c r="CG57" s="91" t="n">
        <v>123784.93</v>
      </c>
      <c r="CH57" s="91" t="n">
        <v>15427.71</v>
      </c>
      <c r="CI57" s="91" t="n">
        <v>27886.21</v>
      </c>
      <c r="CJ57" s="91" t="n">
        <v>1161.05</v>
      </c>
      <c r="CK57" s="91" t="n">
        <v>71988.35000000001</v>
      </c>
      <c r="CL57" s="91" t="n">
        <v>10429.8</v>
      </c>
      <c r="CM57" s="91">
        <f>SUM(CA57:CL57)</f>
        <v/>
      </c>
      <c r="CN57" s="91" t="n"/>
      <c r="CO57" s="91" t="n"/>
      <c r="CP57" s="91" t="n"/>
      <c r="CQ57" s="93" t="n"/>
      <c r="CR57" s="94" t="n"/>
      <c r="CS57" s="94" t="n"/>
      <c r="CT57" s="91" t="n"/>
      <c r="CU57" s="91" t="n"/>
      <c r="CV57" s="91" t="n"/>
      <c r="CW57" s="91" t="n"/>
      <c r="CX57" s="91" t="n"/>
      <c r="CY57" s="91" t="n"/>
      <c r="CZ57" s="91">
        <f>SUM(CN57:CY57)</f>
        <v/>
      </c>
      <c r="DA57" s="35" t="n"/>
    </row>
    <row r="58" ht="20" customFormat="1" customHeight="1" s="2">
      <c r="A58" s="30" t="n">
        <v>56</v>
      </c>
      <c r="B58" s="37" t="inlineStr">
        <is>
          <t>河北</t>
        </is>
      </c>
      <c r="C58" s="37" t="inlineStr">
        <is>
          <t>迁安</t>
        </is>
      </c>
      <c r="D58" s="37" t="inlineStr">
        <is>
          <t>郑月</t>
        </is>
      </c>
      <c r="E58" s="89" t="n"/>
      <c r="F58" s="27" t="inlineStr">
        <is>
          <t>2021/2022/2023/2025</t>
        </is>
      </c>
      <c r="G58" s="27" t="inlineStr">
        <is>
          <t>5/6/7/3/5/12/2/3/11</t>
        </is>
      </c>
      <c r="H58" s="90">
        <f>129866+9450+100+315+279+986+1356+164+26435+2757+430+242</f>
        <v/>
      </c>
      <c r="I58" s="91">
        <f>5395+706</f>
        <v/>
      </c>
      <c r="J58" s="91" t="n">
        <v>4790</v>
      </c>
      <c r="K58" s="91">
        <f>+H58+I58+J58</f>
        <v/>
      </c>
      <c r="L58" s="91" t="inlineStr">
        <is>
          <t>5折</t>
        </is>
      </c>
      <c r="M58" s="91" t="inlineStr"/>
      <c r="N58" s="91" t="n"/>
      <c r="O58" s="91" t="n"/>
      <c r="P58" s="91" t="n"/>
      <c r="Q58" s="91" t="n"/>
      <c r="R58" s="91" t="n"/>
      <c r="S58" s="91" t="n"/>
      <c r="T58" s="91" t="n"/>
      <c r="U58" s="91" t="n"/>
      <c r="V58" s="91" t="n"/>
      <c r="W58" s="91" t="n"/>
      <c r="X58" s="91" t="n"/>
      <c r="Y58" s="91" t="n"/>
      <c r="Z58" s="91" t="n"/>
      <c r="AA58" s="91" t="n"/>
      <c r="AB58" s="91" t="n"/>
      <c r="AC58" s="91" t="n"/>
      <c r="AD58" s="91" t="n"/>
      <c r="AE58" s="91" t="n"/>
      <c r="AF58" s="91" t="n"/>
      <c r="AG58" s="91" t="n">
        <v>143</v>
      </c>
      <c r="AH58" s="91" t="n">
        <v>47176</v>
      </c>
      <c r="AI58" s="91" t="n"/>
      <c r="AJ58" s="91">
        <f>25738+383</f>
        <v/>
      </c>
      <c r="AK58" s="91" t="n">
        <v>39863</v>
      </c>
      <c r="AL58" s="91" t="n">
        <v>83916</v>
      </c>
      <c r="AM58" s="91">
        <f>SUM(AA58:AL58)</f>
        <v/>
      </c>
      <c r="AN58" s="91" t="n">
        <v>477</v>
      </c>
      <c r="AO58" s="91" t="n">
        <v>289</v>
      </c>
      <c r="AP58" s="91" t="n">
        <v>309</v>
      </c>
      <c r="AQ58" s="91" t="n"/>
      <c r="AR58" s="91" t="n">
        <v>21758</v>
      </c>
      <c r="AS58" s="91" t="n"/>
      <c r="AT58" s="31" t="n">
        <v>3066</v>
      </c>
      <c r="AU58" s="31" t="n">
        <v>9380</v>
      </c>
      <c r="AV58" s="31" t="n">
        <v>19682</v>
      </c>
      <c r="AW58" s="36" t="n">
        <v>81781</v>
      </c>
      <c r="AX58" s="91" t="n">
        <v>5231</v>
      </c>
      <c r="AY58" s="31" t="n">
        <v>50224</v>
      </c>
      <c r="AZ58" s="92">
        <f>SUM(AN58:AY58)</f>
        <v/>
      </c>
      <c r="BA58" s="91" t="n">
        <v>348</v>
      </c>
      <c r="BB58" s="91">
        <f>31718+1865+3576</f>
        <v/>
      </c>
      <c r="BC58" s="91">
        <f>781+271</f>
        <v/>
      </c>
      <c r="BD58" s="91" t="n">
        <v>758</v>
      </c>
      <c r="BE58" s="91" t="n"/>
      <c r="BF58" s="91" t="n"/>
      <c r="BG58" s="91" t="n">
        <v>26837</v>
      </c>
      <c r="BH58" s="91" t="n">
        <v>41839</v>
      </c>
      <c r="BI58" s="91" t="n">
        <v>19740</v>
      </c>
      <c r="BJ58" s="91" t="n">
        <v>748</v>
      </c>
      <c r="BK58" s="91" t="n">
        <v>5714</v>
      </c>
      <c r="BL58" s="91" t="n">
        <v>22181</v>
      </c>
      <c r="BM58" s="91">
        <f>SUM(BA58:BL58)</f>
        <v/>
      </c>
      <c r="BN58" s="91" t="n">
        <v>80</v>
      </c>
      <c r="BO58" s="91" t="n"/>
      <c r="BP58" s="91" t="n">
        <v>24403</v>
      </c>
      <c r="BQ58" s="91" t="n">
        <v>320</v>
      </c>
      <c r="BR58" s="91" t="n">
        <v>44703</v>
      </c>
      <c r="BS58" s="91" t="n">
        <v>43872</v>
      </c>
      <c r="BT58" s="91" t="n">
        <v>31264</v>
      </c>
      <c r="BU58" s="91" t="n">
        <v>600</v>
      </c>
      <c r="BV58" s="91" t="n">
        <v>1190.82</v>
      </c>
      <c r="BW58" s="91" t="n">
        <v>25865.25</v>
      </c>
      <c r="BX58" s="91" t="n">
        <v>181</v>
      </c>
      <c r="BY58" s="91" t="n"/>
      <c r="BZ58" s="91">
        <f>SUM(BN58:BY58)</f>
        <v/>
      </c>
      <c r="CA58" s="91" t="inlineStr"/>
      <c r="CB58" s="91" t="inlineStr"/>
      <c r="CC58" s="91" t="n">
        <v>917.21</v>
      </c>
      <c r="CD58" s="91" t="n">
        <v>32906.2</v>
      </c>
      <c r="CE58" s="91" t="n">
        <v>15715.54</v>
      </c>
      <c r="CF58" s="91" t="n">
        <v>46983.49</v>
      </c>
      <c r="CG58" s="91" t="n">
        <v>1230.64</v>
      </c>
      <c r="CH58" s="91" t="n">
        <v>2289</v>
      </c>
      <c r="CI58" s="91" t="n">
        <v>158274.64</v>
      </c>
      <c r="CJ58" s="91" t="n">
        <v>38108.01</v>
      </c>
      <c r="CK58" s="91" t="n">
        <v>4068.23</v>
      </c>
      <c r="CL58" s="91" t="n">
        <v>65961.98</v>
      </c>
      <c r="CM58" s="91">
        <f>SUM(CA58:CL58)</f>
        <v/>
      </c>
      <c r="CN58" s="91" t="n"/>
      <c r="CO58" s="91" t="n"/>
      <c r="CP58" s="91" t="n"/>
      <c r="CQ58" s="93" t="n"/>
      <c r="CR58" s="94" t="n"/>
      <c r="CS58" s="94" t="n"/>
      <c r="CT58" s="91" t="n"/>
      <c r="CU58" s="91" t="n"/>
      <c r="CV58" s="91" t="n"/>
      <c r="CW58" s="91" t="n"/>
      <c r="CX58" s="91" t="n"/>
      <c r="CY58" s="91" t="n"/>
      <c r="CZ58" s="91">
        <f>SUM(CN58:CY58)</f>
        <v/>
      </c>
      <c r="DA58" s="35" t="n"/>
    </row>
    <row r="59" ht="20" customFormat="1" customHeight="1" s="1">
      <c r="A59" s="30" t="n">
        <v>57</v>
      </c>
      <c r="B59" s="37" t="inlineStr">
        <is>
          <t>四川</t>
        </is>
      </c>
      <c r="C59" s="37" t="inlineStr">
        <is>
          <t>都江堰</t>
        </is>
      </c>
      <c r="D59" s="37" t="inlineStr">
        <is>
          <t>董旭强</t>
        </is>
      </c>
      <c r="E59" s="89" t="n"/>
      <c r="F59" s="27" t="inlineStr">
        <is>
          <t>2022/2023/2024/2025</t>
        </is>
      </c>
      <c r="G59" s="27" t="inlineStr">
        <is>
          <t>4/5/2/6/8/4/3</t>
        </is>
      </c>
      <c r="H59" s="90">
        <f>106955+824+651+15159+2300+1675+215</f>
        <v/>
      </c>
      <c r="I59" s="91" t="n"/>
      <c r="J59" s="91" t="n">
        <v>4035</v>
      </c>
      <c r="K59" s="91">
        <f>+H59+I59+J59</f>
        <v/>
      </c>
      <c r="L59" s="91" t="inlineStr">
        <is>
          <t>6折</t>
        </is>
      </c>
      <c r="M59" s="91" t="inlineStr"/>
      <c r="N59" s="91" t="n"/>
      <c r="O59" s="91" t="n"/>
      <c r="P59" s="91" t="n"/>
      <c r="Q59" s="91" t="n"/>
      <c r="R59" s="91" t="n"/>
      <c r="S59" s="91" t="n"/>
      <c r="T59" s="91" t="n"/>
      <c r="U59" s="91" t="n"/>
      <c r="V59" s="91" t="n"/>
      <c r="W59" s="91" t="n"/>
      <c r="X59" s="91" t="n"/>
      <c r="Y59" s="91" t="n"/>
      <c r="Z59" s="91" t="n"/>
      <c r="AA59" s="91" t="n"/>
      <c r="AB59" s="91" t="n"/>
      <c r="AC59" s="91" t="n"/>
      <c r="AD59" s="91" t="n"/>
      <c r="AE59" s="91" t="n"/>
      <c r="AF59" s="91" t="n"/>
      <c r="AG59" s="30" t="n"/>
      <c r="AH59" s="30" t="n"/>
      <c r="AI59" s="30" t="n"/>
      <c r="AJ59" s="30" t="n"/>
      <c r="AK59" s="30" t="n"/>
      <c r="AL59" s="30" t="n"/>
      <c r="AM59" s="91" t="n"/>
      <c r="AN59" s="91" t="n"/>
      <c r="AO59" s="91" t="n"/>
      <c r="AP59" s="91" t="n"/>
      <c r="AQ59" s="91" t="n"/>
      <c r="AR59" s="91" t="n"/>
      <c r="AS59" s="91" t="n"/>
      <c r="AT59" s="31" t="n">
        <v>19357</v>
      </c>
      <c r="AU59" s="31" t="n">
        <v>4370</v>
      </c>
      <c r="AV59" s="31" t="n">
        <v>37825</v>
      </c>
      <c r="AW59" s="36" t="n">
        <v>74988</v>
      </c>
      <c r="AX59" s="91" t="n">
        <v>127803</v>
      </c>
      <c r="AY59" s="31" t="n">
        <v>18464</v>
      </c>
      <c r="AZ59" s="92">
        <f>SUM(AN59:AY59)</f>
        <v/>
      </c>
      <c r="BA59" s="91" t="n">
        <v>25</v>
      </c>
      <c r="BB59" s="30">
        <f>72351+2393</f>
        <v/>
      </c>
      <c r="BC59" s="83">
        <f>152383+4184</f>
        <v/>
      </c>
      <c r="BD59" s="91">
        <f>26017+185</f>
        <v/>
      </c>
      <c r="BE59" s="91" t="n">
        <v>73101</v>
      </c>
      <c r="BF59" s="91" t="n">
        <v>132739</v>
      </c>
      <c r="BG59" s="91" t="n">
        <v>147759</v>
      </c>
      <c r="BH59" s="91" t="n">
        <v>165891</v>
      </c>
      <c r="BI59" s="91" t="n">
        <v>88398</v>
      </c>
      <c r="BJ59" s="91" t="n">
        <v>117762</v>
      </c>
      <c r="BK59" s="91" t="n">
        <v>98528</v>
      </c>
      <c r="BL59" s="91" t="n">
        <v>21183</v>
      </c>
      <c r="BM59" s="91">
        <f>SUM(BA59:BL59)</f>
        <v/>
      </c>
      <c r="BN59" s="91" t="n">
        <v>534</v>
      </c>
      <c r="BO59" s="91" t="n">
        <v>2412</v>
      </c>
      <c r="BP59" s="91" t="n">
        <v>128300</v>
      </c>
      <c r="BQ59" s="91" t="n">
        <v>196</v>
      </c>
      <c r="BR59" s="91" t="n">
        <v>23066</v>
      </c>
      <c r="BS59" s="91" t="n">
        <v>7575</v>
      </c>
      <c r="BT59" s="91">
        <f>54+2104</f>
        <v/>
      </c>
      <c r="BU59" s="91" t="n">
        <v>31218.02</v>
      </c>
      <c r="BV59" s="91" t="n">
        <v>4210</v>
      </c>
      <c r="BW59" s="91" t="inlineStr"/>
      <c r="BX59" s="91" t="n">
        <v>0</v>
      </c>
      <c r="BY59" s="91" t="n">
        <v>37788.16</v>
      </c>
      <c r="BZ59" s="91">
        <f>SUM(BN59:BY59)</f>
        <v/>
      </c>
      <c r="CA59" s="91" t="inlineStr"/>
      <c r="CB59" s="91" t="inlineStr"/>
      <c r="CC59" s="91" t="n">
        <v>29745.59</v>
      </c>
      <c r="CD59" s="91" t="n"/>
      <c r="CE59" s="91" t="n"/>
      <c r="CF59" s="91" t="n">
        <v>701.7</v>
      </c>
      <c r="CG59" s="91" t="n">
        <v>17274.82</v>
      </c>
      <c r="CH59" s="91" t="n">
        <v>37.33</v>
      </c>
      <c r="CI59" s="91" t="n">
        <v>2624</v>
      </c>
      <c r="CJ59" s="91" t="inlineStr"/>
      <c r="CK59" s="91" t="n"/>
      <c r="CL59" s="91" t="inlineStr"/>
      <c r="CM59" s="91">
        <f>SUM(CA59:CL59)</f>
        <v/>
      </c>
      <c r="CN59" s="91" t="n"/>
      <c r="CO59" s="91" t="n"/>
      <c r="CP59" s="91" t="n"/>
      <c r="CQ59" s="93" t="n"/>
      <c r="CR59" s="94" t="n"/>
      <c r="CS59" s="94" t="n"/>
      <c r="CT59" s="91" t="n"/>
      <c r="CU59" s="91" t="n"/>
      <c r="CV59" s="91" t="n"/>
      <c r="CW59" s="91" t="n"/>
      <c r="CX59" s="91" t="n"/>
      <c r="CY59" s="91" t="n"/>
      <c r="CZ59" s="91">
        <f>SUM(CN59:CY59)</f>
        <v/>
      </c>
      <c r="DA59" s="35" t="n"/>
    </row>
    <row r="60" ht="20" customFormat="1" customHeight="1" s="2">
      <c r="A60" s="30" t="n">
        <v>58</v>
      </c>
      <c r="B60" s="37" t="inlineStr">
        <is>
          <t>山西</t>
        </is>
      </c>
      <c r="C60" s="37" t="inlineStr">
        <is>
          <t>大同</t>
        </is>
      </c>
      <c r="D60" s="37" t="inlineStr">
        <is>
          <t>黄金娥</t>
        </is>
      </c>
      <c r="E60" s="89" t="n"/>
      <c r="F60" s="27" t="inlineStr">
        <is>
          <t>2021/2022/2023/2024</t>
        </is>
      </c>
      <c r="G60" s="27" t="inlineStr">
        <is>
          <t>10/4/3/4/4</t>
        </is>
      </c>
      <c r="H60" s="90">
        <f>91299+14047+986+8198+657+24410+1399+446+536+978</f>
        <v/>
      </c>
      <c r="I60" s="91" t="n">
        <v>1600</v>
      </c>
      <c r="J60" s="91" t="n">
        <v>2835</v>
      </c>
      <c r="K60" s="91">
        <f>+H60+I60+J60</f>
        <v/>
      </c>
      <c r="L60" s="91" t="inlineStr">
        <is>
          <t>5折</t>
        </is>
      </c>
      <c r="M60" s="91" t="inlineStr"/>
      <c r="N60" s="91" t="n"/>
      <c r="O60" s="91" t="n"/>
      <c r="P60" s="91" t="n"/>
      <c r="Q60" s="91" t="n"/>
      <c r="R60" s="91" t="n"/>
      <c r="S60" s="91" t="n"/>
      <c r="T60" s="91" t="n"/>
      <c r="U60" s="91" t="n"/>
      <c r="V60" s="91" t="n"/>
      <c r="W60" s="91" t="n"/>
      <c r="X60" s="91" t="n"/>
      <c r="Y60" s="91" t="n"/>
      <c r="Z60" s="91" t="n"/>
      <c r="AA60" s="91" t="n"/>
      <c r="AB60" s="91" t="n"/>
      <c r="AC60" s="91" t="n"/>
      <c r="AD60" s="91" t="n"/>
      <c r="AE60" s="91" t="n"/>
      <c r="AF60" s="91" t="n"/>
      <c r="AG60" s="30" t="n"/>
      <c r="AH60" s="30" t="n"/>
      <c r="AI60" s="30" t="n"/>
      <c r="AJ60" s="30" t="n"/>
      <c r="AK60" s="30" t="n"/>
      <c r="AL60" s="30" t="n"/>
      <c r="AM60" s="91" t="n"/>
      <c r="AN60" s="91" t="n"/>
      <c r="AO60" s="91" t="n"/>
      <c r="AP60" s="91" t="n"/>
      <c r="AQ60" s="91" t="n">
        <v>2543</v>
      </c>
      <c r="AR60" s="91" t="n">
        <v>22010</v>
      </c>
      <c r="AS60" s="91" t="n">
        <v>4632</v>
      </c>
      <c r="AT60" s="31" t="n">
        <v>25516</v>
      </c>
      <c r="AU60" s="31" t="n">
        <v>37117</v>
      </c>
      <c r="AV60" s="31" t="n">
        <v>27074</v>
      </c>
      <c r="AW60" s="36" t="n">
        <v>6018</v>
      </c>
      <c r="AX60" s="91" t="n"/>
      <c r="AY60" s="31" t="n">
        <v>21976</v>
      </c>
      <c r="AZ60" s="92">
        <f>SUM(AN60:AY60)</f>
        <v/>
      </c>
      <c r="BA60" s="91" t="n"/>
      <c r="BB60" s="91" t="n">
        <v>17458</v>
      </c>
      <c r="BC60" s="91" t="n">
        <v>11301</v>
      </c>
      <c r="BD60" s="91" t="n"/>
      <c r="BE60" s="91" t="n">
        <v>215</v>
      </c>
      <c r="BF60" s="91" t="n">
        <v>20724</v>
      </c>
      <c r="BG60" s="91" t="n">
        <v>71515</v>
      </c>
      <c r="BH60" s="91" t="n">
        <v>83</v>
      </c>
      <c r="BI60" s="91" t="n">
        <v>38688</v>
      </c>
      <c r="BJ60" s="91" t="n">
        <v>4785</v>
      </c>
      <c r="BK60" s="91" t="n">
        <v>23979</v>
      </c>
      <c r="BL60" s="91" t="n">
        <v>62004</v>
      </c>
      <c r="BM60" s="91">
        <f>SUM(BA60:BL60)</f>
        <v/>
      </c>
      <c r="BN60" s="91" t="n">
        <v>86</v>
      </c>
      <c r="BO60" s="91" t="n"/>
      <c r="BP60" s="91" t="n">
        <v>22499</v>
      </c>
      <c r="BQ60" s="91" t="n">
        <v>1696</v>
      </c>
      <c r="BR60" s="91" t="n">
        <v>156017</v>
      </c>
      <c r="BS60" s="91" t="n">
        <v>47471</v>
      </c>
      <c r="BT60" s="91" t="n">
        <v>15059</v>
      </c>
      <c r="BU60" s="91" t="n">
        <v>13195.6</v>
      </c>
      <c r="BV60" s="91" t="n">
        <v>23947.22</v>
      </c>
      <c r="BW60" s="91" t="n">
        <v>3951.53</v>
      </c>
      <c r="BX60" s="91" t="n">
        <v>58453.14</v>
      </c>
      <c r="BY60" s="91" t="n">
        <v>76072.63</v>
      </c>
      <c r="BZ60" s="91">
        <f>SUM(BN60:BY60)</f>
        <v/>
      </c>
      <c r="CA60" s="91" t="inlineStr"/>
      <c r="CB60" s="91">
        <f>726.65+219</f>
        <v/>
      </c>
      <c r="CC60" s="91" t="n">
        <v>7257.44</v>
      </c>
      <c r="CD60" s="91" t="n">
        <v>387</v>
      </c>
      <c r="CE60" s="91" t="n">
        <v>30255.02</v>
      </c>
      <c r="CF60" s="91" t="n">
        <v>26357</v>
      </c>
      <c r="CG60" s="91" t="n">
        <v>3670</v>
      </c>
      <c r="CH60" s="91" t="n">
        <v>58731.66</v>
      </c>
      <c r="CI60" s="91" t="n">
        <v>3252.39</v>
      </c>
      <c r="CJ60" s="91" t="n">
        <v>4491.15</v>
      </c>
      <c r="CK60" s="91" t="n">
        <v>30222.53</v>
      </c>
      <c r="CL60" s="91" t="n">
        <v>60.76</v>
      </c>
      <c r="CM60" s="91">
        <f>SUM(CA60:CL60)</f>
        <v/>
      </c>
      <c r="CN60" s="91" t="n"/>
      <c r="CO60" s="91" t="n"/>
      <c r="CP60" s="91" t="n"/>
      <c r="CQ60" s="93" t="n"/>
      <c r="CR60" s="94" t="n"/>
      <c r="CS60" s="94" t="n"/>
      <c r="CT60" s="91" t="n"/>
      <c r="CU60" s="91" t="n"/>
      <c r="CV60" s="91" t="n"/>
      <c r="CW60" s="91" t="n"/>
      <c r="CX60" s="91" t="n"/>
      <c r="CY60" s="91" t="n"/>
      <c r="CZ60" s="91">
        <f>SUM(CN60:CY60)</f>
        <v/>
      </c>
      <c r="DA60" s="35" t="n"/>
    </row>
    <row r="61" ht="20" customFormat="1" customHeight="1" s="1">
      <c r="A61" s="30" t="n">
        <v>59</v>
      </c>
      <c r="B61" s="37" t="inlineStr">
        <is>
          <t>甘肃</t>
        </is>
      </c>
      <c r="C61" s="37" t="inlineStr">
        <is>
          <t>平凉市崆峒区</t>
        </is>
      </c>
      <c r="D61" s="37" t="inlineStr">
        <is>
          <t>朱鸿</t>
        </is>
      </c>
      <c r="E61" s="89" t="n"/>
      <c r="F61" s="27" t="inlineStr">
        <is>
          <t>2021/2022/2023/2025</t>
        </is>
      </c>
      <c r="G61" s="27" t="inlineStr">
        <is>
          <t>3/10/1/3/4/12/4/11/12</t>
        </is>
      </c>
      <c r="H61" s="90">
        <f>2198+99387+332+1743+783+4983+4108+80+11272+1031+322+6511+260</f>
        <v/>
      </c>
      <c r="I61" s="91" t="n">
        <v>1600</v>
      </c>
      <c r="J61" s="91">
        <f>2560+1178</f>
        <v/>
      </c>
      <c r="K61" s="91">
        <f>+H61+I61+J61</f>
        <v/>
      </c>
      <c r="L61" s="91" t="inlineStr">
        <is>
          <t>5折/8折</t>
        </is>
      </c>
      <c r="M61" s="91" t="inlineStr"/>
      <c r="N61" s="91" t="n"/>
      <c r="O61" s="91" t="n"/>
      <c r="P61" s="91" t="n"/>
      <c r="Q61" s="91" t="n"/>
      <c r="R61" s="91" t="n"/>
      <c r="S61" s="91" t="n"/>
      <c r="T61" s="91" t="n"/>
      <c r="U61" s="91" t="n"/>
      <c r="V61" s="91" t="n"/>
      <c r="W61" s="91" t="n"/>
      <c r="X61" s="91" t="n"/>
      <c r="Y61" s="91" t="n"/>
      <c r="Z61" s="91" t="n"/>
      <c r="AA61" s="91" t="n"/>
      <c r="AB61" s="91" t="n"/>
      <c r="AC61" s="91" t="n">
        <v>1743</v>
      </c>
      <c r="AD61" s="91" t="n">
        <v>16029</v>
      </c>
      <c r="AE61" s="91" t="n">
        <v>400</v>
      </c>
      <c r="AF61" s="91" t="n"/>
      <c r="AG61" s="91" t="n">
        <v>8392</v>
      </c>
      <c r="AH61" s="91" t="n">
        <v>9110</v>
      </c>
      <c r="AI61" s="91" t="n">
        <v>33942</v>
      </c>
      <c r="AJ61" s="91" t="n">
        <v>1767</v>
      </c>
      <c r="AK61" s="91" t="n">
        <v>17354</v>
      </c>
      <c r="AL61" s="91" t="n"/>
      <c r="AM61" s="91">
        <f>SUM(AA61:AL61)</f>
        <v/>
      </c>
      <c r="AN61" s="91" t="n"/>
      <c r="AO61" s="91" t="n"/>
      <c r="AP61" s="91" t="n"/>
      <c r="AQ61" s="91" t="n">
        <v>445</v>
      </c>
      <c r="AR61" s="91" t="n">
        <v>7501</v>
      </c>
      <c r="AS61" s="91" t="n">
        <v>91517</v>
      </c>
      <c r="AT61" s="31" t="n">
        <v>3411</v>
      </c>
      <c r="AU61" s="31">
        <f>16559+3588</f>
        <v/>
      </c>
      <c r="AV61" s="31" t="n">
        <v>11</v>
      </c>
      <c r="AW61" s="36" t="n">
        <v>562</v>
      </c>
      <c r="AX61" s="91" t="n"/>
      <c r="AY61" s="31" t="n">
        <v>29459</v>
      </c>
      <c r="AZ61" s="92">
        <f>SUM(AN61:AY61)</f>
        <v/>
      </c>
      <c r="BA61" s="91" t="n"/>
      <c r="BB61" s="30" t="n">
        <v>819</v>
      </c>
      <c r="BC61" s="91" t="n">
        <v>18972</v>
      </c>
      <c r="BD61" s="91" t="n"/>
      <c r="BE61" s="91" t="n">
        <v>103683</v>
      </c>
      <c r="BF61" s="91" t="n">
        <v>5288</v>
      </c>
      <c r="BG61" s="91" t="n">
        <v>50363</v>
      </c>
      <c r="BH61" s="91" t="n">
        <v>6586</v>
      </c>
      <c r="BI61" s="91" t="n">
        <v>243447</v>
      </c>
      <c r="BJ61" s="91" t="n">
        <v>8649</v>
      </c>
      <c r="BK61" s="91" t="n">
        <v>82725</v>
      </c>
      <c r="BL61" s="91" t="n">
        <v>31333</v>
      </c>
      <c r="BM61" s="91">
        <f>SUM(BA61:BL61)</f>
        <v/>
      </c>
      <c r="BN61" s="91" t="n">
        <v>765</v>
      </c>
      <c r="BO61" s="91" t="n">
        <v>613</v>
      </c>
      <c r="BP61" s="91" t="n">
        <v>41304</v>
      </c>
      <c r="BQ61" s="91" t="n">
        <v>905</v>
      </c>
      <c r="BR61" s="91" t="n">
        <v>8051</v>
      </c>
      <c r="BS61" s="91" t="n">
        <v>70025</v>
      </c>
      <c r="BT61" s="91" t="n">
        <v>2259</v>
      </c>
      <c r="BU61" s="91" t="n">
        <v>15500.46</v>
      </c>
      <c r="BV61" s="91" t="n">
        <v>5360.64</v>
      </c>
      <c r="BW61" s="91" t="n">
        <v>54423.08</v>
      </c>
      <c r="BX61" s="91" t="n">
        <v>35259.79</v>
      </c>
      <c r="BY61" s="91" t="n">
        <v>7708.91</v>
      </c>
      <c r="BZ61" s="91">
        <f>SUM(BN61:BY61)</f>
        <v/>
      </c>
      <c r="CA61" s="91" t="n">
        <v>49618.03</v>
      </c>
      <c r="CB61" s="91">
        <f>41540.4+7591</f>
        <v/>
      </c>
      <c r="CC61" s="91" t="n">
        <v>72866.31</v>
      </c>
      <c r="CD61" s="91" t="n">
        <v>25931.57</v>
      </c>
      <c r="CE61" s="91" t="n">
        <v>33215.43</v>
      </c>
      <c r="CF61" s="91" t="n">
        <v>128354.23</v>
      </c>
      <c r="CG61" s="91" t="n">
        <v>46489.78</v>
      </c>
      <c r="CH61" s="91" t="n">
        <v>14391.79</v>
      </c>
      <c r="CI61" s="91" t="n">
        <v>120112.17</v>
      </c>
      <c r="CJ61" s="91" t="n">
        <v>1277.73</v>
      </c>
      <c r="CK61" s="91" t="n">
        <v>2601.22</v>
      </c>
      <c r="CL61" s="91" t="n">
        <v>23924.68</v>
      </c>
      <c r="CM61" s="91">
        <f>SUM(CA61:CL61)</f>
        <v/>
      </c>
      <c r="CN61" s="91" t="n"/>
      <c r="CO61" s="91" t="n"/>
      <c r="CP61" s="91" t="n"/>
      <c r="CQ61" s="93" t="n"/>
      <c r="CR61" s="94" t="n"/>
      <c r="CS61" s="94" t="n"/>
      <c r="CT61" s="91" t="n"/>
      <c r="CU61" s="91" t="n"/>
      <c r="CV61" s="91" t="n"/>
      <c r="CW61" s="91" t="n"/>
      <c r="CX61" s="91" t="n"/>
      <c r="CY61" s="91" t="n"/>
      <c r="CZ61" s="91">
        <f>SUM(CN61:CY61)</f>
        <v/>
      </c>
      <c r="DA61" s="35" t="n"/>
    </row>
    <row r="62" ht="20" customFormat="1" customHeight="1" s="2">
      <c r="A62" s="30" t="n">
        <v>60</v>
      </c>
      <c r="B62" s="37" t="inlineStr">
        <is>
          <t>新疆</t>
        </is>
      </c>
      <c r="C62" s="37" t="inlineStr">
        <is>
          <t>库尔勒</t>
        </is>
      </c>
      <c r="D62" s="37" t="inlineStr">
        <is>
          <t>马天辉</t>
        </is>
      </c>
      <c r="E62" s="89" t="n"/>
      <c r="F62" s="27" t="inlineStr">
        <is>
          <t>2022</t>
        </is>
      </c>
      <c r="G62" s="27" t="inlineStr">
        <is>
          <t>1/2/3/4/5/6/8</t>
        </is>
      </c>
      <c r="H62" s="90">
        <f>102163+11806+13218+2716+5083+986</f>
        <v/>
      </c>
      <c r="I62" s="97" t="n">
        <v>7514</v>
      </c>
      <c r="J62" s="97">
        <f>6081+1840+3820</f>
        <v/>
      </c>
      <c r="K62" s="91">
        <f>+H62+I62+J62</f>
        <v/>
      </c>
      <c r="L62" s="97" t="inlineStr">
        <is>
          <t>5折</t>
        </is>
      </c>
      <c r="M62" s="91" t="inlineStr"/>
      <c r="N62" s="91" t="n"/>
      <c r="O62" s="91" t="n"/>
      <c r="P62" s="91" t="n"/>
      <c r="Q62" s="91" t="n"/>
      <c r="R62" s="91" t="n"/>
      <c r="S62" s="91" t="n"/>
      <c r="T62" s="91" t="n"/>
      <c r="U62" s="91" t="n"/>
      <c r="V62" s="91" t="n"/>
      <c r="W62" s="91" t="n"/>
      <c r="X62" s="91" t="n"/>
      <c r="Y62" s="91" t="n"/>
      <c r="Z62" s="91" t="n"/>
      <c r="AA62" s="91" t="n"/>
      <c r="AB62" s="91" t="n"/>
      <c r="AC62" s="91" t="n"/>
      <c r="AD62" s="91" t="n"/>
      <c r="AE62" s="91" t="n"/>
      <c r="AF62" s="91" t="n"/>
      <c r="AG62" s="30" t="n"/>
      <c r="AH62" s="30" t="n"/>
      <c r="AI62" s="30" t="n"/>
      <c r="AJ62" s="30" t="n"/>
      <c r="AK62" s="30" t="n"/>
      <c r="AL62" s="30" t="n"/>
      <c r="AM62" s="91" t="n"/>
      <c r="AN62" s="91" t="n">
        <v>45643</v>
      </c>
      <c r="AO62" s="91" t="n"/>
      <c r="AP62" s="91">
        <f>47843+1410</f>
        <v/>
      </c>
      <c r="AQ62" s="91" t="n">
        <v>894</v>
      </c>
      <c r="AR62" s="91" t="n">
        <v>17219</v>
      </c>
      <c r="AS62" s="91" t="n">
        <v>83</v>
      </c>
      <c r="AT62" s="31" t="n"/>
      <c r="AU62" s="31" t="n">
        <v>633</v>
      </c>
      <c r="AV62" s="31" t="n"/>
      <c r="AW62" s="36" t="n"/>
      <c r="AX62" s="91" t="n"/>
      <c r="AY62" s="31" t="n">
        <v>0</v>
      </c>
      <c r="AZ62" s="92">
        <f>SUM(AN62:AY62)</f>
        <v/>
      </c>
      <c r="BA62" s="91" t="n"/>
      <c r="BB62" s="30" t="n">
        <v>12998</v>
      </c>
      <c r="BC62" s="91" t="n"/>
      <c r="BD62" s="91" t="n">
        <v>5879</v>
      </c>
      <c r="BE62" s="91" t="n">
        <v>38236</v>
      </c>
      <c r="BF62" s="91" t="n"/>
      <c r="BG62" s="91" t="n"/>
      <c r="BH62" s="91" t="n"/>
      <c r="BI62" s="91" t="n">
        <v>82971</v>
      </c>
      <c r="BJ62" s="91" t="n">
        <v>24141</v>
      </c>
      <c r="BK62" s="91" t="n"/>
      <c r="BL62" s="91" t="n"/>
      <c r="BM62" s="91">
        <f>SUM(BA62:BL62)</f>
        <v/>
      </c>
      <c r="BN62" s="91" t="n">
        <v>2404</v>
      </c>
      <c r="BO62" s="91" t="n"/>
      <c r="BP62" s="91" t="n"/>
      <c r="BQ62" s="91" t="n"/>
      <c r="BR62" s="91" t="inlineStr"/>
      <c r="BS62" s="91" t="inlineStr"/>
      <c r="BT62" s="91" t="n"/>
      <c r="BU62" s="91" t="n"/>
      <c r="BV62" s="91" t="inlineStr"/>
      <c r="BW62" s="91" t="n">
        <v>1142</v>
      </c>
      <c r="BX62" s="91" t="n">
        <v>0</v>
      </c>
      <c r="BY62" s="91" t="n">
        <v>51265</v>
      </c>
      <c r="BZ62" s="91">
        <f>SUM(BN62:BY62)</f>
        <v/>
      </c>
      <c r="CA62" s="91" t="inlineStr"/>
      <c r="CB62" s="91" t="inlineStr"/>
      <c r="CC62" s="91" t="n">
        <v>873.28</v>
      </c>
      <c r="CD62" s="91" t="n"/>
      <c r="CE62" s="91" t="n"/>
      <c r="CF62" s="91" t="n"/>
      <c r="CG62" s="91" t="n"/>
      <c r="CH62" s="91" t="inlineStr"/>
      <c r="CI62" s="91" t="n"/>
      <c r="CJ62" s="91" t="inlineStr"/>
      <c r="CK62" s="91" t="n"/>
      <c r="CL62" s="91" t="inlineStr"/>
      <c r="CM62" s="91">
        <f>SUM(CA62:CL62)</f>
        <v/>
      </c>
      <c r="CN62" s="91" t="n"/>
      <c r="CO62" s="91" t="n"/>
      <c r="CP62" s="91" t="n"/>
      <c r="CQ62" s="93" t="n"/>
      <c r="CR62" s="94" t="n"/>
      <c r="CS62" s="94" t="n"/>
      <c r="CT62" s="91" t="n"/>
      <c r="CU62" s="91" t="n"/>
      <c r="CV62" s="91" t="n"/>
      <c r="CW62" s="91" t="n"/>
      <c r="CX62" s="91" t="n"/>
      <c r="CY62" s="91" t="n"/>
      <c r="CZ62" s="91">
        <f>SUM(CN62:CY62)</f>
        <v/>
      </c>
      <c r="DA62" s="35" t="n"/>
    </row>
    <row r="63" ht="20" customFormat="1" customHeight="1" s="1">
      <c r="A63" s="30" t="n">
        <v>61</v>
      </c>
      <c r="B63" s="37" t="inlineStr">
        <is>
          <t>内蒙古</t>
        </is>
      </c>
      <c r="C63" s="37" t="inlineStr">
        <is>
          <t>鄂尔多斯</t>
        </is>
      </c>
      <c r="D63" s="37" t="inlineStr">
        <is>
          <t>朱帅</t>
        </is>
      </c>
      <c r="E63" s="89" t="n"/>
      <c r="F63" s="27" t="inlineStr">
        <is>
          <t>2020/2021/2023/2024</t>
        </is>
      </c>
      <c r="G63" s="27" t="inlineStr">
        <is>
          <t>9/10/12/2/11</t>
        </is>
      </c>
      <c r="H63" s="90" t="n">
        <v>133813</v>
      </c>
      <c r="I63" s="97" t="n">
        <v>12020</v>
      </c>
      <c r="J63" s="97" t="n">
        <v>2438</v>
      </c>
      <c r="K63" s="91">
        <f>+H63+I63+J63</f>
        <v/>
      </c>
      <c r="L63" s="97" t="inlineStr">
        <is>
          <t>5折/8.5折</t>
        </is>
      </c>
      <c r="M63" s="91" t="inlineStr"/>
      <c r="N63" s="91" t="n"/>
      <c r="O63" s="91" t="n"/>
      <c r="P63" s="91" t="n"/>
      <c r="Q63" s="91" t="n"/>
      <c r="R63" s="73" t="n">
        <v>4067</v>
      </c>
      <c r="S63" s="73" t="n">
        <v>14739</v>
      </c>
      <c r="T63" s="73" t="n">
        <v>4447</v>
      </c>
      <c r="U63" s="91" t="n"/>
      <c r="V63" s="91" t="n"/>
      <c r="W63" s="91" t="n"/>
      <c r="X63" s="73" t="n">
        <v>8206</v>
      </c>
      <c r="Y63" s="73" t="n">
        <v>1272</v>
      </c>
      <c r="Z63" s="91">
        <f>SUBTOTAL(9,N63:X63)</f>
        <v/>
      </c>
      <c r="AA63" s="91" t="n"/>
      <c r="AB63" s="73">
        <f>40625+25148</f>
        <v/>
      </c>
      <c r="AC63" s="91" t="n"/>
      <c r="AD63" s="91" t="n"/>
      <c r="AE63" s="73">
        <f>59122+15565</f>
        <v/>
      </c>
      <c r="AF63" s="73" t="n"/>
      <c r="AG63" s="73">
        <f>41697+11981</f>
        <v/>
      </c>
      <c r="AH63" s="73" t="n">
        <v>1619</v>
      </c>
      <c r="AI63" s="73">
        <f>26427+3307</f>
        <v/>
      </c>
      <c r="AJ63" s="91" t="n"/>
      <c r="AK63" s="91" t="n"/>
      <c r="AL63" s="73" t="n">
        <v>367</v>
      </c>
      <c r="AM63" s="91">
        <f>SUBTOTAL(9,AB63:AL63)</f>
        <v/>
      </c>
      <c r="AN63" s="91" t="n"/>
      <c r="AO63" s="91" t="n"/>
      <c r="AP63" s="91" t="n"/>
      <c r="AQ63" s="91" t="n">
        <v>1650</v>
      </c>
      <c r="AR63" s="91" t="n"/>
      <c r="AS63" s="91" t="n"/>
      <c r="AT63" s="31" t="n"/>
      <c r="AU63" s="31" t="n">
        <v>14042</v>
      </c>
      <c r="AV63" s="31" t="n"/>
      <c r="AW63" s="36" t="n">
        <v>92248</v>
      </c>
      <c r="AX63" s="91" t="n">
        <v>179191</v>
      </c>
      <c r="AY63" s="31" t="n">
        <v>125874</v>
      </c>
      <c r="AZ63" s="92">
        <f>SUM(AN63:AY63)</f>
        <v/>
      </c>
      <c r="BA63" s="91" t="n"/>
      <c r="BB63" s="30" t="n">
        <v>2006</v>
      </c>
      <c r="BC63" s="91" t="n"/>
      <c r="BD63" s="91" t="n">
        <v>94077</v>
      </c>
      <c r="BE63" s="91" t="n">
        <v>23934</v>
      </c>
      <c r="BF63" s="91" t="n">
        <v>38737</v>
      </c>
      <c r="BG63" s="91" t="n">
        <v>21514</v>
      </c>
      <c r="BH63" s="91" t="n">
        <v>55517</v>
      </c>
      <c r="BI63" s="91" t="n">
        <v>87212</v>
      </c>
      <c r="BJ63" s="91" t="n">
        <v>156901</v>
      </c>
      <c r="BK63" s="91" t="n">
        <v>173775</v>
      </c>
      <c r="BL63" s="91" t="n">
        <v>54763</v>
      </c>
      <c r="BM63" s="91">
        <f>SUM(BA63:BL63)</f>
        <v/>
      </c>
      <c r="BN63" s="91" t="n">
        <v>8444</v>
      </c>
      <c r="BO63" s="91" t="n">
        <v>1303</v>
      </c>
      <c r="BP63" s="91" t="n">
        <v>59261</v>
      </c>
      <c r="BQ63" s="91" t="n">
        <v>112749</v>
      </c>
      <c r="BR63" s="91" t="n">
        <v>35209</v>
      </c>
      <c r="BS63" s="91" t="n">
        <v>14227</v>
      </c>
      <c r="BT63" s="91" t="n">
        <v>2965</v>
      </c>
      <c r="BU63" s="91" t="n">
        <v>6466.47</v>
      </c>
      <c r="BV63" s="91" t="n">
        <v>789</v>
      </c>
      <c r="BW63" s="91" t="n">
        <v>82101.62</v>
      </c>
      <c r="BX63" s="91" t="n">
        <v>42520.77</v>
      </c>
      <c r="BY63" s="91" t="n">
        <v>87806.55</v>
      </c>
      <c r="BZ63" s="91">
        <f>SUM(BN63:BY63)</f>
        <v/>
      </c>
      <c r="CA63" s="91" t="n">
        <v>74.56999999999999</v>
      </c>
      <c r="CB63" s="91">
        <f>223.64+268</f>
        <v/>
      </c>
      <c r="CC63" s="91" t="n">
        <v>61728.06</v>
      </c>
      <c r="CD63" s="91" t="n">
        <v>364</v>
      </c>
      <c r="CE63" s="91" t="n">
        <v>58170.86</v>
      </c>
      <c r="CF63" s="91" t="n">
        <v>120447.37</v>
      </c>
      <c r="CG63" s="91" t="n">
        <v>8278.48</v>
      </c>
      <c r="CH63" s="91" t="n">
        <v>210</v>
      </c>
      <c r="CI63" s="91" t="n">
        <v>1437.46</v>
      </c>
      <c r="CJ63" s="91" t="inlineStr"/>
      <c r="CK63" s="91" t="n"/>
      <c r="CL63" s="91" t="n">
        <v>47030</v>
      </c>
      <c r="CM63" s="91">
        <f>SUM(CA63:CL63)</f>
        <v/>
      </c>
      <c r="CN63" s="91" t="n"/>
      <c r="CO63" s="91" t="n"/>
      <c r="CP63" s="91" t="n"/>
      <c r="CQ63" s="93" t="n"/>
      <c r="CR63" s="94" t="n"/>
      <c r="CS63" s="94" t="n"/>
      <c r="CT63" s="91" t="n"/>
      <c r="CU63" s="91" t="n"/>
      <c r="CV63" s="91" t="n"/>
      <c r="CW63" s="91" t="n"/>
      <c r="CX63" s="91" t="n"/>
      <c r="CY63" s="91" t="n"/>
      <c r="CZ63" s="91">
        <f>SUM(CN63:CY63)</f>
        <v/>
      </c>
      <c r="DA63" s="35" t="n"/>
    </row>
    <row r="64" ht="20" customFormat="1" customHeight="1" s="2">
      <c r="A64" s="30" t="n">
        <v>62</v>
      </c>
      <c r="B64" s="37" t="inlineStr">
        <is>
          <t>重庆</t>
        </is>
      </c>
      <c r="C64" s="37" t="inlineStr">
        <is>
          <t>秀山</t>
        </is>
      </c>
      <c r="D64" s="37" t="inlineStr">
        <is>
          <t>彭均</t>
        </is>
      </c>
      <c r="E64" s="89" t="n"/>
      <c r="F64" s="27" t="inlineStr">
        <is>
          <t>2022/2023</t>
        </is>
      </c>
      <c r="G64" s="27" t="inlineStr">
        <is>
          <t>2/3/4/12/8/9</t>
        </is>
      </c>
      <c r="H64" s="90">
        <f>109487+19039+2635+806+419+31+50201</f>
        <v/>
      </c>
      <c r="I64" s="97" t="n">
        <v>6623</v>
      </c>
      <c r="J64" s="97" t="n">
        <v>5788</v>
      </c>
      <c r="K64" s="91">
        <f>+H64+I64+J64</f>
        <v/>
      </c>
      <c r="L64" s="97" t="inlineStr">
        <is>
          <t>5折</t>
        </is>
      </c>
      <c r="M64" s="91" t="inlineStr"/>
      <c r="N64" s="91" t="n"/>
      <c r="O64" s="91" t="n"/>
      <c r="P64" s="91" t="n"/>
      <c r="Q64" s="91" t="n"/>
      <c r="R64" s="91" t="n"/>
      <c r="S64" s="91" t="n"/>
      <c r="T64" s="91" t="n"/>
      <c r="U64" s="91" t="n"/>
      <c r="V64" s="91" t="n"/>
      <c r="W64" s="91" t="n"/>
      <c r="X64" s="91" t="n"/>
      <c r="Y64" s="91" t="n"/>
      <c r="Z64" s="91" t="n"/>
      <c r="AA64" s="91" t="n"/>
      <c r="AB64" s="91" t="n"/>
      <c r="AC64" s="91" t="n"/>
      <c r="AD64" s="91" t="n"/>
      <c r="AE64" s="91" t="n"/>
      <c r="AF64" s="91" t="n"/>
      <c r="AG64" s="30" t="n"/>
      <c r="AH64" s="30" t="n"/>
      <c r="AI64" s="30" t="n"/>
      <c r="AJ64" s="30" t="n"/>
      <c r="AK64" s="30" t="n"/>
      <c r="AL64" s="30" t="n"/>
      <c r="AM64" s="91" t="n"/>
      <c r="AN64" s="91" t="n"/>
      <c r="AO64" s="91" t="n"/>
      <c r="AP64" s="91" t="n"/>
      <c r="AQ64" s="91" t="n"/>
      <c r="AR64" s="91" t="n">
        <v>23900</v>
      </c>
      <c r="AS64" s="91">
        <f>32560+18385</f>
        <v/>
      </c>
      <c r="AT64" s="31" t="n">
        <v>23253</v>
      </c>
      <c r="AU64" s="31" t="n">
        <v>321</v>
      </c>
      <c r="AV64" s="31" t="n">
        <v>9170</v>
      </c>
      <c r="AW64" s="36" t="n"/>
      <c r="AX64" s="91" t="n">
        <v>40087</v>
      </c>
      <c r="AY64" s="31" t="n">
        <v>42681</v>
      </c>
      <c r="AZ64" s="92">
        <f>SUM(AN64:AY64)</f>
        <v/>
      </c>
      <c r="BA64" s="91" t="n">
        <v>16008</v>
      </c>
      <c r="BB64" s="30">
        <f>10088+5401</f>
        <v/>
      </c>
      <c r="BC64" s="91">
        <f>100694+3343</f>
        <v/>
      </c>
      <c r="BD64" s="91" t="n">
        <v>160</v>
      </c>
      <c r="BE64" s="91" t="n">
        <v>194</v>
      </c>
      <c r="BF64" s="91" t="n"/>
      <c r="BG64" s="91" t="n">
        <v>2635</v>
      </c>
      <c r="BH64" s="91" t="n"/>
      <c r="BI64" s="91" t="n"/>
      <c r="BJ64" s="91" t="n">
        <v>85541</v>
      </c>
      <c r="BK64" s="91" t="n">
        <v>38912</v>
      </c>
      <c r="BL64" s="91" t="n"/>
      <c r="BM64" s="91">
        <f>SUM(BA64:BL64)</f>
        <v/>
      </c>
      <c r="BN64" s="91" t="n">
        <v>1289</v>
      </c>
      <c r="BO64" s="91" t="n"/>
      <c r="BP64" s="91" t="n">
        <v>33232</v>
      </c>
      <c r="BQ64" s="91" t="n">
        <v>33208</v>
      </c>
      <c r="BR64" s="91" t="n">
        <v>54935</v>
      </c>
      <c r="BS64" s="91" t="n">
        <v>18526</v>
      </c>
      <c r="BT64" s="91">
        <f>3335+21420.82</f>
        <v/>
      </c>
      <c r="BU64" s="91" t="n">
        <v>25125.35</v>
      </c>
      <c r="BV64" s="91" t="n">
        <v>2765</v>
      </c>
      <c r="BW64" s="91" t="n">
        <v>17005.69</v>
      </c>
      <c r="BX64" s="91" t="n">
        <v>3206</v>
      </c>
      <c r="BY64" s="91" t="n">
        <v>19776.91</v>
      </c>
      <c r="BZ64" s="91">
        <f>SUM(BN64:BY64)</f>
        <v/>
      </c>
      <c r="CA64" s="91" t="inlineStr"/>
      <c r="CB64" s="91" t="inlineStr"/>
      <c r="CC64" s="91" t="inlineStr"/>
      <c r="CD64" s="91" t="n"/>
      <c r="CE64" s="91" t="n"/>
      <c r="CF64" s="91" t="n"/>
      <c r="CG64" s="91" t="n"/>
      <c r="CH64" s="91" t="inlineStr"/>
      <c r="CI64" s="91" t="n"/>
      <c r="CJ64" s="91" t="inlineStr"/>
      <c r="CK64" s="91" t="n"/>
      <c r="CL64" s="91" t="inlineStr"/>
      <c r="CM64" s="91">
        <f>SUM(CA64:CL64)</f>
        <v/>
      </c>
      <c r="CN64" s="91" t="n"/>
      <c r="CO64" s="91" t="n"/>
      <c r="CP64" s="91" t="n"/>
      <c r="CQ64" s="93" t="n"/>
      <c r="CR64" s="94" t="n"/>
      <c r="CS64" s="94" t="n"/>
      <c r="CT64" s="91" t="n"/>
      <c r="CU64" s="91" t="n"/>
      <c r="CV64" s="91" t="n"/>
      <c r="CW64" s="91" t="n"/>
      <c r="CX64" s="91" t="n"/>
      <c r="CY64" s="91" t="n"/>
      <c r="CZ64" s="91">
        <f>SUM(CN64:CY64)</f>
        <v/>
      </c>
      <c r="DA64" s="35" t="n"/>
    </row>
    <row r="65" ht="20" customFormat="1" customHeight="1" s="2">
      <c r="A65" s="30" t="n">
        <v>63</v>
      </c>
      <c r="B65" s="37" t="inlineStr">
        <is>
          <t>陕西</t>
        </is>
      </c>
      <c r="C65" s="37" t="inlineStr">
        <is>
          <t>安康</t>
        </is>
      </c>
      <c r="D65" s="37" t="inlineStr">
        <is>
          <t>张井柳</t>
        </is>
      </c>
      <c r="E65" s="89" t="n"/>
      <c r="F65" s="27" t="inlineStr">
        <is>
          <t>2022/2024</t>
        </is>
      </c>
      <c r="G65" s="27" t="inlineStr">
        <is>
          <t>1/3/4/5/12/5</t>
        </is>
      </c>
      <c r="H65" s="90">
        <f>113526+25245+2263+986+58+651+1788</f>
        <v/>
      </c>
      <c r="I65" s="97" t="n">
        <v>588</v>
      </c>
      <c r="J65" s="97" t="n">
        <v>3255</v>
      </c>
      <c r="K65" s="91">
        <f>+H65+I65+J65</f>
        <v/>
      </c>
      <c r="L65" s="97" t="inlineStr">
        <is>
          <t>5折</t>
        </is>
      </c>
      <c r="M65" s="91" t="inlineStr"/>
      <c r="N65" s="91" t="n"/>
      <c r="O65" s="91" t="n"/>
      <c r="P65" s="91" t="n"/>
      <c r="Q65" s="91" t="n"/>
      <c r="R65" s="91" t="n"/>
      <c r="S65" s="91" t="n"/>
      <c r="T65" s="91" t="n"/>
      <c r="U65" s="91" t="n"/>
      <c r="V65" s="91" t="n"/>
      <c r="W65" s="91" t="n"/>
      <c r="X65" s="91" t="n"/>
      <c r="Y65" s="91" t="n"/>
      <c r="Z65" s="91" t="n"/>
      <c r="AA65" s="91" t="n"/>
      <c r="AB65" s="91" t="n"/>
      <c r="AC65" s="91" t="n"/>
      <c r="AD65" s="91" t="n"/>
      <c r="AE65" s="91" t="n"/>
      <c r="AF65" s="91" t="n"/>
      <c r="AG65" s="30" t="n"/>
      <c r="AH65" s="30" t="n"/>
      <c r="AI65" s="30" t="n"/>
      <c r="AJ65" s="30" t="n"/>
      <c r="AK65" s="30" t="n"/>
      <c r="AL65" s="30" t="n"/>
      <c r="AM65" s="91" t="n"/>
      <c r="AN65" s="91" t="n"/>
      <c r="AO65" s="91" t="n"/>
      <c r="AP65" s="91" t="n"/>
      <c r="AQ65" s="91" t="n"/>
      <c r="AR65" s="91" t="n">
        <v>32031</v>
      </c>
      <c r="AS65" s="91" t="n">
        <v>3031</v>
      </c>
      <c r="AT65" s="31" t="n"/>
      <c r="AU65" s="31" t="n">
        <v>10902</v>
      </c>
      <c r="AV65" s="31" t="n">
        <v>39184</v>
      </c>
      <c r="AW65" s="36" t="n">
        <v>10980</v>
      </c>
      <c r="AX65" s="91" t="n"/>
      <c r="AY65" s="31" t="n">
        <v>100280</v>
      </c>
      <c r="AZ65" s="92">
        <f>SUM(AN65:AY65)</f>
        <v/>
      </c>
      <c r="BA65" s="91" t="n"/>
      <c r="BB65" s="91" t="n">
        <v>4167</v>
      </c>
      <c r="BC65" s="91" t="n">
        <v>60647</v>
      </c>
      <c r="BD65" s="91" t="n">
        <v>25437</v>
      </c>
      <c r="BE65" s="91" t="n">
        <v>2120</v>
      </c>
      <c r="BF65" s="91" t="n">
        <v>45678</v>
      </c>
      <c r="BG65" s="91" t="n"/>
      <c r="BH65" s="91" t="n"/>
      <c r="BI65" s="91" t="n">
        <v>42240</v>
      </c>
      <c r="BJ65" s="91" t="n">
        <v>16</v>
      </c>
      <c r="BK65" s="91" t="n">
        <v>7445</v>
      </c>
      <c r="BL65" s="91" t="n">
        <v>25550</v>
      </c>
      <c r="BM65" s="91">
        <f>SUM(BA65:BL65)</f>
        <v/>
      </c>
      <c r="BN65" s="91" t="n"/>
      <c r="BO65" s="91" t="n"/>
      <c r="BP65" s="91" t="n">
        <v>35493</v>
      </c>
      <c r="BQ65" s="91" t="n">
        <v>253</v>
      </c>
      <c r="BR65" s="91" t="inlineStr"/>
      <c r="BS65" s="91" t="inlineStr"/>
      <c r="BT65" s="91" t="n"/>
      <c r="BU65" s="91" t="n">
        <v>128560.59</v>
      </c>
      <c r="BV65" s="91" t="n">
        <v>8582.43</v>
      </c>
      <c r="BW65" s="91" t="n">
        <v>9620.91</v>
      </c>
      <c r="BX65" s="91" t="n">
        <v>86834.47</v>
      </c>
      <c r="BY65" s="91" t="n">
        <v>47188.76</v>
      </c>
      <c r="BZ65" s="91">
        <f>SUM(BN65:BY65)</f>
        <v/>
      </c>
      <c r="CA65" s="91" t="n">
        <v>48432.82</v>
      </c>
      <c r="CB65" s="91" t="n">
        <v>48432.82</v>
      </c>
      <c r="CC65" s="91" t="n">
        <v>1049.88</v>
      </c>
      <c r="CD65" s="91" t="n"/>
      <c r="CE65" s="91" t="n">
        <v>28847.26</v>
      </c>
      <c r="CF65" s="91" t="n">
        <v>25449.43</v>
      </c>
      <c r="CG65" s="91" t="n">
        <v>62997.2</v>
      </c>
      <c r="CH65" s="91" t="n">
        <v>155.44</v>
      </c>
      <c r="CI65" s="91" t="n">
        <v>103</v>
      </c>
      <c r="CJ65" s="91" t="inlineStr"/>
      <c r="CK65" s="91" t="n"/>
      <c r="CL65" s="91" t="n">
        <v>5720.64</v>
      </c>
      <c r="CM65" s="91">
        <f>SUM(CA65:CL65)</f>
        <v/>
      </c>
      <c r="CN65" s="91" t="n"/>
      <c r="CO65" s="91" t="n"/>
      <c r="CP65" s="91" t="n"/>
      <c r="CQ65" s="93" t="n"/>
      <c r="CR65" s="94" t="n"/>
      <c r="CS65" s="94" t="n"/>
      <c r="CT65" s="91" t="n"/>
      <c r="CU65" s="91" t="n"/>
      <c r="CV65" s="91" t="n"/>
      <c r="CW65" s="91" t="n"/>
      <c r="CX65" s="91" t="n"/>
      <c r="CY65" s="91" t="n"/>
      <c r="CZ65" s="91">
        <f>SUM(CN65:CY65)</f>
        <v/>
      </c>
      <c r="DA65" s="35" t="n"/>
    </row>
    <row r="66" ht="20" customFormat="1" customHeight="1" s="1">
      <c r="A66" s="30" t="n">
        <v>64</v>
      </c>
      <c r="B66" s="25" t="inlineStr">
        <is>
          <t>四川</t>
        </is>
      </c>
      <c r="C66" s="25" t="inlineStr">
        <is>
          <t>绵阳</t>
        </is>
      </c>
      <c r="D66" s="25" t="inlineStr">
        <is>
          <t>袁憬</t>
        </is>
      </c>
      <c r="E66" s="89" t="n"/>
      <c r="F66" s="27" t="inlineStr">
        <is>
          <t>2020/2021/2022/2023/2023/2024/2025</t>
        </is>
      </c>
      <c r="G66" s="27" t="inlineStr">
        <is>
          <t>2/9/3/4/2/3/4/2</t>
        </is>
      </c>
      <c r="H66" s="90">
        <f>101568+698+648+279+986+57963+2544+1675+303</f>
        <v/>
      </c>
      <c r="I66" s="91" t="n">
        <v>13180</v>
      </c>
      <c r="J66" s="91">
        <f>5204+1836</f>
        <v/>
      </c>
      <c r="K66" s="91">
        <f>+H66+I66+J66</f>
        <v/>
      </c>
      <c r="L66" s="91" t="inlineStr">
        <is>
          <t>5折</t>
        </is>
      </c>
      <c r="M66" s="91" t="inlineStr"/>
      <c r="N66" s="91" t="n"/>
      <c r="O66" s="91" t="n"/>
      <c r="P66" s="91" t="n"/>
      <c r="Q66" s="91" t="n"/>
      <c r="R66" s="91" t="n"/>
      <c r="S66" s="91" t="n"/>
      <c r="T66" s="91" t="n"/>
      <c r="U66" s="91" t="n"/>
      <c r="V66" s="91" t="n"/>
      <c r="W66" s="91" t="n"/>
      <c r="X66" s="91" t="n"/>
      <c r="Y66" s="91" t="n"/>
      <c r="Z66" s="91" t="n"/>
      <c r="AA66" s="91" t="n">
        <v>713</v>
      </c>
      <c r="AB66" s="91" t="n"/>
      <c r="AC66" s="91" t="n">
        <v>38023</v>
      </c>
      <c r="AD66" s="91">
        <f>54058+98</f>
        <v/>
      </c>
      <c r="AE66" s="91" t="n">
        <v>9980</v>
      </c>
      <c r="AF66" s="30" t="n">
        <v>61479</v>
      </c>
      <c r="AG66" s="91" t="n">
        <v>53692</v>
      </c>
      <c r="AH66" s="91" t="n">
        <v>25790</v>
      </c>
      <c r="AI66" s="91" t="n">
        <v>35503</v>
      </c>
      <c r="AJ66" s="91" t="n">
        <v>37928</v>
      </c>
      <c r="AK66" s="30">
        <f>39351+4320</f>
        <v/>
      </c>
      <c r="AL66" s="91" t="n">
        <v>43849</v>
      </c>
      <c r="AM66" s="91">
        <f>SUM(AA66:AL66)</f>
        <v/>
      </c>
      <c r="AN66" s="91" t="n"/>
      <c r="AO66" s="91" t="n"/>
      <c r="AP66" s="91" t="n">
        <v>6989</v>
      </c>
      <c r="AQ66" s="91" t="n">
        <v>15466</v>
      </c>
      <c r="AR66" s="91" t="n">
        <v>20981</v>
      </c>
      <c r="AS66" s="91" t="n">
        <v>598</v>
      </c>
      <c r="AT66" s="31" t="n">
        <v>1315</v>
      </c>
      <c r="AU66" s="31" t="n">
        <v>43619</v>
      </c>
      <c r="AV66" s="31" t="n">
        <v>343</v>
      </c>
      <c r="AW66" s="36" t="n">
        <v>5731</v>
      </c>
      <c r="AX66" s="91" t="n"/>
      <c r="AY66" s="31" t="n">
        <v>1447</v>
      </c>
      <c r="AZ66" s="92">
        <f>SUM(AN66:AY66)</f>
        <v/>
      </c>
      <c r="BA66" s="91" t="n"/>
      <c r="BB66" s="91" t="n">
        <v>8092</v>
      </c>
      <c r="BC66" s="91" t="n">
        <v>15852</v>
      </c>
      <c r="BD66" s="91" t="n">
        <v>7649</v>
      </c>
      <c r="BE66" s="91" t="n"/>
      <c r="BF66" s="91" t="n">
        <v>29715</v>
      </c>
      <c r="BG66" s="91" t="n">
        <v>5828</v>
      </c>
      <c r="BH66" s="91" t="n"/>
      <c r="BI66" s="91" t="n">
        <v>100835</v>
      </c>
      <c r="BJ66" s="91" t="n">
        <v>21372</v>
      </c>
      <c r="BK66" s="91" t="n">
        <v>1134</v>
      </c>
      <c r="BL66" s="91" t="n">
        <v>11820</v>
      </c>
      <c r="BM66" s="91">
        <f>SUM(BA66:BL66)</f>
        <v/>
      </c>
      <c r="BN66" s="91" t="n">
        <v>468</v>
      </c>
      <c r="BO66" s="91" t="n">
        <v>15835</v>
      </c>
      <c r="BP66" s="91" t="n">
        <v>34957</v>
      </c>
      <c r="BQ66" s="91" t="n">
        <v>6740</v>
      </c>
      <c r="BR66" s="91" t="n">
        <v>1407</v>
      </c>
      <c r="BS66" s="91" t="n">
        <v>567</v>
      </c>
      <c r="BT66" s="91" t="n">
        <v>21890.35</v>
      </c>
      <c r="BU66" s="91" t="n">
        <v>5644.77</v>
      </c>
      <c r="BV66" s="91" t="n">
        <v>8201.15</v>
      </c>
      <c r="BW66" s="91" t="n">
        <v>5172.8</v>
      </c>
      <c r="BX66" s="91" t="n">
        <v>2991.48</v>
      </c>
      <c r="BY66" s="91" t="n">
        <v>295</v>
      </c>
      <c r="BZ66" s="91">
        <f>SUM(BN66:BY66)</f>
        <v/>
      </c>
      <c r="CA66" s="91" t="inlineStr"/>
      <c r="CB66" s="91" t="inlineStr"/>
      <c r="CC66" s="91" t="inlineStr"/>
      <c r="CD66" s="91" t="n">
        <v>78345.11</v>
      </c>
      <c r="CE66" s="91" t="n">
        <v>6384.2</v>
      </c>
      <c r="CF66" s="91" t="n">
        <v>30</v>
      </c>
      <c r="CG66" s="91" t="n">
        <v>1555.79</v>
      </c>
      <c r="CH66" s="91" t="n">
        <v>3972.39</v>
      </c>
      <c r="CI66" s="91" t="n"/>
      <c r="CJ66" s="91" t="n">
        <v>18065.57</v>
      </c>
      <c r="CK66" s="91" t="n"/>
      <c r="CL66" s="91" t="inlineStr"/>
      <c r="CM66" s="91">
        <f>SUM(CA66:CL66)</f>
        <v/>
      </c>
      <c r="CN66" s="91" t="n"/>
      <c r="CO66" s="91" t="n"/>
      <c r="CP66" s="91" t="n"/>
      <c r="CQ66" s="93" t="n"/>
      <c r="CR66" s="94" t="n"/>
      <c r="CS66" s="94" t="n"/>
      <c r="CT66" s="91" t="n"/>
      <c r="CU66" s="91" t="n"/>
      <c r="CV66" s="91" t="n"/>
      <c r="CW66" s="91" t="n"/>
      <c r="CX66" s="91" t="n"/>
      <c r="CY66" s="91" t="n"/>
      <c r="CZ66" s="91">
        <f>SUM(CN66:CY66)</f>
        <v/>
      </c>
      <c r="DA66" s="35" t="n"/>
    </row>
    <row r="67" ht="20" customFormat="1" customHeight="1" s="2">
      <c r="A67" s="30" t="n">
        <v>65</v>
      </c>
      <c r="B67" s="37" t="inlineStr">
        <is>
          <t>云南</t>
        </is>
      </c>
      <c r="C67" s="37" t="inlineStr">
        <is>
          <t>昭通</t>
        </is>
      </c>
      <c r="D67" s="37" t="inlineStr">
        <is>
          <t>赵飞</t>
        </is>
      </c>
      <c r="E67" s="89" t="n"/>
      <c r="F67" s="27" t="inlineStr">
        <is>
          <t>2022/2023</t>
        </is>
      </c>
      <c r="G67" s="27" t="inlineStr">
        <is>
          <t>3/4/5/12/9</t>
        </is>
      </c>
      <c r="H67" s="90">
        <f>156090+12390+1012+22604+684</f>
        <v/>
      </c>
      <c r="I67" s="91">
        <f>1867+260</f>
        <v/>
      </c>
      <c r="J67" s="91">
        <f>4612+1916</f>
        <v/>
      </c>
      <c r="K67" s="91">
        <f>+H67+I67+J67</f>
        <v/>
      </c>
      <c r="L67" s="91" t="inlineStr">
        <is>
          <t>5折</t>
        </is>
      </c>
      <c r="M67" s="91" t="inlineStr"/>
      <c r="N67" s="91" t="n"/>
      <c r="O67" s="91" t="n"/>
      <c r="P67" s="91" t="n"/>
      <c r="Q67" s="91" t="n"/>
      <c r="R67" s="91" t="n"/>
      <c r="S67" s="91" t="n"/>
      <c r="T67" s="91" t="n"/>
      <c r="U67" s="91" t="n"/>
      <c r="V67" s="91" t="n"/>
      <c r="W67" s="91" t="n"/>
      <c r="X67" s="91" t="n"/>
      <c r="Y67" s="91" t="n"/>
      <c r="Z67" s="91" t="n"/>
      <c r="AA67" s="91" t="n"/>
      <c r="AB67" s="91" t="n"/>
      <c r="AC67" s="91" t="n"/>
      <c r="AD67" s="91" t="n"/>
      <c r="AE67" s="91" t="n"/>
      <c r="AF67" s="91" t="n"/>
      <c r="AG67" s="30" t="n"/>
      <c r="AH67" s="30" t="n"/>
      <c r="AI67" s="30" t="n"/>
      <c r="AJ67" s="30" t="n"/>
      <c r="AK67" s="30" t="n"/>
      <c r="AL67" s="30" t="n"/>
      <c r="AM67" s="91" t="n"/>
      <c r="AN67" s="91" t="n"/>
      <c r="AO67" s="91" t="n"/>
      <c r="AP67" s="91" t="n"/>
      <c r="AQ67" s="91" t="n"/>
      <c r="AR67" s="91" t="n"/>
      <c r="AS67" s="91" t="n">
        <v>13043</v>
      </c>
      <c r="AT67" s="31" t="n">
        <v>11489</v>
      </c>
      <c r="AU67" s="31" t="n">
        <v>11462</v>
      </c>
      <c r="AV67" s="31" t="n">
        <v>1562</v>
      </c>
      <c r="AW67" s="36" t="n">
        <v>57187</v>
      </c>
      <c r="AX67" s="91" t="n">
        <v>96707</v>
      </c>
      <c r="AY67" s="31" t="n">
        <v>27053</v>
      </c>
      <c r="AZ67" s="92">
        <f>SUM(AN67:AY67)</f>
        <v/>
      </c>
      <c r="BA67" s="91" t="n"/>
      <c r="BB67" s="30" t="n">
        <v>30417</v>
      </c>
      <c r="BC67" s="91" t="n">
        <v>60236</v>
      </c>
      <c r="BD67" s="91" t="n">
        <v>577</v>
      </c>
      <c r="BE67" s="91" t="n">
        <v>72733</v>
      </c>
      <c r="BF67" s="91" t="n">
        <v>75533</v>
      </c>
      <c r="BG67" s="91" t="n">
        <v>199</v>
      </c>
      <c r="BH67" s="91" t="n">
        <v>83922</v>
      </c>
      <c r="BI67" s="91" t="n">
        <v>24188</v>
      </c>
      <c r="BJ67" s="91" t="n">
        <v>40220</v>
      </c>
      <c r="BK67" s="91" t="n">
        <v>22335</v>
      </c>
      <c r="BL67" s="91" t="n">
        <v>30351</v>
      </c>
      <c r="BM67" s="91">
        <f>SUM(BA67:BL67)</f>
        <v/>
      </c>
      <c r="BN67" s="91" t="n"/>
      <c r="BO67" s="91" t="n"/>
      <c r="BP67" s="91" t="n">
        <v>30393</v>
      </c>
      <c r="BQ67" s="91" t="n">
        <v>2900</v>
      </c>
      <c r="BR67" s="91" t="n">
        <v>213</v>
      </c>
      <c r="BS67" s="91" t="n">
        <v>89</v>
      </c>
      <c r="BT67" s="91" t="n"/>
      <c r="BU67" s="91" t="n"/>
      <c r="BV67" s="91" t="inlineStr"/>
      <c r="BW67" s="91" t="n">
        <v>1700</v>
      </c>
      <c r="BX67" s="91" t="n"/>
      <c r="BY67" s="91" t="n"/>
      <c r="BZ67" s="91">
        <f>SUM(BN67:BY67)</f>
        <v/>
      </c>
      <c r="CA67" s="91" t="inlineStr"/>
      <c r="CB67" s="91" t="inlineStr"/>
      <c r="CC67" s="91" t="inlineStr"/>
      <c r="CD67" s="91" t="n"/>
      <c r="CE67" s="91" t="n"/>
      <c r="CF67" s="91" t="n"/>
      <c r="CG67" s="91" t="n"/>
      <c r="CH67" s="91" t="inlineStr"/>
      <c r="CI67" s="91" t="n"/>
      <c r="CJ67" s="91" t="inlineStr"/>
      <c r="CK67" s="91" t="n"/>
      <c r="CL67" s="91" t="inlineStr"/>
      <c r="CM67" s="91">
        <f>SUM(CA67:CL67)</f>
        <v/>
      </c>
      <c r="CN67" s="91" t="n"/>
      <c r="CO67" s="91" t="n"/>
      <c r="CP67" s="91" t="n"/>
      <c r="CQ67" s="93" t="n"/>
      <c r="CR67" s="94" t="n"/>
      <c r="CS67" s="94" t="n"/>
      <c r="CT67" s="91" t="n"/>
      <c r="CU67" s="91" t="n"/>
      <c r="CV67" s="91" t="n"/>
      <c r="CW67" s="91" t="n"/>
      <c r="CX67" s="91" t="n"/>
      <c r="CY67" s="91" t="n"/>
      <c r="CZ67" s="91">
        <f>SUM(CN67:CY67)</f>
        <v/>
      </c>
      <c r="DA67" s="35" t="n"/>
    </row>
    <row r="68" ht="20" customFormat="1" customHeight="1" s="2">
      <c r="A68" s="30" t="n">
        <v>66</v>
      </c>
      <c r="B68" s="25" t="inlineStr">
        <is>
          <t>山东</t>
        </is>
      </c>
      <c r="C68" s="25" t="inlineStr">
        <is>
          <t>济南</t>
        </is>
      </c>
      <c r="D68" s="25" t="inlineStr">
        <is>
          <t>张雪</t>
        </is>
      </c>
      <c r="E68" s="89" t="n"/>
      <c r="F68" s="27" t="inlineStr">
        <is>
          <t>2019/2021/2022/2023/2024</t>
        </is>
      </c>
      <c r="G68" s="27" t="inlineStr">
        <is>
          <t>9/6/3/4/10/3/4</t>
        </is>
      </c>
      <c r="H68" s="90">
        <f>97958+39907+698+482+247+167+42730+1675</f>
        <v/>
      </c>
      <c r="I68" s="91">
        <f>11463+1095</f>
        <v/>
      </c>
      <c r="J68" s="91" t="n">
        <v>3210</v>
      </c>
      <c r="K68" s="91">
        <f>+H68+I68+J68</f>
        <v/>
      </c>
      <c r="L68" s="91" t="inlineStr">
        <is>
          <t>5折</t>
        </is>
      </c>
      <c r="M68" s="91" t="inlineStr"/>
      <c r="N68" s="91" t="n"/>
      <c r="O68" s="91" t="n"/>
      <c r="P68" s="91" t="n"/>
      <c r="Q68" s="91" t="n"/>
      <c r="R68" s="91" t="n"/>
      <c r="S68" s="91" t="n"/>
      <c r="T68" s="91" t="n"/>
      <c r="U68" s="91" t="n"/>
      <c r="V68" s="91" t="n"/>
      <c r="W68" s="91" t="n"/>
      <c r="X68" s="91" t="n"/>
      <c r="Y68" s="91" t="n"/>
      <c r="Z68" s="91" t="n"/>
      <c r="AA68" s="91" t="n">
        <v>9965</v>
      </c>
      <c r="AB68" s="91" t="n"/>
      <c r="AC68" s="91" t="n">
        <v>10076</v>
      </c>
      <c r="AD68" s="91" t="n"/>
      <c r="AE68" s="91" t="n">
        <v>10981</v>
      </c>
      <c r="AF68" s="91" t="n">
        <v>26192</v>
      </c>
      <c r="AG68" s="30" t="n">
        <v>32180</v>
      </c>
      <c r="AH68" s="30" t="n">
        <v>17275</v>
      </c>
      <c r="AI68" s="30">
        <f>248+286</f>
        <v/>
      </c>
      <c r="AJ68" s="30" t="n"/>
      <c r="AK68" s="30">
        <f>16649+5907</f>
        <v/>
      </c>
      <c r="AL68" s="30">
        <f>7823+280</f>
        <v/>
      </c>
      <c r="AM68" s="91">
        <f>SUM(AA68:AL68)</f>
        <v/>
      </c>
      <c r="AN68" s="91" t="n"/>
      <c r="AO68" s="91" t="n"/>
      <c r="AP68" s="91" t="n"/>
      <c r="AQ68" s="91" t="n">
        <v>240</v>
      </c>
      <c r="AR68" s="91" t="n">
        <v>18148</v>
      </c>
      <c r="AS68" s="91" t="n">
        <v>14474</v>
      </c>
      <c r="AT68" s="31" t="n">
        <v>248</v>
      </c>
      <c r="AU68" s="31">
        <f>25066+3741</f>
        <v/>
      </c>
      <c r="AV68" s="31" t="n">
        <v>31</v>
      </c>
      <c r="AW68" s="36" t="n">
        <v>17006</v>
      </c>
      <c r="AX68" s="91" t="n">
        <v>2665</v>
      </c>
      <c r="AY68" s="31" t="n">
        <v>9834</v>
      </c>
      <c r="AZ68" s="92">
        <f>SUM(AN68:AY68)</f>
        <v/>
      </c>
      <c r="BA68" s="91" t="n"/>
      <c r="BB68" s="30" t="n">
        <v>17088</v>
      </c>
      <c r="BC68" s="91" t="n">
        <v>3962</v>
      </c>
      <c r="BD68" s="91">
        <f>48545+3711</f>
        <v/>
      </c>
      <c r="BE68" s="91" t="n">
        <v>31384</v>
      </c>
      <c r="BF68" s="91" t="n">
        <v>1600</v>
      </c>
      <c r="BG68" s="91" t="n">
        <v>1706</v>
      </c>
      <c r="BH68" s="91" t="n">
        <v>13160</v>
      </c>
      <c r="BI68" s="91" t="n">
        <v>108</v>
      </c>
      <c r="BJ68" s="91" t="n">
        <v>28398</v>
      </c>
      <c r="BK68" s="91" t="n"/>
      <c r="BL68" s="91" t="n">
        <v>58</v>
      </c>
      <c r="BM68" s="91">
        <f>SUM(BA68:BL68)</f>
        <v/>
      </c>
      <c r="BN68" s="91" t="n"/>
      <c r="BO68" s="91" t="n">
        <v>4264</v>
      </c>
      <c r="BP68" s="91" t="n">
        <v>82575</v>
      </c>
      <c r="BQ68" s="91" t="n">
        <v>57561</v>
      </c>
      <c r="BR68" s="91" t="n">
        <v>24941</v>
      </c>
      <c r="BS68" s="91" t="n">
        <v>16137</v>
      </c>
      <c r="BT68" s="91" t="n">
        <v>1127</v>
      </c>
      <c r="BU68" s="91" t="n">
        <v>1501</v>
      </c>
      <c r="BV68" s="91" t="n">
        <v>248</v>
      </c>
      <c r="BW68" s="91" t="inlineStr"/>
      <c r="BX68" s="91" t="n"/>
      <c r="BY68" s="91" t="n"/>
      <c r="BZ68" s="91">
        <f>SUM(BN68:BY68)</f>
        <v/>
      </c>
      <c r="CA68" s="91" t="inlineStr"/>
      <c r="CB68" s="91" t="inlineStr"/>
      <c r="CC68" s="91" t="inlineStr"/>
      <c r="CD68" s="91" t="n"/>
      <c r="CE68" s="91" t="n"/>
      <c r="CF68" s="91" t="n"/>
      <c r="CG68" s="91" t="n"/>
      <c r="CH68" s="91" t="inlineStr"/>
      <c r="CI68" s="91" t="n"/>
      <c r="CJ68" s="91" t="inlineStr"/>
      <c r="CK68" s="91" t="n"/>
      <c r="CL68" s="91" t="inlineStr"/>
      <c r="CM68" s="91">
        <f>SUM(CA68:CL68)</f>
        <v/>
      </c>
      <c r="CN68" s="91" t="n"/>
      <c r="CO68" s="91" t="n"/>
      <c r="CP68" s="91" t="n"/>
      <c r="CQ68" s="93" t="n"/>
      <c r="CR68" s="94" t="n"/>
      <c r="CS68" s="94" t="n"/>
      <c r="CT68" s="91" t="n"/>
      <c r="CU68" s="91" t="n"/>
      <c r="CV68" s="91" t="n"/>
      <c r="CW68" s="91" t="n"/>
      <c r="CX68" s="91" t="n"/>
      <c r="CY68" s="91" t="n"/>
      <c r="CZ68" s="91">
        <f>SUM(CN68:CY68)</f>
        <v/>
      </c>
      <c r="DA68" s="35" t="n"/>
    </row>
    <row r="69" ht="20" customFormat="1" customHeight="1" s="1">
      <c r="A69" s="30" t="n">
        <v>67</v>
      </c>
      <c r="B69" s="37" t="inlineStr">
        <is>
          <t>河北</t>
        </is>
      </c>
      <c r="C69" s="37" t="inlineStr">
        <is>
          <t>石家庄</t>
        </is>
      </c>
      <c r="D69" s="37" t="inlineStr">
        <is>
          <t>靳新义</t>
        </is>
      </c>
      <c r="E69" s="89" t="n"/>
      <c r="F69" s="27" t="inlineStr">
        <is>
          <t>2020/2022/2023/2024/2025</t>
        </is>
      </c>
      <c r="G69" s="27" t="inlineStr">
        <is>
          <t>9/4/5/4/5/3</t>
        </is>
      </c>
      <c r="H69" s="90">
        <f>99011+1014+1085+22689+2089+43902+150+2087</f>
        <v/>
      </c>
      <c r="I69" s="91" t="n">
        <v>1600</v>
      </c>
      <c r="J69" s="91" t="n">
        <v>920</v>
      </c>
      <c r="K69" s="91">
        <f>+H69+I69+J69</f>
        <v/>
      </c>
      <c r="L69" s="91" t="inlineStr">
        <is>
          <t>5折</t>
        </is>
      </c>
      <c r="M69" s="91" t="inlineStr"/>
      <c r="N69" s="91" t="n"/>
      <c r="O69" s="91" t="n"/>
      <c r="P69" s="91" t="n"/>
      <c r="Q69" s="91" t="n"/>
      <c r="R69" s="91" t="n"/>
      <c r="S69" s="91" t="n"/>
      <c r="T69" s="91" t="n"/>
      <c r="U69" s="91" t="n"/>
      <c r="V69" s="91" t="n"/>
      <c r="W69" s="91" t="n"/>
      <c r="X69" s="91" t="n"/>
      <c r="Y69" s="91" t="n"/>
      <c r="Z69" s="91" t="n"/>
      <c r="AA69" s="91" t="n">
        <v>51099</v>
      </c>
      <c r="AB69" s="91" t="n"/>
      <c r="AC69" s="91" t="n">
        <v>3606</v>
      </c>
      <c r="AD69" s="91" t="n">
        <v>41242</v>
      </c>
      <c r="AE69" s="91" t="n"/>
      <c r="AF69" s="91">
        <f>622+6442</f>
        <v/>
      </c>
      <c r="AG69" s="30" t="n">
        <v>844</v>
      </c>
      <c r="AH69" s="30" t="n">
        <v>2921</v>
      </c>
      <c r="AI69" s="30" t="n">
        <v>21953</v>
      </c>
      <c r="AJ69" s="30" t="n"/>
      <c r="AK69" s="30" t="n">
        <v>46398</v>
      </c>
      <c r="AL69" s="30">
        <f>29982+4569</f>
        <v/>
      </c>
      <c r="AM69" s="91">
        <f>SUM(AA69:AL69)</f>
        <v/>
      </c>
      <c r="AN69" s="91" t="n">
        <v>12342</v>
      </c>
      <c r="AO69" s="91" t="n">
        <v>80</v>
      </c>
      <c r="AP69" s="91" t="n">
        <v>34090</v>
      </c>
      <c r="AQ69" s="91" t="n">
        <v>2120</v>
      </c>
      <c r="AR69" s="91" t="n"/>
      <c r="AS69" s="91" t="n"/>
      <c r="AT69" s="31" t="n">
        <v>21013</v>
      </c>
      <c r="AU69" s="31" t="n">
        <v>158</v>
      </c>
      <c r="AV69" s="31" t="n">
        <v>228</v>
      </c>
      <c r="AW69" s="36" t="n"/>
      <c r="AX69" s="91" t="n">
        <v>18662</v>
      </c>
      <c r="AY69" s="31" t="n">
        <v>0</v>
      </c>
      <c r="AZ69" s="92">
        <f>SUM(AN69:AY69)</f>
        <v/>
      </c>
      <c r="BA69" s="91" t="n"/>
      <c r="BB69" s="30" t="n">
        <v>42304</v>
      </c>
      <c r="BC69" s="91" t="n">
        <v>56784</v>
      </c>
      <c r="BD69" s="91" t="n">
        <v>74736</v>
      </c>
      <c r="BE69" s="91" t="n">
        <v>111281</v>
      </c>
      <c r="BF69" s="91" t="n">
        <v>22337</v>
      </c>
      <c r="BG69" s="91" t="n">
        <v>5453</v>
      </c>
      <c r="BH69" s="91" t="n">
        <v>81772</v>
      </c>
      <c r="BI69" s="91" t="n">
        <v>72662</v>
      </c>
      <c r="BJ69" s="91" t="n">
        <v>34721</v>
      </c>
      <c r="BK69" s="91" t="n">
        <v>35756</v>
      </c>
      <c r="BL69" s="91" t="n">
        <v>85153</v>
      </c>
      <c r="BM69" s="91">
        <f>SUM(BA69:BL69)</f>
        <v/>
      </c>
      <c r="BN69" s="91" t="n">
        <v>14055</v>
      </c>
      <c r="BO69" s="91" t="n">
        <v>15407</v>
      </c>
      <c r="BP69" s="91" t="n">
        <v>1100</v>
      </c>
      <c r="BQ69" s="91" t="n">
        <v>3605</v>
      </c>
      <c r="BR69" s="91" t="n">
        <v>106319</v>
      </c>
      <c r="BS69" s="91" t="n">
        <v>35875</v>
      </c>
      <c r="BT69" s="91" t="n">
        <v>35213</v>
      </c>
      <c r="BU69" s="91" t="n">
        <v>24817</v>
      </c>
      <c r="BV69" s="91" t="n">
        <v>47589.77</v>
      </c>
      <c r="BW69" s="91" t="n">
        <v>14221.05</v>
      </c>
      <c r="BX69" s="91" t="n">
        <v>74784.86</v>
      </c>
      <c r="BY69" s="91" t="n">
        <v>76698.14</v>
      </c>
      <c r="BZ69" s="91">
        <f>SUM(BN69:BY69)</f>
        <v/>
      </c>
      <c r="CA69" s="91" t="n">
        <v>687</v>
      </c>
      <c r="CB69" s="91">
        <f>504+361.22</f>
        <v/>
      </c>
      <c r="CC69" s="91" t="n">
        <v>82380.32000000001</v>
      </c>
      <c r="CD69" s="91" t="n">
        <v>29927.14</v>
      </c>
      <c r="CE69" s="91" t="n">
        <v>72940.73</v>
      </c>
      <c r="CF69" s="91" t="n">
        <v>29414.66</v>
      </c>
      <c r="CG69" s="91" t="n">
        <v>29155.1</v>
      </c>
      <c r="CH69" s="91" t="n">
        <v>802.28</v>
      </c>
      <c r="CI69" s="91" t="n">
        <v>1101.48</v>
      </c>
      <c r="CJ69" s="91" t="n">
        <v>70812.84</v>
      </c>
      <c r="CK69" s="91" t="n">
        <v>13110.72</v>
      </c>
      <c r="CL69" s="91" t="n">
        <v>54031.37</v>
      </c>
      <c r="CM69" s="91">
        <f>SUM(CA69:CL69)</f>
        <v/>
      </c>
      <c r="CN69" s="91" t="n"/>
      <c r="CO69" s="91" t="n"/>
      <c r="CP69" s="91" t="n"/>
      <c r="CQ69" s="93" t="n"/>
      <c r="CR69" s="94" t="n"/>
      <c r="CS69" s="94" t="n"/>
      <c r="CT69" s="91" t="n"/>
      <c r="CU69" s="91" t="n"/>
      <c r="CV69" s="91" t="n"/>
      <c r="CW69" s="91" t="n"/>
      <c r="CX69" s="91" t="n"/>
      <c r="CY69" s="91" t="n"/>
      <c r="CZ69" s="91">
        <f>SUM(CN69:CY69)</f>
        <v/>
      </c>
      <c r="DA69" s="35" t="n"/>
    </row>
    <row r="70" ht="20" customFormat="1" customHeight="1" s="2">
      <c r="A70" s="30" t="n">
        <v>68</v>
      </c>
      <c r="B70" s="37" t="inlineStr">
        <is>
          <t>海南</t>
        </is>
      </c>
      <c r="C70" s="37" t="inlineStr">
        <is>
          <t>三亚</t>
        </is>
      </c>
      <c r="D70" s="37" t="inlineStr">
        <is>
          <t>黄种艺</t>
        </is>
      </c>
      <c r="E70" s="89" t="n"/>
      <c r="F70" s="27" t="inlineStr">
        <is>
          <t>2022/2023/2024</t>
        </is>
      </c>
      <c r="G70" s="27" t="inlineStr">
        <is>
          <t>5/7/10/11/12/2/3/4</t>
        </is>
      </c>
      <c r="H70" s="90">
        <f>3730+1265+107543+1201+777+926+17011+63236+384+300+354</f>
        <v/>
      </c>
      <c r="I70" s="91">
        <f>1600+730</f>
        <v/>
      </c>
      <c r="J70" s="91" t="n">
        <v>4514</v>
      </c>
      <c r="K70" s="91">
        <f>+H70+I70+J70</f>
        <v/>
      </c>
      <c r="L70" s="91" t="n"/>
      <c r="M70" s="91" t="inlineStr"/>
      <c r="N70" s="91" t="n"/>
      <c r="O70" s="91" t="n"/>
      <c r="P70" s="91" t="n"/>
      <c r="Q70" s="91" t="n"/>
      <c r="R70" s="91" t="n"/>
      <c r="S70" s="91" t="n"/>
      <c r="T70" s="91" t="n"/>
      <c r="U70" s="91" t="n"/>
      <c r="V70" s="91" t="n"/>
      <c r="W70" s="91" t="n"/>
      <c r="X70" s="91" t="n"/>
      <c r="Y70" s="91" t="n"/>
      <c r="Z70" s="91" t="n"/>
      <c r="AA70" s="91" t="n"/>
      <c r="AB70" s="91" t="n"/>
      <c r="AC70" s="91" t="n"/>
      <c r="AD70" s="91" t="n"/>
      <c r="AE70" s="91" t="n"/>
      <c r="AF70" s="91" t="n"/>
      <c r="AG70" s="30" t="n"/>
      <c r="AH70" s="30" t="n"/>
      <c r="AI70" s="30" t="n"/>
      <c r="AJ70" s="30" t="n"/>
      <c r="AK70" s="30" t="n"/>
      <c r="AL70" s="30" t="n"/>
      <c r="AM70" s="91" t="n"/>
      <c r="AN70" s="91" t="n"/>
      <c r="AO70" s="91" t="n"/>
      <c r="AP70" s="91" t="n"/>
      <c r="AQ70" s="91" t="n"/>
      <c r="AR70" s="91" t="n"/>
      <c r="AS70" s="91" t="n"/>
      <c r="AT70" s="31" t="n">
        <v>1354</v>
      </c>
      <c r="AU70" s="31" t="n">
        <v>21367</v>
      </c>
      <c r="AV70" s="31" t="n"/>
      <c r="AW70" s="36" t="n">
        <v>44432</v>
      </c>
      <c r="AX70" s="91" t="n">
        <v>43455</v>
      </c>
      <c r="AY70" s="31" t="n">
        <v>138150</v>
      </c>
      <c r="AZ70" s="92">
        <f>SUM(AN70:AY70)</f>
        <v/>
      </c>
      <c r="BA70" s="91" t="n">
        <v>80</v>
      </c>
      <c r="BB70" s="30" t="n">
        <v>15926</v>
      </c>
      <c r="BC70" s="91" t="n">
        <v>10350</v>
      </c>
      <c r="BD70" s="91" t="n">
        <v>58451</v>
      </c>
      <c r="BE70" s="91" t="n">
        <v>52745</v>
      </c>
      <c r="BF70" s="91" t="n">
        <v>29506</v>
      </c>
      <c r="BG70" s="91" t="n">
        <v>46128</v>
      </c>
      <c r="BH70" s="91" t="n">
        <v>632</v>
      </c>
      <c r="BI70" s="91" t="n">
        <v>44688</v>
      </c>
      <c r="BJ70" s="91" t="n">
        <v>8391</v>
      </c>
      <c r="BK70" s="91" t="n">
        <v>5858</v>
      </c>
      <c r="BL70" s="91" t="n">
        <v>43499</v>
      </c>
      <c r="BM70" s="91">
        <f>SUM(BA70:BL70)</f>
        <v/>
      </c>
      <c r="BN70" s="91" t="n"/>
      <c r="BO70" s="91" t="n"/>
      <c r="BP70" s="91" t="n">
        <v>40033</v>
      </c>
      <c r="BQ70" s="91" t="n">
        <v>37269</v>
      </c>
      <c r="BR70" s="91" t="n">
        <v>22372</v>
      </c>
      <c r="BS70" s="91" t="n">
        <v>7762</v>
      </c>
      <c r="BT70" s="91" t="n">
        <v>8751</v>
      </c>
      <c r="BU70" s="91" t="n">
        <v>12059.83</v>
      </c>
      <c r="BV70" s="91" t="n">
        <v>881</v>
      </c>
      <c r="BW70" s="91" t="n">
        <v>3171</v>
      </c>
      <c r="BX70" s="91" t="n">
        <v>14856.4</v>
      </c>
      <c r="BY70" s="91" t="n">
        <v>149768.26</v>
      </c>
      <c r="BZ70" s="91">
        <f>SUM(BN70:BY70)</f>
        <v/>
      </c>
      <c r="CA70" s="91" t="inlineStr"/>
      <c r="CB70" s="91" t="inlineStr"/>
      <c r="CC70" s="91" t="n">
        <v>9289.15</v>
      </c>
      <c r="CD70" s="91" t="n">
        <v>25022.31</v>
      </c>
      <c r="CE70" s="91" t="n">
        <v>1920.2</v>
      </c>
      <c r="CF70" s="91" t="n">
        <v>27147.59</v>
      </c>
      <c r="CG70" s="91" t="n">
        <v>71041.06</v>
      </c>
      <c r="CH70" s="91" t="n">
        <v>216293.93</v>
      </c>
      <c r="CI70" s="91" t="n">
        <v>81599.92</v>
      </c>
      <c r="CJ70" s="91" t="n">
        <v>116211.37</v>
      </c>
      <c r="CK70" s="91" t="n">
        <v>43571.91</v>
      </c>
      <c r="CL70" s="91" t="n">
        <v>37405.41</v>
      </c>
      <c r="CM70" s="91">
        <f>SUM(CA70:CL70)</f>
        <v/>
      </c>
      <c r="CN70" s="91" t="n"/>
      <c r="CO70" s="91" t="n"/>
      <c r="CP70" s="91" t="n"/>
      <c r="CQ70" s="93" t="n"/>
      <c r="CR70" s="94" t="n"/>
      <c r="CS70" s="94" t="n"/>
      <c r="CT70" s="91" t="n"/>
      <c r="CU70" s="91" t="n"/>
      <c r="CV70" s="91" t="n"/>
      <c r="CW70" s="91" t="n"/>
      <c r="CX70" s="91" t="n"/>
      <c r="CY70" s="91" t="n"/>
      <c r="CZ70" s="91">
        <f>SUM(CN70:CY70)</f>
        <v/>
      </c>
      <c r="DA70" s="35" t="n"/>
    </row>
    <row r="71" ht="20" customFormat="1" customHeight="1" s="2">
      <c r="A71" s="30" t="n">
        <v>69</v>
      </c>
      <c r="B71" s="37" t="inlineStr">
        <is>
          <t>陕西</t>
        </is>
      </c>
      <c r="C71" s="37" t="inlineStr">
        <is>
          <t>汉中西乡</t>
        </is>
      </c>
      <c r="D71" s="37" t="inlineStr">
        <is>
          <t>李昆</t>
        </is>
      </c>
      <c r="E71" s="89" t="n"/>
      <c r="F71" s="27" t="inlineStr">
        <is>
          <t>2022</t>
        </is>
      </c>
      <c r="G71" s="27" t="inlineStr">
        <is>
          <t>6/12</t>
        </is>
      </c>
      <c r="H71" s="90">
        <f>131188+81+651</f>
        <v/>
      </c>
      <c r="I71" s="91" t="n"/>
      <c r="J71" s="91" t="n">
        <v>3475</v>
      </c>
      <c r="K71" s="91">
        <f>+H71+I71+J71</f>
        <v/>
      </c>
      <c r="L71" s="91" t="inlineStr">
        <is>
          <t>6折</t>
        </is>
      </c>
      <c r="M71" s="91" t="inlineStr"/>
      <c r="N71" s="91" t="n"/>
      <c r="O71" s="91" t="n"/>
      <c r="P71" s="91" t="n"/>
      <c r="Q71" s="91" t="n"/>
      <c r="R71" s="91" t="n"/>
      <c r="S71" s="91" t="n"/>
      <c r="T71" s="91" t="n"/>
      <c r="U71" s="91" t="n"/>
      <c r="V71" s="91" t="n"/>
      <c r="W71" s="91" t="n"/>
      <c r="X71" s="91" t="n"/>
      <c r="Y71" s="91" t="n"/>
      <c r="Z71" s="91" t="n"/>
      <c r="AA71" s="91" t="n"/>
      <c r="AB71" s="91" t="n"/>
      <c r="AC71" s="91" t="n"/>
      <c r="AD71" s="91" t="n"/>
      <c r="AE71" s="91" t="n"/>
      <c r="AF71" s="91" t="n"/>
      <c r="AG71" s="30" t="n"/>
      <c r="AH71" s="30" t="n"/>
      <c r="AI71" s="30" t="n"/>
      <c r="AJ71" s="30" t="n"/>
      <c r="AK71" s="30" t="n"/>
      <c r="AL71" s="30" t="n"/>
      <c r="AM71" s="91" t="n"/>
      <c r="AN71" s="91" t="n"/>
      <c r="AO71" s="91" t="n"/>
      <c r="AP71" s="91" t="n"/>
      <c r="AQ71" s="91" t="n"/>
      <c r="AR71" s="91" t="n"/>
      <c r="AS71" s="91" t="n"/>
      <c r="AT71" s="31" t="n"/>
      <c r="AU71" s="91" t="n">
        <v>2505</v>
      </c>
      <c r="AV71" s="31" t="n">
        <v>16320</v>
      </c>
      <c r="AW71" s="36" t="n">
        <v>35542</v>
      </c>
      <c r="AX71" s="91" t="n">
        <v>1574</v>
      </c>
      <c r="AY71" s="31" t="n">
        <v>0</v>
      </c>
      <c r="AZ71" s="92">
        <f>SUM(AN71:AY71)</f>
        <v/>
      </c>
      <c r="BA71" s="91" t="n">
        <v>220</v>
      </c>
      <c r="BB71" s="91" t="n"/>
      <c r="BC71" s="91" t="n"/>
      <c r="BD71" s="91" t="n"/>
      <c r="BE71" s="91" t="n">
        <v>6480</v>
      </c>
      <c r="BF71" s="91" t="n">
        <v>15881</v>
      </c>
      <c r="BG71" s="91" t="n"/>
      <c r="BH71" s="91" t="n">
        <v>70829</v>
      </c>
      <c r="BI71" s="91" t="n">
        <v>67</v>
      </c>
      <c r="BJ71" s="91" t="n">
        <v>15637</v>
      </c>
      <c r="BK71" s="91" t="n">
        <v>10427</v>
      </c>
      <c r="BL71" s="91" t="n">
        <v>856</v>
      </c>
      <c r="BM71" s="91">
        <f>SUM(BA71:BL71)</f>
        <v/>
      </c>
      <c r="BN71" s="91" t="n">
        <v>200</v>
      </c>
      <c r="BO71" s="91" t="n"/>
      <c r="BP71" s="91" t="n"/>
      <c r="BQ71" s="91" t="n"/>
      <c r="BR71" s="91" t="inlineStr"/>
      <c r="BS71" s="91" t="inlineStr"/>
      <c r="BT71" s="91" t="n"/>
      <c r="BU71" s="91" t="n"/>
      <c r="BV71" s="91" t="inlineStr"/>
      <c r="BW71" s="91" t="inlineStr"/>
      <c r="BX71" s="91" t="n"/>
      <c r="BY71" s="91" t="n"/>
      <c r="BZ71" s="91">
        <f>SUM(BN71:BY71)</f>
        <v/>
      </c>
      <c r="CA71" s="91" t="inlineStr"/>
      <c r="CB71" s="91" t="inlineStr"/>
      <c r="CC71" s="91" t="inlineStr"/>
      <c r="CD71" s="91" t="n"/>
      <c r="CE71" s="91" t="n"/>
      <c r="CF71" s="91" t="n"/>
      <c r="CG71" s="91" t="n"/>
      <c r="CH71" s="91" t="inlineStr"/>
      <c r="CI71" s="91" t="n"/>
      <c r="CJ71" s="91" t="inlineStr"/>
      <c r="CK71" s="91" t="n"/>
      <c r="CL71" s="91" t="inlineStr"/>
      <c r="CM71" s="91">
        <f>SUM(CA71:CL71)</f>
        <v/>
      </c>
      <c r="CN71" s="91" t="n"/>
      <c r="CO71" s="91" t="n"/>
      <c r="CP71" s="91" t="n"/>
      <c r="CQ71" s="93" t="n"/>
      <c r="CR71" s="94" t="n"/>
      <c r="CS71" s="94" t="n"/>
      <c r="CT71" s="91" t="n"/>
      <c r="CU71" s="91" t="n"/>
      <c r="CV71" s="91" t="n"/>
      <c r="CW71" s="91" t="n"/>
      <c r="CX71" s="91" t="n"/>
      <c r="CY71" s="91" t="n"/>
      <c r="CZ71" s="91">
        <f>SUM(CN71:CY71)</f>
        <v/>
      </c>
      <c r="DA71" s="35" t="n"/>
    </row>
    <row r="72" ht="20" customFormat="1" customHeight="1" s="2">
      <c r="A72" s="30" t="n">
        <v>70</v>
      </c>
      <c r="B72" s="37" t="inlineStr">
        <is>
          <t>内蒙古</t>
        </is>
      </c>
      <c r="C72" s="37" t="inlineStr">
        <is>
          <t>锡林浩特</t>
        </is>
      </c>
      <c r="D72" s="37" t="inlineStr">
        <is>
          <t>文静</t>
        </is>
      </c>
      <c r="E72" s="89" t="n"/>
      <c r="F72" s="27" t="inlineStr">
        <is>
          <t>2022/2023</t>
        </is>
      </c>
      <c r="G72" s="27" t="inlineStr">
        <is>
          <t>5/7/8/2/11</t>
        </is>
      </c>
      <c r="H72" s="90">
        <f>83649+795+407+651+605+6466</f>
        <v/>
      </c>
      <c r="I72" s="91" t="n">
        <v>1185</v>
      </c>
      <c r="J72" s="91" t="n">
        <v>5475</v>
      </c>
      <c r="K72" s="91">
        <f>+H72+I72+J72</f>
        <v/>
      </c>
      <c r="L72" s="91" t="inlineStr">
        <is>
          <t>6折</t>
        </is>
      </c>
      <c r="M72" s="91" t="inlineStr"/>
      <c r="N72" s="91" t="n"/>
      <c r="O72" s="91" t="n"/>
      <c r="P72" s="91" t="n"/>
      <c r="Q72" s="91" t="n"/>
      <c r="R72" s="91" t="n"/>
      <c r="S72" s="91" t="n"/>
      <c r="T72" s="91" t="n"/>
      <c r="U72" s="91" t="n"/>
      <c r="V72" s="91" t="n"/>
      <c r="W72" s="91" t="n"/>
      <c r="X72" s="91" t="n"/>
      <c r="Y72" s="91" t="n"/>
      <c r="Z72" s="91" t="n"/>
      <c r="AA72" s="91" t="n"/>
      <c r="AB72" s="91" t="n"/>
      <c r="AC72" s="91" t="n"/>
      <c r="AD72" s="91" t="n"/>
      <c r="AE72" s="91" t="n"/>
      <c r="AF72" s="91" t="n"/>
      <c r="AG72" s="30" t="n"/>
      <c r="AH72" s="30" t="n"/>
      <c r="AI72" s="30" t="n"/>
      <c r="AJ72" s="30" t="n"/>
      <c r="AK72" s="30" t="n"/>
      <c r="AL72" s="30" t="n"/>
      <c r="AM72" s="91" t="n"/>
      <c r="AN72" s="91" t="n"/>
      <c r="AO72" s="91" t="n"/>
      <c r="AP72" s="91" t="n"/>
      <c r="AQ72" s="91" t="n"/>
      <c r="AR72" s="91" t="n"/>
      <c r="AS72" s="91" t="n">
        <v>23282</v>
      </c>
      <c r="AT72" s="31" t="n">
        <v>9273</v>
      </c>
      <c r="AU72" s="31" t="n"/>
      <c r="AV72" s="31" t="n">
        <v>16095</v>
      </c>
      <c r="AW72" s="36" t="n"/>
      <c r="AX72" s="91" t="n"/>
      <c r="AY72" s="31" t="n">
        <v>0</v>
      </c>
      <c r="AZ72" s="92">
        <f>SUM(AN72:AY72)</f>
        <v/>
      </c>
      <c r="BA72" s="91" t="n"/>
      <c r="BB72" s="30" t="n">
        <v>10228</v>
      </c>
      <c r="BC72" s="91" t="n">
        <v>1912</v>
      </c>
      <c r="BD72" s="91" t="n">
        <v>38699</v>
      </c>
      <c r="BE72" s="91" t="n">
        <v>1168</v>
      </c>
      <c r="BF72" s="91" t="n">
        <v>140</v>
      </c>
      <c r="BG72" s="91" t="n">
        <v>76742</v>
      </c>
      <c r="BH72" s="91" t="n">
        <v>121181</v>
      </c>
      <c r="BI72" s="91" t="n">
        <v>69626</v>
      </c>
      <c r="BJ72" s="91" t="n">
        <v>5880</v>
      </c>
      <c r="BK72" s="91" t="n">
        <v>63848</v>
      </c>
      <c r="BL72" s="91" t="n">
        <v>1565</v>
      </c>
      <c r="BM72" s="91">
        <f>SUM(BA72:BL72)</f>
        <v/>
      </c>
      <c r="BN72" s="91" t="n">
        <v>820</v>
      </c>
      <c r="BO72" s="91" t="n"/>
      <c r="BP72" s="91" t="n">
        <v>23790</v>
      </c>
      <c r="BQ72" s="91" t="n">
        <v>9589</v>
      </c>
      <c r="BR72" s="91" t="n">
        <v>84773</v>
      </c>
      <c r="BS72" s="91" t="n">
        <v>2391</v>
      </c>
      <c r="BT72" s="91" t="n"/>
      <c r="BU72" s="91" t="n"/>
      <c r="BV72" s="91" t="n">
        <v>10873</v>
      </c>
      <c r="BW72" s="91" t="n">
        <v>35962.37</v>
      </c>
      <c r="BX72" s="91" t="n">
        <v>0</v>
      </c>
      <c r="BY72" s="91" t="n"/>
      <c r="BZ72" s="91">
        <f>SUM(BN72:BY72)</f>
        <v/>
      </c>
      <c r="CA72" s="91" t="n">
        <v>111034</v>
      </c>
      <c r="CB72" s="91">
        <f>111033.9+12293</f>
        <v/>
      </c>
      <c r="CC72" s="91" t="n">
        <v>861.36</v>
      </c>
      <c r="CD72" s="91" t="n">
        <v>337.97</v>
      </c>
      <c r="CE72" s="91" t="n">
        <v>304.43</v>
      </c>
      <c r="CF72" s="91" t="n">
        <v>35026.1</v>
      </c>
      <c r="CG72" s="91" t="n">
        <v>3984</v>
      </c>
      <c r="CH72" s="91" t="n">
        <v>1079.45</v>
      </c>
      <c r="CI72" s="91" t="n">
        <v>17575.65</v>
      </c>
      <c r="CJ72" s="91" t="n">
        <v>1658.78</v>
      </c>
      <c r="CK72" s="91" t="n">
        <v>822.4</v>
      </c>
      <c r="CL72" s="91" t="inlineStr"/>
      <c r="CM72" s="91">
        <f>SUM(CA72:CL72)</f>
        <v/>
      </c>
      <c r="CN72" s="91" t="n"/>
      <c r="CO72" s="91" t="n"/>
      <c r="CP72" s="91" t="n"/>
      <c r="CQ72" s="93" t="n"/>
      <c r="CR72" s="94" t="n"/>
      <c r="CS72" s="94" t="n"/>
      <c r="CT72" s="91" t="n"/>
      <c r="CU72" s="91" t="n"/>
      <c r="CV72" s="91" t="n"/>
      <c r="CW72" s="91" t="n"/>
      <c r="CX72" s="91" t="n"/>
      <c r="CY72" s="91" t="n"/>
      <c r="CZ72" s="91">
        <f>SUM(CN72:CY72)</f>
        <v/>
      </c>
      <c r="DA72" s="35" t="n"/>
    </row>
    <row r="73" ht="20" customFormat="1" customHeight="1" s="2">
      <c r="A73" s="30" t="n">
        <v>71</v>
      </c>
      <c r="B73" s="37" t="inlineStr">
        <is>
          <t>四川</t>
        </is>
      </c>
      <c r="C73" s="37" t="inlineStr">
        <is>
          <t>邻水</t>
        </is>
      </c>
      <c r="D73" s="37" t="inlineStr">
        <is>
          <t>杨平</t>
        </is>
      </c>
      <c r="E73" s="89" t="n"/>
      <c r="F73" s="27" t="inlineStr">
        <is>
          <t>2021/2026</t>
        </is>
      </c>
      <c r="G73" s="27" t="inlineStr">
        <is>
          <t>12/1</t>
        </is>
      </c>
      <c r="H73" s="90">
        <f>97481+1239</f>
        <v/>
      </c>
      <c r="I73" s="91" t="n">
        <v>1726</v>
      </c>
      <c r="J73" s="91" t="n"/>
      <c r="K73" s="91">
        <f>+H73+I73+J73</f>
        <v/>
      </c>
      <c r="L73" s="91" t="inlineStr">
        <is>
          <t>5折</t>
        </is>
      </c>
      <c r="M73" s="91" t="inlineStr"/>
      <c r="N73" s="91" t="n"/>
      <c r="O73" s="91" t="n"/>
      <c r="P73" s="91" t="n"/>
      <c r="Q73" s="91" t="n"/>
      <c r="R73" s="91" t="n"/>
      <c r="S73" s="91" t="n"/>
      <c r="T73" s="91" t="n"/>
      <c r="U73" s="91" t="n"/>
      <c r="V73" s="91" t="n"/>
      <c r="W73" s="91" t="n"/>
      <c r="X73" s="91" t="n"/>
      <c r="Y73" s="91" t="n"/>
      <c r="Z73" s="91" t="n"/>
      <c r="AA73" s="91" t="n"/>
      <c r="AB73" s="91" t="n"/>
      <c r="AC73" s="91" t="n"/>
      <c r="AD73" s="91" t="n"/>
      <c r="AE73" s="91" t="n"/>
      <c r="AF73" s="91" t="n"/>
      <c r="AG73" s="30" t="n"/>
      <c r="AH73" s="30" t="n"/>
      <c r="AI73" s="30" t="n"/>
      <c r="AJ73" s="30" t="n"/>
      <c r="AK73" s="30" t="n"/>
      <c r="AL73" s="30" t="n"/>
      <c r="AM73" s="91" t="n"/>
      <c r="AN73" s="91" t="n"/>
      <c r="AO73" s="91" t="n"/>
      <c r="AP73" s="91" t="n"/>
      <c r="AQ73" s="91" t="n"/>
      <c r="AR73" s="91" t="n"/>
      <c r="AS73" s="91" t="n">
        <v>24764</v>
      </c>
      <c r="AT73" s="31" t="n"/>
      <c r="AU73" s="31" t="n">
        <v>1209</v>
      </c>
      <c r="AV73" s="31" t="n">
        <v>13322</v>
      </c>
      <c r="AW73" s="36" t="n"/>
      <c r="AX73" s="91" t="n">
        <v>176</v>
      </c>
      <c r="AY73" s="31" t="n">
        <v>0</v>
      </c>
      <c r="AZ73" s="92">
        <f>SUM(AN73:AY73)</f>
        <v/>
      </c>
      <c r="BA73" s="91" t="n"/>
      <c r="BB73" s="91">
        <f>61843+3585</f>
        <v/>
      </c>
      <c r="BC73" s="91" t="n">
        <v>424</v>
      </c>
      <c r="BD73" s="91">
        <f>4535+3949</f>
        <v/>
      </c>
      <c r="BE73" s="91" t="n">
        <v>37449</v>
      </c>
      <c r="BF73" s="91" t="n">
        <v>3113</v>
      </c>
      <c r="BG73" s="91" t="n">
        <v>6224</v>
      </c>
      <c r="BH73" s="91" t="n">
        <v>248</v>
      </c>
      <c r="BI73" s="91" t="n"/>
      <c r="BJ73" s="91" t="n">
        <v>23003</v>
      </c>
      <c r="BK73" s="91" t="n">
        <v>24305</v>
      </c>
      <c r="BL73" s="91" t="n"/>
      <c r="BM73" s="91">
        <f>SUM(BA73:BL73)</f>
        <v/>
      </c>
      <c r="BN73" s="91" t="n"/>
      <c r="BO73" s="91" t="n"/>
      <c r="BP73" s="91" t="n">
        <v>43794</v>
      </c>
      <c r="BQ73" s="91" t="n">
        <v>867</v>
      </c>
      <c r="BR73" s="91" t="n">
        <v>23431</v>
      </c>
      <c r="BS73" s="91" t="n">
        <v>41642</v>
      </c>
      <c r="BT73" s="91" t="n">
        <v>3693</v>
      </c>
      <c r="BU73" s="91" t="n">
        <v>5256</v>
      </c>
      <c r="BV73" s="91" t="inlineStr"/>
      <c r="BW73" s="91" t="n">
        <v>199.13</v>
      </c>
      <c r="BX73" s="91" t="n">
        <v>91893.41</v>
      </c>
      <c r="BY73" s="91" t="n">
        <v>207</v>
      </c>
      <c r="BZ73" s="91">
        <f>SUM(BN73:BY73)</f>
        <v/>
      </c>
      <c r="CA73" s="91" t="inlineStr"/>
      <c r="CB73" s="91" t="inlineStr"/>
      <c r="CC73" s="91" t="inlineStr"/>
      <c r="CD73" s="91" t="n"/>
      <c r="CE73" s="91" t="n">
        <v>2156</v>
      </c>
      <c r="CF73" s="91" t="n"/>
      <c r="CG73" s="91" t="n"/>
      <c r="CH73" s="91" t="n">
        <v>6090</v>
      </c>
      <c r="CI73" s="91" t="n"/>
      <c r="CJ73" s="91" t="inlineStr"/>
      <c r="CK73" s="91" t="n"/>
      <c r="CL73" s="91" t="inlineStr"/>
      <c r="CM73" s="91">
        <f>SUM(CA73:CL73)</f>
        <v/>
      </c>
      <c r="CN73" s="91" t="n"/>
      <c r="CO73" s="91" t="n"/>
      <c r="CP73" s="91" t="n"/>
      <c r="CQ73" s="93" t="n"/>
      <c r="CR73" s="94" t="n"/>
      <c r="CS73" s="94" t="n"/>
      <c r="CT73" s="91" t="n"/>
      <c r="CU73" s="91" t="n"/>
      <c r="CV73" s="91" t="n"/>
      <c r="CW73" s="91" t="n"/>
      <c r="CX73" s="91" t="n"/>
      <c r="CY73" s="91" t="n"/>
      <c r="CZ73" s="91">
        <f>SUM(CN73:CY73)</f>
        <v/>
      </c>
      <c r="DA73" s="35" t="n"/>
    </row>
    <row r="74" ht="20" customFormat="1" customHeight="1" s="2">
      <c r="A74" s="30" t="n">
        <v>72</v>
      </c>
      <c r="B74" s="31" t="inlineStr">
        <is>
          <t>河北</t>
        </is>
      </c>
      <c r="C74" s="31" t="inlineStr">
        <is>
          <t>宁晋</t>
        </is>
      </c>
      <c r="D74" s="37" t="inlineStr">
        <is>
          <t>孙丽超</t>
        </is>
      </c>
      <c r="E74" s="89" t="n"/>
      <c r="F74" s="27" t="inlineStr">
        <is>
          <t>2022/2024/2025</t>
        </is>
      </c>
      <c r="G74" s="27" t="inlineStr">
        <is>
          <t>9/2/6</t>
        </is>
      </c>
      <c r="H74" s="90">
        <f>118465+1399+1151+54380+848+537</f>
        <v/>
      </c>
      <c r="I74" s="91">
        <f>39188+5882</f>
        <v/>
      </c>
      <c r="J74" s="91" t="n">
        <v>4566</v>
      </c>
      <c r="K74" s="91">
        <f>+H74+I74+J74</f>
        <v/>
      </c>
      <c r="L74" s="91" t="inlineStr">
        <is>
          <t>6折</t>
        </is>
      </c>
      <c r="M74" s="91" t="inlineStr"/>
      <c r="N74" s="91" t="n"/>
      <c r="O74" s="91" t="n"/>
      <c r="P74" s="91" t="n"/>
      <c r="Q74" s="91" t="n"/>
      <c r="R74" s="91" t="n"/>
      <c r="S74" s="91" t="n"/>
      <c r="T74" s="91" t="n"/>
      <c r="U74" s="91" t="n"/>
      <c r="V74" s="91" t="n"/>
      <c r="W74" s="91" t="n"/>
      <c r="X74" s="91" t="n"/>
      <c r="Y74" s="91" t="n"/>
      <c r="Z74" s="91" t="n"/>
      <c r="AA74" s="91" t="n"/>
      <c r="AB74" s="91" t="n"/>
      <c r="AC74" s="91" t="n"/>
      <c r="AD74" s="91" t="n"/>
      <c r="AE74" s="91" t="n"/>
      <c r="AF74" s="91" t="n"/>
      <c r="AG74" s="30" t="n"/>
      <c r="AH74" s="30" t="n"/>
      <c r="AI74" s="30" t="n"/>
      <c r="AJ74" s="30" t="n"/>
      <c r="AK74" s="30" t="n"/>
      <c r="AL74" s="30" t="n"/>
      <c r="AM74" s="91" t="n"/>
      <c r="AN74" s="91" t="n"/>
      <c r="AO74" s="91" t="n"/>
      <c r="AP74" s="91" t="n"/>
      <c r="AQ74" s="91" t="n"/>
      <c r="AR74" s="91" t="n"/>
      <c r="AS74" s="91" t="n"/>
      <c r="AT74" s="31" t="n"/>
      <c r="AU74" s="31" t="n"/>
      <c r="AV74" s="31" t="n"/>
      <c r="AW74" s="36" t="n"/>
      <c r="AX74" s="91" t="n"/>
      <c r="AY74" s="31" t="n"/>
      <c r="AZ74" s="92" t="n"/>
      <c r="BA74" s="91" t="n"/>
      <c r="BB74" s="91" t="n"/>
      <c r="BC74" s="91" t="n"/>
      <c r="BD74" s="91" t="n"/>
      <c r="BE74" s="91">
        <f>2792+4128</f>
        <v/>
      </c>
      <c r="BF74" s="91" t="n">
        <v>1159</v>
      </c>
      <c r="BG74" s="91">
        <f>4765+81086</f>
        <v/>
      </c>
      <c r="BH74" s="91" t="n"/>
      <c r="BI74" s="91" t="n">
        <v>157566</v>
      </c>
      <c r="BJ74" s="91" t="n">
        <v>137381</v>
      </c>
      <c r="BK74" s="91" t="n">
        <v>228254</v>
      </c>
      <c r="BL74" s="91" t="n">
        <v>74882</v>
      </c>
      <c r="BM74" s="91">
        <f>SUM(BA74:BL74)</f>
        <v/>
      </c>
      <c r="BN74" s="91" t="n">
        <v>131473</v>
      </c>
      <c r="BO74" s="91" t="n">
        <v>1841</v>
      </c>
      <c r="BP74" s="91" t="n">
        <v>69072</v>
      </c>
      <c r="BQ74" s="91" t="n">
        <v>2105</v>
      </c>
      <c r="BR74" s="91" t="n">
        <v>183639</v>
      </c>
      <c r="BS74" s="91" t="n">
        <v>6140</v>
      </c>
      <c r="BT74" s="91" t="n">
        <v>32445</v>
      </c>
      <c r="BU74" s="91" t="n">
        <v>84670</v>
      </c>
      <c r="BV74" s="91" t="n">
        <v>2302</v>
      </c>
      <c r="BW74" s="91" t="n">
        <v>71027.23</v>
      </c>
      <c r="BX74" s="91" t="n">
        <v>49086.89</v>
      </c>
      <c r="BY74" s="91" t="n"/>
      <c r="BZ74" s="91">
        <f>SUM(BN74:BY74)</f>
        <v/>
      </c>
      <c r="CA74" s="91" t="n">
        <v>2445</v>
      </c>
      <c r="CB74" s="91" t="inlineStr"/>
      <c r="CC74" s="91" t="n">
        <v>59430.29</v>
      </c>
      <c r="CD74" s="91" t="n">
        <v>25746.31</v>
      </c>
      <c r="CE74" s="91" t="n">
        <v>121890.48</v>
      </c>
      <c r="CF74" s="91" t="n">
        <v>36965.77</v>
      </c>
      <c r="CG74" s="91" t="n">
        <v>101666.72</v>
      </c>
      <c r="CH74" s="91" t="n">
        <v>100980.99</v>
      </c>
      <c r="CI74" s="91" t="n">
        <v>141836.93</v>
      </c>
      <c r="CJ74" s="91" t="n">
        <v>465.8</v>
      </c>
      <c r="CK74" s="91" t="n">
        <v>109366.39</v>
      </c>
      <c r="CL74" s="91" t="n">
        <v>630.83</v>
      </c>
      <c r="CM74" s="91">
        <f>SUM(CA74:CL74)</f>
        <v/>
      </c>
      <c r="CN74" s="91" t="n"/>
      <c r="CO74" s="91" t="n"/>
      <c r="CP74" s="91" t="n"/>
      <c r="CQ74" s="93" t="n"/>
      <c r="CR74" s="94" t="n"/>
      <c r="CS74" s="94" t="n"/>
      <c r="CT74" s="91" t="n"/>
      <c r="CU74" s="91" t="n"/>
      <c r="CV74" s="91" t="n"/>
      <c r="CW74" s="91" t="n"/>
      <c r="CX74" s="91" t="n"/>
      <c r="CY74" s="91" t="n"/>
      <c r="CZ74" s="91">
        <f>SUM(CN74:CY74)</f>
        <v/>
      </c>
      <c r="DA74" s="35" t="n"/>
    </row>
    <row r="75" ht="20" customFormat="1" customHeight="1" s="2">
      <c r="A75" s="30" t="n">
        <v>73</v>
      </c>
      <c r="B75" s="37" t="inlineStr">
        <is>
          <t>河北</t>
        </is>
      </c>
      <c r="C75" s="37" t="inlineStr">
        <is>
          <t>邢台柏乡</t>
        </is>
      </c>
      <c r="D75" s="37" t="inlineStr">
        <is>
          <t>李晓辉</t>
        </is>
      </c>
      <c r="E75" s="89" t="n"/>
      <c r="F75" s="27" t="inlineStr">
        <is>
          <t>2022</t>
        </is>
      </c>
      <c r="G75" s="27" t="inlineStr">
        <is>
          <t>8/12</t>
        </is>
      </c>
      <c r="H75" s="90">
        <f>98729+8131+644+309</f>
        <v/>
      </c>
      <c r="I75" s="91" t="n">
        <v>2074</v>
      </c>
      <c r="J75" s="91" t="n"/>
      <c r="K75" s="91">
        <f>+H75+I75+J75</f>
        <v/>
      </c>
      <c r="L75" s="91" t="n"/>
      <c r="M75" s="91" t="inlineStr"/>
      <c r="N75" s="91" t="n"/>
      <c r="O75" s="91" t="n"/>
      <c r="P75" s="91" t="n"/>
      <c r="Q75" s="91" t="n"/>
      <c r="R75" s="91" t="n"/>
      <c r="S75" s="91" t="n"/>
      <c r="T75" s="91" t="n"/>
      <c r="U75" s="91" t="n"/>
      <c r="V75" s="91" t="n"/>
      <c r="W75" s="91" t="n"/>
      <c r="X75" s="91" t="n"/>
      <c r="Y75" s="91" t="n"/>
      <c r="Z75" s="91" t="n"/>
      <c r="AA75" s="91" t="n"/>
      <c r="AB75" s="91" t="n"/>
      <c r="AC75" s="91" t="n"/>
      <c r="AD75" s="91" t="n"/>
      <c r="AE75" s="91" t="n"/>
      <c r="AF75" s="91" t="n"/>
      <c r="AG75" s="30" t="n"/>
      <c r="AH75" s="30" t="n"/>
      <c r="AI75" s="30" t="n"/>
      <c r="AJ75" s="30" t="n"/>
      <c r="AK75" s="30" t="n"/>
      <c r="AL75" s="30" t="n"/>
      <c r="AM75" s="91" t="n"/>
      <c r="AN75" s="91" t="n"/>
      <c r="AO75" s="91" t="n"/>
      <c r="AP75" s="91" t="n"/>
      <c r="AQ75" s="91" t="n"/>
      <c r="AR75" s="91" t="n"/>
      <c r="AS75" s="91" t="n"/>
      <c r="AT75" s="91" t="n"/>
      <c r="AU75" s="91" t="n"/>
      <c r="AV75" s="31" t="n">
        <v>16803</v>
      </c>
      <c r="AW75" s="36" t="n"/>
      <c r="AX75" s="91" t="n">
        <v>918</v>
      </c>
      <c r="AY75" s="31" t="n">
        <v>18287</v>
      </c>
      <c r="AZ75" s="92">
        <f>SUM(AN75:AY75)</f>
        <v/>
      </c>
      <c r="BA75" s="91" t="n"/>
      <c r="BB75" s="30" t="n">
        <v>21160</v>
      </c>
      <c r="BC75" s="91" t="n"/>
      <c r="BD75" s="91" t="n">
        <v>17319</v>
      </c>
      <c r="BE75" s="91" t="n">
        <v>17621</v>
      </c>
      <c r="BF75" s="91" t="n">
        <v>752</v>
      </c>
      <c r="BG75" s="91" t="n">
        <v>4186</v>
      </c>
      <c r="BH75" s="91" t="n">
        <v>30295</v>
      </c>
      <c r="BI75" s="91" t="n">
        <v>72893</v>
      </c>
      <c r="BJ75" s="91" t="n">
        <v>34100</v>
      </c>
      <c r="BK75" s="91" t="n">
        <v>5927</v>
      </c>
      <c r="BL75" s="91" t="n">
        <v>704</v>
      </c>
      <c r="BM75" s="91">
        <f>SUM(BA75:BL75)</f>
        <v/>
      </c>
      <c r="BN75" s="91" t="n"/>
      <c r="BO75" s="91" t="n"/>
      <c r="BP75" s="91" t="n">
        <v>35483</v>
      </c>
      <c r="BQ75" s="91" t="n">
        <v>46243</v>
      </c>
      <c r="BR75" s="91" t="n">
        <v>91811</v>
      </c>
      <c r="BS75" s="91" t="n">
        <v>75621</v>
      </c>
      <c r="BT75" s="91">
        <f>75394+17066</f>
        <v/>
      </c>
      <c r="BU75" s="91" t="n">
        <v>93386.8</v>
      </c>
      <c r="BV75" s="91" t="n">
        <v>89688.07000000001</v>
      </c>
      <c r="BW75" s="91" t="n">
        <v>39128.12</v>
      </c>
      <c r="BX75" s="91" t="n">
        <v>46070.61</v>
      </c>
      <c r="BY75" s="91" t="n">
        <v>59295.01</v>
      </c>
      <c r="BZ75" s="91">
        <f>SUM(BN75:BY75)</f>
        <v/>
      </c>
      <c r="CA75" s="91" t="n">
        <v>877</v>
      </c>
      <c r="CB75" s="91" t="n">
        <v>877.46</v>
      </c>
      <c r="CC75" s="91" t="n">
        <v>38891.7</v>
      </c>
      <c r="CD75" s="91" t="n">
        <v>19113.61</v>
      </c>
      <c r="CE75" s="91" t="n">
        <v>20635.77</v>
      </c>
      <c r="CF75" s="91" t="n">
        <v>11095.39</v>
      </c>
      <c r="CG75" s="91" t="n">
        <v>44669.18</v>
      </c>
      <c r="CH75" s="91" t="n">
        <v>52682.81</v>
      </c>
      <c r="CI75" s="91" t="n"/>
      <c r="CJ75" s="91" t="n">
        <v>33338.62</v>
      </c>
      <c r="CK75" s="91" t="n">
        <v>25744.8</v>
      </c>
      <c r="CL75" s="91" t="n">
        <v>4660</v>
      </c>
      <c r="CM75" s="91">
        <f>SUM(CA75:CL75)</f>
        <v/>
      </c>
      <c r="CN75" s="91" t="n"/>
      <c r="CO75" s="91" t="n"/>
      <c r="CP75" s="91" t="n"/>
      <c r="CQ75" s="93" t="n"/>
      <c r="CR75" s="94" t="n"/>
      <c r="CS75" s="94" t="n"/>
      <c r="CT75" s="91" t="n"/>
      <c r="CU75" s="91" t="n"/>
      <c r="CV75" s="91" t="n"/>
      <c r="CW75" s="91" t="n"/>
      <c r="CX75" s="91" t="n"/>
      <c r="CY75" s="91" t="n"/>
      <c r="CZ75" s="91">
        <f>SUM(CN75:CY75)</f>
        <v/>
      </c>
      <c r="DA75" s="35" t="n"/>
    </row>
    <row r="76" ht="20" customFormat="1" customHeight="1" s="2">
      <c r="A76" s="30" t="n">
        <v>74</v>
      </c>
      <c r="B76" s="37" t="inlineStr">
        <is>
          <t>云南</t>
        </is>
      </c>
      <c r="C76" s="37" t="inlineStr">
        <is>
          <t>陆良</t>
        </is>
      </c>
      <c r="D76" s="37" t="inlineStr">
        <is>
          <t>孔涛</t>
        </is>
      </c>
      <c r="E76" s="89" t="n"/>
      <c r="F76" s="27" t="inlineStr">
        <is>
          <t>2022/2023</t>
        </is>
      </c>
      <c r="G76" s="27" t="inlineStr">
        <is>
          <t>8/2/8/10</t>
        </is>
      </c>
      <c r="H76" s="98">
        <f>140737+651+190+261</f>
        <v/>
      </c>
      <c r="I76" s="91" t="n">
        <v>213</v>
      </c>
      <c r="J76" s="91" t="n">
        <v>5266</v>
      </c>
      <c r="K76" s="91">
        <f>+H76+I76+J76</f>
        <v/>
      </c>
      <c r="L76" s="91" t="inlineStr">
        <is>
          <t>6折</t>
        </is>
      </c>
      <c r="M76" s="91" t="inlineStr"/>
      <c r="N76" s="91" t="n"/>
      <c r="O76" s="91" t="n"/>
      <c r="P76" s="91" t="n"/>
      <c r="Q76" s="91" t="n"/>
      <c r="R76" s="91" t="n"/>
      <c r="S76" s="91" t="n"/>
      <c r="T76" s="91" t="n"/>
      <c r="U76" s="91" t="n"/>
      <c r="V76" s="91" t="n"/>
      <c r="W76" s="91" t="n"/>
      <c r="X76" s="91" t="n"/>
      <c r="Y76" s="91" t="n"/>
      <c r="Z76" s="91" t="n"/>
      <c r="AA76" s="91" t="n"/>
      <c r="AB76" s="91" t="n"/>
      <c r="AC76" s="91" t="n"/>
      <c r="AD76" s="91" t="n"/>
      <c r="AE76" s="91" t="n"/>
      <c r="AF76" s="91" t="n"/>
      <c r="AG76" s="30" t="n"/>
      <c r="AH76" s="30" t="n"/>
      <c r="AI76" s="30" t="n"/>
      <c r="AJ76" s="30" t="n"/>
      <c r="AK76" s="30" t="n"/>
      <c r="AL76" s="30" t="n"/>
      <c r="AM76" s="91" t="n"/>
      <c r="AN76" s="91" t="n"/>
      <c r="AO76" s="91" t="n"/>
      <c r="AP76" s="91" t="n"/>
      <c r="AQ76" s="91" t="n"/>
      <c r="AR76" s="91" t="n"/>
      <c r="AS76" s="91" t="n"/>
      <c r="AT76" s="91" t="n"/>
      <c r="AU76" s="91" t="n"/>
      <c r="AV76" s="31" t="n">
        <v>6553</v>
      </c>
      <c r="AW76" s="36" t="n">
        <v>2500</v>
      </c>
      <c r="AX76" s="91" t="n">
        <v>50458</v>
      </c>
      <c r="AY76" s="31" t="n">
        <v>31698</v>
      </c>
      <c r="AZ76" s="92">
        <f>SUM(AN76:AY76)</f>
        <v/>
      </c>
      <c r="BA76" s="91" t="n"/>
      <c r="BB76" s="30" t="n">
        <v>14292</v>
      </c>
      <c r="BC76" s="91" t="n">
        <v>52576</v>
      </c>
      <c r="BD76" s="91" t="n">
        <v>6997</v>
      </c>
      <c r="BE76" s="91" t="n">
        <v>39127</v>
      </c>
      <c r="BF76" s="91" t="n">
        <v>17366</v>
      </c>
      <c r="BG76" s="91" t="n">
        <v>18153</v>
      </c>
      <c r="BH76" s="91" t="n">
        <v>1279</v>
      </c>
      <c r="BI76" s="91" t="n">
        <v>41708</v>
      </c>
      <c r="BJ76" s="91" t="n">
        <v>25729</v>
      </c>
      <c r="BK76" s="91" t="n">
        <v>42405</v>
      </c>
      <c r="BL76" s="91" t="n">
        <v>56157</v>
      </c>
      <c r="BM76" s="91">
        <f>SUM(BA76:BL76)</f>
        <v/>
      </c>
      <c r="BN76" s="91" t="n"/>
      <c r="BO76" s="91" t="n"/>
      <c r="BP76" s="91" t="n">
        <v>22657</v>
      </c>
      <c r="BQ76" s="91" t="n">
        <v>38389</v>
      </c>
      <c r="BR76" s="91" t="n">
        <v>6122</v>
      </c>
      <c r="BS76" s="91" t="inlineStr"/>
      <c r="BT76" s="91" t="n"/>
      <c r="BU76" s="91" t="n">
        <v>6880.66</v>
      </c>
      <c r="BV76" s="91" t="n">
        <v>259</v>
      </c>
      <c r="BW76" s="91" t="n">
        <v>18985</v>
      </c>
      <c r="BX76" s="91" t="n">
        <v>44860.69</v>
      </c>
      <c r="BY76" s="91" t="n">
        <v>231</v>
      </c>
      <c r="BZ76" s="91">
        <f>SUM(BN76:BY76)</f>
        <v/>
      </c>
      <c r="CA76" s="91" t="inlineStr"/>
      <c r="CB76" s="91" t="inlineStr"/>
      <c r="CC76" s="91" t="n">
        <v>948</v>
      </c>
      <c r="CD76" s="91" t="n"/>
      <c r="CE76" s="91" t="n"/>
      <c r="CF76" s="91" t="n"/>
      <c r="CG76" s="91" t="n"/>
      <c r="CH76" s="91" t="n">
        <v>2287</v>
      </c>
      <c r="CI76" s="91" t="n"/>
      <c r="CJ76" s="91" t="inlineStr"/>
      <c r="CK76" s="91" t="n"/>
      <c r="CL76" s="91" t="inlineStr"/>
      <c r="CM76" s="91">
        <f>SUM(CA76:CL76)</f>
        <v/>
      </c>
      <c r="CN76" s="91" t="n"/>
      <c r="CO76" s="91" t="n"/>
      <c r="CP76" s="91" t="n"/>
      <c r="CQ76" s="93" t="n"/>
      <c r="CR76" s="94" t="n"/>
      <c r="CS76" s="94" t="n"/>
      <c r="CT76" s="91" t="n"/>
      <c r="CU76" s="91" t="n"/>
      <c r="CV76" s="91" t="n"/>
      <c r="CW76" s="91" t="n"/>
      <c r="CX76" s="91" t="n"/>
      <c r="CY76" s="91" t="n"/>
      <c r="CZ76" s="91">
        <f>SUM(CN76:CY76)</f>
        <v/>
      </c>
      <c r="DA76" s="35" t="n"/>
    </row>
    <row r="77" ht="20" customFormat="1" customHeight="1" s="1">
      <c r="A77" s="30" t="n">
        <v>75</v>
      </c>
      <c r="B77" s="37" t="inlineStr">
        <is>
          <t>江西</t>
        </is>
      </c>
      <c r="C77" s="37" t="inlineStr">
        <is>
          <t>萍乡</t>
        </is>
      </c>
      <c r="D77" s="37" t="inlineStr">
        <is>
          <t>吴其林</t>
        </is>
      </c>
      <c r="E77" s="89" t="n"/>
      <c r="F77" s="27" t="inlineStr">
        <is>
          <t>2022/2023/2025</t>
        </is>
      </c>
      <c r="G77" s="27" t="inlineStr">
        <is>
          <t>8/10/12/3/5/3</t>
        </is>
      </c>
      <c r="H77" s="90">
        <f>104585+4342+651+9340+8095+1883</f>
        <v/>
      </c>
      <c r="I77" s="91">
        <f>1600+585</f>
        <v/>
      </c>
      <c r="J77" s="91" t="n">
        <v>2964</v>
      </c>
      <c r="K77" s="91">
        <f>+H77+I77+J77</f>
        <v/>
      </c>
      <c r="L77" s="91" t="inlineStr">
        <is>
          <t>6折</t>
        </is>
      </c>
      <c r="M77" s="91" t="inlineStr"/>
      <c r="N77" s="91" t="n"/>
      <c r="O77" s="91" t="n"/>
      <c r="P77" s="91" t="n"/>
      <c r="Q77" s="91" t="n"/>
      <c r="R77" s="91" t="n"/>
      <c r="S77" s="91" t="n"/>
      <c r="T77" s="91" t="n"/>
      <c r="U77" s="91" t="n"/>
      <c r="V77" s="91" t="n"/>
      <c r="W77" s="91" t="n"/>
      <c r="X77" s="91" t="n"/>
      <c r="Y77" s="91" t="n"/>
      <c r="Z77" s="91" t="n"/>
      <c r="AA77" s="91" t="n"/>
      <c r="AB77" s="91" t="n"/>
      <c r="AC77" s="91" t="n"/>
      <c r="AD77" s="91" t="n"/>
      <c r="AE77" s="91" t="n"/>
      <c r="AF77" s="91" t="n"/>
      <c r="AG77" s="30" t="n"/>
      <c r="AH77" s="30" t="n"/>
      <c r="AI77" s="30" t="n"/>
      <c r="AJ77" s="30" t="n"/>
      <c r="AK77" s="30" t="n"/>
      <c r="AL77" s="30" t="n"/>
      <c r="AM77" s="91" t="n"/>
      <c r="AN77" s="91" t="n"/>
      <c r="AO77" s="91" t="n"/>
      <c r="AP77" s="91" t="n"/>
      <c r="AQ77" s="91" t="n"/>
      <c r="AR77" s="91" t="n"/>
      <c r="AS77" s="91" t="n"/>
      <c r="AT77" s="91" t="n"/>
      <c r="AU77" s="91" t="n">
        <v>3093</v>
      </c>
      <c r="AV77" s="31" t="n">
        <v>1260</v>
      </c>
      <c r="AW77" s="36" t="n">
        <v>752</v>
      </c>
      <c r="AX77" s="91" t="n">
        <v>10230</v>
      </c>
      <c r="AY77" s="31" t="n">
        <v>0</v>
      </c>
      <c r="AZ77" s="92">
        <f>SUM(AN77:AY77)</f>
        <v/>
      </c>
      <c r="BA77" s="91" t="n"/>
      <c r="BB77" s="91" t="n"/>
      <c r="BC77" s="91" t="n"/>
      <c r="BD77" s="91">
        <f>58832+3049</f>
        <v/>
      </c>
      <c r="BE77" s="91" t="n">
        <v>64364</v>
      </c>
      <c r="BF77" s="91" t="n">
        <v>8523</v>
      </c>
      <c r="BG77" s="91" t="n">
        <v>55796</v>
      </c>
      <c r="BH77" s="91" t="n">
        <v>64118</v>
      </c>
      <c r="BI77" s="91" t="n">
        <v>37602</v>
      </c>
      <c r="BJ77" s="91" t="n">
        <v>41190</v>
      </c>
      <c r="BK77" s="91" t="n">
        <v>472</v>
      </c>
      <c r="BL77" s="91" t="n">
        <v>40208</v>
      </c>
      <c r="BM77" s="91">
        <f>SUM(BA77:BL77)</f>
        <v/>
      </c>
      <c r="BN77" s="91" t="n">
        <v>6282</v>
      </c>
      <c r="BO77" s="91" t="n">
        <v>1560</v>
      </c>
      <c r="BP77" s="91" t="n">
        <v>19669</v>
      </c>
      <c r="BQ77" s="91" t="n">
        <v>10910</v>
      </c>
      <c r="BR77" s="91" t="n">
        <v>5766</v>
      </c>
      <c r="BS77" s="91" t="n">
        <v>55629</v>
      </c>
      <c r="BT77" s="91" t="n">
        <v>47907</v>
      </c>
      <c r="BU77" s="91" t="n">
        <v>8115</v>
      </c>
      <c r="BV77" s="91" t="n">
        <v>43456</v>
      </c>
      <c r="BW77" s="91" t="n">
        <v>617</v>
      </c>
      <c r="BX77" s="91" t="n">
        <v>82283</v>
      </c>
      <c r="BY77" s="91" t="n">
        <v>47827</v>
      </c>
      <c r="BZ77" s="91">
        <f>SUM(BN77:BY77)</f>
        <v/>
      </c>
      <c r="CA77" s="91" t="inlineStr"/>
      <c r="CB77" s="91" t="n">
        <v>1162</v>
      </c>
      <c r="CC77" s="91" t="n">
        <v>44817</v>
      </c>
      <c r="CD77" s="91" t="n">
        <v>270</v>
      </c>
      <c r="CE77" s="91" t="n">
        <v>2791</v>
      </c>
      <c r="CF77" s="91" t="n">
        <v>10550</v>
      </c>
      <c r="CG77" s="91" t="n"/>
      <c r="CH77" s="91" t="n">
        <v>24721</v>
      </c>
      <c r="CI77" s="91" t="n"/>
      <c r="CJ77" s="91" t="n">
        <v>0</v>
      </c>
      <c r="CK77" s="91" t="n">
        <v>2899</v>
      </c>
      <c r="CL77" s="91" t="n">
        <v>23443</v>
      </c>
      <c r="CM77" s="91">
        <f>SUM(CA77:CL77)</f>
        <v/>
      </c>
      <c r="CN77" s="91" t="n"/>
      <c r="CO77" s="91" t="n"/>
      <c r="CP77" s="91" t="n"/>
      <c r="CQ77" s="93" t="n"/>
      <c r="CR77" s="94" t="n"/>
      <c r="CS77" s="94" t="n"/>
      <c r="CT77" s="91" t="n"/>
      <c r="CU77" s="91" t="n"/>
      <c r="CV77" s="91" t="n"/>
      <c r="CW77" s="91" t="n"/>
      <c r="CX77" s="91" t="n"/>
      <c r="CY77" s="91" t="n"/>
      <c r="CZ77" s="91">
        <f>SUM(CN77:CY77)</f>
        <v/>
      </c>
      <c r="DA77" s="35" t="n"/>
    </row>
    <row r="78" ht="20" customFormat="1" customHeight="1" s="1">
      <c r="A78" s="30" t="n">
        <v>76</v>
      </c>
      <c r="B78" s="37" t="inlineStr">
        <is>
          <t>贵州</t>
        </is>
      </c>
      <c r="C78" s="37" t="inlineStr">
        <is>
          <t>德江</t>
        </is>
      </c>
      <c r="D78" s="37" t="inlineStr">
        <is>
          <t>张旭</t>
        </is>
      </c>
      <c r="E78" s="89" t="n"/>
      <c r="F78" s="27" t="inlineStr">
        <is>
          <t>2022/2023/2024/2025</t>
        </is>
      </c>
      <c r="G78" s="27" t="inlineStr">
        <is>
          <t>7/8/12/5/11/7/3</t>
        </is>
      </c>
      <c r="H78" s="90">
        <f>103125+4740+54+324+25484+1687+1399+144101+1619+190</f>
        <v/>
      </c>
      <c r="I78" s="91" t="n">
        <v>130</v>
      </c>
      <c r="J78" s="91" t="n">
        <v>6311</v>
      </c>
      <c r="K78" s="91">
        <f>+H78+I78+J78</f>
        <v/>
      </c>
      <c r="L78" s="91" t="inlineStr">
        <is>
          <t>6折</t>
        </is>
      </c>
      <c r="M78" s="91" t="inlineStr"/>
      <c r="N78" s="91" t="n"/>
      <c r="O78" s="91" t="n"/>
      <c r="P78" s="91" t="n"/>
      <c r="Q78" s="91" t="n"/>
      <c r="R78" s="91" t="n"/>
      <c r="S78" s="91" t="n"/>
      <c r="T78" s="91" t="n"/>
      <c r="U78" s="91" t="n"/>
      <c r="V78" s="91" t="n"/>
      <c r="W78" s="91" t="n"/>
      <c r="X78" s="91" t="n"/>
      <c r="Y78" s="91" t="n"/>
      <c r="Z78" s="91" t="n"/>
      <c r="AA78" s="91" t="n"/>
      <c r="AB78" s="91" t="n"/>
      <c r="AC78" s="91" t="n"/>
      <c r="AD78" s="91" t="n"/>
      <c r="AE78" s="91" t="n"/>
      <c r="AF78" s="91" t="n"/>
      <c r="AG78" s="30" t="n"/>
      <c r="AH78" s="30" t="n"/>
      <c r="AI78" s="30" t="n"/>
      <c r="AJ78" s="30" t="n"/>
      <c r="AK78" s="30" t="n"/>
      <c r="AL78" s="30" t="n"/>
      <c r="AM78" s="91" t="n"/>
      <c r="AN78" s="91" t="n"/>
      <c r="AO78" s="91" t="n"/>
      <c r="AP78" s="91" t="n"/>
      <c r="AQ78" s="91" t="n"/>
      <c r="AR78" s="91" t="n"/>
      <c r="AS78" s="91" t="n"/>
      <c r="AT78" s="31" t="n">
        <v>1516</v>
      </c>
      <c r="AU78" s="91" t="n">
        <v>610</v>
      </c>
      <c r="AV78" s="31" t="n"/>
      <c r="AW78" s="36" t="n"/>
      <c r="AX78" s="91" t="n">
        <v>3857</v>
      </c>
      <c r="AY78" s="31" t="n">
        <v>74497</v>
      </c>
      <c r="AZ78" s="92">
        <f>SUM(AN78:AY78)</f>
        <v/>
      </c>
      <c r="BA78" s="91" t="n"/>
      <c r="BB78" s="91" t="n">
        <v>45235</v>
      </c>
      <c r="BC78" s="30" t="n">
        <v>90193</v>
      </c>
      <c r="BD78" s="91">
        <f>125879+7581</f>
        <v/>
      </c>
      <c r="BE78" s="91" t="n">
        <v>99523</v>
      </c>
      <c r="BF78" s="91" t="n">
        <v>128492</v>
      </c>
      <c r="BG78" s="91" t="n">
        <v>115188</v>
      </c>
      <c r="BH78" s="91" t="n">
        <v>92960</v>
      </c>
      <c r="BI78" s="91" t="n">
        <v>193875</v>
      </c>
      <c r="BJ78" s="91" t="n">
        <v>186145</v>
      </c>
      <c r="BK78" s="91" t="n">
        <v>247315</v>
      </c>
      <c r="BL78" s="91" t="n">
        <v>94724</v>
      </c>
      <c r="BM78" s="91">
        <f>SUM(BA78:BL78)</f>
        <v/>
      </c>
      <c r="BN78" s="91" t="n">
        <v>3083</v>
      </c>
      <c r="BO78" s="91" t="n">
        <v>49350</v>
      </c>
      <c r="BP78" s="91" t="n">
        <v>153122</v>
      </c>
      <c r="BQ78" s="91" t="n">
        <v>41000</v>
      </c>
      <c r="BR78" s="91" t="n">
        <v>198003</v>
      </c>
      <c r="BS78" s="91" t="n">
        <v>64892</v>
      </c>
      <c r="BT78" s="91">
        <f>9745+76552.92</f>
        <v/>
      </c>
      <c r="BU78" s="91" t="n">
        <v>159297.42</v>
      </c>
      <c r="BV78" s="91" t="n">
        <v>4233</v>
      </c>
      <c r="BW78" s="91" t="n">
        <v>398525.11</v>
      </c>
      <c r="BX78" s="91" t="n">
        <v>101880.41</v>
      </c>
      <c r="BY78" s="91" t="n">
        <v>146367.35</v>
      </c>
      <c r="BZ78" s="91">
        <f>SUM(BN78:BY78)</f>
        <v/>
      </c>
      <c r="CA78" s="91" t="n">
        <v>1287.36</v>
      </c>
      <c r="CB78" s="91" t="n">
        <v>684.36</v>
      </c>
      <c r="CC78" s="91" t="n">
        <v>168479.15</v>
      </c>
      <c r="CD78" s="91" t="n">
        <v>81481.84</v>
      </c>
      <c r="CE78" s="91" t="n">
        <v>125730.27</v>
      </c>
      <c r="CF78" s="91" t="n">
        <v>55119.46</v>
      </c>
      <c r="CG78" s="91" t="n">
        <v>35979.79</v>
      </c>
      <c r="CH78" s="91" t="n">
        <v>45893.62</v>
      </c>
      <c r="CI78" s="91" t="n">
        <v>89379.98</v>
      </c>
      <c r="CJ78" s="91" t="n">
        <v>39258.25</v>
      </c>
      <c r="CK78" s="91" t="n">
        <v>36151.64</v>
      </c>
      <c r="CL78" s="91" t="n">
        <v>95077.92</v>
      </c>
      <c r="CM78" s="91">
        <f>SUM(CA78:CL78)</f>
        <v/>
      </c>
      <c r="CN78" s="91" t="n"/>
      <c r="CO78" s="91" t="n"/>
      <c r="CP78" s="91" t="n"/>
      <c r="CQ78" s="93" t="n"/>
      <c r="CR78" s="94" t="n"/>
      <c r="CS78" s="94" t="n"/>
      <c r="CT78" s="91" t="n"/>
      <c r="CU78" s="91" t="n"/>
      <c r="CV78" s="91" t="n"/>
      <c r="CW78" s="91" t="n"/>
      <c r="CX78" s="91" t="n"/>
      <c r="CY78" s="91" t="n"/>
      <c r="CZ78" s="91">
        <f>SUM(CN78:CY78)</f>
        <v/>
      </c>
      <c r="DA78" s="35" t="n"/>
    </row>
    <row r="79" ht="20" customFormat="1" customHeight="1" s="2">
      <c r="A79" s="30" t="n">
        <v>77</v>
      </c>
      <c r="B79" s="37" t="inlineStr">
        <is>
          <t>云南</t>
        </is>
      </c>
      <c r="C79" s="37" t="inlineStr">
        <is>
          <t>文山</t>
        </is>
      </c>
      <c r="D79" s="37" t="inlineStr">
        <is>
          <t>肖飞华</t>
        </is>
      </c>
      <c r="E79" s="89" t="n"/>
      <c r="F79" s="27" t="inlineStr">
        <is>
          <t>2022/2023/2024</t>
        </is>
      </c>
      <c r="G79" s="27" t="inlineStr">
        <is>
          <t>10/11/9/12</t>
        </is>
      </c>
      <c r="H79" s="98">
        <f>115339+276+460+1399+354</f>
        <v/>
      </c>
      <c r="I79" s="91" t="n">
        <v>1600</v>
      </c>
      <c r="J79" s="91" t="n">
        <v>3755</v>
      </c>
      <c r="K79" s="91">
        <f>+H79+I79+J79</f>
        <v/>
      </c>
      <c r="L79" s="91" t="inlineStr">
        <is>
          <t>6折</t>
        </is>
      </c>
      <c r="M79" s="91" t="inlineStr"/>
      <c r="N79" s="91" t="n"/>
      <c r="O79" s="91" t="n"/>
      <c r="P79" s="91" t="n"/>
      <c r="Q79" s="91" t="n"/>
      <c r="R79" s="91" t="n"/>
      <c r="S79" s="91" t="n"/>
      <c r="T79" s="91" t="n"/>
      <c r="U79" s="91" t="n"/>
      <c r="V79" s="91" t="n"/>
      <c r="W79" s="91" t="n"/>
      <c r="X79" s="91" t="n"/>
      <c r="Y79" s="91" t="n"/>
      <c r="Z79" s="91" t="n"/>
      <c r="AA79" s="91" t="n"/>
      <c r="AB79" s="91" t="n"/>
      <c r="AC79" s="91" t="n"/>
      <c r="AD79" s="91" t="n"/>
      <c r="AE79" s="91" t="n"/>
      <c r="AF79" s="91" t="n"/>
      <c r="AG79" s="30" t="n"/>
      <c r="AH79" s="30" t="n"/>
      <c r="AI79" s="30" t="n"/>
      <c r="AJ79" s="30" t="n"/>
      <c r="AK79" s="30" t="n"/>
      <c r="AL79" s="30" t="n"/>
      <c r="AM79" s="91" t="n"/>
      <c r="AN79" s="91" t="n"/>
      <c r="AO79" s="91" t="n"/>
      <c r="AP79" s="91" t="n"/>
      <c r="AQ79" s="91" t="n"/>
      <c r="AR79" s="91" t="n"/>
      <c r="AS79" s="91" t="n"/>
      <c r="AT79" s="91" t="n"/>
      <c r="AU79" s="91" t="n"/>
      <c r="AV79" s="31" t="n"/>
      <c r="AW79" s="36" t="n">
        <v>1600</v>
      </c>
      <c r="AX79" s="91" t="n"/>
      <c r="AY79" s="31" t="n">
        <v>5650</v>
      </c>
      <c r="AZ79" s="92">
        <f>SUM(AN79:AY79)</f>
        <v/>
      </c>
      <c r="BA79" s="91" t="n"/>
      <c r="BB79" s="91" t="n"/>
      <c r="BC79" s="91">
        <f>39598+141</f>
        <v/>
      </c>
      <c r="BD79" s="91" t="n">
        <v>44209</v>
      </c>
      <c r="BE79" s="91" t="n">
        <v>24886</v>
      </c>
      <c r="BF79" s="91" t="n">
        <v>241602</v>
      </c>
      <c r="BG79" s="91" t="n">
        <v>113301</v>
      </c>
      <c r="BH79" s="91" t="n">
        <v>64573</v>
      </c>
      <c r="BI79" s="91" t="n">
        <v>66848</v>
      </c>
      <c r="BJ79" s="91" t="n">
        <v>21382</v>
      </c>
      <c r="BK79" s="91" t="n">
        <v>3324</v>
      </c>
      <c r="BL79" s="91" t="n">
        <v>90646</v>
      </c>
      <c r="BM79" s="91">
        <f>SUM(BA79:BL79)</f>
        <v/>
      </c>
      <c r="BN79" s="91" t="n">
        <v>25754</v>
      </c>
      <c r="BO79" s="91" t="n"/>
      <c r="BP79" s="91" t="n">
        <v>32950</v>
      </c>
      <c r="BQ79" s="91" t="n">
        <v>140</v>
      </c>
      <c r="BR79" s="91" t="n">
        <v>30418</v>
      </c>
      <c r="BS79" s="91" t="n">
        <v>1736</v>
      </c>
      <c r="BT79" s="91" t="n">
        <v>21868</v>
      </c>
      <c r="BU79" s="91" t="n">
        <v>31636</v>
      </c>
      <c r="BV79" s="91" t="n">
        <v>4795</v>
      </c>
      <c r="BW79" s="91" t="n">
        <v>2458</v>
      </c>
      <c r="BX79" s="91" t="n">
        <v>4051</v>
      </c>
      <c r="BY79" s="91" t="n">
        <v>17683</v>
      </c>
      <c r="BZ79" s="91">
        <f>SUM(BN79:BY79)</f>
        <v/>
      </c>
      <c r="CA79" s="91" t="inlineStr"/>
      <c r="CB79" s="91" t="inlineStr"/>
      <c r="CC79" s="91" t="inlineStr"/>
      <c r="CD79" s="91" t="n"/>
      <c r="CE79" s="91" t="n">
        <v>60825</v>
      </c>
      <c r="CF79" s="91" t="n"/>
      <c r="CG79" s="91" t="n"/>
      <c r="CH79" s="91" t="inlineStr"/>
      <c r="CI79" s="91" t="n"/>
      <c r="CJ79" s="91" t="inlineStr"/>
      <c r="CK79" s="91" t="n"/>
      <c r="CL79" s="91" t="inlineStr"/>
      <c r="CM79" s="91">
        <f>SUM(CA79:CL79)</f>
        <v/>
      </c>
      <c r="CN79" s="91" t="n"/>
      <c r="CO79" s="91" t="n"/>
      <c r="CP79" s="91" t="n"/>
      <c r="CQ79" s="93" t="n"/>
      <c r="CR79" s="94" t="n"/>
      <c r="CS79" s="94" t="n"/>
      <c r="CT79" s="91" t="n"/>
      <c r="CU79" s="91" t="n"/>
      <c r="CV79" s="91" t="n"/>
      <c r="CW79" s="91" t="n"/>
      <c r="CX79" s="91" t="n"/>
      <c r="CY79" s="91" t="n"/>
      <c r="CZ79" s="91">
        <f>SUM(CN79:CY79)</f>
        <v/>
      </c>
      <c r="DA79" s="35" t="n"/>
    </row>
    <row r="80" ht="20" customFormat="1" customHeight="1" s="2">
      <c r="A80" s="30" t="n">
        <v>78</v>
      </c>
      <c r="B80" s="37" t="inlineStr">
        <is>
          <t>山西</t>
        </is>
      </c>
      <c r="C80" s="37" t="inlineStr">
        <is>
          <t>汾阳</t>
        </is>
      </c>
      <c r="D80" s="37" t="inlineStr">
        <is>
          <t>杨晓慧</t>
        </is>
      </c>
      <c r="E80" s="89" t="n"/>
      <c r="F80" s="27" t="inlineStr">
        <is>
          <t>2022/12/2024/2025</t>
        </is>
      </c>
      <c r="G80" s="27" t="inlineStr">
        <is>
          <t>4/5/12</t>
        </is>
      </c>
      <c r="H80" s="90">
        <f>83929+90+37294+1399+72+934</f>
        <v/>
      </c>
      <c r="I80" s="91" t="n">
        <v>1600</v>
      </c>
      <c r="J80" s="91" t="n">
        <v>7945</v>
      </c>
      <c r="K80" s="91">
        <f>+H80+I80+J80</f>
        <v/>
      </c>
      <c r="L80" s="91" t="inlineStr">
        <is>
          <t>6折</t>
        </is>
      </c>
      <c r="M80" s="91" t="inlineStr"/>
      <c r="N80" s="91" t="n"/>
      <c r="O80" s="91" t="n"/>
      <c r="P80" s="91" t="n"/>
      <c r="Q80" s="91" t="n"/>
      <c r="R80" s="91" t="n"/>
      <c r="S80" s="91" t="n"/>
      <c r="T80" s="91" t="n"/>
      <c r="U80" s="91" t="n"/>
      <c r="V80" s="91" t="n"/>
      <c r="W80" s="91" t="n"/>
      <c r="X80" s="91" t="n"/>
      <c r="Y80" s="91" t="n"/>
      <c r="Z80" s="91" t="n"/>
      <c r="AA80" s="91" t="n"/>
      <c r="AB80" s="91" t="n"/>
      <c r="AC80" s="91" t="n"/>
      <c r="AD80" s="91" t="n"/>
      <c r="AE80" s="91" t="n"/>
      <c r="AF80" s="91" t="n"/>
      <c r="AG80" s="30" t="n"/>
      <c r="AH80" s="30" t="n"/>
      <c r="AI80" s="30" t="n"/>
      <c r="AJ80" s="30" t="n"/>
      <c r="AK80" s="30" t="n"/>
      <c r="AL80" s="30" t="n"/>
      <c r="AM80" s="91" t="n"/>
      <c r="AN80" s="91" t="n"/>
      <c r="AO80" s="91" t="n"/>
      <c r="AP80" s="91" t="n"/>
      <c r="AQ80" s="91" t="n"/>
      <c r="AR80" s="91" t="n"/>
      <c r="AS80" s="91" t="n"/>
      <c r="AT80" s="31" t="n"/>
      <c r="AU80" s="31" t="n"/>
      <c r="AV80" s="31" t="n"/>
      <c r="AW80" s="36" t="n"/>
      <c r="AX80" s="91" t="n"/>
      <c r="AY80" s="31" t="n">
        <v>7653</v>
      </c>
      <c r="AZ80" s="92">
        <f>SUM(AN80:AY80)</f>
        <v/>
      </c>
      <c r="BA80" s="91" t="n"/>
      <c r="BB80" s="30" t="n">
        <v>27787</v>
      </c>
      <c r="BC80" s="91">
        <f>6413+437</f>
        <v/>
      </c>
      <c r="BD80" s="91" t="n">
        <v>202</v>
      </c>
      <c r="BE80" s="91" t="n">
        <v>59789</v>
      </c>
      <c r="BF80" s="91" t="n">
        <v>49092</v>
      </c>
      <c r="BG80" s="91" t="n">
        <v>32645</v>
      </c>
      <c r="BH80" s="91" t="n">
        <v>58377</v>
      </c>
      <c r="BI80" s="91" t="n">
        <v>5298</v>
      </c>
      <c r="BJ80" s="91" t="n">
        <v>14988</v>
      </c>
      <c r="BK80" s="91" t="n">
        <v>58824</v>
      </c>
      <c r="BL80" s="91" t="n">
        <v>29895</v>
      </c>
      <c r="BM80" s="91">
        <f>SUM(BA80:BL80)</f>
        <v/>
      </c>
      <c r="BN80" s="91" t="n">
        <v>100</v>
      </c>
      <c r="BO80" s="91" t="n"/>
      <c r="BP80" s="91" t="n">
        <v>70390</v>
      </c>
      <c r="BQ80" s="91" t="n">
        <v>16324</v>
      </c>
      <c r="BR80" s="91" t="n">
        <v>124896</v>
      </c>
      <c r="BS80" s="91" t="n">
        <v>100636</v>
      </c>
      <c r="BT80" s="91" t="n">
        <v>44397</v>
      </c>
      <c r="BU80" s="91" t="n">
        <v>70072.13</v>
      </c>
      <c r="BV80" s="91" t="n">
        <v>10489.48</v>
      </c>
      <c r="BW80" s="91" t="n">
        <v>37856.64</v>
      </c>
      <c r="BX80" s="91" t="n">
        <v>288</v>
      </c>
      <c r="BY80" s="91" t="n">
        <v>31645.89</v>
      </c>
      <c r="BZ80" s="91">
        <f>SUM(BN80:BY80)</f>
        <v/>
      </c>
      <c r="CA80" s="91" t="n">
        <v>109</v>
      </c>
      <c r="CB80" s="91">
        <f>2420.85+36</f>
        <v/>
      </c>
      <c r="CC80" s="91" t="n">
        <v>25117.61</v>
      </c>
      <c r="CD80" s="91" t="n">
        <v>31627.07</v>
      </c>
      <c r="CE80" s="91" t="n">
        <v>45175.73</v>
      </c>
      <c r="CF80" s="91" t="n">
        <v>99963.92</v>
      </c>
      <c r="CG80" s="91" t="n">
        <v>48178.9</v>
      </c>
      <c r="CH80" s="91" t="n">
        <v>34198.97</v>
      </c>
      <c r="CI80" s="91" t="n">
        <v>35197.79</v>
      </c>
      <c r="CJ80" s="91" t="inlineStr"/>
      <c r="CK80" s="91" t="n">
        <v>28082.58</v>
      </c>
      <c r="CL80" s="91" t="n">
        <v>89653.62</v>
      </c>
      <c r="CM80" s="91">
        <f>SUM(CA80:CL80)</f>
        <v/>
      </c>
      <c r="CN80" s="91" t="n"/>
      <c r="CO80" s="91" t="n"/>
      <c r="CP80" s="91" t="n"/>
      <c r="CQ80" s="93" t="n"/>
      <c r="CR80" s="94" t="n"/>
      <c r="CS80" s="94" t="n"/>
      <c r="CT80" s="91" t="n"/>
      <c r="CU80" s="91" t="n"/>
      <c r="CV80" s="91" t="n"/>
      <c r="CW80" s="91" t="n"/>
      <c r="CX80" s="91" t="n"/>
      <c r="CY80" s="91" t="n"/>
      <c r="CZ80" s="91">
        <f>SUM(CN80:CY80)</f>
        <v/>
      </c>
      <c r="DA80" s="35" t="n"/>
    </row>
    <row r="81" ht="20" customFormat="1" customHeight="1" s="2">
      <c r="A81" s="30" t="n">
        <v>79</v>
      </c>
      <c r="B81" s="37" t="inlineStr">
        <is>
          <t>云南</t>
        </is>
      </c>
      <c r="C81" s="37" t="inlineStr">
        <is>
          <t>镇雄</t>
        </is>
      </c>
      <c r="D81" s="37" t="inlineStr">
        <is>
          <t>叶丽昆</t>
        </is>
      </c>
      <c r="E81" s="89" t="n"/>
      <c r="F81" s="27" t="inlineStr">
        <is>
          <t>2022/2023/2024/2025</t>
        </is>
      </c>
      <c r="G81" s="27" t="inlineStr">
        <is>
          <t>9/11/2/9/3/7/8/3</t>
        </is>
      </c>
      <c r="H81" s="98">
        <f>157620+1734+480+153+261+1726+170+82477+6067+96+141+286+469</f>
        <v/>
      </c>
      <c r="I81" s="91">
        <f>153+30904</f>
        <v/>
      </c>
      <c r="J81" s="91" t="n"/>
      <c r="K81" s="91">
        <f>+H81+I81+J81</f>
        <v/>
      </c>
      <c r="L81" s="91" t="n"/>
      <c r="M81" s="91" t="inlineStr"/>
      <c r="N81" s="91" t="n"/>
      <c r="O81" s="91" t="n"/>
      <c r="P81" s="91" t="n"/>
      <c r="Q81" s="91" t="n"/>
      <c r="R81" s="91" t="n"/>
      <c r="S81" s="91" t="n"/>
      <c r="T81" s="91" t="n"/>
      <c r="U81" s="91" t="n"/>
      <c r="V81" s="91" t="n"/>
      <c r="W81" s="91" t="n"/>
      <c r="X81" s="91" t="n"/>
      <c r="Y81" s="91" t="n"/>
      <c r="Z81" s="91" t="n"/>
      <c r="AA81" s="91" t="n"/>
      <c r="AB81" s="91" t="n"/>
      <c r="AC81" s="91" t="n"/>
      <c r="AD81" s="91" t="n"/>
      <c r="AE81" s="91" t="n"/>
      <c r="AF81" s="91" t="n"/>
      <c r="AG81" s="30" t="n"/>
      <c r="AH81" s="30" t="n"/>
      <c r="AI81" s="30" t="n"/>
      <c r="AJ81" s="30" t="n"/>
      <c r="AK81" s="30" t="n"/>
      <c r="AL81" s="30" t="n"/>
      <c r="AM81" s="91" t="n"/>
      <c r="AN81" s="91" t="n"/>
      <c r="AO81" s="91" t="n"/>
      <c r="AP81" s="91" t="n"/>
      <c r="AQ81" s="91" t="n"/>
      <c r="AR81" s="91" t="n"/>
      <c r="AS81" s="91" t="n"/>
      <c r="AT81" s="91" t="n"/>
      <c r="AU81" s="91" t="n"/>
      <c r="AV81" s="31" t="n"/>
      <c r="AW81" s="36" t="n"/>
      <c r="AX81" s="91" t="n"/>
      <c r="AY81" s="31" t="n">
        <v>6719</v>
      </c>
      <c r="AZ81" s="92">
        <f>SUM(AN81:AY81)</f>
        <v/>
      </c>
      <c r="BA81" s="91" t="n"/>
      <c r="BB81" s="30" t="n">
        <v>8648</v>
      </c>
      <c r="BC81" s="91" t="n">
        <v>70</v>
      </c>
      <c r="BD81" s="91" t="n">
        <v>36246</v>
      </c>
      <c r="BE81" s="91" t="n">
        <v>80792</v>
      </c>
      <c r="BF81" s="91" t="n">
        <v>6030</v>
      </c>
      <c r="BG81" s="91" t="n">
        <v>97694</v>
      </c>
      <c r="BH81" s="91" t="n">
        <v>160341</v>
      </c>
      <c r="BI81" s="91" t="n">
        <v>34143</v>
      </c>
      <c r="BJ81" s="91" t="n">
        <v>99256</v>
      </c>
      <c r="BK81" s="91" t="n">
        <v>141392</v>
      </c>
      <c r="BL81" s="91" t="n">
        <v>56537</v>
      </c>
      <c r="BM81" s="91">
        <f>SUM(BA81:BL81)</f>
        <v/>
      </c>
      <c r="BN81" s="91" t="n">
        <v>25</v>
      </c>
      <c r="BO81" s="91" t="n"/>
      <c r="BP81" s="91" t="n">
        <v>93379</v>
      </c>
      <c r="BQ81" s="91" t="n">
        <v>35209</v>
      </c>
      <c r="BR81" s="91" t="n">
        <v>132686</v>
      </c>
      <c r="BS81" s="91" t="n">
        <v>138773</v>
      </c>
      <c r="BT81" s="91">
        <f>9606+85062.3</f>
        <v/>
      </c>
      <c r="BU81" s="91" t="n">
        <v>130564.18</v>
      </c>
      <c r="BV81" s="91" t="n">
        <v>142922.57</v>
      </c>
      <c r="BW81" s="91" t="n">
        <v>161971.33</v>
      </c>
      <c r="BX81" s="91" t="n">
        <v>118238.68</v>
      </c>
      <c r="BY81" s="91" t="n">
        <v>1516.96</v>
      </c>
      <c r="BZ81" s="91">
        <f>SUM(BN81:BY81)</f>
        <v/>
      </c>
      <c r="CA81" s="91" t="inlineStr"/>
      <c r="CB81" s="91" t="n">
        <v>4903.08</v>
      </c>
      <c r="CC81" s="91" t="n">
        <v>66470.50999999999</v>
      </c>
      <c r="CD81" s="91" t="n">
        <v>29166.31</v>
      </c>
      <c r="CE81" s="91" t="n">
        <v>29954.5</v>
      </c>
      <c r="CF81" s="91" t="n">
        <v>279.63</v>
      </c>
      <c r="CG81" s="91" t="n">
        <v>148917.25</v>
      </c>
      <c r="CH81" s="91" t="n">
        <v>2551</v>
      </c>
      <c r="CI81" s="91" t="n">
        <v>149448.55</v>
      </c>
      <c r="CJ81" s="91" t="n">
        <v>42474.71</v>
      </c>
      <c r="CK81" s="91" t="n">
        <v>21637.27</v>
      </c>
      <c r="CL81" s="91" t="n">
        <v>162891.25</v>
      </c>
      <c r="CM81" s="91">
        <f>SUM(CA81:CL81)</f>
        <v/>
      </c>
      <c r="CN81" s="91" t="n"/>
      <c r="CO81" s="91" t="n"/>
      <c r="CP81" s="91" t="n"/>
      <c r="CQ81" s="93" t="n"/>
      <c r="CR81" s="94" t="n"/>
      <c r="CS81" s="94" t="n"/>
      <c r="CT81" s="91" t="n"/>
      <c r="CU81" s="91" t="n"/>
      <c r="CV81" s="91" t="n"/>
      <c r="CW81" s="91" t="n"/>
      <c r="CX81" s="91" t="n"/>
      <c r="CY81" s="91" t="n"/>
      <c r="CZ81" s="91">
        <f>SUM(CN81:CY81)</f>
        <v/>
      </c>
      <c r="DA81" s="35" t="n"/>
    </row>
    <row r="82" ht="20" customFormat="1" customHeight="1" s="1">
      <c r="A82" s="30" t="n">
        <v>80</v>
      </c>
      <c r="B82" s="37" t="inlineStr">
        <is>
          <t>陕西</t>
        </is>
      </c>
      <c r="C82" s="37" t="inlineStr">
        <is>
          <t>榆林神木</t>
        </is>
      </c>
      <c r="D82" s="37" t="inlineStr">
        <is>
          <t>尚新应</t>
        </is>
      </c>
      <c r="E82" s="89" t="n"/>
      <c r="F82" s="27" t="inlineStr">
        <is>
          <t>2022/2023/2024/2025</t>
        </is>
      </c>
      <c r="G82" s="27" t="inlineStr">
        <is>
          <t>9/12/10/3/9</t>
        </is>
      </c>
      <c r="H82" s="98">
        <f>88526+756+71+1399+19002+1031+180+63+11878</f>
        <v/>
      </c>
      <c r="I82" s="91">
        <f>699+13277</f>
        <v/>
      </c>
      <c r="J82" s="91" t="n">
        <v>19182</v>
      </c>
      <c r="K82" s="91">
        <f>+H82+I82+J82</f>
        <v/>
      </c>
      <c r="L82" s="91" t="n"/>
      <c r="M82" s="91" t="inlineStr"/>
      <c r="N82" s="91" t="n"/>
      <c r="O82" s="91" t="n"/>
      <c r="P82" s="91" t="n"/>
      <c r="Q82" s="91" t="n"/>
      <c r="R82" s="91" t="n"/>
      <c r="S82" s="91" t="n"/>
      <c r="T82" s="91" t="n"/>
      <c r="U82" s="91" t="n"/>
      <c r="V82" s="91" t="n"/>
      <c r="W82" s="91" t="n"/>
      <c r="X82" s="91" t="n"/>
      <c r="Y82" s="91" t="n"/>
      <c r="Z82" s="91" t="n"/>
      <c r="AA82" s="91" t="n"/>
      <c r="AB82" s="91" t="n"/>
      <c r="AC82" s="91" t="n"/>
      <c r="AD82" s="91" t="n"/>
      <c r="AE82" s="91" t="n"/>
      <c r="AF82" s="91" t="n"/>
      <c r="AG82" s="30" t="n"/>
      <c r="AH82" s="30" t="n"/>
      <c r="AI82" s="30" t="n"/>
      <c r="AJ82" s="30" t="n"/>
      <c r="AK82" s="30" t="n"/>
      <c r="AL82" s="30" t="n"/>
      <c r="AM82" s="91" t="n"/>
      <c r="AN82" s="91" t="n"/>
      <c r="AO82" s="91" t="n"/>
      <c r="AP82" s="91" t="n"/>
      <c r="AQ82" s="91" t="n"/>
      <c r="AR82" s="91" t="n"/>
      <c r="AS82" s="91" t="n"/>
      <c r="AT82" s="91" t="n"/>
      <c r="AU82" s="91" t="n"/>
      <c r="AV82" s="31" t="n"/>
      <c r="AW82" s="36" t="n"/>
      <c r="AX82" s="91" t="n"/>
      <c r="AY82" s="31" t="n">
        <v>0</v>
      </c>
      <c r="AZ82" s="92" t="n"/>
      <c r="BA82" s="91" t="n"/>
      <c r="BB82" s="30" t="n">
        <v>70638</v>
      </c>
      <c r="BC82" s="91" t="n">
        <v>1342</v>
      </c>
      <c r="BD82" s="91" t="n">
        <v>131208</v>
      </c>
      <c r="BE82" s="91" t="n">
        <v>100444</v>
      </c>
      <c r="BF82" s="91" t="n">
        <v>63911</v>
      </c>
      <c r="BG82" s="91" t="n">
        <v>38498</v>
      </c>
      <c r="BH82" s="91" t="n">
        <v>110419</v>
      </c>
      <c r="BI82" s="91" t="n">
        <v>76083</v>
      </c>
      <c r="BJ82" s="91" t="n">
        <v>135524</v>
      </c>
      <c r="BK82" s="91" t="n">
        <v>113434</v>
      </c>
      <c r="BL82" s="91" t="n">
        <v>167792</v>
      </c>
      <c r="BM82" s="91">
        <f>SUM(BA82:BL82)</f>
        <v/>
      </c>
      <c r="BN82" s="91" t="n">
        <v>46784</v>
      </c>
      <c r="BO82" s="91" t="n">
        <v>64519</v>
      </c>
      <c r="BP82" s="91" t="n">
        <v>112831</v>
      </c>
      <c r="BQ82" s="91" t="n">
        <v>51222</v>
      </c>
      <c r="BR82" s="91" t="n">
        <v>80108</v>
      </c>
      <c r="BS82" s="91" t="n">
        <v>56348</v>
      </c>
      <c r="BT82" s="91">
        <f>52400.21+10618</f>
        <v/>
      </c>
      <c r="BU82" s="91" t="n">
        <v>289</v>
      </c>
      <c r="BV82" s="91" t="n">
        <v>23095.76</v>
      </c>
      <c r="BW82" s="91" t="n">
        <v>105346.39</v>
      </c>
      <c r="BX82" s="91" t="n">
        <v>19971.93</v>
      </c>
      <c r="BY82" s="91" t="n">
        <v>9806.049999999999</v>
      </c>
      <c r="BZ82" s="91">
        <f>SUM(BN82:BY82)</f>
        <v/>
      </c>
      <c r="CA82" s="91" t="n">
        <v>24758</v>
      </c>
      <c r="CB82" s="91" t="inlineStr"/>
      <c r="CC82" s="91" t="n">
        <v>63737</v>
      </c>
      <c r="CD82" s="91" t="n">
        <v>20506.35</v>
      </c>
      <c r="CE82" s="91" t="n"/>
      <c r="CF82" s="91" t="n">
        <v>75943.37</v>
      </c>
      <c r="CG82" s="91" t="n">
        <v>59615.93</v>
      </c>
      <c r="CH82" s="91" t="n">
        <v>319.24</v>
      </c>
      <c r="CI82" s="91" t="n">
        <v>696</v>
      </c>
      <c r="CJ82" s="91" t="n">
        <v>64565.33</v>
      </c>
      <c r="CK82" s="91" t="n"/>
      <c r="CL82" s="91" t="n">
        <v>3864.3</v>
      </c>
      <c r="CM82" s="91">
        <f>SUM(CA82:CL82)</f>
        <v/>
      </c>
      <c r="CN82" s="91" t="n"/>
      <c r="CO82" s="91" t="n"/>
      <c r="CP82" s="91" t="n"/>
      <c r="CQ82" s="93" t="n"/>
      <c r="CR82" s="94" t="n"/>
      <c r="CS82" s="94" t="n"/>
      <c r="CT82" s="91" t="n"/>
      <c r="CU82" s="91" t="n"/>
      <c r="CV82" s="91" t="n"/>
      <c r="CW82" s="91" t="n"/>
      <c r="CX82" s="91" t="n"/>
      <c r="CY82" s="91" t="n"/>
      <c r="CZ82" s="91">
        <f>SUM(CN82:CY82)</f>
        <v/>
      </c>
      <c r="DA82" s="35" t="n"/>
    </row>
    <row r="83" ht="20" customFormat="1" customHeight="1" s="2">
      <c r="A83" s="30" t="n">
        <v>81</v>
      </c>
      <c r="B83" s="37" t="inlineStr">
        <is>
          <t>重庆</t>
        </is>
      </c>
      <c r="C83" s="37" t="inlineStr">
        <is>
          <t>城口</t>
        </is>
      </c>
      <c r="D83" s="37" t="inlineStr">
        <is>
          <t>刘和西</t>
        </is>
      </c>
      <c r="E83" s="89" t="n"/>
      <c r="F83" s="27" t="inlineStr">
        <is>
          <t>2022/2023/2024</t>
        </is>
      </c>
      <c r="G83" s="27" t="inlineStr">
        <is>
          <t>9/10/11/9</t>
        </is>
      </c>
      <c r="H83" s="98">
        <f>5787+107079+10556+205+1399</f>
        <v/>
      </c>
      <c r="I83" s="91" t="n">
        <v>156</v>
      </c>
      <c r="J83" s="91" t="n">
        <v>3206</v>
      </c>
      <c r="K83" s="91">
        <f>+H83+I83+J83</f>
        <v/>
      </c>
      <c r="L83" s="91" t="n"/>
      <c r="M83" s="91" t="inlineStr"/>
      <c r="N83" s="91" t="n"/>
      <c r="O83" s="91" t="n"/>
      <c r="P83" s="91" t="n"/>
      <c r="Q83" s="91" t="n"/>
      <c r="R83" s="91" t="n"/>
      <c r="S83" s="91" t="n"/>
      <c r="T83" s="91" t="n"/>
      <c r="U83" s="91" t="n"/>
      <c r="V83" s="91" t="n"/>
      <c r="W83" s="91" t="n"/>
      <c r="X83" s="91" t="n"/>
      <c r="Y83" s="91" t="n"/>
      <c r="Z83" s="91" t="n"/>
      <c r="AA83" s="91" t="n"/>
      <c r="AB83" s="91" t="n"/>
      <c r="AC83" s="91" t="n"/>
      <c r="AD83" s="91" t="n"/>
      <c r="AE83" s="91" t="n"/>
      <c r="AF83" s="91" t="n"/>
      <c r="AG83" s="30" t="n"/>
      <c r="AH83" s="30" t="n"/>
      <c r="AI83" s="30" t="n"/>
      <c r="AJ83" s="30" t="n"/>
      <c r="AK83" s="30" t="n"/>
      <c r="AL83" s="30" t="n"/>
      <c r="AM83" s="91" t="n"/>
      <c r="AN83" s="91" t="n"/>
      <c r="AO83" s="91" t="n"/>
      <c r="AP83" s="91" t="n"/>
      <c r="AQ83" s="91" t="n"/>
      <c r="AR83" s="91" t="n"/>
      <c r="AS83" s="91" t="n"/>
      <c r="AT83" s="91" t="n"/>
      <c r="AU83" s="91" t="n"/>
      <c r="AV83" s="31" t="n"/>
      <c r="AW83" s="36" t="n"/>
      <c r="AX83" s="91" t="n"/>
      <c r="AY83" s="31" t="n">
        <v>12411</v>
      </c>
      <c r="AZ83" s="92">
        <f>SUM(AN83:AY83)</f>
        <v/>
      </c>
      <c r="BA83" s="91" t="n"/>
      <c r="BB83" s="30" t="n">
        <v>1744</v>
      </c>
      <c r="BC83" s="91">
        <f>48786+622+3435</f>
        <v/>
      </c>
      <c r="BD83" s="91" t="n">
        <v>38003</v>
      </c>
      <c r="BE83" s="91" t="n">
        <v>99724</v>
      </c>
      <c r="BF83" s="91" t="n">
        <v>104443</v>
      </c>
      <c r="BG83" s="91" t="n">
        <v>83837</v>
      </c>
      <c r="BH83" s="91" t="n">
        <v>182151</v>
      </c>
      <c r="BI83" s="91" t="n">
        <v>159810</v>
      </c>
      <c r="BJ83" s="91" t="n">
        <v>65219</v>
      </c>
      <c r="BK83" s="91" t="n">
        <v>51199</v>
      </c>
      <c r="BL83" s="91" t="n">
        <v>124440</v>
      </c>
      <c r="BM83" s="91">
        <f>SUM(BA83:BL83)</f>
        <v/>
      </c>
      <c r="BN83" s="91" t="n">
        <v>3307</v>
      </c>
      <c r="BO83" s="91" t="n"/>
      <c r="BP83" s="91" t="n">
        <v>62020</v>
      </c>
      <c r="BQ83" s="91" t="n">
        <v>9732</v>
      </c>
      <c r="BR83" s="91" t="n">
        <v>6907</v>
      </c>
      <c r="BS83" s="91" t="n">
        <v>51097</v>
      </c>
      <c r="BT83" s="91" t="n">
        <v>5127</v>
      </c>
      <c r="BU83" s="91" t="n">
        <v>30168.81</v>
      </c>
      <c r="BV83" s="91" t="n">
        <v>428</v>
      </c>
      <c r="BW83" s="91" t="inlineStr"/>
      <c r="BX83" s="91" t="n">
        <v>1284</v>
      </c>
      <c r="BY83" s="91" t="n">
        <v>11653.52</v>
      </c>
      <c r="BZ83" s="91">
        <f>SUM(BN83:BY83)</f>
        <v/>
      </c>
      <c r="CA83" s="91" t="inlineStr"/>
      <c r="CB83" s="91" t="n">
        <v>18418.49</v>
      </c>
      <c r="CC83" s="91" t="inlineStr"/>
      <c r="CD83" s="91" t="n"/>
      <c r="CE83" s="91" t="n">
        <v>26</v>
      </c>
      <c r="CF83" s="91" t="n">
        <v>10</v>
      </c>
      <c r="CG83" s="91" t="n"/>
      <c r="CH83" s="91" t="n">
        <v>130</v>
      </c>
      <c r="CI83" s="91" t="n"/>
      <c r="CJ83" s="91" t="inlineStr"/>
      <c r="CK83" s="91" t="n"/>
      <c r="CL83" s="91" t="inlineStr"/>
      <c r="CM83" s="91">
        <f>SUM(CA83:CL83)</f>
        <v/>
      </c>
      <c r="CN83" s="91" t="n"/>
      <c r="CO83" s="91" t="n"/>
      <c r="CP83" s="91" t="n"/>
      <c r="CQ83" s="93" t="n"/>
      <c r="CR83" s="94" t="n"/>
      <c r="CS83" s="94" t="n"/>
      <c r="CT83" s="91" t="n"/>
      <c r="CU83" s="91" t="n"/>
      <c r="CV83" s="91" t="n"/>
      <c r="CW83" s="91" t="n"/>
      <c r="CX83" s="91" t="n"/>
      <c r="CY83" s="91" t="n"/>
      <c r="CZ83" s="91">
        <f>SUM(CN83:CY83)</f>
        <v/>
      </c>
      <c r="DA83" s="35" t="n"/>
    </row>
    <row r="84" ht="20" customFormat="1" customHeight="1" s="2">
      <c r="A84" s="30" t="n">
        <v>82</v>
      </c>
      <c r="B84" s="37" t="inlineStr">
        <is>
          <t>山西</t>
        </is>
      </c>
      <c r="C84" s="37" t="inlineStr">
        <is>
          <t>忻州</t>
        </is>
      </c>
      <c r="D84" s="37" t="inlineStr">
        <is>
          <t>王森</t>
        </is>
      </c>
      <c r="E84" s="89" t="n"/>
      <c r="F84" s="27" t="inlineStr">
        <is>
          <t>2022/2024</t>
        </is>
      </c>
      <c r="G84" s="27" t="inlineStr">
        <is>
          <t>10/11/4</t>
        </is>
      </c>
      <c r="H84" s="98">
        <f>153117+276+1038</f>
        <v/>
      </c>
      <c r="I84" s="91" t="n">
        <v>160</v>
      </c>
      <c r="J84" s="91" t="n">
        <v>7586</v>
      </c>
      <c r="K84" s="91">
        <f>+H84+I84+J84</f>
        <v/>
      </c>
      <c r="L84" s="91" t="inlineStr">
        <is>
          <t>6折</t>
        </is>
      </c>
      <c r="M84" s="91" t="inlineStr"/>
      <c r="N84" s="91" t="n"/>
      <c r="O84" s="91" t="n"/>
      <c r="P84" s="91" t="n"/>
      <c r="Q84" s="91" t="n"/>
      <c r="R84" s="91" t="n"/>
      <c r="S84" s="91" t="n"/>
      <c r="T84" s="91" t="n"/>
      <c r="U84" s="91" t="n"/>
      <c r="V84" s="91" t="n"/>
      <c r="W84" s="91" t="n"/>
      <c r="X84" s="91" t="n"/>
      <c r="Y84" s="91" t="n"/>
      <c r="Z84" s="91" t="n"/>
      <c r="AA84" s="91" t="n"/>
      <c r="AB84" s="91" t="n"/>
      <c r="AC84" s="91" t="n"/>
      <c r="AD84" s="91" t="n"/>
      <c r="AE84" s="91" t="n"/>
      <c r="AF84" s="91" t="n"/>
      <c r="AG84" s="30" t="n"/>
      <c r="AH84" s="30" t="n"/>
      <c r="AI84" s="30" t="n"/>
      <c r="AJ84" s="30" t="n"/>
      <c r="AK84" s="30" t="n"/>
      <c r="AL84" s="30" t="n"/>
      <c r="AM84" s="91" t="n"/>
      <c r="AN84" s="91" t="n"/>
      <c r="AO84" s="91" t="n"/>
      <c r="AP84" s="91" t="n"/>
      <c r="AQ84" s="91" t="n"/>
      <c r="AR84" s="91" t="n"/>
      <c r="AS84" s="91" t="n"/>
      <c r="AT84" s="91" t="n"/>
      <c r="AU84" s="91" t="n"/>
      <c r="AV84" s="31" t="n"/>
      <c r="AW84" s="36" t="n"/>
      <c r="AX84" s="91" t="n"/>
      <c r="AY84" s="31" t="n">
        <v>0</v>
      </c>
      <c r="AZ84" s="92" t="n"/>
      <c r="BA84" s="91" t="n"/>
      <c r="BB84" s="91" t="n"/>
      <c r="BC84" s="91" t="n"/>
      <c r="BD84" s="91" t="n">
        <v>81583</v>
      </c>
      <c r="BE84" s="91" t="n"/>
      <c r="BF84" s="91" t="n"/>
      <c r="BG84" s="91" t="n">
        <v>20964</v>
      </c>
      <c r="BH84" s="91" t="n"/>
      <c r="BI84" s="91" t="n">
        <v>45601</v>
      </c>
      <c r="BJ84" s="91" t="n">
        <v>36125</v>
      </c>
      <c r="BK84" s="91" t="n">
        <v>4656</v>
      </c>
      <c r="BL84" s="91" t="n">
        <v>76834</v>
      </c>
      <c r="BM84" s="91">
        <f>SUM(BA84:BL84)</f>
        <v/>
      </c>
      <c r="BN84" s="91" t="n"/>
      <c r="BO84" s="91" t="n"/>
      <c r="BP84" s="91" t="n">
        <v>27728</v>
      </c>
      <c r="BQ84" s="91" t="n">
        <v>392</v>
      </c>
      <c r="BR84" s="91" t="n">
        <v>4305</v>
      </c>
      <c r="BS84" s="91" t="n">
        <v>35083</v>
      </c>
      <c r="BT84" s="91" t="n">
        <v>45852</v>
      </c>
      <c r="BU84" s="91" t="n">
        <v>17850.04</v>
      </c>
      <c r="BV84" s="91" t="n">
        <v>2779</v>
      </c>
      <c r="BW84" s="91" t="n">
        <v>1371.33</v>
      </c>
      <c r="BX84" s="91" t="n">
        <v>240</v>
      </c>
      <c r="BY84" s="91" t="n">
        <v>5277.02</v>
      </c>
      <c r="BZ84" s="91">
        <f>SUM(BN84:BY84)</f>
        <v/>
      </c>
      <c r="CA84" s="91" t="inlineStr"/>
      <c r="CB84" s="91" t="inlineStr"/>
      <c r="CC84" s="91" t="inlineStr"/>
      <c r="CD84" s="91" t="n"/>
      <c r="CE84" s="91" t="n"/>
      <c r="CF84" s="91" t="n">
        <v>1104</v>
      </c>
      <c r="CG84" s="91" t="n"/>
      <c r="CH84" s="91" t="inlineStr"/>
      <c r="CI84" s="91" t="n"/>
      <c r="CJ84" s="91" t="inlineStr"/>
      <c r="CK84" s="91" t="n"/>
      <c r="CL84" s="91" t="inlineStr"/>
      <c r="CM84" s="91">
        <f>SUM(CA84:CL84)</f>
        <v/>
      </c>
      <c r="CN84" s="91" t="n"/>
      <c r="CO84" s="91" t="n"/>
      <c r="CP84" s="91" t="n"/>
      <c r="CQ84" s="93" t="n"/>
      <c r="CR84" s="94" t="n"/>
      <c r="CS84" s="94" t="n"/>
      <c r="CT84" s="91" t="n"/>
      <c r="CU84" s="91" t="n"/>
      <c r="CV84" s="91" t="n"/>
      <c r="CW84" s="91" t="n"/>
      <c r="CX84" s="91" t="n"/>
      <c r="CY84" s="91" t="n"/>
      <c r="CZ84" s="91">
        <f>SUM(CN84:CY84)</f>
        <v/>
      </c>
      <c r="DA84" s="35" t="n"/>
    </row>
    <row r="85" ht="20" customFormat="1" customHeight="1" s="2">
      <c r="A85" s="30" t="n">
        <v>83</v>
      </c>
      <c r="B85" s="37" t="inlineStr">
        <is>
          <t>山西</t>
        </is>
      </c>
      <c r="C85" s="37" t="inlineStr">
        <is>
          <t>长治</t>
        </is>
      </c>
      <c r="D85" s="48" t="inlineStr">
        <is>
          <t>冯月琴</t>
        </is>
      </c>
      <c r="E85" s="89" t="n"/>
      <c r="F85" s="27" t="inlineStr">
        <is>
          <t>2022/2023/2026</t>
        </is>
      </c>
      <c r="G85" s="27" t="inlineStr">
        <is>
          <t>11/10/4</t>
        </is>
      </c>
      <c r="H85" s="98">
        <f>52421+2300+30162+36+4570</f>
        <v/>
      </c>
      <c r="I85" s="91" t="n">
        <v>449</v>
      </c>
      <c r="J85" s="91" t="n"/>
      <c r="K85" s="91">
        <f>+H85+I85+J85</f>
        <v/>
      </c>
      <c r="L85" s="91" t="inlineStr">
        <is>
          <t>8折</t>
        </is>
      </c>
      <c r="M85" s="91" t="inlineStr"/>
      <c r="N85" s="91" t="n"/>
      <c r="O85" s="91" t="n"/>
      <c r="P85" s="91" t="n"/>
      <c r="Q85" s="91" t="n"/>
      <c r="R85" s="91" t="n"/>
      <c r="S85" s="91" t="n"/>
      <c r="T85" s="91" t="n"/>
      <c r="U85" s="91" t="n"/>
      <c r="V85" s="91" t="n"/>
      <c r="W85" s="91" t="n"/>
      <c r="X85" s="91" t="n"/>
      <c r="Y85" s="91" t="n"/>
      <c r="Z85" s="91" t="n"/>
      <c r="AA85" s="91" t="n"/>
      <c r="AB85" s="91" t="n"/>
      <c r="AC85" s="91" t="n"/>
      <c r="AD85" s="91" t="n"/>
      <c r="AE85" s="91" t="n"/>
      <c r="AF85" s="91" t="n"/>
      <c r="AG85" s="30" t="n"/>
      <c r="AH85" s="30" t="n"/>
      <c r="AI85" s="30" t="n"/>
      <c r="AJ85" s="30" t="n"/>
      <c r="AK85" s="30" t="n"/>
      <c r="AL85" s="30" t="n"/>
      <c r="AM85" s="91" t="n"/>
      <c r="AN85" s="91" t="n"/>
      <c r="AO85" s="91" t="n"/>
      <c r="AP85" s="91" t="n"/>
      <c r="AQ85" s="91" t="n"/>
      <c r="AR85" s="91" t="n"/>
      <c r="AS85" s="91" t="n"/>
      <c r="AT85" s="91" t="n"/>
      <c r="AU85" s="91" t="n"/>
      <c r="AV85" s="31" t="n"/>
      <c r="AW85" s="36" t="n"/>
      <c r="AX85" s="91" t="n"/>
      <c r="AY85" s="31" t="n">
        <v>20825</v>
      </c>
      <c r="AZ85" s="92">
        <f>SUM(AN85:AY85)</f>
        <v/>
      </c>
      <c r="BA85" s="91" t="n"/>
      <c r="BB85" s="91" t="n"/>
      <c r="BC85" s="91" t="n"/>
      <c r="BD85" s="91" t="n">
        <v>590</v>
      </c>
      <c r="BE85" s="91" t="n"/>
      <c r="BF85" s="91" t="n"/>
      <c r="BG85" s="91" t="n"/>
      <c r="BH85" s="91" t="n"/>
      <c r="BI85" s="91" t="n"/>
      <c r="BJ85" s="91" t="n">
        <v>11778</v>
      </c>
      <c r="BK85" s="91" t="n"/>
      <c r="BL85" s="91" t="n">
        <v>6135</v>
      </c>
      <c r="BM85" s="91">
        <f>SUM(BA85:BL85)</f>
        <v/>
      </c>
      <c r="BN85" s="91" t="n">
        <v>229</v>
      </c>
      <c r="BO85" s="91" t="n"/>
      <c r="BP85" s="91" t="n">
        <v>9985</v>
      </c>
      <c r="BQ85" s="91" t="n">
        <v>15492</v>
      </c>
      <c r="BR85" s="91" t="n">
        <v>21066</v>
      </c>
      <c r="BS85" s="91" t="n">
        <v>14775</v>
      </c>
      <c r="BT85" s="91" t="n">
        <v>20935</v>
      </c>
      <c r="BU85" s="91" t="n"/>
      <c r="BV85" s="91" t="n">
        <v>2245.65</v>
      </c>
      <c r="BW85" s="91" t="n">
        <v>63273.09</v>
      </c>
      <c r="BX85" s="91" t="n">
        <v>45172.2</v>
      </c>
      <c r="BY85" s="91" t="n">
        <v>4288.76</v>
      </c>
      <c r="BZ85" s="91">
        <f>SUM(BN85:BY85)</f>
        <v/>
      </c>
      <c r="CA85" s="91" t="n">
        <v>27683</v>
      </c>
      <c r="CB85" s="91" t="inlineStr"/>
      <c r="CC85" s="91" t="n">
        <v>54.73</v>
      </c>
      <c r="CD85" s="91" t="n">
        <v>134506.48</v>
      </c>
      <c r="CE85" s="91" t="n">
        <v>26099.56</v>
      </c>
      <c r="CF85" s="91" t="n">
        <v>403.7</v>
      </c>
      <c r="CG85" s="91" t="n">
        <v>102.3</v>
      </c>
      <c r="CH85" s="91" t="inlineStr"/>
      <c r="CI85" s="91" t="n"/>
      <c r="CJ85" s="91" t="inlineStr"/>
      <c r="CK85" s="91" t="n">
        <v>916</v>
      </c>
      <c r="CL85" s="91" t="n">
        <v>43561.59</v>
      </c>
      <c r="CM85" s="91">
        <f>SUM(CA85:CL85)</f>
        <v/>
      </c>
      <c r="CN85" s="91" t="n"/>
      <c r="CO85" s="91" t="n"/>
      <c r="CP85" s="91" t="n"/>
      <c r="CQ85" s="93" t="n"/>
      <c r="CR85" s="94" t="n"/>
      <c r="CS85" s="94" t="n"/>
      <c r="CT85" s="91" t="n"/>
      <c r="CU85" s="91" t="n"/>
      <c r="CV85" s="91" t="n"/>
      <c r="CW85" s="91" t="n"/>
      <c r="CX85" s="91" t="n"/>
      <c r="CY85" s="91" t="n"/>
      <c r="CZ85" s="91">
        <f>SUM(CN85:CY85)</f>
        <v/>
      </c>
      <c r="DA85" s="35" t="n"/>
    </row>
    <row r="86" ht="20" customFormat="1" customHeight="1" s="1">
      <c r="A86" s="30" t="n">
        <v>84</v>
      </c>
      <c r="B86" s="37" t="inlineStr">
        <is>
          <t>四川</t>
        </is>
      </c>
      <c r="C86" s="37" t="inlineStr">
        <is>
          <t>成都北富森</t>
        </is>
      </c>
      <c r="D86" s="37" t="inlineStr">
        <is>
          <t>耿玉华</t>
        </is>
      </c>
      <c r="E86" s="89" t="n"/>
      <c r="F86" s="27" t="inlineStr">
        <is>
          <t>2022/2023/2024</t>
        </is>
      </c>
      <c r="G86" s="27" t="inlineStr">
        <is>
          <t>12/1/2/8</t>
        </is>
      </c>
      <c r="H86" s="98">
        <f>172189+2719+1399</f>
        <v/>
      </c>
      <c r="I86" s="91" t="n">
        <v>22366</v>
      </c>
      <c r="J86" s="91" t="n"/>
      <c r="K86" s="91">
        <f>+H86+I86+J86</f>
        <v/>
      </c>
      <c r="L86" s="91" t="inlineStr">
        <is>
          <t>6折</t>
        </is>
      </c>
      <c r="M86" s="91" t="inlineStr"/>
      <c r="N86" s="91" t="n"/>
      <c r="O86" s="91" t="n"/>
      <c r="P86" s="91" t="n"/>
      <c r="Q86" s="91" t="n"/>
      <c r="R86" s="91" t="n"/>
      <c r="S86" s="91" t="n"/>
      <c r="T86" s="91" t="n"/>
      <c r="U86" s="91" t="n"/>
      <c r="V86" s="91" t="n"/>
      <c r="W86" s="91" t="n"/>
      <c r="X86" s="91" t="n"/>
      <c r="Y86" s="91" t="n"/>
      <c r="Z86" s="91" t="n"/>
      <c r="AA86" s="91" t="n"/>
      <c r="AB86" s="91" t="n"/>
      <c r="AC86" s="91" t="n"/>
      <c r="AD86" s="91" t="n"/>
      <c r="AE86" s="91" t="n"/>
      <c r="AF86" s="91" t="n"/>
      <c r="AG86" s="30" t="n"/>
      <c r="AH86" s="30" t="n"/>
      <c r="AI86" s="30" t="n"/>
      <c r="AJ86" s="30" t="n"/>
      <c r="AK86" s="30" t="n"/>
      <c r="AL86" s="30" t="n"/>
      <c r="AM86" s="91" t="n"/>
      <c r="AN86" s="91" t="n"/>
      <c r="AO86" s="91" t="n"/>
      <c r="AP86" s="91" t="n"/>
      <c r="AQ86" s="91" t="n"/>
      <c r="AR86" s="91" t="n"/>
      <c r="AS86" s="91" t="n"/>
      <c r="AT86" s="91" t="n"/>
      <c r="AU86" s="91" t="n"/>
      <c r="AV86" s="31" t="n"/>
      <c r="AW86" s="36" t="n"/>
      <c r="AX86" s="16" t="n"/>
      <c r="AY86" s="31" t="n">
        <v>7837</v>
      </c>
      <c r="AZ86" s="92">
        <f>SUM(AN86:AY86)</f>
        <v/>
      </c>
      <c r="BA86" s="91" t="n"/>
      <c r="BB86" s="30" t="n">
        <v>5455</v>
      </c>
      <c r="BC86" s="91">
        <f>42631+29763</f>
        <v/>
      </c>
      <c r="BD86" s="91">
        <f>82593+2116</f>
        <v/>
      </c>
      <c r="BE86" s="91" t="n">
        <v>159218</v>
      </c>
      <c r="BF86" s="91" t="n">
        <v>123449</v>
      </c>
      <c r="BG86" s="91" t="n">
        <v>92675</v>
      </c>
      <c r="BH86" s="91" t="n">
        <v>68855</v>
      </c>
      <c r="BI86" s="91" t="n">
        <v>124738</v>
      </c>
      <c r="BJ86" s="91" t="n">
        <v>92912</v>
      </c>
      <c r="BK86" s="91" t="n">
        <v>83577</v>
      </c>
      <c r="BL86" s="91" t="n">
        <v>202476</v>
      </c>
      <c r="BM86" s="91">
        <f>SUM(BA86:BL86)</f>
        <v/>
      </c>
      <c r="BN86" s="91" t="n">
        <v>2189</v>
      </c>
      <c r="BO86" s="91" t="n">
        <v>660</v>
      </c>
      <c r="BP86" s="91" t="n">
        <v>3512</v>
      </c>
      <c r="BQ86" s="91" t="n">
        <v>57245</v>
      </c>
      <c r="BR86" s="91" t="n">
        <v>13829</v>
      </c>
      <c r="BS86" s="91" t="n">
        <v>124107</v>
      </c>
      <c r="BT86" s="91" t="n">
        <v>5454</v>
      </c>
      <c r="BU86" s="91" t="n">
        <v>75545.14999999999</v>
      </c>
      <c r="BV86" s="91" t="n">
        <v>35961</v>
      </c>
      <c r="BW86" s="91" t="n">
        <v>1751</v>
      </c>
      <c r="BX86" s="91" t="n">
        <v>81</v>
      </c>
      <c r="BY86" s="91" t="n">
        <v>113</v>
      </c>
      <c r="BZ86" s="91">
        <f>SUM(BN86:BY86)</f>
        <v/>
      </c>
      <c r="CA86" s="91" t="n">
        <v>224</v>
      </c>
      <c r="CB86" s="91" t="inlineStr"/>
      <c r="CC86" s="91" t="inlineStr"/>
      <c r="CD86" s="91" t="n"/>
      <c r="CE86" s="91" t="n"/>
      <c r="CF86" s="91" t="n"/>
      <c r="CG86" s="91" t="n"/>
      <c r="CH86" s="91" t="inlineStr"/>
      <c r="CI86" s="91" t="n"/>
      <c r="CJ86" s="91" t="inlineStr"/>
      <c r="CK86" s="91" t="n"/>
      <c r="CL86" s="91" t="inlineStr"/>
      <c r="CM86" s="91">
        <f>SUM(CA86:CL86)</f>
        <v/>
      </c>
      <c r="CN86" s="91" t="n"/>
      <c r="CO86" s="91" t="n"/>
      <c r="CP86" s="91" t="n"/>
      <c r="CQ86" s="93" t="n"/>
      <c r="CR86" s="94" t="n"/>
      <c r="CS86" s="94" t="n"/>
      <c r="CT86" s="91" t="n"/>
      <c r="CU86" s="91" t="n"/>
      <c r="CV86" s="91" t="n"/>
      <c r="CW86" s="91" t="n"/>
      <c r="CX86" s="91" t="n"/>
      <c r="CY86" s="91" t="n"/>
      <c r="CZ86" s="91">
        <f>SUM(CN86:CY86)</f>
        <v/>
      </c>
      <c r="DA86" s="35" t="n"/>
    </row>
    <row r="87" ht="20" customFormat="1" customHeight="1" s="2">
      <c r="A87" s="30" t="n">
        <v>85</v>
      </c>
      <c r="B87" s="37" t="inlineStr">
        <is>
          <t>北京</t>
        </is>
      </c>
      <c r="C87" s="37" t="inlineStr">
        <is>
          <t>平谷区</t>
        </is>
      </c>
      <c r="D87" s="37" t="inlineStr">
        <is>
          <t>崔振东</t>
        </is>
      </c>
      <c r="E87" s="89" t="n"/>
      <c r="F87" s="27" t="inlineStr">
        <is>
          <t>2023/2024</t>
        </is>
      </c>
      <c r="G87" s="27" t="inlineStr">
        <is>
          <t>2/3/10/11/12</t>
        </is>
      </c>
      <c r="H87" s="98">
        <f>2236+63613+194+264+7533+1998+380</f>
        <v/>
      </c>
      <c r="I87" s="91" t="n"/>
      <c r="J87" s="91" t="n"/>
      <c r="K87" s="91">
        <f>+H87+I87+J87</f>
        <v/>
      </c>
      <c r="L87" s="91" t="inlineStr">
        <is>
          <t>8折</t>
        </is>
      </c>
      <c r="M87" s="91" t="inlineStr"/>
      <c r="N87" s="91" t="n"/>
      <c r="O87" s="91" t="n"/>
      <c r="P87" s="91" t="n"/>
      <c r="Q87" s="91" t="n"/>
      <c r="R87" s="91" t="n"/>
      <c r="S87" s="91" t="n"/>
      <c r="T87" s="91" t="n"/>
      <c r="U87" s="91" t="n"/>
      <c r="V87" s="91" t="n"/>
      <c r="W87" s="91" t="n"/>
      <c r="X87" s="91" t="n"/>
      <c r="Y87" s="91" t="n"/>
      <c r="Z87" s="91" t="n"/>
      <c r="AA87" s="91" t="n"/>
      <c r="AB87" s="91" t="n"/>
      <c r="AC87" s="91" t="n"/>
      <c r="AD87" s="91" t="n"/>
      <c r="AE87" s="91" t="n"/>
      <c r="AF87" s="91" t="n"/>
      <c r="AG87" s="30" t="n"/>
      <c r="AH87" s="30" t="n"/>
      <c r="AI87" s="30" t="n"/>
      <c r="AJ87" s="30" t="n"/>
      <c r="AK87" s="30" t="n"/>
      <c r="AL87" s="30" t="n"/>
      <c r="AM87" s="91" t="n"/>
      <c r="AN87" s="91" t="n"/>
      <c r="AO87" s="91" t="n"/>
      <c r="AP87" s="91" t="n"/>
      <c r="AQ87" s="91" t="n"/>
      <c r="AR87" s="91" t="n"/>
      <c r="AS87" s="91" t="n"/>
      <c r="AT87" s="91" t="n"/>
      <c r="AU87" s="91" t="n"/>
      <c r="AV87" s="31" t="n"/>
      <c r="AW87" s="36" t="n"/>
      <c r="AX87" s="16" t="n"/>
      <c r="AY87" s="31" t="n"/>
      <c r="AZ87" s="92" t="n"/>
      <c r="BA87" s="91" t="n"/>
      <c r="BB87" s="91" t="n"/>
      <c r="BC87" s="91" t="n"/>
      <c r="BD87" s="91" t="n">
        <v>14978</v>
      </c>
      <c r="BE87" s="91" t="n">
        <v>30747</v>
      </c>
      <c r="BF87" s="91" t="n">
        <v>53464</v>
      </c>
      <c r="BG87" s="91" t="n">
        <v>687</v>
      </c>
      <c r="BH87" s="91" t="n"/>
      <c r="BI87" s="91" t="n">
        <v>1353</v>
      </c>
      <c r="BJ87" s="91" t="n">
        <v>18025</v>
      </c>
      <c r="BK87" s="91" t="n">
        <v>2959</v>
      </c>
      <c r="BL87" s="91" t="n">
        <v>3330</v>
      </c>
      <c r="BM87" s="91">
        <f>SUM(BA87:BL87)</f>
        <v/>
      </c>
      <c r="BN87" s="91" t="n">
        <v>120</v>
      </c>
      <c r="BO87" s="91" t="n"/>
      <c r="BP87" s="91" t="n">
        <v>7232</v>
      </c>
      <c r="BQ87" s="91" t="n">
        <v>36730</v>
      </c>
      <c r="BR87" s="91" t="n">
        <v>3775</v>
      </c>
      <c r="BS87" s="91" t="n">
        <v>41650</v>
      </c>
      <c r="BT87" s="91" t="n">
        <v>42253</v>
      </c>
      <c r="BU87" s="91" t="n"/>
      <c r="BV87" s="91" t="inlineStr"/>
      <c r="BW87" s="91" t="n">
        <v>7420</v>
      </c>
      <c r="BX87" s="91" t="n">
        <v>0</v>
      </c>
      <c r="BY87" s="91" t="n">
        <v>26493</v>
      </c>
      <c r="BZ87" s="91">
        <f>SUM(BN87:BY87)</f>
        <v/>
      </c>
      <c r="CA87" s="91" t="inlineStr"/>
      <c r="CB87" s="91" t="n">
        <v>785</v>
      </c>
      <c r="CC87" s="91" t="inlineStr"/>
      <c r="CD87" s="91" t="n"/>
      <c r="CE87" s="91" t="n"/>
      <c r="CF87" s="91" t="n"/>
      <c r="CG87" s="91" t="n"/>
      <c r="CH87" s="91" t="inlineStr"/>
      <c r="CI87" s="91" t="n"/>
      <c r="CJ87" s="91" t="inlineStr"/>
      <c r="CK87" s="91" t="n"/>
      <c r="CL87" s="91" t="inlineStr"/>
      <c r="CM87" s="91">
        <f>SUM(CA87:CL87)</f>
        <v/>
      </c>
      <c r="CN87" s="91" t="n"/>
      <c r="CO87" s="91" t="n"/>
      <c r="CP87" s="91" t="n"/>
      <c r="CQ87" s="93" t="n"/>
      <c r="CR87" s="94" t="n"/>
      <c r="CS87" s="94" t="n"/>
      <c r="CT87" s="91" t="n"/>
      <c r="CU87" s="91" t="n"/>
      <c r="CV87" s="91" t="n"/>
      <c r="CW87" s="91" t="n"/>
      <c r="CX87" s="91" t="n"/>
      <c r="CY87" s="91" t="n"/>
      <c r="CZ87" s="91">
        <f>SUM(CN87:CY87)</f>
        <v/>
      </c>
      <c r="DA87" s="35" t="n"/>
    </row>
    <row r="88" ht="20" customFormat="1" customHeight="1" s="2">
      <c r="A88" s="30" t="n">
        <v>86</v>
      </c>
      <c r="B88" s="37" t="inlineStr">
        <is>
          <t>山西</t>
        </is>
      </c>
      <c r="C88" s="37" t="inlineStr">
        <is>
          <t>运城永济</t>
        </is>
      </c>
      <c r="D88" s="37" t="inlineStr">
        <is>
          <t>时迷鹏</t>
        </is>
      </c>
      <c r="E88" s="89" t="n"/>
      <c r="F88" s="27" t="inlineStr">
        <is>
          <t>2023/2024/2025</t>
        </is>
      </c>
      <c r="G88" s="27" t="inlineStr">
        <is>
          <t>2/4/2</t>
        </is>
      </c>
      <c r="H88" s="98">
        <f>91650+855+1399+2778</f>
        <v/>
      </c>
      <c r="I88" s="91" t="n"/>
      <c r="J88" s="91" t="n">
        <v>6292</v>
      </c>
      <c r="K88" s="91">
        <f>+H88+I88+J88</f>
        <v/>
      </c>
      <c r="L88" s="91" t="inlineStr">
        <is>
          <t>6折</t>
        </is>
      </c>
      <c r="M88" s="91" t="inlineStr"/>
      <c r="N88" s="91" t="n"/>
      <c r="O88" s="91" t="n"/>
      <c r="P88" s="91" t="n"/>
      <c r="Q88" s="91" t="n"/>
      <c r="R88" s="91" t="n"/>
      <c r="S88" s="91" t="n"/>
      <c r="T88" s="91" t="n"/>
      <c r="U88" s="91" t="n"/>
      <c r="V88" s="91" t="n"/>
      <c r="W88" s="91" t="n"/>
      <c r="X88" s="91" t="n"/>
      <c r="Y88" s="91" t="n"/>
      <c r="Z88" s="91" t="n"/>
      <c r="AA88" s="91" t="n"/>
      <c r="AB88" s="91" t="n"/>
      <c r="AC88" s="91" t="n"/>
      <c r="AD88" s="91" t="n"/>
      <c r="AE88" s="91" t="n"/>
      <c r="AF88" s="91" t="n"/>
      <c r="AG88" s="30" t="n"/>
      <c r="AH88" s="30" t="n"/>
      <c r="AI88" s="30" t="n"/>
      <c r="AJ88" s="30" t="n"/>
      <c r="AK88" s="30" t="n"/>
      <c r="AL88" s="30" t="n"/>
      <c r="AM88" s="91" t="n"/>
      <c r="AN88" s="91" t="n"/>
      <c r="AO88" s="91" t="n"/>
      <c r="AP88" s="91" t="n"/>
      <c r="AQ88" s="91" t="n"/>
      <c r="AR88" s="91" t="n"/>
      <c r="AS88" s="91" t="n"/>
      <c r="AT88" s="91" t="n"/>
      <c r="AU88" s="91" t="n"/>
      <c r="AV88" s="31" t="n"/>
      <c r="AW88" s="36" t="n"/>
      <c r="AX88" s="16" t="n"/>
      <c r="AY88" s="31" t="n"/>
      <c r="AZ88" s="92" t="n"/>
      <c r="BA88" s="91" t="n"/>
      <c r="BB88" s="91" t="n"/>
      <c r="BC88" s="91" t="n">
        <v>291</v>
      </c>
      <c r="BD88" s="91" t="n"/>
      <c r="BE88" s="91" t="n">
        <v>62024</v>
      </c>
      <c r="BF88" s="91" t="n">
        <v>69939</v>
      </c>
      <c r="BG88" s="91" t="n">
        <v>33867</v>
      </c>
      <c r="BH88" s="91" t="n">
        <v>13780</v>
      </c>
      <c r="BI88" s="91" t="n">
        <v>2291</v>
      </c>
      <c r="BJ88" s="91" t="n">
        <v>10629</v>
      </c>
      <c r="BK88" s="91" t="n">
        <v>31973</v>
      </c>
      <c r="BL88" s="91" t="n">
        <v>53829</v>
      </c>
      <c r="BM88" s="91">
        <f>SUM(BA88:BL88)</f>
        <v/>
      </c>
      <c r="BN88" s="91" t="n">
        <v>7984</v>
      </c>
      <c r="BO88" s="91" t="n"/>
      <c r="BP88" s="91" t="n">
        <v>75543</v>
      </c>
      <c r="BQ88" s="91" t="n">
        <v>13282</v>
      </c>
      <c r="BR88" s="91" t="n">
        <v>40527</v>
      </c>
      <c r="BS88" s="91" t="n">
        <v>74350</v>
      </c>
      <c r="BT88" s="91" t="n">
        <v>25566</v>
      </c>
      <c r="BU88" s="91" t="n">
        <v>60948.63</v>
      </c>
      <c r="BV88" s="91" t="n">
        <v>707</v>
      </c>
      <c r="BW88" s="91" t="n">
        <v>51699.2</v>
      </c>
      <c r="BX88" s="91" t="n">
        <v>28109.93</v>
      </c>
      <c r="BY88" s="91" t="n">
        <v>43983.09</v>
      </c>
      <c r="BZ88" s="91">
        <f>SUM(BN88:BY88)</f>
        <v/>
      </c>
      <c r="CA88" s="91" t="n">
        <v>403</v>
      </c>
      <c r="CB88" s="91" t="n">
        <v>903</v>
      </c>
      <c r="CC88" s="91" t="n">
        <v>36132.41</v>
      </c>
      <c r="CD88" s="91" t="n">
        <v>1984</v>
      </c>
      <c r="CE88" s="91" t="n"/>
      <c r="CF88" s="91" t="n">
        <v>66295.62</v>
      </c>
      <c r="CG88" s="91" t="n">
        <v>27147.6</v>
      </c>
      <c r="CH88" s="91" t="n">
        <v>1891.18</v>
      </c>
      <c r="CI88" s="91" t="n">
        <v>56166.68</v>
      </c>
      <c r="CJ88" s="91" t="n">
        <v>178421.29</v>
      </c>
      <c r="CK88" s="91" t="n">
        <v>56431.26</v>
      </c>
      <c r="CL88" s="91" t="n">
        <v>9178.57</v>
      </c>
      <c r="CM88" s="91">
        <f>SUM(CA88:CL88)</f>
        <v/>
      </c>
      <c r="CN88" s="91" t="n"/>
      <c r="CO88" s="91" t="n"/>
      <c r="CP88" s="91" t="n"/>
      <c r="CQ88" s="93" t="n"/>
      <c r="CR88" s="94" t="n"/>
      <c r="CS88" s="94" t="n"/>
      <c r="CT88" s="91" t="n"/>
      <c r="CU88" s="91" t="n"/>
      <c r="CV88" s="91" t="n"/>
      <c r="CW88" s="91" t="n"/>
      <c r="CX88" s="91" t="n"/>
      <c r="CY88" s="91" t="n"/>
      <c r="CZ88" s="91">
        <f>SUM(CN88:CY88)</f>
        <v/>
      </c>
      <c r="DA88" s="35" t="n"/>
    </row>
    <row r="89" ht="20" customFormat="1" customHeight="1" s="1">
      <c r="A89" s="30" t="n">
        <v>87</v>
      </c>
      <c r="B89" s="37" t="inlineStr">
        <is>
          <t>重庆</t>
        </is>
      </c>
      <c r="C89" s="37" t="inlineStr">
        <is>
          <t>巴南</t>
        </is>
      </c>
      <c r="D89" s="37" t="inlineStr">
        <is>
          <t>谭金民</t>
        </is>
      </c>
      <c r="E89" s="89" t="n"/>
      <c r="F89" s="27" t="inlineStr">
        <is>
          <t>2023/2024/2025/2026</t>
        </is>
      </c>
      <c r="G89" s="27" t="inlineStr">
        <is>
          <t>3/9/5/7/9/11/2/4</t>
        </is>
      </c>
      <c r="H89" s="98">
        <f>110811+261+1399+56986+5027+4628+482+625+1074+286357</f>
        <v/>
      </c>
      <c r="I89" s="91">
        <f>2279+159650+3121</f>
        <v/>
      </c>
      <c r="J89" s="91">
        <f>3557+4369+2266</f>
        <v/>
      </c>
      <c r="K89" s="91">
        <f>+H89+I89+J89</f>
        <v/>
      </c>
      <c r="L89" s="91" t="inlineStr">
        <is>
          <t>6折</t>
        </is>
      </c>
      <c r="M89" s="91" t="inlineStr"/>
      <c r="N89" s="91" t="n"/>
      <c r="O89" s="91" t="n"/>
      <c r="P89" s="91" t="n"/>
      <c r="Q89" s="91" t="n"/>
      <c r="R89" s="91" t="n"/>
      <c r="S89" s="91" t="n"/>
      <c r="T89" s="91" t="n"/>
      <c r="U89" s="91" t="n"/>
      <c r="V89" s="91" t="n"/>
      <c r="W89" s="91" t="n"/>
      <c r="X89" s="91" t="n"/>
      <c r="Y89" s="91" t="n"/>
      <c r="Z89" s="91" t="n"/>
      <c r="AA89" s="91" t="n"/>
      <c r="AB89" s="91" t="n"/>
      <c r="AC89" s="91" t="n"/>
      <c r="AD89" s="91" t="n"/>
      <c r="AE89" s="91" t="n"/>
      <c r="AF89" s="91" t="n"/>
      <c r="AG89" s="30" t="n"/>
      <c r="AH89" s="30" t="n"/>
      <c r="AI89" s="30" t="n"/>
      <c r="AJ89" s="30" t="n"/>
      <c r="AK89" s="30" t="n"/>
      <c r="AL89" s="30" t="n"/>
      <c r="AM89" s="91" t="n"/>
      <c r="AN89" s="91" t="n"/>
      <c r="AO89" s="91" t="n"/>
      <c r="AP89" s="91" t="n"/>
      <c r="AQ89" s="91" t="n"/>
      <c r="AR89" s="91" t="n"/>
      <c r="AS89" s="91" t="n"/>
      <c r="AT89" s="91" t="n"/>
      <c r="AU89" s="91" t="n"/>
      <c r="AV89" s="31" t="n"/>
      <c r="AW89" s="36" t="n"/>
      <c r="AX89" s="16" t="n"/>
      <c r="AY89" s="31" t="n"/>
      <c r="AZ89" s="92" t="n"/>
      <c r="BA89" s="91" t="n"/>
      <c r="BB89" s="91" t="n"/>
      <c r="BC89" s="91" t="n"/>
      <c r="BD89" s="91" t="n"/>
      <c r="BE89" s="91" t="n">
        <v>2167</v>
      </c>
      <c r="BF89" s="91" t="n"/>
      <c r="BG89" s="91" t="n">
        <v>101419</v>
      </c>
      <c r="BH89" s="91" t="n">
        <v>109493</v>
      </c>
      <c r="BI89" s="91" t="n">
        <v>71937</v>
      </c>
      <c r="BJ89" s="91" t="n">
        <v>49455</v>
      </c>
      <c r="BK89" s="91" t="n">
        <v>3758</v>
      </c>
      <c r="BL89" s="91" t="n">
        <v>71626</v>
      </c>
      <c r="BM89" s="91">
        <f>SUM(BA89:BL89)</f>
        <v/>
      </c>
      <c r="BN89" s="91" t="n">
        <v>5160</v>
      </c>
      <c r="BO89" s="91" t="n">
        <v>600</v>
      </c>
      <c r="BP89" s="91" t="n">
        <v>131163</v>
      </c>
      <c r="BQ89" s="91" t="n">
        <v>114747</v>
      </c>
      <c r="BR89" s="91" t="n">
        <v>121127</v>
      </c>
      <c r="BS89" s="91" t="n">
        <v>34546</v>
      </c>
      <c r="BT89" s="91">
        <f>20737+1202.33</f>
        <v/>
      </c>
      <c r="BU89" s="91" t="n">
        <v>119841.97</v>
      </c>
      <c r="BV89" s="91" t="n">
        <v>47063</v>
      </c>
      <c r="BW89" s="91" t="n">
        <v>69319.24000000001</v>
      </c>
      <c r="BX89" s="91" t="n">
        <v>99054.28</v>
      </c>
      <c r="BY89" s="91" t="n">
        <v>266914.47</v>
      </c>
      <c r="BZ89" s="91">
        <f>SUM(BN89:BY89)</f>
        <v/>
      </c>
      <c r="CA89" s="91" t="n">
        <v>26254</v>
      </c>
      <c r="CB89" s="91">
        <f>40571.24+8855</f>
        <v/>
      </c>
      <c r="CC89" s="91" t="n">
        <v>97332.74000000001</v>
      </c>
      <c r="CD89" s="91" t="n">
        <v>65392.99</v>
      </c>
      <c r="CE89" s="91" t="n">
        <v>89021.14</v>
      </c>
      <c r="CF89" s="91" t="n">
        <v>161933.83</v>
      </c>
      <c r="CG89" s="91" t="n">
        <v>69450.35000000001</v>
      </c>
      <c r="CH89" s="91" t="n">
        <v>182784.54</v>
      </c>
      <c r="CI89" s="91" t="n">
        <v>125341.04</v>
      </c>
      <c r="CJ89" s="91" t="n">
        <v>168209.44</v>
      </c>
      <c r="CK89" s="91" t="n">
        <v>174654.08</v>
      </c>
      <c r="CL89" s="91" t="n">
        <v>831839.62</v>
      </c>
      <c r="CM89" s="91">
        <f>SUM(CA89:CL89)</f>
        <v/>
      </c>
      <c r="CN89" s="91" t="n"/>
      <c r="CO89" s="91" t="n"/>
      <c r="CP89" s="91" t="n"/>
      <c r="CQ89" s="93" t="n"/>
      <c r="CR89" s="94" t="n"/>
      <c r="CS89" s="94" t="n"/>
      <c r="CT89" s="91" t="n"/>
      <c r="CU89" s="91" t="n"/>
      <c r="CV89" s="91" t="n"/>
      <c r="CW89" s="91" t="n"/>
      <c r="CX89" s="91" t="n"/>
      <c r="CY89" s="91" t="n"/>
      <c r="CZ89" s="91">
        <f>SUM(CN89:CY89)</f>
        <v/>
      </c>
      <c r="DA89" s="35" t="n"/>
    </row>
    <row r="90" ht="20" customFormat="1" customHeight="1" s="2">
      <c r="A90" s="30" t="n">
        <v>88</v>
      </c>
      <c r="B90" s="37" t="inlineStr">
        <is>
          <t>河北</t>
        </is>
      </c>
      <c r="C90" s="37" t="inlineStr">
        <is>
          <t>故城</t>
        </is>
      </c>
      <c r="D90" s="37" t="inlineStr">
        <is>
          <t>曹振斌</t>
        </is>
      </c>
      <c r="E90" s="89" t="n"/>
      <c r="F90" s="27" t="inlineStr">
        <is>
          <t>2023/2025</t>
        </is>
      </c>
      <c r="G90" s="27" t="inlineStr">
        <is>
          <t>3/4</t>
        </is>
      </c>
      <c r="H90" s="91">
        <f>75534+307+354+1017</f>
        <v/>
      </c>
      <c r="I90" s="91" t="n"/>
      <c r="J90" s="91" t="n">
        <v>3502</v>
      </c>
      <c r="K90" s="91">
        <f>+H90+I90+J90</f>
        <v/>
      </c>
      <c r="L90" s="91" t="inlineStr">
        <is>
          <t>7折</t>
        </is>
      </c>
      <c r="M90" s="91" t="inlineStr"/>
      <c r="N90" s="91" t="n"/>
      <c r="O90" s="91" t="n"/>
      <c r="P90" s="91" t="n"/>
      <c r="Q90" s="91" t="n"/>
      <c r="R90" s="91" t="n"/>
      <c r="S90" s="91" t="n"/>
      <c r="T90" s="91" t="n"/>
      <c r="U90" s="91" t="n"/>
      <c r="V90" s="91" t="n"/>
      <c r="W90" s="91" t="n"/>
      <c r="X90" s="91" t="n"/>
      <c r="Y90" s="91" t="n"/>
      <c r="Z90" s="91" t="n"/>
      <c r="AA90" s="91" t="n"/>
      <c r="AB90" s="91" t="n"/>
      <c r="AC90" s="91" t="n"/>
      <c r="AD90" s="91" t="n"/>
      <c r="AE90" s="91" t="n"/>
      <c r="AF90" s="91" t="n"/>
      <c r="AG90" s="30" t="n"/>
      <c r="AH90" s="30" t="n"/>
      <c r="AI90" s="30" t="n"/>
      <c r="AJ90" s="30" t="n"/>
      <c r="AK90" s="30" t="n"/>
      <c r="AL90" s="30" t="n"/>
      <c r="AM90" s="91" t="n"/>
      <c r="AN90" s="91" t="n"/>
      <c r="AO90" s="91" t="n"/>
      <c r="AP90" s="91" t="n"/>
      <c r="AQ90" s="91" t="n"/>
      <c r="AR90" s="91" t="n"/>
      <c r="AS90" s="91" t="n"/>
      <c r="AT90" s="91" t="n"/>
      <c r="AU90" s="91" t="n"/>
      <c r="AV90" s="31" t="n"/>
      <c r="AW90" s="36" t="n"/>
      <c r="AX90" s="16" t="n"/>
      <c r="AY90" s="31" t="n"/>
      <c r="AZ90" s="92" t="n"/>
      <c r="BA90" s="91" t="n"/>
      <c r="BB90" s="91" t="n"/>
      <c r="BC90" s="91" t="n"/>
      <c r="BD90" s="91" t="n"/>
      <c r="BE90" s="91" t="n"/>
      <c r="BF90" s="91" t="n">
        <v>8539</v>
      </c>
      <c r="BG90" s="91" t="n">
        <v>14093</v>
      </c>
      <c r="BH90" s="91" t="n"/>
      <c r="BI90" s="91" t="n"/>
      <c r="BJ90" s="91" t="n"/>
      <c r="BK90" s="91" t="n"/>
      <c r="BL90" s="91" t="n">
        <v>20501</v>
      </c>
      <c r="BM90" s="91">
        <f>SUM(BA90:BL90)</f>
        <v/>
      </c>
      <c r="BN90" s="91" t="n"/>
      <c r="BO90" s="91" t="n"/>
      <c r="BP90" s="91" t="n">
        <v>16674</v>
      </c>
      <c r="BQ90" s="91" t="n">
        <v>31357</v>
      </c>
      <c r="BR90" s="91" t="n">
        <v>28018</v>
      </c>
      <c r="BS90" s="91" t="inlineStr"/>
      <c r="BT90" s="91" t="n">
        <v>23917</v>
      </c>
      <c r="BU90" s="91" t="n">
        <v>19424</v>
      </c>
      <c r="BV90" s="91" t="n">
        <v>5870</v>
      </c>
      <c r="BW90" s="91" t="n">
        <v>2188</v>
      </c>
      <c r="BX90" s="91" t="n">
        <v>33052</v>
      </c>
      <c r="BY90" s="91" t="n">
        <v>33746</v>
      </c>
      <c r="BZ90" s="91">
        <f>SUM(BN90:BY90)</f>
        <v/>
      </c>
      <c r="CA90" s="91" t="n">
        <v>42</v>
      </c>
      <c r="CB90" s="91" t="inlineStr"/>
      <c r="CC90" s="91" t="n">
        <v>19343</v>
      </c>
      <c r="CD90" s="91" t="n">
        <v>2473</v>
      </c>
      <c r="CE90" s="91" t="n">
        <v>21419</v>
      </c>
      <c r="CF90" s="91" t="n">
        <v>10199</v>
      </c>
      <c r="CG90" s="91" t="n">
        <v>6693</v>
      </c>
      <c r="CH90" s="91" t="n">
        <v>16298</v>
      </c>
      <c r="CI90" s="91" t="n"/>
      <c r="CJ90" s="91" t="inlineStr"/>
      <c r="CK90" s="91" t="n">
        <v>1558</v>
      </c>
      <c r="CL90" s="91" t="n">
        <v>1386</v>
      </c>
      <c r="CM90" s="91">
        <f>SUM(CA90:CL90)</f>
        <v/>
      </c>
      <c r="CN90" s="91" t="n"/>
      <c r="CO90" s="91" t="n"/>
      <c r="CP90" s="91" t="n"/>
      <c r="CQ90" s="93" t="n"/>
      <c r="CR90" s="94" t="n"/>
      <c r="CS90" s="94" t="n"/>
      <c r="CT90" s="91" t="n"/>
      <c r="CU90" s="91" t="n"/>
      <c r="CV90" s="91" t="n"/>
      <c r="CW90" s="91" t="n"/>
      <c r="CX90" s="91" t="n"/>
      <c r="CY90" s="91" t="n"/>
      <c r="CZ90" s="91">
        <f>SUM(CN90:CY90)</f>
        <v/>
      </c>
      <c r="DA90" s="35" t="n"/>
    </row>
    <row r="91" ht="20" customFormat="1" customHeight="1" s="2">
      <c r="A91" s="30" t="n">
        <v>89</v>
      </c>
      <c r="B91" s="37" t="inlineStr">
        <is>
          <t>湖北</t>
        </is>
      </c>
      <c r="C91" s="37" t="inlineStr">
        <is>
          <t>十堰</t>
        </is>
      </c>
      <c r="D91" s="37" t="inlineStr">
        <is>
          <t>陈志兵</t>
        </is>
      </c>
      <c r="E91" s="89" t="n"/>
      <c r="F91" s="27" t="inlineStr">
        <is>
          <t>2023/2024/2025</t>
        </is>
      </c>
      <c r="G91" s="27" t="inlineStr">
        <is>
          <t>3/4/12/11</t>
        </is>
      </c>
      <c r="H91" s="91">
        <f>91617+1073+93826+89+1955+3919+126</f>
        <v/>
      </c>
      <c r="I91" s="91" t="n">
        <v>1652</v>
      </c>
      <c r="J91" s="91" t="n">
        <v>2670</v>
      </c>
      <c r="K91" s="91">
        <f>+H91+I91+J91</f>
        <v/>
      </c>
      <c r="L91" s="91" t="inlineStr">
        <is>
          <t>7折</t>
        </is>
      </c>
      <c r="M91" s="91" t="inlineStr"/>
      <c r="N91" s="91" t="n"/>
      <c r="O91" s="91" t="n"/>
      <c r="P91" s="91" t="n"/>
      <c r="Q91" s="91" t="n"/>
      <c r="R91" s="91" t="n"/>
      <c r="S91" s="91" t="n"/>
      <c r="T91" s="91" t="n"/>
      <c r="U91" s="91" t="n"/>
      <c r="V91" s="91" t="n"/>
      <c r="W91" s="91" t="n"/>
      <c r="X91" s="91" t="n"/>
      <c r="Y91" s="91" t="n"/>
      <c r="Z91" s="91" t="n"/>
      <c r="AA91" s="91" t="n"/>
      <c r="AB91" s="91" t="n"/>
      <c r="AC91" s="91" t="n"/>
      <c r="AD91" s="91" t="n"/>
      <c r="AE91" s="91" t="n"/>
      <c r="AF91" s="91" t="n"/>
      <c r="AG91" s="30" t="n"/>
      <c r="AH91" s="30" t="n"/>
      <c r="AI91" s="30" t="n"/>
      <c r="AJ91" s="30" t="n"/>
      <c r="AK91" s="30" t="n"/>
      <c r="AL91" s="30" t="n"/>
      <c r="AM91" s="91" t="n"/>
      <c r="AN91" s="91" t="n"/>
      <c r="AO91" s="91" t="n"/>
      <c r="AP91" s="91" t="n"/>
      <c r="AQ91" s="91" t="n"/>
      <c r="AR91" s="91" t="n"/>
      <c r="AS91" s="91" t="n"/>
      <c r="AT91" s="91" t="n"/>
      <c r="AU91" s="91" t="n"/>
      <c r="AV91" s="31" t="n"/>
      <c r="AW91" s="36" t="n"/>
      <c r="AX91" s="16" t="n"/>
      <c r="AY91" s="31" t="n"/>
      <c r="AZ91" s="92" t="n"/>
      <c r="BA91" s="91" t="n"/>
      <c r="BB91" s="91" t="n"/>
      <c r="BC91" s="91" t="n"/>
      <c r="BD91" s="91" t="n"/>
      <c r="BE91" s="91" t="n"/>
      <c r="BF91" s="91" t="n">
        <v>11207</v>
      </c>
      <c r="BG91" s="91" t="n">
        <v>18777</v>
      </c>
      <c r="BH91" s="91" t="n">
        <v>55094</v>
      </c>
      <c r="BI91" s="91" t="n">
        <v>159031</v>
      </c>
      <c r="BJ91" s="91" t="n">
        <v>30</v>
      </c>
      <c r="BK91" s="91" t="n">
        <v>79599</v>
      </c>
      <c r="BL91" s="91" t="n">
        <v>27238</v>
      </c>
      <c r="BM91" s="91">
        <f>SUM(BA91:BL91)</f>
        <v/>
      </c>
      <c r="BN91" s="91" t="n">
        <v>524</v>
      </c>
      <c r="BO91" s="91" t="n"/>
      <c r="BP91" s="91" t="n">
        <v>21681</v>
      </c>
      <c r="BQ91" s="91" t="n">
        <v>14827</v>
      </c>
      <c r="BR91" s="91" t="inlineStr"/>
      <c r="BS91" s="91" t="n">
        <v>24885</v>
      </c>
      <c r="BT91" s="91" t="n">
        <v>2712</v>
      </c>
      <c r="BU91" s="91" t="n">
        <v>24828.8</v>
      </c>
      <c r="BV91" s="91" t="n">
        <v>34992.73</v>
      </c>
      <c r="BW91" s="91" t="n">
        <v>3521</v>
      </c>
      <c r="BX91" s="91" t="n"/>
      <c r="BY91" s="91" t="n">
        <v>7475.85</v>
      </c>
      <c r="BZ91" s="91">
        <f>SUM(BN91:BY91)</f>
        <v/>
      </c>
      <c r="CA91" s="91" t="inlineStr"/>
      <c r="CB91" s="91" t="inlineStr"/>
      <c r="CC91" s="91" t="inlineStr"/>
      <c r="CD91" s="91" t="n"/>
      <c r="CE91" s="91" t="n"/>
      <c r="CF91" s="91" t="n">
        <v>17983.91</v>
      </c>
      <c r="CG91" s="91" t="n">
        <v>33987.89</v>
      </c>
      <c r="CH91" s="91" t="n">
        <v>904.23</v>
      </c>
      <c r="CI91" s="91" t="n">
        <v>60.64</v>
      </c>
      <c r="CJ91" s="91" t="inlineStr"/>
      <c r="CK91" s="91" t="n">
        <v>67146.99000000001</v>
      </c>
      <c r="CL91" s="91" t="inlineStr"/>
      <c r="CM91" s="91">
        <f>SUM(CA91:CL91)</f>
        <v/>
      </c>
      <c r="CN91" s="91" t="n"/>
      <c r="CO91" s="91" t="n"/>
      <c r="CP91" s="91" t="n"/>
      <c r="CQ91" s="93" t="n"/>
      <c r="CR91" s="94" t="n"/>
      <c r="CS91" s="94" t="n"/>
      <c r="CT91" s="91" t="n"/>
      <c r="CU91" s="91" t="n"/>
      <c r="CV91" s="91" t="n"/>
      <c r="CW91" s="91" t="n"/>
      <c r="CX91" s="91" t="n"/>
      <c r="CY91" s="91" t="n"/>
      <c r="CZ91" s="91">
        <f>SUM(CN91:CY91)</f>
        <v/>
      </c>
      <c r="DA91" s="35" t="n"/>
    </row>
    <row r="92" ht="20" customFormat="1" customHeight="1" s="1">
      <c r="A92" s="30" t="n">
        <v>90</v>
      </c>
      <c r="B92" s="37" t="inlineStr">
        <is>
          <t>河北</t>
        </is>
      </c>
      <c r="C92" s="37" t="inlineStr">
        <is>
          <t>沧州献县</t>
        </is>
      </c>
      <c r="D92" s="37" t="inlineStr">
        <is>
          <t>张永丰</t>
        </is>
      </c>
      <c r="E92" s="89" t="n"/>
      <c r="F92" s="27" t="inlineStr">
        <is>
          <t>2023/2024/2025</t>
        </is>
      </c>
      <c r="G92" s="27" t="inlineStr">
        <is>
          <t>3/4/4</t>
        </is>
      </c>
      <c r="H92" s="91">
        <f>119992+3259+1399+254+889</f>
        <v/>
      </c>
      <c r="I92" s="91" t="n">
        <v>361</v>
      </c>
      <c r="J92" s="91">
        <f>8118+4987</f>
        <v/>
      </c>
      <c r="K92" s="91">
        <f>+H92+I92+J92</f>
        <v/>
      </c>
      <c r="L92" s="91" t="inlineStr">
        <is>
          <t>7折</t>
        </is>
      </c>
      <c r="M92" s="91" t="inlineStr"/>
      <c r="N92" s="91" t="n"/>
      <c r="O92" s="91" t="n"/>
      <c r="P92" s="91" t="n"/>
      <c r="Q92" s="91" t="n"/>
      <c r="R92" s="91" t="n"/>
      <c r="S92" s="91" t="n"/>
      <c r="T92" s="91" t="n"/>
      <c r="U92" s="91" t="n"/>
      <c r="V92" s="91" t="n"/>
      <c r="W92" s="91" t="n"/>
      <c r="X92" s="91" t="n"/>
      <c r="Y92" s="91" t="n"/>
      <c r="Z92" s="91" t="n"/>
      <c r="AA92" s="91" t="n"/>
      <c r="AB92" s="91" t="n"/>
      <c r="AC92" s="91" t="n"/>
      <c r="AD92" s="91" t="n"/>
      <c r="AE92" s="91" t="n"/>
      <c r="AF92" s="91" t="n"/>
      <c r="AG92" s="30" t="n"/>
      <c r="AH92" s="30" t="n"/>
      <c r="AI92" s="30" t="n"/>
      <c r="AJ92" s="30" t="n"/>
      <c r="AK92" s="30" t="n"/>
      <c r="AL92" s="30" t="n"/>
      <c r="AM92" s="91" t="n"/>
      <c r="AN92" s="91" t="n"/>
      <c r="AO92" s="91" t="n"/>
      <c r="AP92" s="91" t="n"/>
      <c r="AQ92" s="91" t="n"/>
      <c r="AR92" s="91" t="n"/>
      <c r="AS92" s="91" t="n"/>
      <c r="AT92" s="91" t="n"/>
      <c r="AU92" s="91" t="n"/>
      <c r="AV92" s="31" t="n"/>
      <c r="AW92" s="36" t="n"/>
      <c r="AX92" s="16" t="n"/>
      <c r="AY92" s="31" t="n"/>
      <c r="AZ92" s="92" t="n"/>
      <c r="BA92" s="91" t="n"/>
      <c r="BB92" s="91" t="n"/>
      <c r="BC92" s="91" t="n"/>
      <c r="BD92" s="91" t="n"/>
      <c r="BE92" s="91" t="n"/>
      <c r="BF92" s="91" t="n">
        <v>10922</v>
      </c>
      <c r="BG92" s="91" t="n">
        <v>28191</v>
      </c>
      <c r="BH92" s="91" t="n">
        <v>29402</v>
      </c>
      <c r="BI92" s="91" t="n">
        <v>51607</v>
      </c>
      <c r="BJ92" s="91" t="n">
        <v>85333</v>
      </c>
      <c r="BK92" s="91" t="n">
        <v>75812</v>
      </c>
      <c r="BL92" s="91" t="n">
        <v>65502</v>
      </c>
      <c r="BM92" s="91">
        <f>SUM(BA92:BL92)</f>
        <v/>
      </c>
      <c r="BN92" s="91" t="n">
        <v>1678</v>
      </c>
      <c r="BO92" s="91" t="n">
        <v>760</v>
      </c>
      <c r="BP92" s="91" t="n">
        <v>74722</v>
      </c>
      <c r="BQ92" s="91" t="n">
        <v>34633</v>
      </c>
      <c r="BR92" s="91" t="n">
        <v>46731</v>
      </c>
      <c r="BS92" s="91" t="n">
        <v>1523</v>
      </c>
      <c r="BT92" s="91" t="n">
        <v>50391</v>
      </c>
      <c r="BU92" s="91" t="n">
        <v>67935</v>
      </c>
      <c r="BV92" s="91" t="n">
        <v>5092.09</v>
      </c>
      <c r="BW92" s="91" t="n">
        <v>288</v>
      </c>
      <c r="BX92" s="91" t="n">
        <v>31655.26</v>
      </c>
      <c r="BY92" s="91" t="n">
        <v>32089.3</v>
      </c>
      <c r="BZ92" s="91">
        <f>SUM(BN92:BY92)</f>
        <v/>
      </c>
      <c r="CA92" s="91" t="n">
        <v>546</v>
      </c>
      <c r="CB92" s="91" t="n">
        <v>84</v>
      </c>
      <c r="CC92" s="91" t="n">
        <v>49177.23</v>
      </c>
      <c r="CD92" s="91" t="n">
        <v>904.89</v>
      </c>
      <c r="CE92" s="91" t="n">
        <v>90232.59</v>
      </c>
      <c r="CF92" s="91" t="n">
        <v>50516.5</v>
      </c>
      <c r="CG92" s="91" t="n">
        <v>82.20999999999999</v>
      </c>
      <c r="CH92" s="91" t="n">
        <v>48985.04</v>
      </c>
      <c r="CI92" s="91" t="n">
        <v>70456.17999999999</v>
      </c>
      <c r="CJ92" s="91" t="n">
        <v>5546.59</v>
      </c>
      <c r="CK92" s="91" t="n">
        <v>5568.33</v>
      </c>
      <c r="CL92" s="91" t="n">
        <v>4982.79</v>
      </c>
      <c r="CM92" s="91">
        <f>SUM(CA92:CL92)</f>
        <v/>
      </c>
      <c r="CN92" s="91" t="n"/>
      <c r="CO92" s="91" t="n"/>
      <c r="CP92" s="91" t="n"/>
      <c r="CQ92" s="93" t="n"/>
      <c r="CR92" s="94" t="n"/>
      <c r="CS92" s="94" t="n"/>
      <c r="CT92" s="91" t="n"/>
      <c r="CU92" s="91" t="n"/>
      <c r="CV92" s="91" t="n"/>
      <c r="CW92" s="91" t="n"/>
      <c r="CX92" s="91" t="n"/>
      <c r="CY92" s="91" t="n"/>
      <c r="CZ92" s="91">
        <f>SUM(CN92:CY92)</f>
        <v/>
      </c>
      <c r="DA92" s="35" t="n"/>
    </row>
    <row r="93" ht="20" customFormat="1" customHeight="1" s="1">
      <c r="A93" s="30" t="n">
        <v>91</v>
      </c>
      <c r="B93" s="37" t="inlineStr">
        <is>
          <t>四川</t>
        </is>
      </c>
      <c r="C93" s="37" t="inlineStr">
        <is>
          <t>富顺</t>
        </is>
      </c>
      <c r="D93" s="37" t="inlineStr">
        <is>
          <t>王远镇</t>
        </is>
      </c>
      <c r="E93" s="89" t="n"/>
      <c r="F93" s="27" t="inlineStr">
        <is>
          <t>2023/2024</t>
        </is>
      </c>
      <c r="G93" s="27" t="inlineStr">
        <is>
          <t>4/5/9/4/4</t>
        </is>
      </c>
      <c r="H93" s="91">
        <f>72066+227+308+1675</f>
        <v/>
      </c>
      <c r="I93" s="91" t="n"/>
      <c r="J93" s="91" t="n">
        <v>2201</v>
      </c>
      <c r="K93" s="91">
        <f>+H93+I93+J93</f>
        <v/>
      </c>
      <c r="L93" s="91" t="n">
        <v>7</v>
      </c>
      <c r="M93" s="91" t="inlineStr"/>
      <c r="N93" s="91" t="n"/>
      <c r="O93" s="91" t="n"/>
      <c r="P93" s="91" t="n"/>
      <c r="Q93" s="91" t="n"/>
      <c r="R93" s="91" t="n"/>
      <c r="S93" s="91" t="n"/>
      <c r="T93" s="91" t="n"/>
      <c r="U93" s="91" t="n"/>
      <c r="V93" s="91" t="n"/>
      <c r="W93" s="91" t="n"/>
      <c r="X93" s="91" t="n"/>
      <c r="Y93" s="91" t="n"/>
      <c r="Z93" s="91" t="n"/>
      <c r="AA93" s="91" t="n"/>
      <c r="AB93" s="91" t="n"/>
      <c r="AC93" s="91" t="n"/>
      <c r="AD93" s="91" t="n"/>
      <c r="AE93" s="91" t="n"/>
      <c r="AF93" s="91" t="n"/>
      <c r="AG93" s="30" t="n"/>
      <c r="AH93" s="30" t="n"/>
      <c r="AI93" s="30" t="n"/>
      <c r="AJ93" s="30" t="n"/>
      <c r="AK93" s="30" t="n"/>
      <c r="AL93" s="30" t="n"/>
      <c r="AM93" s="91" t="n"/>
      <c r="AN93" s="91" t="n"/>
      <c r="AO93" s="91" t="n"/>
      <c r="AP93" s="91" t="n"/>
      <c r="AQ93" s="91" t="n"/>
      <c r="AR93" s="91" t="n"/>
      <c r="AS93" s="91" t="n"/>
      <c r="AT93" s="91" t="n"/>
      <c r="AU93" s="91" t="n"/>
      <c r="AV93" s="31" t="n"/>
      <c r="AW93" s="36" t="n"/>
      <c r="AX93" s="16" t="n"/>
      <c r="AY93" s="31" t="n"/>
      <c r="AZ93" s="92" t="n"/>
      <c r="BA93" s="91" t="n"/>
      <c r="BB93" s="91" t="n"/>
      <c r="BC93" s="91" t="n"/>
      <c r="BD93" s="91" t="n"/>
      <c r="BE93" s="91" t="n">
        <v>53027</v>
      </c>
      <c r="BF93" s="91" t="n">
        <v>4324</v>
      </c>
      <c r="BG93" s="91" t="n">
        <v>5574</v>
      </c>
      <c r="BH93" s="91" t="n">
        <v>43125</v>
      </c>
      <c r="BI93" s="91" t="n">
        <v>15374</v>
      </c>
      <c r="BJ93" s="91" t="n">
        <v>25002</v>
      </c>
      <c r="BK93" s="91" t="n">
        <v>4987</v>
      </c>
      <c r="BL93" s="91" t="n">
        <v>23315</v>
      </c>
      <c r="BM93" s="91">
        <f>SUM(BA93:BL93)</f>
        <v/>
      </c>
      <c r="BN93" s="91" t="n">
        <v>144</v>
      </c>
      <c r="BO93" s="91" t="n">
        <v>20178</v>
      </c>
      <c r="BP93" s="91" t="n">
        <v>32430</v>
      </c>
      <c r="BQ93" s="91" t="n">
        <v>30152</v>
      </c>
      <c r="BR93" s="91" t="n">
        <v>584</v>
      </c>
      <c r="BS93" s="91" t="n">
        <v>23996</v>
      </c>
      <c r="BT93" s="91">
        <f>2880+22449.12</f>
        <v/>
      </c>
      <c r="BU93" s="91" t="n">
        <v>37756.5</v>
      </c>
      <c r="BV93" s="91" t="n">
        <v>3282.01</v>
      </c>
      <c r="BW93" s="91" t="n">
        <v>6852.47</v>
      </c>
      <c r="BX93" s="91" t="n">
        <v>138.6</v>
      </c>
      <c r="BY93" s="91" t="n">
        <v>108</v>
      </c>
      <c r="BZ93" s="91">
        <f>SUM(BN93:BY93)</f>
        <v/>
      </c>
      <c r="CA93" s="91" t="n">
        <v>21072</v>
      </c>
      <c r="CB93" s="91">
        <f>19779.18+2131</f>
        <v/>
      </c>
      <c r="CC93" s="91" t="n">
        <v>21387.17</v>
      </c>
      <c r="CD93" s="91" t="n"/>
      <c r="CE93" s="91" t="n"/>
      <c r="CF93" s="91" t="n"/>
      <c r="CG93" s="91" t="n"/>
      <c r="CH93" s="91" t="inlineStr"/>
      <c r="CI93" s="91" t="n"/>
      <c r="CJ93" s="91" t="inlineStr"/>
      <c r="CK93" s="91" t="n"/>
      <c r="CL93" s="91" t="inlineStr"/>
      <c r="CM93" s="91">
        <f>SUM(CA93:CL93)</f>
        <v/>
      </c>
      <c r="CN93" s="91" t="n"/>
      <c r="CO93" s="91" t="n"/>
      <c r="CP93" s="91" t="n"/>
      <c r="CQ93" s="93" t="n"/>
      <c r="CR93" s="94" t="n"/>
      <c r="CS93" s="94" t="n"/>
      <c r="CT93" s="91" t="n"/>
      <c r="CU93" s="91" t="n"/>
      <c r="CV93" s="91" t="n"/>
      <c r="CW93" s="91" t="n"/>
      <c r="CX93" s="91" t="n"/>
      <c r="CY93" s="91" t="n"/>
      <c r="CZ93" s="91">
        <f>SUM(CN93:CY93)</f>
        <v/>
      </c>
      <c r="DA93" s="35" t="n"/>
    </row>
    <row r="94" ht="20" customFormat="1" customHeight="1" s="2">
      <c r="A94" s="30" t="n">
        <v>92</v>
      </c>
      <c r="B94" s="37" t="inlineStr">
        <is>
          <t>山西</t>
        </is>
      </c>
      <c r="C94" s="37" t="inlineStr">
        <is>
          <t>太原</t>
        </is>
      </c>
      <c r="D94" s="37" t="inlineStr">
        <is>
          <t>王俊丽</t>
        </is>
      </c>
      <c r="E94" s="89" t="n"/>
      <c r="F94" s="27" t="inlineStr">
        <is>
          <t>2023/2024/2025/2026</t>
        </is>
      </c>
      <c r="G94" s="27" t="inlineStr">
        <is>
          <t>4/5/6/8/3/3/4/4/7/9/7/9/5</t>
        </is>
      </c>
      <c r="H94" s="91">
        <f>52620+52229+2867+2300+1238+1675+17599+205+9403+281+13131</f>
        <v/>
      </c>
      <c r="I94" s="91">
        <f>25+7047+2822</f>
        <v/>
      </c>
      <c r="J94" s="91">
        <f>2150+3454</f>
        <v/>
      </c>
      <c r="K94" s="91">
        <f>+H94+I94+J94</f>
        <v/>
      </c>
      <c r="L94" s="91" t="n">
        <v>6</v>
      </c>
      <c r="M94" s="91" t="inlineStr"/>
      <c r="N94" s="91" t="n"/>
      <c r="O94" s="91" t="n"/>
      <c r="P94" s="91" t="n"/>
      <c r="Q94" s="91" t="n"/>
      <c r="R94" s="91" t="n"/>
      <c r="S94" s="91" t="n"/>
      <c r="T94" s="91" t="n"/>
      <c r="U94" s="91" t="n"/>
      <c r="V94" s="91" t="n"/>
      <c r="W94" s="91" t="n"/>
      <c r="X94" s="91" t="n"/>
      <c r="Y94" s="91" t="n"/>
      <c r="Z94" s="91" t="n"/>
      <c r="AA94" s="91" t="n"/>
      <c r="AB94" s="91" t="n"/>
      <c r="AC94" s="91" t="n"/>
      <c r="AD94" s="91" t="n"/>
      <c r="AE94" s="91" t="n"/>
      <c r="AF94" s="91" t="n"/>
      <c r="AG94" s="30" t="n"/>
      <c r="AH94" s="30" t="n"/>
      <c r="AI94" s="30" t="n"/>
      <c r="AJ94" s="30" t="n"/>
      <c r="AK94" s="30" t="n"/>
      <c r="AL94" s="30" t="n"/>
      <c r="AM94" s="91" t="n"/>
      <c r="AN94" s="91" t="n"/>
      <c r="AO94" s="91" t="n"/>
      <c r="AP94" s="91" t="n"/>
      <c r="AQ94" s="91" t="n"/>
      <c r="AR94" s="91" t="n"/>
      <c r="AS94" s="91" t="n"/>
      <c r="AT94" s="91" t="n"/>
      <c r="AU94" s="91" t="n"/>
      <c r="AV94" s="31" t="n"/>
      <c r="AW94" s="36" t="n"/>
      <c r="AX94" s="16" t="n"/>
      <c r="AY94" s="31" t="n"/>
      <c r="AZ94" s="92" t="n"/>
      <c r="BA94" s="91" t="n"/>
      <c r="BB94" s="91" t="n"/>
      <c r="BC94" s="91" t="n"/>
      <c r="BD94" s="91" t="n"/>
      <c r="BE94" s="91" t="n"/>
      <c r="BF94" s="91" t="n"/>
      <c r="BG94" s="91" t="n"/>
      <c r="BH94" s="91" t="n">
        <v>29384</v>
      </c>
      <c r="BI94" s="91" t="n">
        <v>24580</v>
      </c>
      <c r="BJ94" s="91" t="n">
        <v>30695</v>
      </c>
      <c r="BK94" s="91" t="n">
        <v>50093</v>
      </c>
      <c r="BL94" s="91" t="n">
        <v>73199</v>
      </c>
      <c r="BM94" s="91">
        <f>SUM(BA94:BL94)</f>
        <v/>
      </c>
      <c r="BN94" s="91" t="n">
        <v>392</v>
      </c>
      <c r="BO94" s="91" t="n"/>
      <c r="BP94" s="91" t="n">
        <v>117360</v>
      </c>
      <c r="BQ94" s="91" t="n">
        <v>9059</v>
      </c>
      <c r="BR94" s="91" t="n">
        <v>7230</v>
      </c>
      <c r="BS94" s="91" t="n">
        <v>13237</v>
      </c>
      <c r="BT94" s="91" t="n">
        <v>31484</v>
      </c>
      <c r="BU94" s="91" t="n">
        <v>47757</v>
      </c>
      <c r="BV94" s="91" t="n">
        <v>22743</v>
      </c>
      <c r="BW94" s="91" t="n">
        <v>120916.76</v>
      </c>
      <c r="BX94" s="91" t="n">
        <v>16398.68</v>
      </c>
      <c r="BY94" s="91" t="n">
        <v>47859.31</v>
      </c>
      <c r="BZ94" s="91">
        <f>SUM(BN94:BY94)</f>
        <v/>
      </c>
      <c r="CA94" s="91" t="n">
        <v>858</v>
      </c>
      <c r="CB94" s="91" t="n">
        <v>2122</v>
      </c>
      <c r="CC94" s="91" t="n">
        <v>5905.72</v>
      </c>
      <c r="CD94" s="91" t="n">
        <v>117701.76</v>
      </c>
      <c r="CE94" s="91" t="n">
        <v>1354.12</v>
      </c>
      <c r="CF94" s="91" t="n">
        <v>61492.36</v>
      </c>
      <c r="CG94" s="91" t="n">
        <v>32649.88</v>
      </c>
      <c r="CH94" s="91" t="n">
        <v>23910.23</v>
      </c>
      <c r="CI94" s="91" t="n">
        <v>51073.37</v>
      </c>
      <c r="CJ94" s="91" t="n">
        <v>2836.94</v>
      </c>
      <c r="CK94" s="91" t="n"/>
      <c r="CL94" s="91" t="n">
        <v>48.6</v>
      </c>
      <c r="CM94" s="91">
        <f>SUM(CA94:CL94)</f>
        <v/>
      </c>
      <c r="CN94" s="91" t="n"/>
      <c r="CO94" s="91" t="n"/>
      <c r="CP94" s="91" t="n"/>
      <c r="CQ94" s="93" t="n"/>
      <c r="CR94" s="94" t="n"/>
      <c r="CS94" s="94" t="n"/>
      <c r="CT94" s="91" t="n"/>
      <c r="CU94" s="91" t="n"/>
      <c r="CV94" s="91" t="n"/>
      <c r="CW94" s="91" t="n"/>
      <c r="CX94" s="91" t="n"/>
      <c r="CY94" s="91" t="n"/>
      <c r="CZ94" s="91">
        <f>SUM(CN94:CY94)</f>
        <v/>
      </c>
      <c r="DA94" s="35" t="n"/>
    </row>
    <row r="95" ht="20" customFormat="1" customHeight="1" s="2">
      <c r="A95" s="30" t="n">
        <v>93</v>
      </c>
      <c r="B95" s="37" t="inlineStr">
        <is>
          <t>河北</t>
        </is>
      </c>
      <c r="C95" s="37" t="inlineStr">
        <is>
          <t>唐山</t>
        </is>
      </c>
      <c r="D95" s="37" t="inlineStr">
        <is>
          <t>孔庆超</t>
        </is>
      </c>
      <c r="E95" s="89" t="n"/>
      <c r="F95" s="27" t="inlineStr">
        <is>
          <t>2023</t>
        </is>
      </c>
      <c r="G95" s="27" t="inlineStr">
        <is>
          <t>5/6</t>
        </is>
      </c>
      <c r="H95" s="91">
        <f>113002+1595</f>
        <v/>
      </c>
      <c r="I95" s="99" t="n">
        <v>699</v>
      </c>
      <c r="J95" s="91" t="n"/>
      <c r="K95" s="91">
        <f>+H95+I95+J95</f>
        <v/>
      </c>
      <c r="L95" s="91" t="n">
        <v>7</v>
      </c>
      <c r="M95" s="91" t="inlineStr"/>
      <c r="N95" s="91" t="n"/>
      <c r="O95" s="91" t="n"/>
      <c r="P95" s="91" t="n"/>
      <c r="Q95" s="91" t="n"/>
      <c r="R95" s="91" t="n"/>
      <c r="S95" s="91" t="n"/>
      <c r="T95" s="91" t="n"/>
      <c r="U95" s="91" t="n"/>
      <c r="V95" s="91" t="n"/>
      <c r="W95" s="91" t="n"/>
      <c r="X95" s="91" t="n"/>
      <c r="Y95" s="91" t="n"/>
      <c r="Z95" s="91" t="n"/>
      <c r="AA95" s="91" t="n"/>
      <c r="AB95" s="91" t="n"/>
      <c r="AC95" s="91" t="n"/>
      <c r="AD95" s="91" t="n"/>
      <c r="AE95" s="91" t="n"/>
      <c r="AF95" s="91" t="n"/>
      <c r="AG95" s="30" t="n"/>
      <c r="AH95" s="30" t="n"/>
      <c r="AI95" s="30" t="n"/>
      <c r="AJ95" s="30" t="n"/>
      <c r="AK95" s="30" t="n"/>
      <c r="AL95" s="30" t="n"/>
      <c r="AM95" s="91" t="n"/>
      <c r="AN95" s="91" t="n"/>
      <c r="AO95" s="91" t="n"/>
      <c r="AP95" s="91" t="n"/>
      <c r="AQ95" s="91" t="n"/>
      <c r="AR95" s="91" t="n"/>
      <c r="AS95" s="91" t="n"/>
      <c r="AT95" s="91" t="n"/>
      <c r="AU95" s="91" t="n"/>
      <c r="AV95" s="31" t="n"/>
      <c r="AW95" s="36" t="n"/>
      <c r="AX95" s="16" t="n"/>
      <c r="AY95" s="31" t="n"/>
      <c r="AZ95" s="92" t="n"/>
      <c r="BA95" s="91" t="n"/>
      <c r="BB95" s="91" t="n"/>
      <c r="BC95" s="91" t="n"/>
      <c r="BD95" s="91" t="n"/>
      <c r="BE95" s="91" t="n"/>
      <c r="BF95" s="91" t="n"/>
      <c r="BG95" s="91" t="n"/>
      <c r="BH95" s="91" t="n"/>
      <c r="BI95" s="91" t="n"/>
      <c r="BJ95" s="91" t="n"/>
      <c r="BK95" s="91" t="n">
        <v>42764</v>
      </c>
      <c r="BL95" s="91" t="n"/>
      <c r="BM95" s="91">
        <f>SUM(BA95:BL95)</f>
        <v/>
      </c>
      <c r="BN95" s="91" t="n">
        <v>2116</v>
      </c>
      <c r="BO95" s="91" t="n"/>
      <c r="BP95" s="91" t="n"/>
      <c r="BQ95" s="91" t="n"/>
      <c r="BR95" s="91" t="n">
        <v>2785</v>
      </c>
      <c r="BS95" s="91" t="inlineStr"/>
      <c r="BT95" s="91" t="n">
        <v>84600</v>
      </c>
      <c r="BU95" s="91" t="n"/>
      <c r="BV95" s="91" t="n">
        <v>588</v>
      </c>
      <c r="BW95" s="91" t="inlineStr"/>
      <c r="BX95" s="91" t="n"/>
      <c r="BY95" s="91" t="n"/>
      <c r="BZ95" s="91">
        <f>SUM(BN95:BY95)</f>
        <v/>
      </c>
      <c r="CA95" s="91" t="inlineStr"/>
      <c r="CB95" s="91" t="inlineStr"/>
      <c r="CC95" s="91" t="inlineStr"/>
      <c r="CD95" s="91" t="n"/>
      <c r="CE95" s="91" t="n"/>
      <c r="CF95" s="91" t="n"/>
      <c r="CG95" s="91" t="n"/>
      <c r="CH95" s="91" t="inlineStr"/>
      <c r="CI95" s="91" t="n"/>
      <c r="CJ95" s="91" t="inlineStr"/>
      <c r="CK95" s="91" t="n"/>
      <c r="CL95" s="91" t="inlineStr"/>
      <c r="CM95" s="91">
        <f>SUM(CA95:CL95)</f>
        <v/>
      </c>
      <c r="CN95" s="91" t="n"/>
      <c r="CO95" s="91" t="n"/>
      <c r="CP95" s="91" t="n"/>
      <c r="CQ95" s="93" t="n"/>
      <c r="CR95" s="94" t="n"/>
      <c r="CS95" s="94" t="n"/>
      <c r="CT95" s="91" t="n"/>
      <c r="CU95" s="91" t="n"/>
      <c r="CV95" s="91" t="n"/>
      <c r="CW95" s="91" t="n"/>
      <c r="CX95" s="91" t="n"/>
      <c r="CY95" s="91" t="n"/>
      <c r="CZ95" s="91">
        <f>SUM(CN95:CY95)</f>
        <v/>
      </c>
      <c r="DA95" s="35" t="n"/>
    </row>
    <row r="96" ht="20" customFormat="1" customHeight="1" s="1">
      <c r="A96" s="30" t="n">
        <v>94</v>
      </c>
      <c r="B96" s="37" t="inlineStr">
        <is>
          <t>甘肃</t>
        </is>
      </c>
      <c r="C96" s="37" t="inlineStr">
        <is>
          <t>兰州</t>
        </is>
      </c>
      <c r="D96" s="37" t="inlineStr">
        <is>
          <t>吴丽娜</t>
        </is>
      </c>
      <c r="E96" s="89" t="n"/>
      <c r="F96" s="27" t="inlineStr">
        <is>
          <t>2023/2024</t>
        </is>
      </c>
      <c r="G96" s="50" t="inlineStr">
        <is>
          <t>5/6/3</t>
        </is>
      </c>
      <c r="H96" s="91">
        <f>143321+2479+2933</f>
        <v/>
      </c>
      <c r="I96" s="97" t="n"/>
      <c r="J96" s="97" t="n"/>
      <c r="K96" s="91">
        <f>+H96+I96+J96</f>
        <v/>
      </c>
      <c r="L96" s="91" t="n">
        <v>7</v>
      </c>
      <c r="M96" s="91" t="inlineStr"/>
      <c r="N96" s="91" t="n"/>
      <c r="O96" s="91" t="n"/>
      <c r="P96" s="91" t="n"/>
      <c r="Q96" s="91" t="n"/>
      <c r="R96" s="91" t="n"/>
      <c r="S96" s="91" t="n"/>
      <c r="T96" s="91" t="n"/>
      <c r="U96" s="91" t="n"/>
      <c r="V96" s="91" t="n"/>
      <c r="W96" s="91" t="n"/>
      <c r="X96" s="91" t="n"/>
      <c r="Y96" s="91" t="n"/>
      <c r="Z96" s="91" t="n"/>
      <c r="AA96" s="91" t="n"/>
      <c r="AB96" s="91" t="n"/>
      <c r="AC96" s="91" t="n"/>
      <c r="AD96" s="91" t="n"/>
      <c r="AE96" s="91" t="n"/>
      <c r="AF96" s="91" t="n"/>
      <c r="AG96" s="30" t="n"/>
      <c r="AH96" s="30" t="n"/>
      <c r="AI96" s="30" t="n"/>
      <c r="AJ96" s="30" t="n"/>
      <c r="AK96" s="30" t="n"/>
      <c r="AL96" s="30" t="n"/>
      <c r="AM96" s="91" t="n"/>
      <c r="AN96" s="91" t="n"/>
      <c r="AO96" s="91" t="n"/>
      <c r="AP96" s="91" t="n"/>
      <c r="AQ96" s="91" t="n"/>
      <c r="AR96" s="91" t="n"/>
      <c r="AS96" s="91" t="n"/>
      <c r="AT96" s="91" t="n"/>
      <c r="AU96" s="91" t="n"/>
      <c r="AV96" s="31" t="n"/>
      <c r="AW96" s="36" t="n"/>
      <c r="AX96" s="16" t="n"/>
      <c r="AY96" s="31" t="n"/>
      <c r="AZ96" s="92" t="n"/>
      <c r="BA96" s="91" t="n"/>
      <c r="BB96" s="91" t="n"/>
      <c r="BC96" s="91" t="n"/>
      <c r="BD96" s="91" t="n"/>
      <c r="BE96" s="91" t="n"/>
      <c r="BF96" s="91" t="n"/>
      <c r="BG96" s="91" t="n">
        <v>22738</v>
      </c>
      <c r="BH96" s="91" t="n">
        <v>27704</v>
      </c>
      <c r="BI96" s="91" t="n">
        <v>40735</v>
      </c>
      <c r="BJ96" s="91" t="n">
        <v>32186</v>
      </c>
      <c r="BK96" s="91" t="n">
        <v>88633</v>
      </c>
      <c r="BL96" s="91" t="n">
        <v>40082</v>
      </c>
      <c r="BM96" s="91">
        <f>SUM(BA96:BL96)</f>
        <v/>
      </c>
      <c r="BN96" s="91" t="n">
        <v>31876</v>
      </c>
      <c r="BO96" s="91" t="n">
        <v>4760</v>
      </c>
      <c r="BP96" s="91" t="n">
        <v>34351</v>
      </c>
      <c r="BQ96" s="91" t="n">
        <v>4637</v>
      </c>
      <c r="BR96" s="91" t="n">
        <v>3245</v>
      </c>
      <c r="BS96" s="91" t="n">
        <v>83059</v>
      </c>
      <c r="BT96" s="91" t="n">
        <v>86771</v>
      </c>
      <c r="BU96" s="91" t="n">
        <v>91461.25999999999</v>
      </c>
      <c r="BV96" s="91" t="n">
        <v>117189.45</v>
      </c>
      <c r="BW96" s="91" t="n">
        <v>8645.9</v>
      </c>
      <c r="BX96" s="91" t="n">
        <v>990</v>
      </c>
      <c r="BY96" s="91" t="n">
        <v>29941.98</v>
      </c>
      <c r="BZ96" s="91">
        <f>SUM(BN96:BY96)</f>
        <v/>
      </c>
      <c r="CA96" s="91" t="inlineStr"/>
      <c r="CB96" s="91" t="inlineStr"/>
      <c r="CC96" s="91" t="inlineStr"/>
      <c r="CD96" s="91" t="n">
        <v>17445.72</v>
      </c>
      <c r="CE96" s="91" t="n">
        <v>28434.25</v>
      </c>
      <c r="CF96" s="91" t="n"/>
      <c r="CG96" s="91" t="n"/>
      <c r="CH96" s="91" t="inlineStr"/>
      <c r="CI96" s="91" t="n"/>
      <c r="CJ96" s="91" t="inlineStr"/>
      <c r="CK96" s="91" t="n"/>
      <c r="CL96" s="91" t="inlineStr"/>
      <c r="CM96" s="91">
        <f>SUM(CA96:CL96)</f>
        <v/>
      </c>
      <c r="CN96" s="91" t="n"/>
      <c r="CO96" s="91" t="n"/>
      <c r="CP96" s="91" t="n"/>
      <c r="CQ96" s="93" t="n"/>
      <c r="CR96" s="94" t="n"/>
      <c r="CS96" s="94" t="n"/>
      <c r="CT96" s="91" t="n"/>
      <c r="CU96" s="91" t="n"/>
      <c r="CV96" s="91" t="n"/>
      <c r="CW96" s="91" t="n"/>
      <c r="CX96" s="91" t="n"/>
      <c r="CY96" s="91" t="n"/>
      <c r="CZ96" s="91">
        <f>SUM(CN96:CY96)</f>
        <v/>
      </c>
      <c r="DA96" s="35" t="n"/>
    </row>
    <row r="97" ht="20" customFormat="1" customHeight="1" s="2">
      <c r="A97" s="30" t="n">
        <v>95</v>
      </c>
      <c r="B97" s="37" t="inlineStr">
        <is>
          <t>湖南</t>
        </is>
      </c>
      <c r="C97" s="37" t="inlineStr">
        <is>
          <t>邵东</t>
        </is>
      </c>
      <c r="D97" s="37" t="inlineStr">
        <is>
          <t>赵坤贵</t>
        </is>
      </c>
      <c r="E97" s="89" t="n"/>
      <c r="F97" s="27" t="inlineStr">
        <is>
          <t>2023</t>
        </is>
      </c>
      <c r="G97" s="50" t="inlineStr">
        <is>
          <t>5</t>
        </is>
      </c>
      <c r="H97" s="91" t="n">
        <v>78600</v>
      </c>
      <c r="I97" s="91" t="n">
        <v>5765</v>
      </c>
      <c r="J97" s="91" t="n"/>
      <c r="K97" s="91">
        <f>+H97+I97+J97</f>
        <v/>
      </c>
      <c r="L97" s="91" t="n">
        <v>7</v>
      </c>
      <c r="M97" s="91" t="inlineStr"/>
      <c r="N97" s="91" t="n"/>
      <c r="O97" s="91" t="n"/>
      <c r="P97" s="91" t="n"/>
      <c r="Q97" s="91" t="n"/>
      <c r="R97" s="91" t="n"/>
      <c r="S97" s="91" t="n"/>
      <c r="T97" s="91" t="n"/>
      <c r="U97" s="91" t="n"/>
      <c r="V97" s="91" t="n"/>
      <c r="W97" s="91" t="n"/>
      <c r="X97" s="91" t="n"/>
      <c r="Y97" s="91" t="n"/>
      <c r="Z97" s="91" t="n"/>
      <c r="AA97" s="91" t="n"/>
      <c r="AB97" s="91" t="n"/>
      <c r="AC97" s="91" t="n"/>
      <c r="AD97" s="91" t="n"/>
      <c r="AE97" s="91" t="n"/>
      <c r="AF97" s="91" t="n"/>
      <c r="AG97" s="30" t="n"/>
      <c r="AH97" s="30" t="n"/>
      <c r="AI97" s="30" t="n"/>
      <c r="AJ97" s="30" t="n"/>
      <c r="AK97" s="30" t="n"/>
      <c r="AL97" s="30" t="n"/>
      <c r="AM97" s="91" t="n"/>
      <c r="AN97" s="91" t="n"/>
      <c r="AO97" s="91" t="n"/>
      <c r="AP97" s="91" t="n"/>
      <c r="AQ97" s="91" t="n"/>
      <c r="AR97" s="91" t="n"/>
      <c r="AS97" s="91" t="n"/>
      <c r="AT97" s="91" t="n"/>
      <c r="AU97" s="91" t="n"/>
      <c r="AV97" s="31" t="n"/>
      <c r="AW97" s="36" t="n"/>
      <c r="AX97" s="16" t="n"/>
      <c r="AY97" s="31" t="n"/>
      <c r="AZ97" s="92" t="n"/>
      <c r="BA97" s="91" t="n"/>
      <c r="BB97" s="91" t="n"/>
      <c r="BC97" s="91" t="n"/>
      <c r="BD97" s="91" t="n"/>
      <c r="BE97" s="91" t="n"/>
      <c r="BF97" s="91" t="n"/>
      <c r="BG97" s="91" t="n"/>
      <c r="BH97" s="91" t="n"/>
      <c r="BI97" s="91" t="n"/>
      <c r="BJ97" s="91" t="n"/>
      <c r="BK97" s="91" t="n"/>
      <c r="BL97" s="91" t="n">
        <v>188291</v>
      </c>
      <c r="BM97" s="91">
        <f>SUM(BA97:BL97)</f>
        <v/>
      </c>
      <c r="BN97" s="91" t="n">
        <v>240</v>
      </c>
      <c r="BO97" s="91" t="n"/>
      <c r="BP97" s="91" t="n"/>
      <c r="BQ97" s="91" t="n">
        <v>8644</v>
      </c>
      <c r="BR97" s="91" t="inlineStr"/>
      <c r="BS97" s="91" t="inlineStr"/>
      <c r="BT97" s="91" t="n"/>
      <c r="BU97" s="91" t="n"/>
      <c r="BV97" s="91" t="inlineStr"/>
      <c r="BW97" s="91" t="inlineStr"/>
      <c r="BX97" s="91" t="n"/>
      <c r="BY97" s="91" t="n"/>
      <c r="BZ97" s="91">
        <f>SUM(BN97:BY97)</f>
        <v/>
      </c>
      <c r="CA97" s="91" t="inlineStr"/>
      <c r="CB97" s="91" t="inlineStr"/>
      <c r="CC97" s="91" t="inlineStr"/>
      <c r="CD97" s="91" t="n"/>
      <c r="CE97" s="91" t="n"/>
      <c r="CF97" s="91" t="n"/>
      <c r="CG97" s="91" t="n"/>
      <c r="CH97" s="91" t="inlineStr"/>
      <c r="CI97" s="91" t="n"/>
      <c r="CJ97" s="91" t="inlineStr"/>
      <c r="CK97" s="91" t="n"/>
      <c r="CL97" s="91" t="inlineStr"/>
      <c r="CM97" s="91">
        <f>SUM(CA97:CL97)</f>
        <v/>
      </c>
      <c r="CN97" s="91" t="n"/>
      <c r="CO97" s="91" t="n"/>
      <c r="CP97" s="91" t="n"/>
      <c r="CQ97" s="93" t="n"/>
      <c r="CR97" s="94" t="n"/>
      <c r="CS97" s="94" t="n"/>
      <c r="CT97" s="91" t="n"/>
      <c r="CU97" s="91" t="n"/>
      <c r="CV97" s="91" t="n"/>
      <c r="CW97" s="91" t="n"/>
      <c r="CX97" s="91" t="n"/>
      <c r="CY97" s="91" t="n"/>
      <c r="CZ97" s="91">
        <f>SUM(CN97:CY97)</f>
        <v/>
      </c>
      <c r="DA97" s="35" t="n"/>
    </row>
    <row r="98" ht="20" customFormat="1" customHeight="1" s="2">
      <c r="A98" s="30" t="n">
        <v>96</v>
      </c>
      <c r="B98" s="37" t="inlineStr">
        <is>
          <t>贵州</t>
        </is>
      </c>
      <c r="C98" s="37" t="inlineStr">
        <is>
          <t>白云</t>
        </is>
      </c>
      <c r="D98" s="37" t="inlineStr">
        <is>
          <t>郭金强</t>
        </is>
      </c>
      <c r="E98" s="89" t="n"/>
      <c r="F98" s="27" t="inlineStr">
        <is>
          <t>2023</t>
        </is>
      </c>
      <c r="G98" s="50" t="inlineStr">
        <is>
          <t>6/8/9</t>
        </is>
      </c>
      <c r="H98" s="91">
        <f>32514+188+600+128+33+1120</f>
        <v/>
      </c>
      <c r="I98" s="91" t="n"/>
      <c r="J98" s="91" t="n"/>
      <c r="K98" s="91">
        <f>+H98+I98+J98</f>
        <v/>
      </c>
      <c r="L98" s="91" t="n"/>
      <c r="M98" s="91" t="inlineStr"/>
      <c r="N98" s="91" t="n"/>
      <c r="O98" s="91" t="n"/>
      <c r="P98" s="91" t="n"/>
      <c r="Q98" s="91" t="n"/>
      <c r="R98" s="91" t="n"/>
      <c r="S98" s="91" t="n"/>
      <c r="T98" s="91" t="n"/>
      <c r="U98" s="91" t="n"/>
      <c r="V98" s="91" t="n"/>
      <c r="W98" s="91" t="n"/>
      <c r="X98" s="91" t="n"/>
      <c r="Y98" s="91" t="n"/>
      <c r="Z98" s="91" t="n"/>
      <c r="AA98" s="91" t="n"/>
      <c r="AB98" s="91" t="n"/>
      <c r="AC98" s="91" t="n"/>
      <c r="AD98" s="91" t="n"/>
      <c r="AE98" s="91" t="n"/>
      <c r="AF98" s="91" t="n"/>
      <c r="AG98" s="30" t="n"/>
      <c r="AH98" s="30" t="n"/>
      <c r="AI98" s="30" t="n"/>
      <c r="AJ98" s="30" t="n"/>
      <c r="AK98" s="30" t="n"/>
      <c r="AL98" s="30" t="n"/>
      <c r="AM98" s="91" t="n"/>
      <c r="AN98" s="91" t="n"/>
      <c r="AO98" s="91" t="n"/>
      <c r="AP98" s="91" t="n"/>
      <c r="AQ98" s="91" t="n"/>
      <c r="AR98" s="91" t="n"/>
      <c r="AS98" s="91" t="n"/>
      <c r="AT98" s="91" t="n"/>
      <c r="AU98" s="91" t="n"/>
      <c r="AV98" s="31" t="n"/>
      <c r="AW98" s="36" t="n"/>
      <c r="AX98" s="16" t="n"/>
      <c r="AY98" s="31" t="n"/>
      <c r="AZ98" s="92" t="n"/>
      <c r="BA98" s="91" t="n"/>
      <c r="BB98" s="91" t="n"/>
      <c r="BC98" s="91" t="n"/>
      <c r="BD98" s="91" t="n"/>
      <c r="BE98" s="91" t="n"/>
      <c r="BF98" s="91" t="n"/>
      <c r="BG98" s="91" t="n">
        <v>343</v>
      </c>
      <c r="BH98" s="91" t="n">
        <v>51</v>
      </c>
      <c r="BI98" s="91" t="n">
        <v>33424</v>
      </c>
      <c r="BJ98" s="91" t="n">
        <v>3303</v>
      </c>
      <c r="BK98" s="91" t="n">
        <v>34756</v>
      </c>
      <c r="BL98" s="91" t="n">
        <v>90551</v>
      </c>
      <c r="BM98" s="91">
        <f>SUM(BA98:BL98)</f>
        <v/>
      </c>
      <c r="BN98" s="91" t="n">
        <v>6697</v>
      </c>
      <c r="BO98" s="91" t="n"/>
      <c r="BP98" s="91" t="n">
        <v>6349</v>
      </c>
      <c r="BQ98" s="91" t="n">
        <v>4848</v>
      </c>
      <c r="BR98" s="91" t="n">
        <v>21527</v>
      </c>
      <c r="BS98" s="91" t="n">
        <v>11220</v>
      </c>
      <c r="BT98" s="91" t="n">
        <v>41308</v>
      </c>
      <c r="BU98" s="91" t="n">
        <v>12153</v>
      </c>
      <c r="BV98" s="91" t="n">
        <v>50312</v>
      </c>
      <c r="BW98" s="91" t="inlineStr"/>
      <c r="BX98" s="91" t="n">
        <v>288</v>
      </c>
      <c r="BY98" s="91" t="n">
        <v>1064</v>
      </c>
      <c r="BZ98" s="91">
        <f>SUM(BN98:BY98)</f>
        <v/>
      </c>
      <c r="CA98" s="91" t="n">
        <v>68</v>
      </c>
      <c r="CB98" s="91" t="n">
        <v>3354</v>
      </c>
      <c r="CC98" s="91" t="n">
        <v>6313</v>
      </c>
      <c r="CD98" s="91" t="n"/>
      <c r="CE98" s="91" t="n"/>
      <c r="CF98" s="91" t="n">
        <v>4792</v>
      </c>
      <c r="CG98" s="91" t="n">
        <v>247</v>
      </c>
      <c r="CH98" s="91" t="inlineStr"/>
      <c r="CI98" s="91" t="n">
        <v>64</v>
      </c>
      <c r="CJ98" s="91" t="n">
        <v>2170</v>
      </c>
      <c r="CK98" s="91" t="n"/>
      <c r="CL98" s="91" t="inlineStr"/>
      <c r="CM98" s="91">
        <f>SUM(CA98:CL98)</f>
        <v/>
      </c>
      <c r="CN98" s="91" t="n"/>
      <c r="CO98" s="91" t="n"/>
      <c r="CP98" s="91" t="n"/>
      <c r="CQ98" s="93" t="n"/>
      <c r="CR98" s="94" t="n"/>
      <c r="CS98" s="94" t="n"/>
      <c r="CT98" s="91" t="n"/>
      <c r="CU98" s="91" t="n"/>
      <c r="CV98" s="91" t="n"/>
      <c r="CW98" s="91" t="n"/>
      <c r="CX98" s="91" t="n"/>
      <c r="CY98" s="91" t="n"/>
      <c r="CZ98" s="91">
        <f>SUM(CN98:CY98)</f>
        <v/>
      </c>
      <c r="DA98" s="35" t="n"/>
    </row>
    <row r="99" ht="20" customFormat="1" customHeight="1" s="1">
      <c r="A99" s="30" t="n">
        <v>97</v>
      </c>
      <c r="B99" s="37" t="inlineStr">
        <is>
          <t>新疆</t>
        </is>
      </c>
      <c r="C99" s="37" t="inlineStr">
        <is>
          <t>乌鲁木齐水磨区</t>
        </is>
      </c>
      <c r="D99" s="37" t="inlineStr">
        <is>
          <t>吕海</t>
        </is>
      </c>
      <c r="E99" s="89" t="n"/>
      <c r="F99" s="27" t="inlineStr">
        <is>
          <t>2023/2024/2025</t>
        </is>
      </c>
      <c r="G99" s="27" t="inlineStr">
        <is>
          <t>6/7/8/9/3/2</t>
        </is>
      </c>
      <c r="H99" s="91">
        <f>142918+1161+1413+1399+5638+1031+578</f>
        <v/>
      </c>
      <c r="I99" s="91">
        <f>47804+19856+706</f>
        <v/>
      </c>
      <c r="J99" s="91" t="n"/>
      <c r="K99" s="91">
        <f>+H99+I99+J99</f>
        <v/>
      </c>
      <c r="L99" s="91" t="n">
        <v>7</v>
      </c>
      <c r="M99" s="91" t="inlineStr"/>
      <c r="N99" s="91" t="n"/>
      <c r="O99" s="91" t="n"/>
      <c r="P99" s="91" t="n"/>
      <c r="Q99" s="91" t="n"/>
      <c r="R99" s="91" t="n"/>
      <c r="S99" s="91" t="n"/>
      <c r="T99" s="91" t="n"/>
      <c r="U99" s="91" t="n"/>
      <c r="V99" s="91" t="n"/>
      <c r="W99" s="91" t="n"/>
      <c r="X99" s="91" t="n"/>
      <c r="Y99" s="91" t="n"/>
      <c r="Z99" s="91" t="n"/>
      <c r="AA99" s="91" t="n"/>
      <c r="AB99" s="91" t="n"/>
      <c r="AC99" s="91" t="n"/>
      <c r="AD99" s="91" t="n"/>
      <c r="AE99" s="91" t="n"/>
      <c r="AF99" s="91" t="n"/>
      <c r="AG99" s="30" t="n"/>
      <c r="AH99" s="30" t="n"/>
      <c r="AI99" s="30" t="n"/>
      <c r="AJ99" s="30" t="n"/>
      <c r="AK99" s="30" t="n"/>
      <c r="AL99" s="30" t="n"/>
      <c r="AM99" s="91" t="n"/>
      <c r="AN99" s="91" t="n"/>
      <c r="AO99" s="91" t="n"/>
      <c r="AP99" s="91" t="n"/>
      <c r="AQ99" s="91" t="n"/>
      <c r="AR99" s="91" t="n"/>
      <c r="AS99" s="91" t="n"/>
      <c r="AT99" s="91" t="n"/>
      <c r="AU99" s="91" t="n"/>
      <c r="AV99" s="31" t="n"/>
      <c r="AW99" s="36" t="n"/>
      <c r="AX99" s="16" t="n"/>
      <c r="AY99" s="31" t="n"/>
      <c r="AZ99" s="92" t="n"/>
      <c r="BA99" s="91" t="n"/>
      <c r="BB99" s="91" t="n"/>
      <c r="BC99" s="91" t="n"/>
      <c r="BD99" s="91" t="n"/>
      <c r="BE99" s="91" t="n"/>
      <c r="BF99" s="91" t="n"/>
      <c r="BG99" s="91" t="n">
        <v>1349</v>
      </c>
      <c r="BH99" s="91" t="n"/>
      <c r="BI99" s="91" t="n">
        <v>7642</v>
      </c>
      <c r="BJ99" s="91" t="n">
        <v>6108</v>
      </c>
      <c r="BK99" s="91" t="n">
        <v>28038</v>
      </c>
      <c r="BL99" s="91" t="n">
        <v>87712</v>
      </c>
      <c r="BM99" s="91">
        <f>SUM(BA99:BL99)</f>
        <v/>
      </c>
      <c r="BN99" s="91" t="n">
        <v>371</v>
      </c>
      <c r="BO99" s="91" t="n">
        <v>3199</v>
      </c>
      <c r="BP99" s="91" t="n">
        <v>46568</v>
      </c>
      <c r="BQ99" s="91" t="n">
        <v>272</v>
      </c>
      <c r="BR99" s="91" t="n">
        <v>26702</v>
      </c>
      <c r="BS99" s="91" t="n">
        <v>76307</v>
      </c>
      <c r="BT99" s="91" t="n">
        <v>19818</v>
      </c>
      <c r="BU99" s="91" t="n">
        <v>67293</v>
      </c>
      <c r="BV99" s="91" t="n">
        <v>44257</v>
      </c>
      <c r="BW99" s="91" t="n">
        <v>34601.77</v>
      </c>
      <c r="BX99" s="91" t="n">
        <v>38366.39</v>
      </c>
      <c r="BY99" s="91" t="n">
        <v>9402.700000000001</v>
      </c>
      <c r="BZ99" s="91">
        <f>SUM(BN99:BY99)</f>
        <v/>
      </c>
      <c r="CA99" s="91" t="n">
        <v>25365</v>
      </c>
      <c r="CB99" s="91" t="inlineStr"/>
      <c r="CC99" s="91" t="inlineStr"/>
      <c r="CD99" s="91" t="n">
        <v>16549.02</v>
      </c>
      <c r="CE99" s="91" t="n">
        <v>3657.33</v>
      </c>
      <c r="CF99" s="91" t="n">
        <v>24122.53</v>
      </c>
      <c r="CG99" s="91" t="n">
        <v>9811.98</v>
      </c>
      <c r="CH99" s="91" t="n">
        <v>25635.2</v>
      </c>
      <c r="CI99" s="91" t="n">
        <v>57887.48</v>
      </c>
      <c r="CJ99" s="91" t="inlineStr"/>
      <c r="CK99" s="91" t="n">
        <v>29085.41</v>
      </c>
      <c r="CL99" s="91" t="n">
        <v>282357.28</v>
      </c>
      <c r="CM99" s="91">
        <f>SUM(CA99:CL99)</f>
        <v/>
      </c>
      <c r="CN99" s="91" t="n"/>
      <c r="CO99" s="91" t="n"/>
      <c r="CP99" s="91" t="n"/>
      <c r="CQ99" s="93" t="n"/>
      <c r="CR99" s="94" t="n"/>
      <c r="CS99" s="94" t="n"/>
      <c r="CT99" s="91" t="n"/>
      <c r="CU99" s="91" t="n"/>
      <c r="CV99" s="91" t="n"/>
      <c r="CW99" s="91" t="n"/>
      <c r="CX99" s="91" t="n"/>
      <c r="CY99" s="91" t="n"/>
      <c r="CZ99" s="91">
        <f>SUM(CN99:CY99)</f>
        <v/>
      </c>
      <c r="DA99" s="35" t="n"/>
    </row>
    <row r="100" ht="20" customFormat="1" customHeight="1" s="2">
      <c r="A100" s="51" t="n">
        <v>98</v>
      </c>
      <c r="B100" s="52" t="inlineStr">
        <is>
          <t>天津</t>
        </is>
      </c>
      <c r="C100" s="52" t="inlineStr">
        <is>
          <t>蓟州</t>
        </is>
      </c>
      <c r="D100" s="52" t="inlineStr">
        <is>
          <t>吕会华</t>
        </is>
      </c>
      <c r="E100" s="100" t="n"/>
      <c r="F100" s="54" t="inlineStr">
        <is>
          <t>2023/2024/2025</t>
        </is>
      </c>
      <c r="G100" s="54" t="inlineStr">
        <is>
          <t>7/8/9/4/4/9/3</t>
        </is>
      </c>
      <c r="H100" s="101">
        <f>96151+6433+885+1675+72+189+124287</f>
        <v/>
      </c>
      <c r="I100" s="101">
        <f>6274+48055+284</f>
        <v/>
      </c>
      <c r="J100" s="101">
        <f>682+11269</f>
        <v/>
      </c>
      <c r="K100" s="101">
        <f>+H100+I100+J100</f>
        <v/>
      </c>
      <c r="L100" s="91" t="n">
        <v>7</v>
      </c>
      <c r="M100" s="101" t="inlineStr"/>
      <c r="N100" s="91" t="n"/>
      <c r="O100" s="91" t="n"/>
      <c r="P100" s="91" t="n"/>
      <c r="Q100" s="91" t="n"/>
      <c r="R100" s="91" t="n"/>
      <c r="S100" s="91" t="n"/>
      <c r="T100" s="91" t="n"/>
      <c r="U100" s="91" t="n"/>
      <c r="V100" s="91" t="n"/>
      <c r="W100" s="91" t="n"/>
      <c r="X100" s="91" t="n"/>
      <c r="Y100" s="91" t="n"/>
      <c r="Z100" s="101" t="n"/>
      <c r="AA100" s="91" t="n"/>
      <c r="AB100" s="91" t="n"/>
      <c r="AC100" s="91" t="n"/>
      <c r="AD100" s="91" t="n"/>
      <c r="AE100" s="91" t="n"/>
      <c r="AF100" s="91" t="n"/>
      <c r="AG100" s="30" t="n"/>
      <c r="AH100" s="30" t="n"/>
      <c r="AI100" s="30" t="n"/>
      <c r="AJ100" s="30" t="n"/>
      <c r="AK100" s="30" t="n"/>
      <c r="AL100" s="30" t="n"/>
      <c r="AM100" s="101" t="n"/>
      <c r="AN100" s="91" t="n"/>
      <c r="AO100" s="91" t="n"/>
      <c r="AP100" s="91" t="n"/>
      <c r="AQ100" s="91" t="n"/>
      <c r="AR100" s="91" t="n"/>
      <c r="AS100" s="91" t="n"/>
      <c r="AT100" s="91" t="n"/>
      <c r="AU100" s="91" t="n"/>
      <c r="AV100" s="31" t="n"/>
      <c r="AW100" s="36" t="n"/>
      <c r="AX100" s="16" t="n"/>
      <c r="AY100" s="31" t="n"/>
      <c r="AZ100" s="102" t="n"/>
      <c r="BA100" s="91" t="n"/>
      <c r="BB100" s="91" t="n"/>
      <c r="BC100" s="91" t="n"/>
      <c r="BD100" s="91" t="n"/>
      <c r="BE100" s="91" t="n"/>
      <c r="BF100" s="91" t="n"/>
      <c r="BG100" s="91" t="n"/>
      <c r="BH100" s="91" t="n"/>
      <c r="BI100" s="91" t="n">
        <v>22985</v>
      </c>
      <c r="BJ100" s="91" t="n">
        <v>1313</v>
      </c>
      <c r="BK100" s="91" t="n">
        <v>24568</v>
      </c>
      <c r="BL100" s="91" t="n">
        <v>24535</v>
      </c>
      <c r="BM100" s="101">
        <f>SUM(BA100:BL100)</f>
        <v/>
      </c>
      <c r="BN100" s="91" t="n">
        <v>47991</v>
      </c>
      <c r="BO100" s="91" t="n"/>
      <c r="BP100" s="91" t="n">
        <v>72248</v>
      </c>
      <c r="BQ100" s="91" t="n">
        <v>13088</v>
      </c>
      <c r="BR100" s="91" t="n">
        <v>3329</v>
      </c>
      <c r="BS100" s="91" t="n">
        <v>59608</v>
      </c>
      <c r="BT100" s="91" t="n">
        <v>40648</v>
      </c>
      <c r="BU100" s="91" t="n">
        <v>2374.42</v>
      </c>
      <c r="BV100" s="91" t="n">
        <v>1134.99</v>
      </c>
      <c r="BW100" s="91" t="n">
        <v>2100.07</v>
      </c>
      <c r="BX100" s="91" t="n">
        <v>384</v>
      </c>
      <c r="BY100" s="91" t="n">
        <v>12074.06</v>
      </c>
      <c r="BZ100" s="101">
        <f>SUM(BN100:BY100)</f>
        <v/>
      </c>
      <c r="CA100" s="91" t="inlineStr"/>
      <c r="CB100" s="91" t="n">
        <v>22154.42</v>
      </c>
      <c r="CC100" s="91" t="n">
        <v>4731.8</v>
      </c>
      <c r="CD100" s="91" t="n"/>
      <c r="CE100" s="91" t="n">
        <v>21687.07</v>
      </c>
      <c r="CF100" s="91" t="n"/>
      <c r="CG100" s="91" t="n">
        <v>18048.6</v>
      </c>
      <c r="CH100" s="91" t="n">
        <v>5165.89</v>
      </c>
      <c r="CI100" s="91" t="n"/>
      <c r="CJ100" s="91" t="inlineStr"/>
      <c r="CK100" s="91" t="n">
        <v>8774.559999999999</v>
      </c>
      <c r="CL100" s="91" t="n">
        <v>35925.26</v>
      </c>
      <c r="CM100" s="101">
        <f>SUM(CA100:CL100)</f>
        <v/>
      </c>
      <c r="CN100" s="101" t="n"/>
      <c r="CO100" s="101" t="n"/>
      <c r="CP100" s="101" t="n"/>
      <c r="CQ100" s="103" t="n"/>
      <c r="CR100" s="104" t="n"/>
      <c r="CS100" s="104" t="n"/>
      <c r="CT100" s="101" t="n"/>
      <c r="CU100" s="101" t="n"/>
      <c r="CV100" s="101" t="n"/>
      <c r="CW100" s="101" t="n"/>
      <c r="CX100" s="101" t="n"/>
      <c r="CY100" s="101" t="n"/>
      <c r="CZ100" s="101">
        <f>SUM(CN100:CY100)</f>
        <v/>
      </c>
      <c r="DA100" s="59" t="n"/>
      <c r="DB100" s="60" t="n"/>
      <c r="DC100" s="60" t="n"/>
      <c r="DD100" s="60" t="n"/>
      <c r="DE100" s="60" t="n"/>
      <c r="DF100" s="60" t="n"/>
      <c r="DG100" s="60" t="n"/>
      <c r="DH100" s="60" t="n"/>
      <c r="DI100" s="60" t="n"/>
      <c r="DJ100" s="60" t="n"/>
      <c r="DK100" s="60" t="n"/>
      <c r="DL100" s="60" t="n"/>
      <c r="DM100" s="60" t="n"/>
      <c r="DN100" s="60" t="n"/>
      <c r="DO100" s="60" t="n"/>
      <c r="DP100" s="60" t="n"/>
      <c r="DQ100" s="60" t="n"/>
      <c r="DR100" s="60" t="n"/>
      <c r="DS100" s="60" t="n"/>
      <c r="DT100" s="60" t="n"/>
      <c r="DU100" s="60" t="n"/>
      <c r="DV100" s="60" t="n"/>
      <c r="DW100" s="60" t="n"/>
      <c r="DX100" s="60" t="n"/>
      <c r="DY100" s="60" t="n"/>
      <c r="DZ100" s="60" t="n"/>
      <c r="EA100" s="60" t="n"/>
      <c r="EB100" s="60" t="n"/>
      <c r="EC100" s="60" t="n"/>
      <c r="ED100" s="60" t="n"/>
      <c r="EE100" s="60" t="n"/>
      <c r="EF100" s="60" t="n"/>
      <c r="EG100" s="60" t="n"/>
      <c r="EH100" s="60" t="n"/>
      <c r="EI100" s="60" t="n"/>
      <c r="EJ100" s="60" t="n"/>
      <c r="EK100" s="60" t="n"/>
      <c r="EL100" s="60" t="n"/>
      <c r="EM100" s="60" t="n"/>
      <c r="EN100" s="60" t="n"/>
      <c r="EO100" s="60" t="n"/>
      <c r="EP100" s="60" t="n"/>
      <c r="EQ100" s="60" t="n"/>
      <c r="ER100" s="60" t="n"/>
      <c r="ES100" s="60" t="n"/>
      <c r="ET100" s="60" t="n"/>
      <c r="EU100" s="60" t="n"/>
      <c r="EV100" s="60" t="n"/>
      <c r="EW100" s="60" t="n"/>
      <c r="EX100" s="60" t="n"/>
      <c r="EY100" s="60" t="n"/>
      <c r="EZ100" s="60" t="n"/>
      <c r="FA100" s="60" t="n"/>
      <c r="FB100" s="60" t="n"/>
      <c r="FC100" s="60" t="n"/>
      <c r="FD100" s="60" t="n"/>
      <c r="FE100" s="60" t="n"/>
      <c r="FF100" s="60" t="n"/>
      <c r="FG100" s="60" t="n"/>
      <c r="FH100" s="60" t="n"/>
      <c r="FI100" s="60" t="n"/>
      <c r="FJ100" s="60" t="n"/>
      <c r="FK100" s="60" t="n"/>
      <c r="FL100" s="60" t="n"/>
      <c r="FM100" s="60" t="n"/>
      <c r="FN100" s="60" t="n"/>
      <c r="FO100" s="60" t="n"/>
      <c r="FP100" s="60" t="n"/>
      <c r="FQ100" s="60" t="n"/>
      <c r="FR100" s="60" t="n"/>
      <c r="FS100" s="60" t="n"/>
      <c r="FT100" s="60" t="n"/>
      <c r="FU100" s="60" t="n"/>
      <c r="FV100" s="60" t="n"/>
      <c r="FW100" s="60" t="n"/>
      <c r="FX100" s="60" t="n"/>
      <c r="FY100" s="60" t="n"/>
      <c r="FZ100" s="60" t="n"/>
      <c r="GA100" s="60" t="n"/>
      <c r="GB100" s="60" t="n"/>
      <c r="GC100" s="60" t="n"/>
      <c r="GD100" s="60" t="n"/>
      <c r="GE100" s="60" t="n"/>
      <c r="GF100" s="60" t="n"/>
      <c r="GG100" s="60" t="n"/>
      <c r="GH100" s="60" t="n"/>
      <c r="GI100" s="60" t="n"/>
      <c r="GJ100" s="60" t="n"/>
      <c r="GK100" s="60" t="n"/>
      <c r="GL100" s="60" t="n"/>
      <c r="GM100" s="60" t="n"/>
      <c r="GN100" s="60" t="n"/>
      <c r="GO100" s="60" t="n"/>
      <c r="GP100" s="60" t="n"/>
      <c r="GQ100" s="60" t="n"/>
      <c r="GR100" s="60" t="n"/>
      <c r="GS100" s="60" t="n"/>
      <c r="GT100" s="60" t="n"/>
      <c r="GU100" s="60" t="n"/>
      <c r="GV100" s="60" t="n"/>
      <c r="GW100" s="60" t="n"/>
      <c r="GX100" s="60" t="n"/>
      <c r="GY100" s="60" t="n"/>
      <c r="GZ100" s="60" t="n"/>
      <c r="HA100" s="60" t="n"/>
      <c r="HB100" s="60" t="n"/>
      <c r="HC100" s="60" t="n"/>
      <c r="HD100" s="60" t="n"/>
      <c r="HE100" s="60" t="n"/>
      <c r="HF100" s="60" t="n"/>
      <c r="HG100" s="60" t="n"/>
      <c r="HH100" s="60" t="n"/>
      <c r="HI100" s="60" t="n"/>
      <c r="HJ100" s="60" t="n"/>
      <c r="HK100" s="60" t="n"/>
      <c r="HL100" s="60" t="n"/>
      <c r="HM100" s="60" t="n"/>
      <c r="HN100" s="60" t="n"/>
      <c r="HO100" s="60" t="n"/>
      <c r="HP100" s="60" t="n"/>
      <c r="HQ100" s="60" t="n"/>
      <c r="HR100" s="60" t="n"/>
      <c r="HS100" s="60" t="n"/>
      <c r="HT100" s="60" t="n"/>
      <c r="HU100" s="60" t="n"/>
      <c r="HV100" s="60" t="n"/>
      <c r="HW100" s="60" t="n"/>
      <c r="HX100" s="60" t="n"/>
      <c r="HY100" s="60" t="n"/>
      <c r="HZ100" s="60" t="n"/>
      <c r="IA100" s="60" t="n"/>
      <c r="IB100" s="60" t="n"/>
      <c r="IC100" s="60" t="n"/>
      <c r="ID100" s="60" t="n"/>
      <c r="IE100" s="60" t="n"/>
      <c r="IF100" s="60" t="n"/>
      <c r="IG100" s="60" t="n"/>
      <c r="IH100" s="60" t="n"/>
      <c r="II100" s="60" t="n"/>
      <c r="IJ100" s="60" t="n"/>
      <c r="IK100" s="60" t="n"/>
      <c r="IL100" s="60" t="n"/>
      <c r="IM100" s="60" t="n"/>
      <c r="IN100" s="60" t="n"/>
      <c r="IO100" s="60" t="n"/>
      <c r="IP100" s="60" t="n"/>
      <c r="IQ100" s="60" t="n"/>
      <c r="IR100" s="60" t="n"/>
      <c r="IS100" s="60" t="n"/>
      <c r="IT100" s="60" t="n"/>
      <c r="IU100" s="60" t="n"/>
      <c r="IV100" s="60" t="n"/>
      <c r="IW100" s="60" t="n"/>
      <c r="IX100" s="60" t="n"/>
      <c r="IY100" s="60" t="n"/>
      <c r="IZ100" s="60" t="n"/>
      <c r="JA100" s="60" t="n"/>
      <c r="JB100" s="60" t="n"/>
      <c r="JC100" s="60" t="n"/>
      <c r="JD100" s="60" t="n"/>
      <c r="JE100" s="60" t="n"/>
      <c r="JF100" s="60" t="n"/>
      <c r="JG100" s="60" t="n"/>
      <c r="JH100" s="60" t="n"/>
      <c r="JI100" s="60" t="n"/>
      <c r="JJ100" s="60" t="n"/>
      <c r="JK100" s="60" t="n"/>
      <c r="JL100" s="60" t="n"/>
      <c r="JM100" s="60" t="n"/>
      <c r="JN100" s="60" t="n"/>
      <c r="JO100" s="60" t="n"/>
      <c r="JP100" s="60" t="n"/>
      <c r="JQ100" s="60" t="n"/>
      <c r="JR100" s="60" t="n"/>
      <c r="JS100" s="60" t="n"/>
      <c r="JT100" s="60" t="n"/>
      <c r="JU100" s="60" t="n"/>
      <c r="JV100" s="60" t="n"/>
      <c r="JW100" s="60" t="n"/>
      <c r="JX100" s="60" t="n"/>
      <c r="JY100" s="60" t="n"/>
      <c r="JZ100" s="60" t="n"/>
      <c r="KA100" s="60" t="n"/>
      <c r="KB100" s="60" t="n"/>
      <c r="KC100" s="60" t="n"/>
      <c r="KD100" s="60" t="n"/>
      <c r="KE100" s="60" t="n"/>
      <c r="KF100" s="60" t="n"/>
      <c r="KG100" s="60" t="n"/>
      <c r="KH100" s="60" t="n"/>
      <c r="KI100" s="60" t="n"/>
      <c r="KJ100" s="60" t="n"/>
      <c r="KK100" s="60" t="n"/>
      <c r="KL100" s="60" t="n"/>
      <c r="KM100" s="60" t="n"/>
      <c r="KN100" s="60" t="n"/>
      <c r="KO100" s="60" t="n"/>
      <c r="KP100" s="60" t="n"/>
      <c r="KQ100" s="60" t="n"/>
      <c r="KR100" s="60" t="n"/>
      <c r="KS100" s="60" t="n"/>
      <c r="KT100" s="60" t="n"/>
      <c r="KU100" s="60" t="n"/>
      <c r="KV100" s="60" t="n"/>
      <c r="KW100" s="60" t="n"/>
      <c r="KX100" s="60" t="n"/>
      <c r="KY100" s="60" t="n"/>
      <c r="KZ100" s="60" t="n"/>
      <c r="LA100" s="60" t="n"/>
      <c r="LB100" s="60" t="n"/>
      <c r="LC100" s="60" t="n"/>
      <c r="LD100" s="60" t="n"/>
      <c r="LE100" s="60" t="n"/>
      <c r="LF100" s="60" t="n"/>
      <c r="LG100" s="60" t="n"/>
      <c r="LH100" s="60" t="n"/>
      <c r="LI100" s="60" t="n"/>
      <c r="LJ100" s="60" t="n"/>
      <c r="LK100" s="60" t="n"/>
      <c r="LL100" s="60" t="n"/>
      <c r="LM100" s="60" t="n"/>
      <c r="LN100" s="60" t="n"/>
      <c r="LO100" s="60" t="n"/>
      <c r="LP100" s="60" t="n"/>
      <c r="LQ100" s="60" t="n"/>
      <c r="LR100" s="60" t="n"/>
      <c r="LS100" s="60" t="n"/>
      <c r="LT100" s="60" t="n"/>
      <c r="LU100" s="60" t="n"/>
      <c r="LV100" s="60" t="n"/>
      <c r="LW100" s="60" t="n"/>
      <c r="LX100" s="60" t="n"/>
      <c r="LY100" s="60" t="n"/>
      <c r="LZ100" s="60" t="n"/>
      <c r="MA100" s="60" t="n"/>
      <c r="MB100" s="60" t="n"/>
      <c r="MC100" s="60" t="n"/>
      <c r="MD100" s="60" t="n"/>
      <c r="ME100" s="60" t="n"/>
      <c r="MF100" s="60" t="n"/>
      <c r="MG100" s="60" t="n"/>
      <c r="MH100" s="60" t="n"/>
      <c r="MI100" s="60" t="n"/>
      <c r="MJ100" s="60" t="n"/>
      <c r="MK100" s="60" t="n"/>
      <c r="ML100" s="60" t="n"/>
      <c r="MM100" s="60" t="n"/>
      <c r="MN100" s="60" t="n"/>
      <c r="MO100" s="60" t="n"/>
      <c r="MP100" s="60" t="n"/>
      <c r="MQ100" s="60" t="n"/>
      <c r="MR100" s="60" t="n"/>
      <c r="MS100" s="60" t="n"/>
      <c r="MT100" s="60" t="n"/>
      <c r="MU100" s="60" t="n"/>
      <c r="MV100" s="60" t="n"/>
      <c r="MW100" s="60" t="n"/>
      <c r="MX100" s="60" t="n"/>
      <c r="MY100" s="60" t="n"/>
      <c r="MZ100" s="60" t="n"/>
      <c r="NA100" s="60" t="n"/>
      <c r="NB100" s="60" t="n"/>
      <c r="NC100" s="60" t="n"/>
      <c r="ND100" s="60" t="n"/>
      <c r="NE100" s="60" t="n"/>
      <c r="NF100" s="60" t="n"/>
      <c r="NG100" s="60" t="n"/>
      <c r="NH100" s="60" t="n"/>
      <c r="NI100" s="60" t="n"/>
      <c r="NJ100" s="60" t="n"/>
      <c r="NK100" s="60" t="n"/>
      <c r="NL100" s="60" t="n"/>
      <c r="NM100" s="60" t="n"/>
      <c r="NN100" s="60" t="n"/>
      <c r="NO100" s="60" t="n"/>
      <c r="NP100" s="60" t="n"/>
      <c r="NQ100" s="60" t="n"/>
      <c r="NR100" s="60" t="n"/>
      <c r="NS100" s="60" t="n"/>
      <c r="NT100" s="60" t="n"/>
      <c r="NU100" s="60" t="n"/>
      <c r="NV100" s="60" t="n"/>
      <c r="NW100" s="60" t="n"/>
      <c r="NX100" s="60" t="n"/>
      <c r="NY100" s="60" t="n"/>
      <c r="NZ100" s="60" t="n"/>
      <c r="OA100" s="60" t="n"/>
      <c r="OB100" s="60" t="n"/>
      <c r="OC100" s="60" t="n"/>
      <c r="OD100" s="60" t="n"/>
      <c r="OE100" s="60" t="n"/>
      <c r="OF100" s="60" t="n"/>
      <c r="OG100" s="60" t="n"/>
      <c r="OH100" s="60" t="n"/>
      <c r="OI100" s="60" t="n"/>
      <c r="OJ100" s="60" t="n"/>
      <c r="OK100" s="60" t="n"/>
      <c r="OL100" s="60" t="n"/>
      <c r="OM100" s="60" t="n"/>
      <c r="ON100" s="60" t="n"/>
      <c r="OO100" s="60" t="n"/>
      <c r="OP100" s="60" t="n"/>
      <c r="OQ100" s="60" t="n"/>
      <c r="OR100" s="60" t="n"/>
      <c r="OS100" s="60" t="n"/>
      <c r="OT100" s="60" t="n"/>
      <c r="OU100" s="60" t="n"/>
      <c r="OV100" s="60" t="n"/>
      <c r="OW100" s="60" t="n"/>
      <c r="OX100" s="60" t="n"/>
      <c r="OY100" s="60" t="n"/>
      <c r="OZ100" s="60" t="n"/>
      <c r="PA100" s="60" t="n"/>
      <c r="PB100" s="60" t="n"/>
      <c r="PC100" s="60" t="n"/>
      <c r="PD100" s="60" t="n"/>
      <c r="PE100" s="60" t="n"/>
      <c r="PF100" s="60" t="n"/>
      <c r="PG100" s="60" t="n"/>
      <c r="PH100" s="60" t="n"/>
      <c r="PI100" s="60" t="n"/>
      <c r="PJ100" s="60" t="n"/>
      <c r="PK100" s="60" t="n"/>
      <c r="PL100" s="60" t="n"/>
      <c r="PM100" s="60" t="n"/>
      <c r="PN100" s="60" t="n"/>
      <c r="PO100" s="60" t="n"/>
      <c r="PP100" s="60" t="n"/>
      <c r="PQ100" s="60" t="n"/>
      <c r="PR100" s="60" t="n"/>
      <c r="PS100" s="60" t="n"/>
      <c r="PT100" s="60" t="n"/>
      <c r="PU100" s="60" t="n"/>
      <c r="PV100" s="60" t="n"/>
      <c r="PW100" s="60" t="n"/>
      <c r="PX100" s="60" t="n"/>
      <c r="PY100" s="60" t="n"/>
      <c r="PZ100" s="60" t="n"/>
      <c r="QA100" s="60" t="n"/>
      <c r="QB100" s="60" t="n"/>
      <c r="QC100" s="60" t="n"/>
      <c r="QD100" s="60" t="n"/>
      <c r="QE100" s="60" t="n"/>
      <c r="QF100" s="60" t="n"/>
      <c r="QG100" s="60" t="n"/>
      <c r="QH100" s="60" t="n"/>
      <c r="QI100" s="60" t="n"/>
      <c r="QJ100" s="60" t="n"/>
      <c r="QK100" s="60" t="n"/>
      <c r="QL100" s="60" t="n"/>
      <c r="QM100" s="60" t="n"/>
      <c r="QN100" s="60" t="n"/>
      <c r="QO100" s="60" t="n"/>
      <c r="QP100" s="60" t="n"/>
      <c r="QQ100" s="60" t="n"/>
      <c r="QR100" s="60" t="n"/>
      <c r="QS100" s="60" t="n"/>
      <c r="QT100" s="60" t="n"/>
      <c r="QU100" s="60" t="n"/>
      <c r="QV100" s="60" t="n"/>
      <c r="QW100" s="60" t="n"/>
      <c r="QX100" s="60" t="n"/>
      <c r="QY100" s="60" t="n"/>
      <c r="QZ100" s="60" t="n"/>
      <c r="RA100" s="60" t="n"/>
      <c r="RB100" s="60" t="n"/>
      <c r="RC100" s="60" t="n"/>
      <c r="RD100" s="60" t="n"/>
      <c r="RE100" s="60" t="n"/>
      <c r="RF100" s="60" t="n"/>
      <c r="RG100" s="60" t="n"/>
      <c r="RH100" s="60" t="n"/>
      <c r="RI100" s="60" t="n"/>
      <c r="RJ100" s="60" t="n"/>
      <c r="RK100" s="60" t="n"/>
      <c r="RL100" s="60" t="n"/>
      <c r="RM100" s="60" t="n"/>
      <c r="RN100" s="60" t="n"/>
      <c r="RO100" s="60" t="n"/>
      <c r="RP100" s="60" t="n"/>
      <c r="RQ100" s="60" t="n"/>
      <c r="RR100" s="60" t="n"/>
      <c r="RS100" s="60" t="n"/>
      <c r="RT100" s="60" t="n"/>
      <c r="RU100" s="60" t="n"/>
      <c r="RV100" s="60" t="n"/>
      <c r="RW100" s="60" t="n"/>
      <c r="RX100" s="60" t="n"/>
      <c r="RY100" s="60" t="n"/>
      <c r="RZ100" s="60" t="n"/>
      <c r="SA100" s="60" t="n"/>
      <c r="SB100" s="60" t="n"/>
      <c r="SC100" s="60" t="n"/>
      <c r="SD100" s="60" t="n"/>
      <c r="SE100" s="60" t="n"/>
      <c r="SF100" s="60" t="n"/>
      <c r="SG100" s="60" t="n"/>
      <c r="SH100" s="60" t="n"/>
      <c r="SI100" s="60" t="n"/>
      <c r="SJ100" s="60" t="n"/>
      <c r="SK100" s="60" t="n"/>
      <c r="SL100" s="60" t="n"/>
      <c r="SM100" s="60" t="n"/>
      <c r="SN100" s="60" t="n"/>
      <c r="SO100" s="60" t="n"/>
      <c r="SP100" s="60" t="n"/>
      <c r="SQ100" s="60" t="n"/>
      <c r="SR100" s="60" t="n"/>
      <c r="SS100" s="60" t="n"/>
      <c r="ST100" s="60" t="n"/>
      <c r="SU100" s="60" t="n"/>
      <c r="SV100" s="60" t="n"/>
      <c r="SW100" s="60" t="n"/>
      <c r="SX100" s="60" t="n"/>
      <c r="SY100" s="60" t="n"/>
      <c r="SZ100" s="60" t="n"/>
      <c r="TA100" s="60" t="n"/>
      <c r="TB100" s="60" t="n"/>
      <c r="TC100" s="60" t="n"/>
      <c r="TD100" s="60" t="n"/>
      <c r="TE100" s="60" t="n"/>
      <c r="TF100" s="60" t="n"/>
      <c r="TG100" s="60" t="n"/>
      <c r="TH100" s="60" t="n"/>
      <c r="TI100" s="60" t="n"/>
      <c r="TJ100" s="60" t="n"/>
      <c r="TK100" s="60" t="n"/>
      <c r="TL100" s="60" t="n"/>
      <c r="TM100" s="60" t="n"/>
      <c r="TN100" s="60" t="n"/>
      <c r="TO100" s="60" t="n"/>
      <c r="TP100" s="60" t="n"/>
      <c r="TQ100" s="60" t="n"/>
      <c r="TR100" s="60" t="n"/>
      <c r="TS100" s="60" t="n"/>
      <c r="TT100" s="60" t="n"/>
      <c r="TU100" s="60" t="n"/>
      <c r="TV100" s="60" t="n"/>
      <c r="TW100" s="60" t="n"/>
      <c r="TX100" s="60" t="n"/>
      <c r="TY100" s="60" t="n"/>
      <c r="TZ100" s="60" t="n"/>
      <c r="UA100" s="60" t="n"/>
      <c r="UB100" s="60" t="n"/>
      <c r="UC100" s="60" t="n"/>
      <c r="UD100" s="60" t="n"/>
      <c r="UE100" s="60" t="n"/>
      <c r="UF100" s="60" t="n"/>
      <c r="UG100" s="60" t="n"/>
      <c r="UH100" s="60" t="n"/>
      <c r="UI100" s="60" t="n"/>
      <c r="UJ100" s="60" t="n"/>
      <c r="UK100" s="60" t="n"/>
      <c r="UL100" s="60" t="n"/>
      <c r="UM100" s="60" t="n"/>
      <c r="UN100" s="60" t="n"/>
      <c r="UO100" s="60" t="n"/>
      <c r="UP100" s="60" t="n"/>
      <c r="UQ100" s="60" t="n"/>
      <c r="UR100" s="60" t="n"/>
      <c r="US100" s="60" t="n"/>
      <c r="UT100" s="60" t="n"/>
      <c r="UU100" s="60" t="n"/>
      <c r="UV100" s="60" t="n"/>
      <c r="UW100" s="60" t="n"/>
      <c r="UX100" s="60" t="n"/>
      <c r="UY100" s="60" t="n"/>
      <c r="UZ100" s="60" t="n"/>
      <c r="VA100" s="60" t="n"/>
      <c r="VB100" s="60" t="n"/>
      <c r="VC100" s="60" t="n"/>
      <c r="VD100" s="60" t="n"/>
      <c r="VE100" s="60" t="n"/>
      <c r="VF100" s="60" t="n"/>
      <c r="VG100" s="60" t="n"/>
      <c r="VH100" s="60" t="n"/>
      <c r="VI100" s="60" t="n"/>
      <c r="VJ100" s="60" t="n"/>
      <c r="VK100" s="60" t="n"/>
      <c r="VL100" s="60" t="n"/>
      <c r="VM100" s="60" t="n"/>
      <c r="VN100" s="60" t="n"/>
      <c r="VO100" s="60" t="n"/>
      <c r="VP100" s="60" t="n"/>
      <c r="VQ100" s="60" t="n"/>
      <c r="VR100" s="60" t="n"/>
      <c r="VS100" s="60" t="n"/>
      <c r="VT100" s="60" t="n"/>
      <c r="VU100" s="60" t="n"/>
      <c r="VV100" s="60" t="n"/>
      <c r="VW100" s="60" t="n"/>
      <c r="VX100" s="60" t="n"/>
      <c r="VY100" s="60" t="n"/>
      <c r="VZ100" s="60" t="n"/>
      <c r="WA100" s="60" t="n"/>
      <c r="WB100" s="60" t="n"/>
      <c r="WC100" s="60" t="n"/>
      <c r="WD100" s="60" t="n"/>
      <c r="WE100" s="60" t="n"/>
      <c r="WF100" s="60" t="n"/>
      <c r="WG100" s="60" t="n"/>
      <c r="WH100" s="60" t="n"/>
      <c r="WI100" s="60" t="n"/>
      <c r="WJ100" s="60" t="n"/>
      <c r="WK100" s="60" t="n"/>
      <c r="WL100" s="60" t="n"/>
      <c r="WM100" s="60" t="n"/>
      <c r="WN100" s="60" t="n"/>
      <c r="WO100" s="60" t="n"/>
      <c r="WP100" s="60" t="n"/>
      <c r="WQ100" s="60" t="n"/>
      <c r="WR100" s="60" t="n"/>
      <c r="WS100" s="60" t="n"/>
      <c r="WT100" s="60" t="n"/>
      <c r="WU100" s="60" t="n"/>
      <c r="WV100" s="60" t="n"/>
      <c r="WW100" s="60" t="n"/>
      <c r="WX100" s="60" t="n"/>
      <c r="WY100" s="60" t="n"/>
      <c r="WZ100" s="60" t="n"/>
      <c r="XA100" s="60" t="n"/>
      <c r="XB100" s="60" t="n"/>
      <c r="XC100" s="60" t="n"/>
      <c r="XD100" s="60" t="n"/>
      <c r="XE100" s="60" t="n"/>
      <c r="XF100" s="60" t="n"/>
      <c r="XG100" s="60" t="n"/>
      <c r="XH100" s="60" t="n"/>
      <c r="XI100" s="60" t="n"/>
      <c r="XJ100" s="60" t="n"/>
      <c r="XK100" s="60" t="n"/>
      <c r="XL100" s="60" t="n"/>
      <c r="XM100" s="60" t="n"/>
      <c r="XN100" s="60" t="n"/>
      <c r="XO100" s="60" t="n"/>
      <c r="XP100" s="60" t="n"/>
      <c r="XQ100" s="60" t="n"/>
      <c r="XR100" s="60" t="n"/>
      <c r="XS100" s="60" t="n"/>
      <c r="XT100" s="60" t="n"/>
      <c r="XU100" s="60" t="n"/>
      <c r="XV100" s="60" t="n"/>
      <c r="XW100" s="60" t="n"/>
      <c r="XX100" s="60" t="n"/>
      <c r="XY100" s="60" t="n"/>
      <c r="XZ100" s="60" t="n"/>
      <c r="YA100" s="60" t="n"/>
      <c r="YB100" s="60" t="n"/>
      <c r="YC100" s="60" t="n"/>
      <c r="YD100" s="60" t="n"/>
      <c r="YE100" s="60" t="n"/>
      <c r="YF100" s="60" t="n"/>
      <c r="YG100" s="60" t="n"/>
      <c r="YH100" s="60" t="n"/>
      <c r="YI100" s="60" t="n"/>
      <c r="YJ100" s="60" t="n"/>
      <c r="YK100" s="60" t="n"/>
      <c r="YL100" s="60" t="n"/>
      <c r="YM100" s="60" t="n"/>
      <c r="YN100" s="60" t="n"/>
      <c r="YO100" s="60" t="n"/>
      <c r="YP100" s="60" t="n"/>
      <c r="YQ100" s="60" t="n"/>
      <c r="YR100" s="60" t="n"/>
      <c r="YS100" s="60" t="n"/>
      <c r="YT100" s="60" t="n"/>
      <c r="YU100" s="60" t="n"/>
      <c r="YV100" s="60" t="n"/>
      <c r="YW100" s="60" t="n"/>
      <c r="YX100" s="60" t="n"/>
      <c r="YY100" s="60" t="n"/>
      <c r="YZ100" s="60" t="n"/>
      <c r="ZA100" s="60" t="n"/>
      <c r="ZB100" s="60" t="n"/>
      <c r="ZC100" s="60" t="n"/>
      <c r="ZD100" s="60" t="n"/>
      <c r="ZE100" s="60" t="n"/>
      <c r="ZF100" s="60" t="n"/>
      <c r="ZG100" s="60" t="n"/>
      <c r="ZH100" s="60" t="n"/>
      <c r="ZI100" s="60" t="n"/>
      <c r="ZJ100" s="60" t="n"/>
      <c r="ZK100" s="60" t="n"/>
      <c r="ZL100" s="60" t="n"/>
      <c r="ZM100" s="60" t="n"/>
      <c r="ZN100" s="60" t="n"/>
      <c r="ZO100" s="60" t="n"/>
      <c r="ZP100" s="60" t="n"/>
      <c r="ZQ100" s="60" t="n"/>
      <c r="ZR100" s="60" t="n"/>
      <c r="ZS100" s="60" t="n"/>
      <c r="ZT100" s="60" t="n"/>
      <c r="ZU100" s="60" t="n"/>
      <c r="ZV100" s="60" t="n"/>
      <c r="ZW100" s="60" t="n"/>
      <c r="ZX100" s="60" t="n"/>
      <c r="ZY100" s="60" t="n"/>
      <c r="ZZ100" s="60" t="n"/>
      <c r="AAA100" s="60" t="n"/>
      <c r="AAB100" s="60" t="n"/>
      <c r="AAC100" s="60" t="n"/>
      <c r="AAD100" s="60" t="n"/>
      <c r="AAE100" s="60" t="n"/>
      <c r="AAF100" s="60" t="n"/>
      <c r="AAG100" s="60" t="n"/>
      <c r="AAH100" s="60" t="n"/>
      <c r="AAI100" s="60" t="n"/>
      <c r="AAJ100" s="60" t="n"/>
      <c r="AAK100" s="60" t="n"/>
      <c r="AAL100" s="60" t="n"/>
      <c r="AAM100" s="60" t="n"/>
      <c r="AAN100" s="60" t="n"/>
      <c r="AAO100" s="60" t="n"/>
      <c r="AAP100" s="60" t="n"/>
      <c r="AAQ100" s="60" t="n"/>
      <c r="AAR100" s="60" t="n"/>
      <c r="AAS100" s="60" t="n"/>
      <c r="AAT100" s="60" t="n"/>
      <c r="AAU100" s="60" t="n"/>
      <c r="AAV100" s="60" t="n"/>
      <c r="AAW100" s="60" t="n"/>
      <c r="AAX100" s="60" t="n"/>
      <c r="AAY100" s="60" t="n"/>
      <c r="AAZ100" s="60" t="n"/>
      <c r="ABA100" s="60" t="n"/>
      <c r="ABB100" s="60" t="n"/>
      <c r="ABC100" s="60" t="n"/>
      <c r="ABD100" s="60" t="n"/>
      <c r="ABE100" s="60" t="n"/>
      <c r="ABF100" s="60" t="n"/>
      <c r="ABG100" s="60" t="n"/>
      <c r="ABH100" s="60" t="n"/>
      <c r="ABI100" s="60" t="n"/>
      <c r="ABJ100" s="60" t="n"/>
      <c r="ABK100" s="60" t="n"/>
      <c r="ABL100" s="60" t="n"/>
      <c r="ABM100" s="60" t="n"/>
      <c r="ABN100" s="60" t="n"/>
      <c r="ABO100" s="60" t="n"/>
      <c r="ABP100" s="60" t="n"/>
      <c r="ABQ100" s="60" t="n"/>
      <c r="ABR100" s="60" t="n"/>
      <c r="ABS100" s="60" t="n"/>
      <c r="ABT100" s="60" t="n"/>
      <c r="ABU100" s="60" t="n"/>
      <c r="ABV100" s="60" t="n"/>
      <c r="ABW100" s="60" t="n"/>
      <c r="ABX100" s="60" t="n"/>
      <c r="ABY100" s="60" t="n"/>
      <c r="ABZ100" s="60" t="n"/>
      <c r="ACA100" s="60" t="n"/>
      <c r="ACB100" s="60" t="n"/>
      <c r="ACC100" s="60" t="n"/>
      <c r="ACD100" s="60" t="n"/>
      <c r="ACE100" s="60" t="n"/>
      <c r="ACF100" s="60" t="n"/>
      <c r="ACG100" s="60" t="n"/>
      <c r="ACH100" s="60" t="n"/>
      <c r="ACI100" s="60" t="n"/>
      <c r="ACJ100" s="60" t="n"/>
      <c r="ACK100" s="60" t="n"/>
      <c r="ACL100" s="60" t="n"/>
      <c r="ACM100" s="60" t="n"/>
      <c r="ACN100" s="60" t="n"/>
      <c r="ACO100" s="60" t="n"/>
      <c r="ACP100" s="60" t="n"/>
      <c r="ACQ100" s="60" t="n"/>
      <c r="ACR100" s="60" t="n"/>
      <c r="ACS100" s="60" t="n"/>
      <c r="ACT100" s="60" t="n"/>
      <c r="ACU100" s="60" t="n"/>
      <c r="ACV100" s="60" t="n"/>
      <c r="ACW100" s="60" t="n"/>
      <c r="ACX100" s="60" t="n"/>
      <c r="ACY100" s="60" t="n"/>
      <c r="ACZ100" s="60" t="n"/>
      <c r="ADA100" s="60" t="n"/>
      <c r="ADB100" s="60" t="n"/>
      <c r="ADC100" s="60" t="n"/>
      <c r="ADD100" s="60" t="n"/>
      <c r="ADE100" s="60" t="n"/>
      <c r="ADF100" s="60" t="n"/>
      <c r="ADG100" s="60" t="n"/>
      <c r="ADH100" s="60" t="n"/>
      <c r="ADI100" s="60" t="n"/>
      <c r="ADJ100" s="60" t="n"/>
      <c r="ADK100" s="60" t="n"/>
      <c r="ADL100" s="60" t="n"/>
      <c r="ADM100" s="60" t="n"/>
      <c r="ADN100" s="60" t="n"/>
      <c r="ADO100" s="60" t="n"/>
      <c r="ADP100" s="60" t="n"/>
      <c r="ADQ100" s="60" t="n"/>
      <c r="ADR100" s="60" t="n"/>
      <c r="ADS100" s="60" t="n"/>
      <c r="ADT100" s="60" t="n"/>
      <c r="ADU100" s="60" t="n"/>
      <c r="ADV100" s="60" t="n"/>
      <c r="ADW100" s="60" t="n"/>
      <c r="ADX100" s="60" t="n"/>
      <c r="ADY100" s="60" t="n"/>
      <c r="ADZ100" s="60" t="n"/>
      <c r="AEA100" s="60" t="n"/>
      <c r="AEB100" s="60" t="n"/>
      <c r="AEC100" s="60" t="n"/>
      <c r="AED100" s="60" t="n"/>
      <c r="AEE100" s="60" t="n"/>
      <c r="AEF100" s="60" t="n"/>
      <c r="AEG100" s="60" t="n"/>
      <c r="AEH100" s="60" t="n"/>
      <c r="AEI100" s="60" t="n"/>
      <c r="AEJ100" s="60" t="n"/>
      <c r="AEK100" s="60" t="n"/>
      <c r="AEL100" s="60" t="n"/>
      <c r="AEM100" s="60" t="n"/>
      <c r="AEN100" s="60" t="n"/>
      <c r="AEO100" s="60" t="n"/>
      <c r="AEP100" s="60" t="n"/>
      <c r="AEQ100" s="60" t="n"/>
      <c r="AER100" s="60" t="n"/>
      <c r="AES100" s="60" t="n"/>
      <c r="AET100" s="60" t="n"/>
      <c r="AEU100" s="60" t="n"/>
      <c r="AEV100" s="60" t="n"/>
      <c r="AEW100" s="60" t="n"/>
      <c r="AEX100" s="60" t="n"/>
      <c r="AEY100" s="60" t="n"/>
      <c r="AEZ100" s="60" t="n"/>
      <c r="AFA100" s="60" t="n"/>
      <c r="AFB100" s="60" t="n"/>
      <c r="AFC100" s="60" t="n"/>
      <c r="AFD100" s="60" t="n"/>
      <c r="AFE100" s="60" t="n"/>
      <c r="AFF100" s="60" t="n"/>
      <c r="AFG100" s="60" t="n"/>
      <c r="AFH100" s="60" t="n"/>
      <c r="AFI100" s="60" t="n"/>
      <c r="AFJ100" s="60" t="n"/>
      <c r="AFK100" s="60" t="n"/>
      <c r="AFL100" s="60" t="n"/>
      <c r="AFM100" s="60" t="n"/>
      <c r="AFN100" s="60" t="n"/>
      <c r="AFO100" s="60" t="n"/>
      <c r="AFP100" s="60" t="n"/>
      <c r="AFQ100" s="60" t="n"/>
      <c r="AFR100" s="60" t="n"/>
      <c r="AFS100" s="60" t="n"/>
      <c r="AFT100" s="60" t="n"/>
      <c r="AFU100" s="60" t="n"/>
      <c r="AFV100" s="60" t="n"/>
      <c r="AFW100" s="60" t="n"/>
      <c r="AFX100" s="60" t="n"/>
      <c r="AFY100" s="60" t="n"/>
      <c r="AFZ100" s="60" t="n"/>
      <c r="AGA100" s="60" t="n"/>
      <c r="AGB100" s="60" t="n"/>
      <c r="AGC100" s="60" t="n"/>
      <c r="AGD100" s="60" t="n"/>
      <c r="AGE100" s="60" t="n"/>
      <c r="AGF100" s="60" t="n"/>
      <c r="AGG100" s="60" t="n"/>
      <c r="AGH100" s="60" t="n"/>
      <c r="AGI100" s="60" t="n"/>
      <c r="AGJ100" s="60" t="n"/>
      <c r="AGK100" s="60" t="n"/>
      <c r="AGL100" s="60" t="n"/>
      <c r="AGM100" s="60" t="n"/>
      <c r="AGN100" s="60" t="n"/>
      <c r="AGO100" s="60" t="n"/>
      <c r="AGP100" s="60" t="n"/>
      <c r="AGQ100" s="60" t="n"/>
      <c r="AGR100" s="60" t="n"/>
      <c r="AGS100" s="60" t="n"/>
      <c r="AGT100" s="60" t="n"/>
      <c r="AGU100" s="60" t="n"/>
      <c r="AGV100" s="60" t="n"/>
      <c r="AGW100" s="60" t="n"/>
      <c r="AGX100" s="60" t="n"/>
      <c r="AGY100" s="60" t="n"/>
      <c r="AGZ100" s="60" t="n"/>
      <c r="AHA100" s="60" t="n"/>
      <c r="AHB100" s="60" t="n"/>
      <c r="AHC100" s="60" t="n"/>
      <c r="AHD100" s="60" t="n"/>
      <c r="AHE100" s="60" t="n"/>
      <c r="AHF100" s="60" t="n"/>
      <c r="AHG100" s="60" t="n"/>
      <c r="AHH100" s="60" t="n"/>
      <c r="AHI100" s="60" t="n"/>
      <c r="AHJ100" s="60" t="n"/>
      <c r="AHK100" s="60" t="n"/>
      <c r="AHL100" s="60" t="n"/>
      <c r="AHM100" s="60" t="n"/>
      <c r="AHN100" s="60" t="n"/>
      <c r="AHO100" s="60" t="n"/>
      <c r="AHP100" s="60" t="n"/>
      <c r="AHQ100" s="60" t="n"/>
      <c r="AHR100" s="60" t="n"/>
      <c r="AHS100" s="60" t="n"/>
      <c r="AHT100" s="60" t="n"/>
      <c r="AHU100" s="60" t="n"/>
      <c r="AHV100" s="60" t="n"/>
      <c r="AHW100" s="60" t="n"/>
      <c r="AHX100" s="60" t="n"/>
      <c r="AHY100" s="60" t="n"/>
      <c r="AHZ100" s="60" t="n"/>
      <c r="AIA100" s="60" t="n"/>
      <c r="AIB100" s="60" t="n"/>
      <c r="AIC100" s="60" t="n"/>
      <c r="AID100" s="60" t="n"/>
      <c r="AIE100" s="60" t="n"/>
      <c r="AIF100" s="60" t="n"/>
      <c r="AIG100" s="60" t="n"/>
      <c r="AIH100" s="60" t="n"/>
      <c r="AII100" s="60" t="n"/>
      <c r="AIJ100" s="60" t="n"/>
      <c r="AIK100" s="60" t="n"/>
      <c r="AIL100" s="60" t="n"/>
      <c r="AIM100" s="60" t="n"/>
      <c r="AIN100" s="60" t="n"/>
      <c r="AIO100" s="60" t="n"/>
      <c r="AIP100" s="60" t="n"/>
      <c r="AIQ100" s="60" t="n"/>
      <c r="AIR100" s="60" t="n"/>
      <c r="AIS100" s="60" t="n"/>
      <c r="AIT100" s="60" t="n"/>
      <c r="AIU100" s="60" t="n"/>
      <c r="AIV100" s="60" t="n"/>
      <c r="AIW100" s="60" t="n"/>
      <c r="AIX100" s="60" t="n"/>
      <c r="AIY100" s="60" t="n"/>
      <c r="AIZ100" s="60" t="n"/>
      <c r="AJA100" s="60" t="n"/>
      <c r="AJB100" s="60" t="n"/>
      <c r="AJC100" s="60" t="n"/>
      <c r="AJD100" s="60" t="n"/>
      <c r="AJE100" s="60" t="n"/>
      <c r="AJF100" s="60" t="n"/>
      <c r="AJG100" s="60" t="n"/>
      <c r="AJH100" s="60" t="n"/>
      <c r="AJI100" s="60" t="n"/>
      <c r="AJJ100" s="60" t="n"/>
      <c r="AJK100" s="60" t="n"/>
      <c r="AJL100" s="60" t="n"/>
      <c r="AJM100" s="60" t="n"/>
      <c r="AJN100" s="60" t="n"/>
      <c r="AJO100" s="60" t="n"/>
      <c r="AJP100" s="60" t="n"/>
      <c r="AJQ100" s="60" t="n"/>
      <c r="AJR100" s="60" t="n"/>
      <c r="AJS100" s="60" t="n"/>
      <c r="AJT100" s="60" t="n"/>
      <c r="AJU100" s="60" t="n"/>
      <c r="AJV100" s="60" t="n"/>
      <c r="AJW100" s="60" t="n"/>
      <c r="AJX100" s="60" t="n"/>
      <c r="AJY100" s="60" t="n"/>
      <c r="AJZ100" s="60" t="n"/>
      <c r="AKA100" s="60" t="n"/>
      <c r="AKB100" s="60" t="n"/>
      <c r="AKC100" s="60" t="n"/>
      <c r="AKD100" s="60" t="n"/>
      <c r="AKE100" s="60" t="n"/>
      <c r="AKF100" s="60" t="n"/>
      <c r="AKG100" s="60" t="n"/>
      <c r="AKH100" s="60" t="n"/>
      <c r="AKI100" s="60" t="n"/>
      <c r="AKJ100" s="60" t="n"/>
      <c r="AKK100" s="60" t="n"/>
      <c r="AKL100" s="60" t="n"/>
      <c r="AKM100" s="60" t="n"/>
      <c r="AKN100" s="60" t="n"/>
      <c r="AKO100" s="60" t="n"/>
      <c r="AKP100" s="60" t="n"/>
      <c r="AKQ100" s="60" t="n"/>
      <c r="AKR100" s="60" t="n"/>
      <c r="AKS100" s="60" t="n"/>
      <c r="AKT100" s="60" t="n"/>
      <c r="AKU100" s="60" t="n"/>
      <c r="AKV100" s="60" t="n"/>
      <c r="AKW100" s="60" t="n"/>
      <c r="AKX100" s="60" t="n"/>
      <c r="AKY100" s="60" t="n"/>
      <c r="AKZ100" s="60" t="n"/>
      <c r="ALA100" s="60" t="n"/>
      <c r="ALB100" s="60" t="n"/>
      <c r="ALC100" s="60" t="n"/>
      <c r="ALD100" s="60" t="n"/>
      <c r="ALE100" s="60" t="n"/>
      <c r="ALF100" s="60" t="n"/>
      <c r="ALG100" s="60" t="n"/>
      <c r="ALH100" s="60" t="n"/>
      <c r="ALI100" s="60" t="n"/>
      <c r="ALJ100" s="60" t="n"/>
      <c r="ALK100" s="60" t="n"/>
      <c r="ALL100" s="60" t="n"/>
      <c r="ALM100" s="60" t="n"/>
      <c r="ALN100" s="60" t="n"/>
      <c r="ALO100" s="60" t="n"/>
      <c r="ALP100" s="60" t="n"/>
      <c r="ALQ100" s="60" t="n"/>
      <c r="ALR100" s="60" t="n"/>
      <c r="ALS100" s="60" t="n"/>
      <c r="ALT100" s="60" t="n"/>
      <c r="ALU100" s="60" t="n"/>
      <c r="ALV100" s="60" t="n"/>
      <c r="ALW100" s="60" t="n"/>
      <c r="ALX100" s="60" t="n"/>
      <c r="ALY100" s="60" t="n"/>
      <c r="ALZ100" s="60" t="n"/>
      <c r="AMA100" s="60" t="n"/>
      <c r="AMB100" s="60" t="n"/>
      <c r="AMC100" s="60" t="n"/>
      <c r="AMD100" s="60" t="n"/>
      <c r="AME100" s="60" t="n"/>
      <c r="AMF100" s="60" t="n"/>
      <c r="AMG100" s="60" t="n"/>
      <c r="AMH100" s="60" t="n"/>
      <c r="AMI100" s="60" t="n"/>
      <c r="AMJ100" s="60" t="n"/>
      <c r="AMK100" s="60" t="n"/>
      <c r="AML100" s="60" t="n"/>
      <c r="AMM100" s="60" t="n"/>
      <c r="AMN100" s="60" t="n"/>
      <c r="AMO100" s="60" t="n"/>
      <c r="AMP100" s="60" t="n"/>
      <c r="AMQ100" s="60" t="n"/>
      <c r="AMR100" s="60" t="n"/>
      <c r="AMS100" s="60" t="n"/>
      <c r="AMT100" s="60" t="n"/>
      <c r="AMU100" s="60" t="n"/>
      <c r="AMV100" s="60" t="n"/>
      <c r="AMW100" s="60" t="n"/>
      <c r="AMX100" s="60" t="n"/>
      <c r="AMY100" s="60" t="n"/>
      <c r="AMZ100" s="60" t="n"/>
      <c r="ANA100" s="60" t="n"/>
      <c r="ANB100" s="60" t="n"/>
      <c r="ANC100" s="60" t="n"/>
      <c r="AND100" s="60" t="n"/>
      <c r="ANE100" s="60" t="n"/>
      <c r="ANF100" s="60" t="n"/>
      <c r="ANG100" s="60" t="n"/>
      <c r="ANH100" s="60" t="n"/>
      <c r="ANI100" s="60" t="n"/>
      <c r="ANJ100" s="60" t="n"/>
      <c r="ANK100" s="60" t="n"/>
      <c r="ANL100" s="60" t="n"/>
      <c r="ANM100" s="60" t="n"/>
      <c r="ANN100" s="60" t="n"/>
      <c r="ANO100" s="60" t="n"/>
      <c r="ANP100" s="60" t="n"/>
      <c r="ANQ100" s="60" t="n"/>
      <c r="ANR100" s="60" t="n"/>
      <c r="ANS100" s="60" t="n"/>
      <c r="ANT100" s="60" t="n"/>
      <c r="ANU100" s="60" t="n"/>
      <c r="ANV100" s="60" t="n"/>
      <c r="ANW100" s="60" t="n"/>
      <c r="ANX100" s="60" t="n"/>
      <c r="ANY100" s="60" t="n"/>
      <c r="ANZ100" s="60" t="n"/>
      <c r="AOA100" s="60" t="n"/>
      <c r="AOB100" s="60" t="n"/>
      <c r="AOC100" s="60" t="n"/>
      <c r="AOD100" s="60" t="n"/>
      <c r="AOE100" s="60" t="n"/>
      <c r="AOF100" s="60" t="n"/>
      <c r="AOG100" s="60" t="n"/>
      <c r="AOH100" s="60" t="n"/>
      <c r="AOI100" s="60" t="n"/>
      <c r="AOJ100" s="60" t="n"/>
      <c r="AOK100" s="60" t="n"/>
      <c r="AOL100" s="60" t="n"/>
      <c r="AOM100" s="60" t="n"/>
      <c r="AON100" s="60" t="n"/>
      <c r="AOO100" s="60" t="n"/>
      <c r="AOP100" s="60" t="n"/>
      <c r="AOQ100" s="60" t="n"/>
      <c r="AOR100" s="60" t="n"/>
      <c r="AOS100" s="60" t="n"/>
      <c r="AOT100" s="60" t="n"/>
      <c r="AOU100" s="60" t="n"/>
      <c r="AOV100" s="60" t="n"/>
      <c r="AOW100" s="60" t="n"/>
      <c r="AOX100" s="60" t="n"/>
      <c r="AOY100" s="60" t="n"/>
      <c r="AOZ100" s="60" t="n"/>
      <c r="APA100" s="60" t="n"/>
      <c r="APB100" s="60" t="n"/>
      <c r="APC100" s="60" t="n"/>
      <c r="APD100" s="60" t="n"/>
      <c r="APE100" s="60" t="n"/>
      <c r="APF100" s="60" t="n"/>
      <c r="APG100" s="60" t="n"/>
      <c r="APH100" s="60" t="n"/>
      <c r="API100" s="60" t="n"/>
      <c r="APJ100" s="60" t="n"/>
      <c r="APK100" s="60" t="n"/>
      <c r="APL100" s="60" t="n"/>
      <c r="APM100" s="60" t="n"/>
      <c r="APN100" s="60" t="n"/>
      <c r="APO100" s="60" t="n"/>
      <c r="APP100" s="60" t="n"/>
      <c r="APQ100" s="60" t="n"/>
      <c r="APR100" s="60" t="n"/>
      <c r="APS100" s="60" t="n"/>
      <c r="APT100" s="60" t="n"/>
      <c r="APU100" s="60" t="n"/>
      <c r="APV100" s="60" t="n"/>
      <c r="APW100" s="60" t="n"/>
      <c r="APX100" s="60" t="n"/>
      <c r="APY100" s="60" t="n"/>
      <c r="APZ100" s="60" t="n"/>
      <c r="AQA100" s="60" t="n"/>
      <c r="AQB100" s="60" t="n"/>
      <c r="AQC100" s="60" t="n"/>
      <c r="AQD100" s="60" t="n"/>
      <c r="AQE100" s="60" t="n"/>
      <c r="AQF100" s="60" t="n"/>
      <c r="AQG100" s="60" t="n"/>
      <c r="AQH100" s="60" t="n"/>
      <c r="AQI100" s="60" t="n"/>
      <c r="AQJ100" s="60" t="n"/>
      <c r="AQK100" s="60" t="n"/>
      <c r="AQL100" s="60" t="n"/>
      <c r="AQM100" s="60" t="n"/>
      <c r="AQN100" s="60" t="n"/>
      <c r="AQO100" s="60" t="n"/>
      <c r="AQP100" s="60" t="n"/>
      <c r="AQQ100" s="60" t="n"/>
      <c r="AQR100" s="60" t="n"/>
      <c r="AQS100" s="60" t="n"/>
      <c r="AQT100" s="60" t="n"/>
      <c r="AQU100" s="60" t="n"/>
      <c r="AQV100" s="60" t="n"/>
      <c r="AQW100" s="60" t="n"/>
      <c r="AQX100" s="60" t="n"/>
      <c r="AQY100" s="60" t="n"/>
      <c r="AQZ100" s="60" t="n"/>
      <c r="ARA100" s="60" t="n"/>
      <c r="ARB100" s="60" t="n"/>
      <c r="ARC100" s="60" t="n"/>
      <c r="ARD100" s="60" t="n"/>
      <c r="ARE100" s="60" t="n"/>
      <c r="ARF100" s="60" t="n"/>
      <c r="ARG100" s="60" t="n"/>
      <c r="ARH100" s="60" t="n"/>
      <c r="ARI100" s="60" t="n"/>
      <c r="ARJ100" s="60" t="n"/>
      <c r="ARK100" s="60" t="n"/>
      <c r="ARL100" s="60" t="n"/>
      <c r="ARM100" s="60" t="n"/>
      <c r="ARN100" s="60" t="n"/>
      <c r="ARO100" s="60" t="n"/>
      <c r="ARP100" s="60" t="n"/>
      <c r="ARQ100" s="60" t="n"/>
      <c r="ARR100" s="60" t="n"/>
      <c r="ARS100" s="60" t="n"/>
      <c r="ART100" s="60" t="n"/>
      <c r="ARU100" s="60" t="n"/>
      <c r="ARV100" s="60" t="n"/>
      <c r="ARW100" s="60" t="n"/>
      <c r="ARX100" s="60" t="n"/>
      <c r="ARY100" s="60" t="n"/>
      <c r="ARZ100" s="60" t="n"/>
      <c r="ASA100" s="60" t="n"/>
      <c r="ASB100" s="60" t="n"/>
      <c r="ASC100" s="60" t="n"/>
      <c r="ASD100" s="60" t="n"/>
      <c r="ASE100" s="60" t="n"/>
      <c r="ASF100" s="60" t="n"/>
      <c r="ASG100" s="60" t="n"/>
      <c r="ASH100" s="60" t="n"/>
      <c r="ASI100" s="60" t="n"/>
      <c r="ASJ100" s="60" t="n"/>
      <c r="ASK100" s="60" t="n"/>
      <c r="ASL100" s="60" t="n"/>
      <c r="ASM100" s="60" t="n"/>
      <c r="ASN100" s="60" t="n"/>
      <c r="ASO100" s="60" t="n"/>
      <c r="ASP100" s="60" t="n"/>
      <c r="ASQ100" s="60" t="n"/>
      <c r="ASR100" s="60" t="n"/>
      <c r="ASS100" s="60" t="n"/>
      <c r="AST100" s="60" t="n"/>
      <c r="ASU100" s="60" t="n"/>
      <c r="ASV100" s="60" t="n"/>
      <c r="ASW100" s="60" t="n"/>
      <c r="ASX100" s="60" t="n"/>
      <c r="ASY100" s="60" t="n"/>
      <c r="ASZ100" s="60" t="n"/>
      <c r="ATA100" s="60" t="n"/>
      <c r="ATB100" s="60" t="n"/>
      <c r="ATC100" s="60" t="n"/>
      <c r="ATD100" s="60" t="n"/>
      <c r="ATE100" s="60" t="n"/>
      <c r="ATF100" s="60" t="n"/>
      <c r="ATG100" s="60" t="n"/>
      <c r="ATH100" s="60" t="n"/>
      <c r="ATI100" s="60" t="n"/>
      <c r="ATJ100" s="60" t="n"/>
      <c r="ATK100" s="60" t="n"/>
      <c r="ATL100" s="60" t="n"/>
      <c r="ATM100" s="60" t="n"/>
      <c r="ATN100" s="60" t="n"/>
      <c r="ATO100" s="60" t="n"/>
      <c r="ATP100" s="60" t="n"/>
      <c r="ATQ100" s="60" t="n"/>
      <c r="ATR100" s="60" t="n"/>
      <c r="ATS100" s="60" t="n"/>
      <c r="ATT100" s="60" t="n"/>
      <c r="ATU100" s="60" t="n"/>
      <c r="ATV100" s="60" t="n"/>
      <c r="ATW100" s="60" t="n"/>
      <c r="ATX100" s="60" t="n"/>
      <c r="ATY100" s="60" t="n"/>
      <c r="ATZ100" s="60" t="n"/>
      <c r="AUA100" s="60" t="n"/>
      <c r="AUB100" s="60" t="n"/>
      <c r="AUC100" s="60" t="n"/>
      <c r="AUD100" s="60" t="n"/>
      <c r="AUE100" s="60" t="n"/>
      <c r="AUF100" s="60" t="n"/>
      <c r="AUG100" s="60" t="n"/>
      <c r="AUH100" s="60" t="n"/>
      <c r="AUI100" s="60" t="n"/>
      <c r="AUJ100" s="60" t="n"/>
      <c r="AUK100" s="60" t="n"/>
      <c r="AUL100" s="60" t="n"/>
      <c r="AUM100" s="60" t="n"/>
      <c r="AUN100" s="60" t="n"/>
      <c r="AUO100" s="60" t="n"/>
      <c r="AUP100" s="60" t="n"/>
      <c r="AUQ100" s="60" t="n"/>
      <c r="AUR100" s="60" t="n"/>
      <c r="AUS100" s="60" t="n"/>
      <c r="AUT100" s="60" t="n"/>
      <c r="AUU100" s="60" t="n"/>
      <c r="AUV100" s="60" t="n"/>
      <c r="AUW100" s="60" t="n"/>
      <c r="AUX100" s="60" t="n"/>
      <c r="AUY100" s="60" t="n"/>
      <c r="AUZ100" s="60" t="n"/>
      <c r="AVA100" s="60" t="n"/>
      <c r="AVB100" s="60" t="n"/>
      <c r="AVC100" s="60" t="n"/>
      <c r="AVD100" s="60" t="n"/>
      <c r="AVE100" s="60" t="n"/>
      <c r="AVF100" s="60" t="n"/>
      <c r="AVG100" s="60" t="n"/>
      <c r="AVH100" s="60" t="n"/>
      <c r="AVI100" s="60" t="n"/>
      <c r="AVJ100" s="60" t="n"/>
      <c r="AVK100" s="60" t="n"/>
      <c r="AVL100" s="60" t="n"/>
      <c r="AVM100" s="60" t="n"/>
      <c r="AVN100" s="60" t="n"/>
      <c r="AVO100" s="60" t="n"/>
      <c r="AVP100" s="60" t="n"/>
      <c r="AVQ100" s="60" t="n"/>
      <c r="AVR100" s="60" t="n"/>
      <c r="AVS100" s="60" t="n"/>
      <c r="AVT100" s="60" t="n"/>
      <c r="AVU100" s="60" t="n"/>
      <c r="AVV100" s="60" t="n"/>
      <c r="AVW100" s="60" t="n"/>
      <c r="AVX100" s="60" t="n"/>
      <c r="AVY100" s="60" t="n"/>
      <c r="AVZ100" s="60" t="n"/>
      <c r="AWA100" s="60" t="n"/>
      <c r="AWB100" s="60" t="n"/>
      <c r="AWC100" s="60" t="n"/>
      <c r="AWD100" s="60" t="n"/>
      <c r="AWE100" s="60" t="n"/>
      <c r="AWF100" s="60" t="n"/>
      <c r="AWG100" s="60" t="n"/>
      <c r="AWH100" s="60" t="n"/>
      <c r="AWI100" s="60" t="n"/>
      <c r="AWJ100" s="60" t="n"/>
      <c r="AWK100" s="60" t="n"/>
      <c r="AWL100" s="60" t="n"/>
      <c r="AWM100" s="60" t="n"/>
      <c r="AWN100" s="60" t="n"/>
      <c r="AWO100" s="60" t="n"/>
      <c r="AWP100" s="60" t="n"/>
      <c r="AWQ100" s="60" t="n"/>
      <c r="AWR100" s="60" t="n"/>
      <c r="AWS100" s="60" t="n"/>
      <c r="AWT100" s="60" t="n"/>
      <c r="AWU100" s="60" t="n"/>
      <c r="AWV100" s="60" t="n"/>
      <c r="AWW100" s="60" t="n"/>
      <c r="AWX100" s="60" t="n"/>
      <c r="AWY100" s="60" t="n"/>
      <c r="AWZ100" s="60" t="n"/>
      <c r="AXA100" s="60" t="n"/>
      <c r="AXB100" s="60" t="n"/>
      <c r="AXC100" s="60" t="n"/>
      <c r="AXD100" s="60" t="n"/>
      <c r="AXE100" s="60" t="n"/>
      <c r="AXF100" s="60" t="n"/>
      <c r="AXG100" s="60" t="n"/>
      <c r="AXH100" s="60" t="n"/>
      <c r="AXI100" s="60" t="n"/>
      <c r="AXJ100" s="60" t="n"/>
      <c r="AXK100" s="60" t="n"/>
      <c r="AXL100" s="60" t="n"/>
      <c r="AXM100" s="60" t="n"/>
      <c r="AXN100" s="60" t="n"/>
      <c r="AXO100" s="60" t="n"/>
      <c r="AXP100" s="60" t="n"/>
      <c r="AXQ100" s="60" t="n"/>
      <c r="AXR100" s="60" t="n"/>
      <c r="AXS100" s="60" t="n"/>
      <c r="AXT100" s="60" t="n"/>
      <c r="AXU100" s="60" t="n"/>
      <c r="AXV100" s="60" t="n"/>
      <c r="AXW100" s="60" t="n"/>
      <c r="AXX100" s="60" t="n"/>
      <c r="AXY100" s="60" t="n"/>
      <c r="AXZ100" s="60" t="n"/>
      <c r="AYA100" s="60" t="n"/>
      <c r="AYB100" s="60" t="n"/>
      <c r="AYC100" s="60" t="n"/>
      <c r="AYD100" s="60" t="n"/>
      <c r="AYE100" s="60" t="n"/>
      <c r="AYF100" s="60" t="n"/>
      <c r="AYG100" s="60" t="n"/>
      <c r="AYH100" s="60" t="n"/>
      <c r="AYI100" s="60" t="n"/>
      <c r="AYJ100" s="60" t="n"/>
      <c r="AYK100" s="60" t="n"/>
      <c r="AYL100" s="60" t="n"/>
      <c r="AYM100" s="60" t="n"/>
      <c r="AYN100" s="60" t="n"/>
      <c r="AYO100" s="60" t="n"/>
      <c r="AYP100" s="60" t="n"/>
      <c r="AYQ100" s="60" t="n"/>
      <c r="AYR100" s="60" t="n"/>
      <c r="AYS100" s="60" t="n"/>
      <c r="AYT100" s="60" t="n"/>
      <c r="AYU100" s="60" t="n"/>
      <c r="AYV100" s="60" t="n"/>
      <c r="AYW100" s="60" t="n"/>
      <c r="AYX100" s="60" t="n"/>
      <c r="AYY100" s="60" t="n"/>
      <c r="AYZ100" s="60" t="n"/>
      <c r="AZA100" s="60" t="n"/>
      <c r="AZB100" s="60" t="n"/>
      <c r="AZC100" s="60" t="n"/>
      <c r="AZD100" s="60" t="n"/>
      <c r="AZE100" s="60" t="n"/>
      <c r="AZF100" s="60" t="n"/>
      <c r="AZG100" s="60" t="n"/>
      <c r="AZH100" s="60" t="n"/>
      <c r="AZI100" s="60" t="n"/>
      <c r="AZJ100" s="60" t="n"/>
      <c r="AZK100" s="60" t="n"/>
      <c r="AZL100" s="60" t="n"/>
      <c r="AZM100" s="60" t="n"/>
      <c r="AZN100" s="60" t="n"/>
      <c r="AZO100" s="60" t="n"/>
      <c r="AZP100" s="60" t="n"/>
      <c r="AZQ100" s="60" t="n"/>
      <c r="AZR100" s="60" t="n"/>
      <c r="AZS100" s="60" t="n"/>
      <c r="AZT100" s="60" t="n"/>
      <c r="AZU100" s="60" t="n"/>
      <c r="AZV100" s="60" t="n"/>
      <c r="AZW100" s="60" t="n"/>
      <c r="AZX100" s="60" t="n"/>
      <c r="AZY100" s="60" t="n"/>
      <c r="AZZ100" s="60" t="n"/>
      <c r="BAA100" s="60" t="n"/>
      <c r="BAB100" s="60" t="n"/>
      <c r="BAC100" s="60" t="n"/>
      <c r="BAD100" s="60" t="n"/>
      <c r="BAE100" s="60" t="n"/>
      <c r="BAF100" s="60" t="n"/>
      <c r="BAG100" s="60" t="n"/>
      <c r="BAH100" s="60" t="n"/>
      <c r="BAI100" s="60" t="n"/>
      <c r="BAJ100" s="60" t="n"/>
      <c r="BAK100" s="60" t="n"/>
      <c r="BAL100" s="60" t="n"/>
      <c r="BAM100" s="60" t="n"/>
      <c r="BAN100" s="60" t="n"/>
      <c r="BAO100" s="60" t="n"/>
      <c r="BAP100" s="60" t="n"/>
      <c r="BAQ100" s="60" t="n"/>
      <c r="BAR100" s="60" t="n"/>
      <c r="BAS100" s="60" t="n"/>
      <c r="BAT100" s="60" t="n"/>
      <c r="BAU100" s="60" t="n"/>
      <c r="BAV100" s="60" t="n"/>
      <c r="BAW100" s="60" t="n"/>
      <c r="BAX100" s="60" t="n"/>
      <c r="BAY100" s="60" t="n"/>
      <c r="BAZ100" s="60" t="n"/>
      <c r="BBA100" s="60" t="n"/>
      <c r="BBB100" s="60" t="n"/>
      <c r="BBC100" s="60" t="n"/>
      <c r="BBD100" s="60" t="n"/>
      <c r="BBE100" s="60" t="n"/>
      <c r="BBF100" s="60" t="n"/>
      <c r="BBG100" s="60" t="n"/>
      <c r="BBH100" s="60" t="n"/>
      <c r="BBI100" s="60" t="n"/>
      <c r="BBJ100" s="60" t="n"/>
      <c r="BBK100" s="60" t="n"/>
      <c r="BBL100" s="60" t="n"/>
      <c r="BBM100" s="60" t="n"/>
      <c r="BBN100" s="60" t="n"/>
      <c r="BBO100" s="60" t="n"/>
      <c r="BBP100" s="60" t="n"/>
      <c r="BBQ100" s="60" t="n"/>
      <c r="BBR100" s="60" t="n"/>
      <c r="BBS100" s="60" t="n"/>
      <c r="BBT100" s="60" t="n"/>
      <c r="BBU100" s="60" t="n"/>
      <c r="BBV100" s="60" t="n"/>
      <c r="BBW100" s="60" t="n"/>
      <c r="BBX100" s="60" t="n"/>
      <c r="BBY100" s="60" t="n"/>
      <c r="BBZ100" s="60" t="n"/>
      <c r="BCA100" s="60" t="n"/>
      <c r="BCB100" s="60" t="n"/>
      <c r="BCC100" s="60" t="n"/>
      <c r="BCD100" s="60" t="n"/>
      <c r="BCE100" s="60" t="n"/>
      <c r="BCF100" s="60" t="n"/>
      <c r="BCG100" s="60" t="n"/>
      <c r="BCH100" s="60" t="n"/>
      <c r="BCI100" s="60" t="n"/>
      <c r="BCJ100" s="60" t="n"/>
      <c r="BCK100" s="60" t="n"/>
      <c r="BCL100" s="60" t="n"/>
      <c r="BCM100" s="60" t="n"/>
      <c r="BCN100" s="60" t="n"/>
      <c r="BCO100" s="60" t="n"/>
      <c r="BCP100" s="60" t="n"/>
      <c r="BCQ100" s="60" t="n"/>
      <c r="BCR100" s="60" t="n"/>
      <c r="BCS100" s="60" t="n"/>
      <c r="BCT100" s="60" t="n"/>
      <c r="BCU100" s="60" t="n"/>
      <c r="BCV100" s="60" t="n"/>
      <c r="BCW100" s="60" t="n"/>
      <c r="BCX100" s="60" t="n"/>
      <c r="BCY100" s="60" t="n"/>
      <c r="BCZ100" s="60" t="n"/>
      <c r="BDA100" s="60" t="n"/>
      <c r="BDB100" s="60" t="n"/>
      <c r="BDC100" s="60" t="n"/>
      <c r="BDD100" s="60" t="n"/>
      <c r="BDE100" s="60" t="n"/>
      <c r="BDF100" s="60" t="n"/>
      <c r="BDG100" s="60" t="n"/>
      <c r="BDH100" s="60" t="n"/>
      <c r="BDI100" s="60" t="n"/>
      <c r="BDJ100" s="60" t="n"/>
      <c r="BDK100" s="60" t="n"/>
      <c r="BDL100" s="60" t="n"/>
      <c r="BDM100" s="60" t="n"/>
      <c r="BDN100" s="60" t="n"/>
      <c r="BDO100" s="60" t="n"/>
      <c r="BDP100" s="60" t="n"/>
      <c r="BDQ100" s="60" t="n"/>
      <c r="BDR100" s="60" t="n"/>
      <c r="BDS100" s="60" t="n"/>
      <c r="BDT100" s="60" t="n"/>
      <c r="BDU100" s="60" t="n"/>
      <c r="BDV100" s="60" t="n"/>
      <c r="BDW100" s="60" t="n"/>
      <c r="BDX100" s="60" t="n"/>
      <c r="BDY100" s="60" t="n"/>
      <c r="BDZ100" s="60" t="n"/>
      <c r="BEA100" s="60" t="n"/>
      <c r="BEB100" s="60" t="n"/>
      <c r="BEC100" s="60" t="n"/>
      <c r="BED100" s="60" t="n"/>
      <c r="BEE100" s="60" t="n"/>
      <c r="BEF100" s="60" t="n"/>
      <c r="BEG100" s="60" t="n"/>
      <c r="BEH100" s="60" t="n"/>
      <c r="BEI100" s="60" t="n"/>
      <c r="BEJ100" s="60" t="n"/>
      <c r="BEK100" s="60" t="n"/>
      <c r="BEL100" s="60" t="n"/>
      <c r="BEM100" s="60" t="n"/>
      <c r="BEN100" s="60" t="n"/>
      <c r="BEO100" s="60" t="n"/>
      <c r="BEP100" s="60" t="n"/>
      <c r="BEQ100" s="60" t="n"/>
      <c r="BER100" s="60" t="n"/>
      <c r="BES100" s="60" t="n"/>
      <c r="BET100" s="60" t="n"/>
      <c r="BEU100" s="60" t="n"/>
      <c r="BEV100" s="60" t="n"/>
      <c r="BEW100" s="60" t="n"/>
      <c r="BEX100" s="60" t="n"/>
      <c r="BEY100" s="60" t="n"/>
      <c r="BEZ100" s="60" t="n"/>
      <c r="BFA100" s="60" t="n"/>
      <c r="BFB100" s="60" t="n"/>
      <c r="BFC100" s="60" t="n"/>
      <c r="BFD100" s="60" t="n"/>
      <c r="BFE100" s="60" t="n"/>
      <c r="BFF100" s="60" t="n"/>
      <c r="BFG100" s="60" t="n"/>
      <c r="BFH100" s="60" t="n"/>
      <c r="BFI100" s="60" t="n"/>
      <c r="BFJ100" s="60" t="n"/>
      <c r="BFK100" s="60" t="n"/>
      <c r="BFL100" s="60" t="n"/>
      <c r="BFM100" s="60" t="n"/>
      <c r="BFN100" s="60" t="n"/>
      <c r="BFO100" s="60" t="n"/>
      <c r="BFP100" s="60" t="n"/>
      <c r="BFQ100" s="60" t="n"/>
      <c r="BFR100" s="60" t="n"/>
      <c r="BFS100" s="60" t="n"/>
      <c r="BFT100" s="60" t="n"/>
      <c r="BFU100" s="60" t="n"/>
      <c r="BFV100" s="60" t="n"/>
      <c r="BFW100" s="60" t="n"/>
      <c r="BFX100" s="60" t="n"/>
      <c r="BFY100" s="60" t="n"/>
      <c r="BFZ100" s="60" t="n"/>
      <c r="BGA100" s="60" t="n"/>
      <c r="BGB100" s="60" t="n"/>
      <c r="BGC100" s="60" t="n"/>
      <c r="BGD100" s="60" t="n"/>
      <c r="BGE100" s="60" t="n"/>
      <c r="BGF100" s="60" t="n"/>
      <c r="BGG100" s="60" t="n"/>
      <c r="BGH100" s="60" t="n"/>
      <c r="BGI100" s="60" t="n"/>
      <c r="BGJ100" s="60" t="n"/>
      <c r="BGK100" s="60" t="n"/>
      <c r="BGL100" s="60" t="n"/>
      <c r="BGM100" s="60" t="n"/>
      <c r="BGN100" s="60" t="n"/>
      <c r="BGO100" s="60" t="n"/>
      <c r="BGP100" s="60" t="n"/>
      <c r="BGQ100" s="60" t="n"/>
      <c r="BGR100" s="60" t="n"/>
      <c r="BGS100" s="60" t="n"/>
      <c r="BGT100" s="60" t="n"/>
      <c r="BGU100" s="60" t="n"/>
      <c r="BGV100" s="60" t="n"/>
      <c r="BGW100" s="60" t="n"/>
      <c r="BGX100" s="60" t="n"/>
      <c r="BGY100" s="60" t="n"/>
      <c r="BGZ100" s="60" t="n"/>
      <c r="BHA100" s="60" t="n"/>
      <c r="BHB100" s="60" t="n"/>
      <c r="BHC100" s="60" t="n"/>
      <c r="BHD100" s="60" t="n"/>
      <c r="BHE100" s="60" t="n"/>
      <c r="BHF100" s="60" t="n"/>
      <c r="BHG100" s="60" t="n"/>
      <c r="BHH100" s="60" t="n"/>
      <c r="BHI100" s="60" t="n"/>
      <c r="BHJ100" s="60" t="n"/>
      <c r="BHK100" s="60" t="n"/>
      <c r="BHL100" s="60" t="n"/>
      <c r="BHM100" s="60" t="n"/>
      <c r="BHN100" s="60" t="n"/>
      <c r="BHO100" s="60" t="n"/>
      <c r="BHP100" s="60" t="n"/>
      <c r="BHQ100" s="60" t="n"/>
      <c r="BHR100" s="60" t="n"/>
      <c r="BHS100" s="60" t="n"/>
      <c r="BHT100" s="60" t="n"/>
      <c r="BHU100" s="60" t="n"/>
      <c r="BHV100" s="60" t="n"/>
      <c r="BHW100" s="60" t="n"/>
      <c r="BHX100" s="60" t="n"/>
      <c r="BHY100" s="60" t="n"/>
      <c r="BHZ100" s="60" t="n"/>
      <c r="BIA100" s="60" t="n"/>
      <c r="BIB100" s="60" t="n"/>
      <c r="BIC100" s="60" t="n"/>
      <c r="BID100" s="60" t="n"/>
      <c r="BIE100" s="60" t="n"/>
      <c r="BIF100" s="60" t="n"/>
      <c r="BIG100" s="60" t="n"/>
      <c r="BIH100" s="60" t="n"/>
      <c r="BII100" s="60" t="n"/>
      <c r="BIJ100" s="60" t="n"/>
      <c r="BIK100" s="60" t="n"/>
      <c r="BIL100" s="60" t="n"/>
      <c r="BIM100" s="60" t="n"/>
      <c r="BIN100" s="60" t="n"/>
      <c r="BIO100" s="60" t="n"/>
      <c r="BIP100" s="60" t="n"/>
      <c r="BIQ100" s="60" t="n"/>
      <c r="BIR100" s="60" t="n"/>
      <c r="BIS100" s="60" t="n"/>
      <c r="BIT100" s="60" t="n"/>
      <c r="BIU100" s="60" t="n"/>
      <c r="BIV100" s="60" t="n"/>
      <c r="BIW100" s="60" t="n"/>
      <c r="BIX100" s="60" t="n"/>
      <c r="BIY100" s="60" t="n"/>
      <c r="BIZ100" s="60" t="n"/>
      <c r="BJA100" s="60" t="n"/>
      <c r="BJB100" s="60" t="n"/>
      <c r="BJC100" s="60" t="n"/>
      <c r="BJD100" s="60" t="n"/>
      <c r="BJE100" s="60" t="n"/>
      <c r="BJF100" s="60" t="n"/>
      <c r="BJG100" s="60" t="n"/>
      <c r="BJH100" s="60" t="n"/>
      <c r="BJI100" s="60" t="n"/>
      <c r="BJJ100" s="60" t="n"/>
      <c r="BJK100" s="60" t="n"/>
      <c r="BJL100" s="60" t="n"/>
      <c r="BJM100" s="60" t="n"/>
      <c r="BJN100" s="60" t="n"/>
      <c r="BJO100" s="60" t="n"/>
      <c r="BJP100" s="60" t="n"/>
      <c r="BJQ100" s="60" t="n"/>
      <c r="BJR100" s="60" t="n"/>
      <c r="BJS100" s="60" t="n"/>
      <c r="BJT100" s="60" t="n"/>
      <c r="BJU100" s="60" t="n"/>
      <c r="BJV100" s="60" t="n"/>
      <c r="BJW100" s="60" t="n"/>
      <c r="BJX100" s="60" t="n"/>
      <c r="BJY100" s="60" t="n"/>
      <c r="BJZ100" s="60" t="n"/>
      <c r="BKA100" s="60" t="n"/>
      <c r="BKB100" s="60" t="n"/>
      <c r="BKC100" s="60" t="n"/>
      <c r="BKD100" s="60" t="n"/>
      <c r="BKE100" s="60" t="n"/>
      <c r="BKF100" s="60" t="n"/>
      <c r="BKG100" s="60" t="n"/>
      <c r="BKH100" s="60" t="n"/>
      <c r="BKI100" s="60" t="n"/>
      <c r="BKJ100" s="60" t="n"/>
      <c r="BKK100" s="60" t="n"/>
      <c r="BKL100" s="60" t="n"/>
      <c r="BKM100" s="60" t="n"/>
      <c r="BKN100" s="60" t="n"/>
      <c r="BKO100" s="60" t="n"/>
      <c r="BKP100" s="60" t="n"/>
      <c r="BKQ100" s="60" t="n"/>
      <c r="BKR100" s="60" t="n"/>
      <c r="BKS100" s="60" t="n"/>
      <c r="BKT100" s="60" t="n"/>
      <c r="BKU100" s="60" t="n"/>
      <c r="BKV100" s="60" t="n"/>
      <c r="BKW100" s="60" t="n"/>
      <c r="BKX100" s="60" t="n"/>
      <c r="BKY100" s="60" t="n"/>
      <c r="BKZ100" s="60" t="n"/>
      <c r="BLA100" s="60" t="n"/>
      <c r="BLB100" s="60" t="n"/>
      <c r="BLC100" s="60" t="n"/>
      <c r="BLD100" s="60" t="n"/>
      <c r="BLE100" s="60" t="n"/>
      <c r="BLF100" s="60" t="n"/>
      <c r="BLG100" s="60" t="n"/>
      <c r="BLH100" s="60" t="n"/>
      <c r="BLI100" s="60" t="n"/>
      <c r="BLJ100" s="60" t="n"/>
      <c r="BLK100" s="60" t="n"/>
      <c r="BLL100" s="60" t="n"/>
      <c r="BLM100" s="60" t="n"/>
      <c r="BLN100" s="60" t="n"/>
      <c r="BLO100" s="60" t="n"/>
      <c r="BLP100" s="60" t="n"/>
      <c r="BLQ100" s="60" t="n"/>
      <c r="BLR100" s="60" t="n"/>
      <c r="BLS100" s="60" t="n"/>
      <c r="BLT100" s="60" t="n"/>
      <c r="BLU100" s="60" t="n"/>
      <c r="BLV100" s="60" t="n"/>
      <c r="BLW100" s="60" t="n"/>
      <c r="BLX100" s="60" t="n"/>
      <c r="BLY100" s="60" t="n"/>
      <c r="BLZ100" s="60" t="n"/>
      <c r="BMA100" s="60" t="n"/>
      <c r="BMB100" s="60" t="n"/>
      <c r="BMC100" s="60" t="n"/>
      <c r="BMD100" s="60" t="n"/>
      <c r="BME100" s="60" t="n"/>
      <c r="BMF100" s="60" t="n"/>
      <c r="BMG100" s="60" t="n"/>
      <c r="BMH100" s="60" t="n"/>
      <c r="BMI100" s="60" t="n"/>
      <c r="BMJ100" s="60" t="n"/>
      <c r="BMK100" s="60" t="n"/>
      <c r="BML100" s="60" t="n"/>
      <c r="BMM100" s="60" t="n"/>
      <c r="BMN100" s="60" t="n"/>
      <c r="BMO100" s="60" t="n"/>
      <c r="BMP100" s="60" t="n"/>
      <c r="BMQ100" s="60" t="n"/>
      <c r="BMR100" s="60" t="n"/>
      <c r="BMS100" s="60" t="n"/>
      <c r="BMT100" s="60" t="n"/>
      <c r="BMU100" s="60" t="n"/>
      <c r="BMV100" s="60" t="n"/>
      <c r="BMW100" s="60" t="n"/>
      <c r="BMX100" s="60" t="n"/>
      <c r="BMY100" s="60" t="n"/>
      <c r="BMZ100" s="60" t="n"/>
      <c r="BNA100" s="60" t="n"/>
      <c r="BNB100" s="60" t="n"/>
      <c r="BNC100" s="60" t="n"/>
      <c r="BND100" s="60" t="n"/>
      <c r="BNE100" s="60" t="n"/>
      <c r="BNF100" s="60" t="n"/>
      <c r="BNG100" s="60" t="n"/>
      <c r="BNH100" s="60" t="n"/>
      <c r="BNI100" s="60" t="n"/>
      <c r="BNJ100" s="60" t="n"/>
      <c r="BNK100" s="60" t="n"/>
      <c r="BNL100" s="60" t="n"/>
      <c r="BNM100" s="60" t="n"/>
      <c r="BNN100" s="60" t="n"/>
      <c r="BNO100" s="60" t="n"/>
      <c r="BNP100" s="60" t="n"/>
      <c r="BNQ100" s="60" t="n"/>
      <c r="BNR100" s="60" t="n"/>
      <c r="BNS100" s="60" t="n"/>
      <c r="BNT100" s="60" t="n"/>
      <c r="BNU100" s="60" t="n"/>
      <c r="BNV100" s="60" t="n"/>
      <c r="BNW100" s="60" t="n"/>
      <c r="BNX100" s="60" t="n"/>
      <c r="BNY100" s="60" t="n"/>
      <c r="BNZ100" s="60" t="n"/>
      <c r="BOA100" s="60" t="n"/>
      <c r="BOB100" s="60" t="n"/>
      <c r="BOC100" s="60" t="n"/>
      <c r="BOD100" s="60" t="n"/>
      <c r="BOE100" s="60" t="n"/>
      <c r="BOF100" s="60" t="n"/>
      <c r="BOG100" s="60" t="n"/>
      <c r="BOH100" s="60" t="n"/>
      <c r="BOI100" s="60" t="n"/>
      <c r="BOJ100" s="60" t="n"/>
      <c r="BOK100" s="60" t="n"/>
      <c r="BOL100" s="60" t="n"/>
      <c r="BOM100" s="60" t="n"/>
      <c r="BON100" s="60" t="n"/>
      <c r="BOO100" s="60" t="n"/>
      <c r="BOP100" s="60" t="n"/>
      <c r="BOQ100" s="60" t="n"/>
      <c r="BOR100" s="60" t="n"/>
      <c r="BOS100" s="60" t="n"/>
      <c r="BOT100" s="60" t="n"/>
      <c r="BOU100" s="60" t="n"/>
      <c r="BOV100" s="60" t="n"/>
      <c r="BOW100" s="60" t="n"/>
      <c r="BOX100" s="60" t="n"/>
      <c r="BOY100" s="60" t="n"/>
      <c r="BOZ100" s="60" t="n"/>
      <c r="BPA100" s="60" t="n"/>
      <c r="BPB100" s="60" t="n"/>
      <c r="BPC100" s="60" t="n"/>
      <c r="BPD100" s="60" t="n"/>
      <c r="BPE100" s="60" t="n"/>
      <c r="BPF100" s="60" t="n"/>
      <c r="BPG100" s="60" t="n"/>
      <c r="BPH100" s="60" t="n"/>
      <c r="BPI100" s="60" t="n"/>
      <c r="BPJ100" s="60" t="n"/>
      <c r="BPK100" s="60" t="n"/>
      <c r="BPL100" s="60" t="n"/>
      <c r="BPM100" s="60" t="n"/>
      <c r="BPN100" s="60" t="n"/>
      <c r="BPO100" s="60" t="n"/>
      <c r="BPP100" s="60" t="n"/>
      <c r="BPQ100" s="60" t="n"/>
      <c r="BPR100" s="60" t="n"/>
      <c r="BPS100" s="60" t="n"/>
      <c r="BPT100" s="60" t="n"/>
      <c r="BPU100" s="60" t="n"/>
      <c r="BPV100" s="60" t="n"/>
      <c r="BPW100" s="60" t="n"/>
      <c r="BPX100" s="60" t="n"/>
      <c r="BPY100" s="60" t="n"/>
      <c r="BPZ100" s="60" t="n"/>
      <c r="BQA100" s="60" t="n"/>
      <c r="BQB100" s="60" t="n"/>
      <c r="BQC100" s="60" t="n"/>
      <c r="BQD100" s="60" t="n"/>
      <c r="BQE100" s="60" t="n"/>
      <c r="BQF100" s="60" t="n"/>
      <c r="BQG100" s="60" t="n"/>
      <c r="BQH100" s="60" t="n"/>
      <c r="BQI100" s="60" t="n"/>
      <c r="BQJ100" s="60" t="n"/>
      <c r="BQK100" s="60" t="n"/>
      <c r="BQL100" s="60" t="n"/>
      <c r="BQM100" s="60" t="n"/>
      <c r="BQN100" s="60" t="n"/>
      <c r="BQO100" s="60" t="n"/>
      <c r="BQP100" s="60" t="n"/>
      <c r="BQQ100" s="60" t="n"/>
      <c r="BQR100" s="60" t="n"/>
      <c r="BQS100" s="60" t="n"/>
      <c r="BQT100" s="60" t="n"/>
      <c r="BQU100" s="60" t="n"/>
      <c r="BQV100" s="60" t="n"/>
      <c r="BQW100" s="60" t="n"/>
      <c r="BQX100" s="60" t="n"/>
      <c r="BQY100" s="60" t="n"/>
      <c r="BQZ100" s="60" t="n"/>
      <c r="BRA100" s="60" t="n"/>
      <c r="BRB100" s="60" t="n"/>
      <c r="BRC100" s="60" t="n"/>
      <c r="BRD100" s="60" t="n"/>
      <c r="BRE100" s="60" t="n"/>
      <c r="BRF100" s="60" t="n"/>
      <c r="BRG100" s="60" t="n"/>
      <c r="BRH100" s="60" t="n"/>
      <c r="BRI100" s="60" t="n"/>
      <c r="BRJ100" s="60" t="n"/>
      <c r="BRK100" s="60" t="n"/>
      <c r="BRL100" s="60" t="n"/>
      <c r="BRM100" s="60" t="n"/>
      <c r="BRN100" s="60" t="n"/>
      <c r="BRO100" s="60" t="n"/>
      <c r="BRP100" s="60" t="n"/>
      <c r="BRQ100" s="60" t="n"/>
      <c r="BRR100" s="60" t="n"/>
      <c r="BRS100" s="60" t="n"/>
      <c r="BRT100" s="60" t="n"/>
      <c r="BRU100" s="60" t="n"/>
      <c r="BRV100" s="60" t="n"/>
      <c r="BRW100" s="60" t="n"/>
      <c r="BRX100" s="60" t="n"/>
      <c r="BRY100" s="60" t="n"/>
      <c r="BRZ100" s="60" t="n"/>
      <c r="BSA100" s="60" t="n"/>
      <c r="BSB100" s="60" t="n"/>
      <c r="BSC100" s="60" t="n"/>
      <c r="BSD100" s="60" t="n"/>
      <c r="BSE100" s="60" t="n"/>
      <c r="BSF100" s="60" t="n"/>
      <c r="BSG100" s="60" t="n"/>
      <c r="BSH100" s="60" t="n"/>
      <c r="BSI100" s="60" t="n"/>
      <c r="BSJ100" s="60" t="n"/>
      <c r="BSK100" s="60" t="n"/>
      <c r="BSL100" s="60" t="n"/>
      <c r="BSM100" s="60" t="n"/>
      <c r="BSN100" s="60" t="n"/>
      <c r="BSO100" s="60" t="n"/>
      <c r="BSP100" s="60" t="n"/>
      <c r="BSQ100" s="60" t="n"/>
      <c r="BSR100" s="60" t="n"/>
      <c r="BSS100" s="60" t="n"/>
      <c r="BST100" s="60" t="n"/>
      <c r="BSU100" s="60" t="n"/>
      <c r="BSV100" s="60" t="n"/>
      <c r="BSW100" s="60" t="n"/>
      <c r="BSX100" s="60" t="n"/>
      <c r="BSY100" s="60" t="n"/>
      <c r="BSZ100" s="60" t="n"/>
      <c r="BTA100" s="60" t="n"/>
      <c r="BTB100" s="60" t="n"/>
      <c r="BTC100" s="60" t="n"/>
      <c r="BTD100" s="60" t="n"/>
      <c r="BTE100" s="60" t="n"/>
      <c r="BTF100" s="60" t="n"/>
      <c r="BTG100" s="60" t="n"/>
      <c r="BTH100" s="60" t="n"/>
      <c r="BTI100" s="60" t="n"/>
      <c r="BTJ100" s="60" t="n"/>
      <c r="BTK100" s="60" t="n"/>
      <c r="BTL100" s="60" t="n"/>
      <c r="BTM100" s="60" t="n"/>
      <c r="BTN100" s="60" t="n"/>
      <c r="BTO100" s="60" t="n"/>
      <c r="BTP100" s="60" t="n"/>
      <c r="BTQ100" s="60" t="n"/>
      <c r="BTR100" s="60" t="n"/>
      <c r="BTS100" s="60" t="n"/>
      <c r="BTT100" s="60" t="n"/>
      <c r="BTU100" s="60" t="n"/>
      <c r="BTV100" s="60" t="n"/>
      <c r="BTW100" s="60" t="n"/>
      <c r="BTX100" s="60" t="n"/>
      <c r="BTY100" s="60" t="n"/>
      <c r="BTZ100" s="60" t="n"/>
      <c r="BUA100" s="60" t="n"/>
      <c r="BUB100" s="60" t="n"/>
      <c r="BUC100" s="60" t="n"/>
      <c r="BUD100" s="60" t="n"/>
      <c r="BUE100" s="60" t="n"/>
      <c r="BUF100" s="60" t="n"/>
      <c r="BUG100" s="60" t="n"/>
      <c r="BUH100" s="60" t="n"/>
      <c r="BUI100" s="60" t="n"/>
      <c r="BUJ100" s="60" t="n"/>
      <c r="BUK100" s="60" t="n"/>
      <c r="BUL100" s="60" t="n"/>
      <c r="BUM100" s="60" t="n"/>
      <c r="BUN100" s="60" t="n"/>
      <c r="BUO100" s="60" t="n"/>
      <c r="BUP100" s="60" t="n"/>
      <c r="BUQ100" s="60" t="n"/>
      <c r="BUR100" s="60" t="n"/>
      <c r="BUS100" s="60" t="n"/>
      <c r="BUT100" s="60" t="n"/>
      <c r="BUU100" s="60" t="n"/>
      <c r="BUV100" s="60" t="n"/>
      <c r="BUW100" s="60" t="n"/>
      <c r="BUX100" s="60" t="n"/>
      <c r="BUY100" s="60" t="n"/>
      <c r="BUZ100" s="60" t="n"/>
      <c r="BVA100" s="60" t="n"/>
      <c r="BVB100" s="60" t="n"/>
      <c r="BVC100" s="60" t="n"/>
      <c r="BVD100" s="60" t="n"/>
      <c r="BVE100" s="60" t="n"/>
      <c r="BVF100" s="60" t="n"/>
      <c r="BVG100" s="60" t="n"/>
      <c r="BVH100" s="60" t="n"/>
      <c r="BVI100" s="60" t="n"/>
      <c r="BVJ100" s="60" t="n"/>
      <c r="BVK100" s="60" t="n"/>
      <c r="BVL100" s="60" t="n"/>
      <c r="BVM100" s="60" t="n"/>
      <c r="BVN100" s="60" t="n"/>
      <c r="BVO100" s="60" t="n"/>
      <c r="BVP100" s="60" t="n"/>
      <c r="BVQ100" s="60" t="n"/>
      <c r="BVR100" s="60" t="n"/>
      <c r="BVS100" s="60" t="n"/>
      <c r="BVT100" s="60" t="n"/>
      <c r="BVU100" s="60" t="n"/>
      <c r="BVV100" s="60" t="n"/>
      <c r="BVW100" s="60" t="n"/>
      <c r="BVX100" s="60" t="n"/>
      <c r="BVY100" s="60" t="n"/>
      <c r="BVZ100" s="60" t="n"/>
      <c r="BWA100" s="60" t="n"/>
      <c r="BWB100" s="60" t="n"/>
      <c r="BWC100" s="60" t="n"/>
      <c r="BWD100" s="60" t="n"/>
      <c r="BWE100" s="60" t="n"/>
      <c r="BWF100" s="60" t="n"/>
      <c r="BWG100" s="60" t="n"/>
      <c r="BWH100" s="60" t="n"/>
      <c r="BWI100" s="60" t="n"/>
      <c r="BWJ100" s="60" t="n"/>
      <c r="BWK100" s="60" t="n"/>
      <c r="BWL100" s="60" t="n"/>
      <c r="BWM100" s="60" t="n"/>
      <c r="BWN100" s="60" t="n"/>
      <c r="BWO100" s="60" t="n"/>
      <c r="BWP100" s="60" t="n"/>
      <c r="BWQ100" s="60" t="n"/>
      <c r="BWR100" s="60" t="n"/>
      <c r="BWS100" s="60" t="n"/>
      <c r="BWT100" s="60" t="n"/>
      <c r="BWU100" s="60" t="n"/>
      <c r="BWV100" s="60" t="n"/>
      <c r="BWW100" s="60" t="n"/>
      <c r="BWX100" s="60" t="n"/>
      <c r="BWY100" s="60" t="n"/>
      <c r="BWZ100" s="60" t="n"/>
      <c r="BXA100" s="60" t="n"/>
      <c r="BXB100" s="60" t="n"/>
      <c r="BXC100" s="60" t="n"/>
      <c r="BXD100" s="60" t="n"/>
      <c r="BXE100" s="60" t="n"/>
      <c r="BXF100" s="60" t="n"/>
      <c r="BXG100" s="60" t="n"/>
      <c r="BXH100" s="60" t="n"/>
      <c r="BXI100" s="60" t="n"/>
      <c r="BXJ100" s="60" t="n"/>
      <c r="BXK100" s="60" t="n"/>
      <c r="BXL100" s="60" t="n"/>
      <c r="BXM100" s="60" t="n"/>
      <c r="BXN100" s="60" t="n"/>
      <c r="BXO100" s="60" t="n"/>
      <c r="BXP100" s="60" t="n"/>
      <c r="BXQ100" s="60" t="n"/>
      <c r="BXR100" s="60" t="n"/>
      <c r="BXS100" s="60" t="n"/>
      <c r="BXT100" s="60" t="n"/>
      <c r="BXU100" s="60" t="n"/>
      <c r="BXV100" s="60" t="n"/>
      <c r="BXW100" s="60" t="n"/>
      <c r="BXX100" s="60" t="n"/>
      <c r="BXY100" s="60" t="n"/>
      <c r="BXZ100" s="60" t="n"/>
      <c r="BYA100" s="60" t="n"/>
      <c r="BYB100" s="60" t="n"/>
      <c r="BYC100" s="60" t="n"/>
      <c r="BYD100" s="60" t="n"/>
      <c r="BYE100" s="60" t="n"/>
      <c r="BYF100" s="60" t="n"/>
      <c r="BYG100" s="60" t="n"/>
      <c r="BYH100" s="60" t="n"/>
      <c r="BYI100" s="60" t="n"/>
      <c r="BYJ100" s="60" t="n"/>
      <c r="BYK100" s="60" t="n"/>
      <c r="BYL100" s="60" t="n"/>
      <c r="BYM100" s="60" t="n"/>
      <c r="BYN100" s="60" t="n"/>
      <c r="BYO100" s="60" t="n"/>
      <c r="BYP100" s="60" t="n"/>
      <c r="BYQ100" s="60" t="n"/>
      <c r="BYR100" s="60" t="n"/>
      <c r="BYS100" s="60" t="n"/>
      <c r="BYT100" s="60" t="n"/>
      <c r="BYU100" s="60" t="n"/>
      <c r="BYV100" s="60" t="n"/>
      <c r="BYW100" s="60" t="n"/>
      <c r="BYX100" s="60" t="n"/>
      <c r="BYY100" s="60" t="n"/>
      <c r="BYZ100" s="60" t="n"/>
      <c r="BZA100" s="60" t="n"/>
      <c r="BZB100" s="60" t="n"/>
      <c r="BZC100" s="60" t="n"/>
      <c r="BZD100" s="60" t="n"/>
      <c r="BZE100" s="60" t="n"/>
      <c r="BZF100" s="60" t="n"/>
      <c r="BZG100" s="60" t="n"/>
      <c r="BZH100" s="60" t="n"/>
      <c r="BZI100" s="60" t="n"/>
      <c r="BZJ100" s="60" t="n"/>
      <c r="BZK100" s="60" t="n"/>
      <c r="BZL100" s="60" t="n"/>
      <c r="BZM100" s="60" t="n"/>
      <c r="BZN100" s="60" t="n"/>
      <c r="BZO100" s="60" t="n"/>
      <c r="BZP100" s="60" t="n"/>
      <c r="BZQ100" s="60" t="n"/>
      <c r="BZR100" s="60" t="n"/>
      <c r="BZS100" s="60" t="n"/>
      <c r="BZT100" s="60" t="n"/>
      <c r="BZU100" s="60" t="n"/>
      <c r="BZV100" s="60" t="n"/>
      <c r="BZW100" s="60" t="n"/>
      <c r="BZX100" s="60" t="n"/>
      <c r="BZY100" s="60" t="n"/>
      <c r="BZZ100" s="60" t="n"/>
      <c r="CAA100" s="60" t="n"/>
      <c r="CAB100" s="60" t="n"/>
      <c r="CAC100" s="60" t="n"/>
      <c r="CAD100" s="60" t="n"/>
      <c r="CAE100" s="60" t="n"/>
      <c r="CAF100" s="60" t="n"/>
      <c r="CAG100" s="60" t="n"/>
      <c r="CAH100" s="60" t="n"/>
      <c r="CAI100" s="60" t="n"/>
      <c r="CAJ100" s="60" t="n"/>
      <c r="CAK100" s="60" t="n"/>
      <c r="CAL100" s="60" t="n"/>
      <c r="CAM100" s="60" t="n"/>
      <c r="CAN100" s="60" t="n"/>
      <c r="CAO100" s="60" t="n"/>
      <c r="CAP100" s="60" t="n"/>
      <c r="CAQ100" s="60" t="n"/>
      <c r="CAR100" s="60" t="n"/>
      <c r="CAS100" s="60" t="n"/>
      <c r="CAT100" s="60" t="n"/>
      <c r="CAU100" s="60" t="n"/>
      <c r="CAV100" s="60" t="n"/>
      <c r="CAW100" s="60" t="n"/>
      <c r="CAX100" s="60" t="n"/>
      <c r="CAY100" s="60" t="n"/>
      <c r="CAZ100" s="60" t="n"/>
      <c r="CBA100" s="60" t="n"/>
      <c r="CBB100" s="60" t="n"/>
      <c r="CBC100" s="60" t="n"/>
      <c r="CBD100" s="60" t="n"/>
      <c r="CBE100" s="60" t="n"/>
      <c r="CBF100" s="60" t="n"/>
      <c r="CBG100" s="60" t="n"/>
      <c r="CBH100" s="60" t="n"/>
      <c r="CBI100" s="60" t="n"/>
      <c r="CBJ100" s="60" t="n"/>
      <c r="CBK100" s="60" t="n"/>
      <c r="CBL100" s="60" t="n"/>
      <c r="CBM100" s="60" t="n"/>
      <c r="CBN100" s="60" t="n"/>
      <c r="CBO100" s="60" t="n"/>
      <c r="CBP100" s="60" t="n"/>
      <c r="CBQ100" s="60" t="n"/>
      <c r="CBR100" s="60" t="n"/>
      <c r="CBS100" s="60" t="n"/>
      <c r="CBT100" s="60" t="n"/>
      <c r="CBU100" s="60" t="n"/>
      <c r="CBV100" s="60" t="n"/>
      <c r="CBW100" s="60" t="n"/>
      <c r="CBX100" s="60" t="n"/>
      <c r="CBY100" s="60" t="n"/>
      <c r="CBZ100" s="60" t="n"/>
      <c r="CCA100" s="60" t="n"/>
      <c r="CCB100" s="60" t="n"/>
      <c r="CCC100" s="60" t="n"/>
      <c r="CCD100" s="60" t="n"/>
      <c r="CCE100" s="60" t="n"/>
      <c r="CCF100" s="60" t="n"/>
      <c r="CCG100" s="60" t="n"/>
      <c r="CCH100" s="60" t="n"/>
      <c r="CCI100" s="60" t="n"/>
      <c r="CCJ100" s="60" t="n"/>
      <c r="CCK100" s="60" t="n"/>
      <c r="CCL100" s="60" t="n"/>
      <c r="CCM100" s="60" t="n"/>
      <c r="CCN100" s="60" t="n"/>
      <c r="CCO100" s="60" t="n"/>
      <c r="CCP100" s="60" t="n"/>
      <c r="CCQ100" s="60" t="n"/>
      <c r="CCR100" s="60" t="n"/>
      <c r="CCS100" s="60" t="n"/>
      <c r="CCT100" s="60" t="n"/>
      <c r="CCU100" s="60" t="n"/>
      <c r="CCV100" s="60" t="n"/>
      <c r="CCW100" s="60" t="n"/>
      <c r="CCX100" s="60" t="n"/>
      <c r="CCY100" s="60" t="n"/>
      <c r="CCZ100" s="60" t="n"/>
      <c r="CDA100" s="60" t="n"/>
      <c r="CDB100" s="60" t="n"/>
      <c r="CDC100" s="60" t="n"/>
      <c r="CDD100" s="60" t="n"/>
      <c r="CDE100" s="60" t="n"/>
      <c r="CDF100" s="60" t="n"/>
      <c r="CDG100" s="60" t="n"/>
      <c r="CDH100" s="60" t="n"/>
      <c r="CDI100" s="60" t="n"/>
      <c r="CDJ100" s="60" t="n"/>
      <c r="CDK100" s="60" t="n"/>
      <c r="CDL100" s="60" t="n"/>
      <c r="CDM100" s="60" t="n"/>
      <c r="CDN100" s="60" t="n"/>
      <c r="CDO100" s="60" t="n"/>
      <c r="CDP100" s="60" t="n"/>
      <c r="CDQ100" s="60" t="n"/>
      <c r="CDR100" s="60" t="n"/>
      <c r="CDS100" s="60" t="n"/>
      <c r="CDT100" s="60" t="n"/>
      <c r="CDU100" s="60" t="n"/>
      <c r="CDV100" s="60" t="n"/>
      <c r="CDW100" s="60" t="n"/>
      <c r="CDX100" s="60" t="n"/>
      <c r="CDY100" s="60" t="n"/>
      <c r="CDZ100" s="60" t="n"/>
      <c r="CEA100" s="60" t="n"/>
      <c r="CEB100" s="60" t="n"/>
      <c r="CEC100" s="60" t="n"/>
      <c r="CED100" s="60" t="n"/>
      <c r="CEE100" s="60" t="n"/>
      <c r="CEF100" s="60" t="n"/>
      <c r="CEG100" s="60" t="n"/>
      <c r="CEH100" s="60" t="n"/>
      <c r="CEI100" s="60" t="n"/>
      <c r="CEJ100" s="60" t="n"/>
      <c r="CEK100" s="60" t="n"/>
      <c r="CEL100" s="60" t="n"/>
      <c r="CEM100" s="60" t="n"/>
      <c r="CEN100" s="60" t="n"/>
      <c r="CEO100" s="60" t="n"/>
      <c r="CEP100" s="60" t="n"/>
      <c r="CEQ100" s="60" t="n"/>
      <c r="CER100" s="60" t="n"/>
      <c r="CES100" s="60" t="n"/>
      <c r="CET100" s="60" t="n"/>
      <c r="CEU100" s="60" t="n"/>
      <c r="CEV100" s="60" t="n"/>
      <c r="CEW100" s="60" t="n"/>
      <c r="CEX100" s="60" t="n"/>
      <c r="CEY100" s="60" t="n"/>
      <c r="CEZ100" s="60" t="n"/>
      <c r="CFA100" s="60" t="n"/>
      <c r="CFB100" s="60" t="n"/>
      <c r="CFC100" s="60" t="n"/>
      <c r="CFD100" s="60" t="n"/>
      <c r="CFE100" s="60" t="n"/>
      <c r="CFF100" s="60" t="n"/>
      <c r="CFG100" s="60" t="n"/>
      <c r="CFH100" s="60" t="n"/>
      <c r="CFI100" s="60" t="n"/>
      <c r="CFJ100" s="60" t="n"/>
      <c r="CFK100" s="60" t="n"/>
      <c r="CFL100" s="60" t="n"/>
      <c r="CFM100" s="60" t="n"/>
      <c r="CFN100" s="60" t="n"/>
      <c r="CFO100" s="60" t="n"/>
      <c r="CFP100" s="60" t="n"/>
      <c r="CFQ100" s="60" t="n"/>
      <c r="CFR100" s="60" t="n"/>
      <c r="CFS100" s="60" t="n"/>
      <c r="CFT100" s="60" t="n"/>
      <c r="CFU100" s="60" t="n"/>
      <c r="CFV100" s="60" t="n"/>
      <c r="CFW100" s="60" t="n"/>
      <c r="CFX100" s="60" t="n"/>
      <c r="CFY100" s="60" t="n"/>
      <c r="CFZ100" s="60" t="n"/>
      <c r="CGA100" s="60" t="n"/>
      <c r="CGB100" s="60" t="n"/>
      <c r="CGC100" s="60" t="n"/>
      <c r="CGD100" s="60" t="n"/>
      <c r="CGE100" s="60" t="n"/>
      <c r="CGF100" s="60" t="n"/>
      <c r="CGG100" s="60" t="n"/>
      <c r="CGH100" s="60" t="n"/>
      <c r="CGI100" s="60" t="n"/>
      <c r="CGJ100" s="60" t="n"/>
      <c r="CGK100" s="60" t="n"/>
      <c r="CGL100" s="60" t="n"/>
      <c r="CGM100" s="60" t="n"/>
      <c r="CGN100" s="60" t="n"/>
      <c r="CGO100" s="60" t="n"/>
      <c r="CGP100" s="60" t="n"/>
      <c r="CGQ100" s="60" t="n"/>
      <c r="CGR100" s="60" t="n"/>
      <c r="CGS100" s="60" t="n"/>
      <c r="CGT100" s="60" t="n"/>
      <c r="CGU100" s="60" t="n"/>
      <c r="CGV100" s="60" t="n"/>
      <c r="CGW100" s="60" t="n"/>
      <c r="CGX100" s="60" t="n"/>
      <c r="CGY100" s="60" t="n"/>
      <c r="CGZ100" s="60" t="n"/>
      <c r="CHA100" s="60" t="n"/>
      <c r="CHB100" s="60" t="n"/>
      <c r="CHC100" s="60" t="n"/>
      <c r="CHD100" s="60" t="n"/>
      <c r="CHE100" s="60" t="n"/>
      <c r="CHF100" s="60" t="n"/>
      <c r="CHG100" s="60" t="n"/>
      <c r="CHH100" s="60" t="n"/>
      <c r="CHI100" s="60" t="n"/>
      <c r="CHJ100" s="60" t="n"/>
      <c r="CHK100" s="60" t="n"/>
      <c r="CHL100" s="60" t="n"/>
      <c r="CHM100" s="60" t="n"/>
      <c r="CHN100" s="60" t="n"/>
      <c r="CHO100" s="60" t="n"/>
      <c r="CHP100" s="60" t="n"/>
      <c r="CHQ100" s="60" t="n"/>
      <c r="CHR100" s="60" t="n"/>
      <c r="CHS100" s="60" t="n"/>
      <c r="CHT100" s="60" t="n"/>
      <c r="CHU100" s="60" t="n"/>
      <c r="CHV100" s="60" t="n"/>
      <c r="CHW100" s="60" t="n"/>
      <c r="CHX100" s="60" t="n"/>
      <c r="CHY100" s="60" t="n"/>
      <c r="CHZ100" s="60" t="n"/>
      <c r="CIA100" s="60" t="n"/>
      <c r="CIB100" s="60" t="n"/>
      <c r="CIC100" s="60" t="n"/>
      <c r="CID100" s="60" t="n"/>
      <c r="CIE100" s="60" t="n"/>
      <c r="CIF100" s="60" t="n"/>
      <c r="CIG100" s="60" t="n"/>
      <c r="CIH100" s="60" t="n"/>
      <c r="CII100" s="60" t="n"/>
      <c r="CIJ100" s="60" t="n"/>
      <c r="CIK100" s="60" t="n"/>
      <c r="CIL100" s="60" t="n"/>
      <c r="CIM100" s="60" t="n"/>
      <c r="CIN100" s="60" t="n"/>
      <c r="CIO100" s="60" t="n"/>
      <c r="CIP100" s="60" t="n"/>
      <c r="CIQ100" s="60" t="n"/>
      <c r="CIR100" s="60" t="n"/>
      <c r="CIS100" s="60" t="n"/>
      <c r="CIT100" s="60" t="n"/>
      <c r="CIU100" s="60" t="n"/>
      <c r="CIV100" s="60" t="n"/>
      <c r="CIW100" s="60" t="n"/>
      <c r="CIX100" s="60" t="n"/>
      <c r="CIY100" s="60" t="n"/>
      <c r="CIZ100" s="60" t="n"/>
      <c r="CJA100" s="60" t="n"/>
      <c r="CJB100" s="60" t="n"/>
      <c r="CJC100" s="60" t="n"/>
      <c r="CJD100" s="60" t="n"/>
      <c r="CJE100" s="60" t="n"/>
      <c r="CJF100" s="60" t="n"/>
      <c r="CJG100" s="60" t="n"/>
      <c r="CJH100" s="60" t="n"/>
      <c r="CJI100" s="60" t="n"/>
      <c r="CJJ100" s="60" t="n"/>
      <c r="CJK100" s="60" t="n"/>
      <c r="CJL100" s="60" t="n"/>
      <c r="CJM100" s="60" t="n"/>
      <c r="CJN100" s="60" t="n"/>
      <c r="CJO100" s="60" t="n"/>
      <c r="CJP100" s="60" t="n"/>
      <c r="CJQ100" s="60" t="n"/>
      <c r="CJR100" s="60" t="n"/>
      <c r="CJS100" s="60" t="n"/>
      <c r="CJT100" s="60" t="n"/>
      <c r="CJU100" s="60" t="n"/>
      <c r="CJV100" s="60" t="n"/>
      <c r="CJW100" s="60" t="n"/>
      <c r="CJX100" s="60" t="n"/>
      <c r="CJY100" s="60" t="n"/>
      <c r="CJZ100" s="60" t="n"/>
      <c r="CKA100" s="60" t="n"/>
      <c r="CKB100" s="60" t="n"/>
      <c r="CKC100" s="60" t="n"/>
      <c r="CKD100" s="60" t="n"/>
      <c r="CKE100" s="60" t="n"/>
      <c r="CKF100" s="60" t="n"/>
      <c r="CKG100" s="60" t="n"/>
      <c r="CKH100" s="60" t="n"/>
      <c r="CKI100" s="60" t="n"/>
      <c r="CKJ100" s="60" t="n"/>
      <c r="CKK100" s="60" t="n"/>
      <c r="CKL100" s="60" t="n"/>
      <c r="CKM100" s="60" t="n"/>
      <c r="CKN100" s="60" t="n"/>
      <c r="CKO100" s="60" t="n"/>
      <c r="CKP100" s="60" t="n"/>
      <c r="CKQ100" s="60" t="n"/>
      <c r="CKR100" s="60" t="n"/>
      <c r="CKS100" s="60" t="n"/>
      <c r="CKT100" s="60" t="n"/>
      <c r="CKU100" s="60" t="n"/>
      <c r="CKV100" s="60" t="n"/>
      <c r="CKW100" s="60" t="n"/>
      <c r="CKX100" s="60" t="n"/>
      <c r="CKY100" s="60" t="n"/>
      <c r="CKZ100" s="60" t="n"/>
      <c r="CLA100" s="60" t="n"/>
      <c r="CLB100" s="60" t="n"/>
      <c r="CLC100" s="60" t="n"/>
      <c r="CLD100" s="60" t="n"/>
      <c r="CLE100" s="60" t="n"/>
      <c r="CLF100" s="60" t="n"/>
      <c r="CLG100" s="60" t="n"/>
      <c r="CLH100" s="60" t="n"/>
      <c r="CLI100" s="60" t="n"/>
      <c r="CLJ100" s="60" t="n"/>
      <c r="CLK100" s="60" t="n"/>
      <c r="CLL100" s="60" t="n"/>
      <c r="CLM100" s="60" t="n"/>
      <c r="CLN100" s="60" t="n"/>
      <c r="CLO100" s="60" t="n"/>
      <c r="CLP100" s="60" t="n"/>
      <c r="CLQ100" s="60" t="n"/>
      <c r="CLR100" s="60" t="n"/>
      <c r="CLS100" s="60" t="n"/>
      <c r="CLT100" s="60" t="n"/>
      <c r="CLU100" s="60" t="n"/>
      <c r="CLV100" s="60" t="n"/>
      <c r="CLW100" s="60" t="n"/>
      <c r="CLX100" s="60" t="n"/>
      <c r="CLY100" s="60" t="n"/>
      <c r="CLZ100" s="60" t="n"/>
      <c r="CMA100" s="60" t="n"/>
      <c r="CMB100" s="60" t="n"/>
      <c r="CMC100" s="60" t="n"/>
      <c r="CMD100" s="60" t="n"/>
      <c r="CME100" s="60" t="n"/>
      <c r="CMF100" s="60" t="n"/>
      <c r="CMG100" s="60" t="n"/>
      <c r="CMH100" s="60" t="n"/>
      <c r="CMI100" s="60" t="n"/>
      <c r="CMJ100" s="60" t="n"/>
      <c r="CMK100" s="60" t="n"/>
      <c r="CML100" s="60" t="n"/>
      <c r="CMM100" s="60" t="n"/>
      <c r="CMN100" s="60" t="n"/>
      <c r="CMO100" s="60" t="n"/>
      <c r="CMP100" s="60" t="n"/>
      <c r="CMQ100" s="60" t="n"/>
      <c r="CMR100" s="60" t="n"/>
      <c r="CMS100" s="60" t="n"/>
      <c r="CMT100" s="60" t="n"/>
      <c r="CMU100" s="60" t="n"/>
      <c r="CMV100" s="60" t="n"/>
      <c r="CMW100" s="60" t="n"/>
      <c r="CMX100" s="60" t="n"/>
      <c r="CMY100" s="60" t="n"/>
      <c r="CMZ100" s="60" t="n"/>
      <c r="CNA100" s="60" t="n"/>
      <c r="CNB100" s="60" t="n"/>
      <c r="CNC100" s="60" t="n"/>
      <c r="CND100" s="60" t="n"/>
      <c r="CNE100" s="60" t="n"/>
      <c r="CNF100" s="60" t="n"/>
      <c r="CNG100" s="60" t="n"/>
      <c r="CNH100" s="60" t="n"/>
      <c r="CNI100" s="60" t="n"/>
      <c r="CNJ100" s="60" t="n"/>
      <c r="CNK100" s="60" t="n"/>
      <c r="CNL100" s="60" t="n"/>
      <c r="CNM100" s="60" t="n"/>
      <c r="CNN100" s="60" t="n"/>
      <c r="CNO100" s="60" t="n"/>
      <c r="CNP100" s="60" t="n"/>
      <c r="CNQ100" s="60" t="n"/>
      <c r="CNR100" s="60" t="n"/>
      <c r="CNS100" s="60" t="n"/>
      <c r="CNT100" s="60" t="n"/>
      <c r="CNU100" s="60" t="n"/>
      <c r="CNV100" s="60" t="n"/>
      <c r="CNW100" s="60" t="n"/>
      <c r="CNX100" s="60" t="n"/>
      <c r="CNY100" s="60" t="n"/>
      <c r="CNZ100" s="60" t="n"/>
      <c r="COA100" s="60" t="n"/>
      <c r="COB100" s="60" t="n"/>
      <c r="COC100" s="60" t="n"/>
      <c r="COD100" s="60" t="n"/>
      <c r="COE100" s="60" t="n"/>
      <c r="COF100" s="60" t="n"/>
      <c r="COG100" s="60" t="n"/>
      <c r="COH100" s="60" t="n"/>
      <c r="COI100" s="60" t="n"/>
      <c r="COJ100" s="60" t="n"/>
      <c r="COK100" s="60" t="n"/>
      <c r="COL100" s="60" t="n"/>
      <c r="COM100" s="60" t="n"/>
      <c r="CON100" s="60" t="n"/>
      <c r="COO100" s="60" t="n"/>
      <c r="COP100" s="60" t="n"/>
      <c r="COQ100" s="60" t="n"/>
      <c r="COR100" s="60" t="n"/>
      <c r="COS100" s="60" t="n"/>
      <c r="COT100" s="60" t="n"/>
      <c r="COU100" s="60" t="n"/>
      <c r="COV100" s="60" t="n"/>
      <c r="COW100" s="60" t="n"/>
      <c r="COX100" s="60" t="n"/>
      <c r="COY100" s="60" t="n"/>
      <c r="COZ100" s="60" t="n"/>
      <c r="CPA100" s="60" t="n"/>
      <c r="CPB100" s="60" t="n"/>
      <c r="CPC100" s="60" t="n"/>
      <c r="CPD100" s="60" t="n"/>
      <c r="CPE100" s="60" t="n"/>
      <c r="CPF100" s="60" t="n"/>
      <c r="CPG100" s="60" t="n"/>
      <c r="CPH100" s="60" t="n"/>
      <c r="CPI100" s="60" t="n"/>
      <c r="CPJ100" s="60" t="n"/>
      <c r="CPK100" s="60" t="n"/>
      <c r="CPL100" s="60" t="n"/>
      <c r="CPM100" s="60" t="n"/>
      <c r="CPN100" s="60" t="n"/>
      <c r="CPO100" s="60" t="n"/>
      <c r="CPP100" s="60" t="n"/>
      <c r="CPQ100" s="60" t="n"/>
      <c r="CPR100" s="60" t="n"/>
      <c r="CPS100" s="60" t="n"/>
      <c r="CPT100" s="60" t="n"/>
      <c r="CPU100" s="60" t="n"/>
      <c r="CPV100" s="60" t="n"/>
      <c r="CPW100" s="60" t="n"/>
      <c r="CPX100" s="60" t="n"/>
      <c r="CPY100" s="60" t="n"/>
      <c r="CPZ100" s="60" t="n"/>
      <c r="CQA100" s="60" t="n"/>
      <c r="CQB100" s="60" t="n"/>
      <c r="CQC100" s="60" t="n"/>
      <c r="CQD100" s="60" t="n"/>
      <c r="CQE100" s="60" t="n"/>
      <c r="CQF100" s="60" t="n"/>
      <c r="CQG100" s="60" t="n"/>
      <c r="CQH100" s="60" t="n"/>
      <c r="CQI100" s="60" t="n"/>
      <c r="CQJ100" s="60" t="n"/>
      <c r="CQK100" s="60" t="n"/>
      <c r="CQL100" s="60" t="n"/>
      <c r="CQM100" s="60" t="n"/>
      <c r="CQN100" s="60" t="n"/>
      <c r="CQO100" s="60" t="n"/>
      <c r="CQP100" s="60" t="n"/>
      <c r="CQQ100" s="60" t="n"/>
      <c r="CQR100" s="60" t="n"/>
      <c r="CQS100" s="60" t="n"/>
      <c r="CQT100" s="60" t="n"/>
      <c r="CQU100" s="60" t="n"/>
      <c r="CQV100" s="60" t="n"/>
      <c r="CQW100" s="60" t="n"/>
      <c r="CQX100" s="60" t="n"/>
      <c r="CQY100" s="60" t="n"/>
      <c r="CQZ100" s="60" t="n"/>
      <c r="CRA100" s="60" t="n"/>
      <c r="CRB100" s="60" t="n"/>
      <c r="CRC100" s="60" t="n"/>
      <c r="CRD100" s="60" t="n"/>
      <c r="CRE100" s="60" t="n"/>
      <c r="CRF100" s="60" t="n"/>
      <c r="CRG100" s="60" t="n"/>
      <c r="CRH100" s="60" t="n"/>
      <c r="CRI100" s="60" t="n"/>
      <c r="CRJ100" s="60" t="n"/>
      <c r="CRK100" s="60" t="n"/>
      <c r="CRL100" s="60" t="n"/>
      <c r="CRM100" s="60" t="n"/>
      <c r="CRN100" s="60" t="n"/>
      <c r="CRO100" s="60" t="n"/>
      <c r="CRP100" s="60" t="n"/>
      <c r="CRQ100" s="60" t="n"/>
      <c r="CRR100" s="60" t="n"/>
      <c r="CRS100" s="60" t="n"/>
      <c r="CRT100" s="60" t="n"/>
      <c r="CRU100" s="60" t="n"/>
      <c r="CRV100" s="60" t="n"/>
      <c r="CRW100" s="60" t="n"/>
      <c r="CRX100" s="60" t="n"/>
      <c r="CRY100" s="60" t="n"/>
      <c r="CRZ100" s="60" t="n"/>
      <c r="CSA100" s="60" t="n"/>
      <c r="CSB100" s="60" t="n"/>
      <c r="CSC100" s="60" t="n"/>
      <c r="CSD100" s="60" t="n"/>
      <c r="CSE100" s="60" t="n"/>
      <c r="CSF100" s="60" t="n"/>
      <c r="CSG100" s="60" t="n"/>
      <c r="CSH100" s="60" t="n"/>
      <c r="CSI100" s="60" t="n"/>
      <c r="CSJ100" s="60" t="n"/>
      <c r="CSK100" s="60" t="n"/>
      <c r="CSL100" s="60" t="n"/>
      <c r="CSM100" s="60" t="n"/>
      <c r="CSN100" s="60" t="n"/>
      <c r="CSO100" s="60" t="n"/>
      <c r="CSP100" s="60" t="n"/>
      <c r="CSQ100" s="60" t="n"/>
      <c r="CSR100" s="60" t="n"/>
      <c r="CSS100" s="60" t="n"/>
      <c r="CST100" s="60" t="n"/>
      <c r="CSU100" s="60" t="n"/>
      <c r="CSV100" s="60" t="n"/>
      <c r="CSW100" s="60" t="n"/>
      <c r="CSX100" s="60" t="n"/>
      <c r="CSY100" s="60" t="n"/>
      <c r="CSZ100" s="60" t="n"/>
      <c r="CTA100" s="60" t="n"/>
      <c r="CTB100" s="60" t="n"/>
      <c r="CTC100" s="60" t="n"/>
      <c r="CTD100" s="60" t="n"/>
      <c r="CTE100" s="60" t="n"/>
      <c r="CTF100" s="60" t="n"/>
      <c r="CTG100" s="60" t="n"/>
      <c r="CTH100" s="60" t="n"/>
      <c r="CTI100" s="60" t="n"/>
      <c r="CTJ100" s="60" t="n"/>
      <c r="CTK100" s="60" t="n"/>
      <c r="CTL100" s="60" t="n"/>
      <c r="CTM100" s="60" t="n"/>
      <c r="CTN100" s="60" t="n"/>
      <c r="CTO100" s="60" t="n"/>
      <c r="CTP100" s="60" t="n"/>
      <c r="CTQ100" s="60" t="n"/>
      <c r="CTR100" s="60" t="n"/>
      <c r="CTS100" s="60" t="n"/>
      <c r="CTT100" s="60" t="n"/>
      <c r="CTU100" s="60" t="n"/>
      <c r="CTV100" s="60" t="n"/>
      <c r="CTW100" s="60" t="n"/>
      <c r="CTX100" s="60" t="n"/>
      <c r="CTY100" s="60" t="n"/>
      <c r="CTZ100" s="60" t="n"/>
      <c r="CUA100" s="60" t="n"/>
      <c r="CUB100" s="60" t="n"/>
      <c r="CUC100" s="60" t="n"/>
      <c r="CUD100" s="60" t="n"/>
      <c r="CUE100" s="60" t="n"/>
      <c r="CUF100" s="60" t="n"/>
      <c r="CUG100" s="60" t="n"/>
      <c r="CUH100" s="60" t="n"/>
      <c r="CUI100" s="60" t="n"/>
      <c r="CUJ100" s="60" t="n"/>
      <c r="CUK100" s="60" t="n"/>
      <c r="CUL100" s="60" t="n"/>
      <c r="CUM100" s="60" t="n"/>
      <c r="CUN100" s="60" t="n"/>
      <c r="CUO100" s="60" t="n"/>
      <c r="CUP100" s="60" t="n"/>
      <c r="CUQ100" s="60" t="n"/>
      <c r="CUR100" s="60" t="n"/>
      <c r="CUS100" s="60" t="n"/>
      <c r="CUT100" s="60" t="n"/>
      <c r="CUU100" s="60" t="n"/>
      <c r="CUV100" s="60" t="n"/>
      <c r="CUW100" s="60" t="n"/>
      <c r="CUX100" s="60" t="n"/>
      <c r="CUY100" s="60" t="n"/>
      <c r="CUZ100" s="60" t="n"/>
      <c r="CVA100" s="60" t="n"/>
      <c r="CVB100" s="60" t="n"/>
      <c r="CVC100" s="60" t="n"/>
      <c r="CVD100" s="60" t="n"/>
      <c r="CVE100" s="60" t="n"/>
      <c r="CVF100" s="60" t="n"/>
      <c r="CVG100" s="60" t="n"/>
      <c r="CVH100" s="60" t="n"/>
      <c r="CVI100" s="60" t="n"/>
      <c r="CVJ100" s="60" t="n"/>
      <c r="CVK100" s="60" t="n"/>
      <c r="CVL100" s="60" t="n"/>
      <c r="CVM100" s="60" t="n"/>
      <c r="CVN100" s="60" t="n"/>
      <c r="CVO100" s="60" t="n"/>
      <c r="CVP100" s="60" t="n"/>
      <c r="CVQ100" s="60" t="n"/>
      <c r="CVR100" s="60" t="n"/>
      <c r="CVS100" s="60" t="n"/>
      <c r="CVT100" s="60" t="n"/>
      <c r="CVU100" s="60" t="n"/>
      <c r="CVV100" s="60" t="n"/>
      <c r="CVW100" s="60" t="n"/>
      <c r="CVX100" s="60" t="n"/>
      <c r="CVY100" s="60" t="n"/>
      <c r="CVZ100" s="60" t="n"/>
      <c r="CWA100" s="60" t="n"/>
      <c r="CWB100" s="60" t="n"/>
      <c r="CWC100" s="60" t="n"/>
      <c r="CWD100" s="60" t="n"/>
      <c r="CWE100" s="60" t="n"/>
      <c r="CWF100" s="60" t="n"/>
      <c r="CWG100" s="60" t="n"/>
      <c r="CWH100" s="60" t="n"/>
      <c r="CWI100" s="60" t="n"/>
      <c r="CWJ100" s="60" t="n"/>
      <c r="CWK100" s="60" t="n"/>
      <c r="CWL100" s="60" t="n"/>
      <c r="CWM100" s="60" t="n"/>
      <c r="CWN100" s="60" t="n"/>
      <c r="CWO100" s="60" t="n"/>
      <c r="CWP100" s="60" t="n"/>
      <c r="CWQ100" s="60" t="n"/>
      <c r="CWR100" s="60" t="n"/>
      <c r="CWS100" s="60" t="n"/>
      <c r="CWT100" s="60" t="n"/>
      <c r="CWU100" s="60" t="n"/>
      <c r="CWV100" s="60" t="n"/>
      <c r="CWW100" s="60" t="n"/>
      <c r="CWX100" s="60" t="n"/>
      <c r="CWY100" s="60" t="n"/>
      <c r="CWZ100" s="60" t="n"/>
      <c r="CXA100" s="60" t="n"/>
      <c r="CXB100" s="60" t="n"/>
      <c r="CXC100" s="60" t="n"/>
      <c r="CXD100" s="60" t="n"/>
      <c r="CXE100" s="60" t="n"/>
      <c r="CXF100" s="60" t="n"/>
      <c r="CXG100" s="60" t="n"/>
      <c r="CXH100" s="60" t="n"/>
      <c r="CXI100" s="60" t="n"/>
      <c r="CXJ100" s="60" t="n"/>
      <c r="CXK100" s="60" t="n"/>
      <c r="CXL100" s="60" t="n"/>
      <c r="CXM100" s="60" t="n"/>
      <c r="CXN100" s="60" t="n"/>
      <c r="CXO100" s="60" t="n"/>
      <c r="CXP100" s="60" t="n"/>
      <c r="CXQ100" s="60" t="n"/>
      <c r="CXR100" s="60" t="n"/>
      <c r="CXS100" s="60" t="n"/>
      <c r="CXT100" s="60" t="n"/>
      <c r="CXU100" s="60" t="n"/>
      <c r="CXV100" s="60" t="n"/>
      <c r="CXW100" s="60" t="n"/>
      <c r="CXX100" s="60" t="n"/>
      <c r="CXY100" s="60" t="n"/>
      <c r="CXZ100" s="60" t="n"/>
      <c r="CYA100" s="60" t="n"/>
      <c r="CYB100" s="60" t="n"/>
      <c r="CYC100" s="60" t="n"/>
      <c r="CYD100" s="60" t="n"/>
      <c r="CYE100" s="60" t="n"/>
      <c r="CYF100" s="60" t="n"/>
      <c r="CYG100" s="60" t="n"/>
      <c r="CYH100" s="60" t="n"/>
      <c r="CYI100" s="60" t="n"/>
      <c r="CYJ100" s="60" t="n"/>
      <c r="CYK100" s="60" t="n"/>
      <c r="CYL100" s="60" t="n"/>
      <c r="CYM100" s="60" t="n"/>
      <c r="CYN100" s="60" t="n"/>
      <c r="CYO100" s="60" t="n"/>
      <c r="CYP100" s="60" t="n"/>
      <c r="CYQ100" s="60" t="n"/>
      <c r="CYR100" s="60" t="n"/>
      <c r="CYS100" s="60" t="n"/>
      <c r="CYT100" s="60" t="n"/>
      <c r="CYU100" s="60" t="n"/>
      <c r="CYV100" s="60" t="n"/>
      <c r="CYW100" s="60" t="n"/>
      <c r="CYX100" s="60" t="n"/>
      <c r="CYY100" s="60" t="n"/>
      <c r="CYZ100" s="60" t="n"/>
      <c r="CZA100" s="60" t="n"/>
      <c r="CZB100" s="60" t="n"/>
      <c r="CZC100" s="60" t="n"/>
      <c r="CZD100" s="60" t="n"/>
      <c r="CZE100" s="60" t="n"/>
      <c r="CZF100" s="60" t="n"/>
      <c r="CZG100" s="60" t="n"/>
      <c r="CZH100" s="60" t="n"/>
      <c r="CZI100" s="60" t="n"/>
      <c r="CZJ100" s="60" t="n"/>
      <c r="CZK100" s="60" t="n"/>
      <c r="CZL100" s="60" t="n"/>
      <c r="CZM100" s="60" t="n"/>
      <c r="CZN100" s="60" t="n"/>
      <c r="CZO100" s="60" t="n"/>
      <c r="CZP100" s="60" t="n"/>
      <c r="CZQ100" s="60" t="n"/>
      <c r="CZR100" s="60" t="n"/>
      <c r="CZS100" s="60" t="n"/>
      <c r="CZT100" s="60" t="n"/>
      <c r="CZU100" s="60" t="n"/>
      <c r="CZV100" s="60" t="n"/>
      <c r="CZW100" s="60" t="n"/>
      <c r="CZX100" s="60" t="n"/>
      <c r="CZY100" s="60" t="n"/>
      <c r="CZZ100" s="60" t="n"/>
      <c r="DAA100" s="60" t="n"/>
      <c r="DAB100" s="60" t="n"/>
      <c r="DAC100" s="60" t="n"/>
      <c r="DAD100" s="60" t="n"/>
      <c r="DAE100" s="60" t="n"/>
      <c r="DAF100" s="60" t="n"/>
      <c r="DAG100" s="60" t="n"/>
      <c r="DAH100" s="60" t="n"/>
      <c r="DAI100" s="60" t="n"/>
      <c r="DAJ100" s="60" t="n"/>
      <c r="DAK100" s="60" t="n"/>
      <c r="DAL100" s="60" t="n"/>
      <c r="DAM100" s="60" t="n"/>
      <c r="DAN100" s="60" t="n"/>
      <c r="DAO100" s="60" t="n"/>
      <c r="DAP100" s="60" t="n"/>
      <c r="DAQ100" s="60" t="n"/>
      <c r="DAR100" s="60" t="n"/>
      <c r="DAS100" s="60" t="n"/>
      <c r="DAT100" s="60" t="n"/>
      <c r="DAU100" s="60" t="n"/>
      <c r="DAV100" s="60" t="n"/>
      <c r="DAW100" s="60" t="n"/>
      <c r="DAX100" s="60" t="n"/>
      <c r="DAY100" s="60" t="n"/>
      <c r="DAZ100" s="60" t="n"/>
      <c r="DBA100" s="60" t="n"/>
      <c r="DBB100" s="60" t="n"/>
      <c r="DBC100" s="60" t="n"/>
      <c r="DBD100" s="60" t="n"/>
      <c r="DBE100" s="60" t="n"/>
      <c r="DBF100" s="60" t="n"/>
      <c r="DBG100" s="60" t="n"/>
      <c r="DBH100" s="60" t="n"/>
      <c r="DBI100" s="60" t="n"/>
      <c r="DBJ100" s="60" t="n"/>
      <c r="DBK100" s="60" t="n"/>
      <c r="DBL100" s="60" t="n"/>
      <c r="DBM100" s="60" t="n"/>
      <c r="DBN100" s="60" t="n"/>
      <c r="DBO100" s="60" t="n"/>
      <c r="DBP100" s="60" t="n"/>
      <c r="DBQ100" s="60" t="n"/>
      <c r="DBR100" s="60" t="n"/>
      <c r="DBS100" s="60" t="n"/>
      <c r="DBT100" s="60" t="n"/>
      <c r="DBU100" s="60" t="n"/>
      <c r="DBV100" s="60" t="n"/>
      <c r="DBW100" s="60" t="n"/>
      <c r="DBX100" s="60" t="n"/>
      <c r="DBY100" s="60" t="n"/>
      <c r="DBZ100" s="60" t="n"/>
      <c r="DCA100" s="60" t="n"/>
      <c r="DCB100" s="60" t="n"/>
      <c r="DCC100" s="60" t="n"/>
      <c r="DCD100" s="60" t="n"/>
      <c r="DCE100" s="60" t="n"/>
      <c r="DCF100" s="60" t="n"/>
      <c r="DCG100" s="60" t="n"/>
      <c r="DCH100" s="60" t="n"/>
      <c r="DCI100" s="60" t="n"/>
      <c r="DCJ100" s="60" t="n"/>
      <c r="DCK100" s="60" t="n"/>
      <c r="DCL100" s="60" t="n"/>
      <c r="DCM100" s="60" t="n"/>
      <c r="DCN100" s="60" t="n"/>
      <c r="DCO100" s="60" t="n"/>
      <c r="DCP100" s="60" t="n"/>
      <c r="DCQ100" s="60" t="n"/>
      <c r="DCR100" s="60" t="n"/>
      <c r="DCS100" s="60" t="n"/>
      <c r="DCT100" s="60" t="n"/>
      <c r="DCU100" s="60" t="n"/>
      <c r="DCV100" s="60" t="n"/>
      <c r="DCW100" s="60" t="n"/>
      <c r="DCX100" s="60" t="n"/>
      <c r="DCY100" s="60" t="n"/>
      <c r="DCZ100" s="60" t="n"/>
      <c r="DDA100" s="60" t="n"/>
      <c r="DDB100" s="60" t="n"/>
      <c r="DDC100" s="60" t="n"/>
      <c r="DDD100" s="60" t="n"/>
      <c r="DDE100" s="60" t="n"/>
      <c r="DDF100" s="60" t="n"/>
      <c r="DDG100" s="60" t="n"/>
      <c r="DDH100" s="60" t="n"/>
      <c r="DDI100" s="60" t="n"/>
      <c r="DDJ100" s="60" t="n"/>
      <c r="DDK100" s="60" t="n"/>
      <c r="DDL100" s="60" t="n"/>
      <c r="DDM100" s="60" t="n"/>
      <c r="DDN100" s="60" t="n"/>
      <c r="DDO100" s="60" t="n"/>
      <c r="DDP100" s="60" t="n"/>
      <c r="DDQ100" s="60" t="n"/>
      <c r="DDR100" s="60" t="n"/>
      <c r="DDS100" s="60" t="n"/>
      <c r="DDT100" s="60" t="n"/>
      <c r="DDU100" s="60" t="n"/>
      <c r="DDV100" s="60" t="n"/>
      <c r="DDW100" s="60" t="n"/>
      <c r="DDX100" s="60" t="n"/>
      <c r="DDY100" s="60" t="n"/>
      <c r="DDZ100" s="60" t="n"/>
      <c r="DEA100" s="60" t="n"/>
      <c r="DEB100" s="60" t="n"/>
      <c r="DEC100" s="60" t="n"/>
      <c r="DED100" s="60" t="n"/>
      <c r="DEE100" s="60" t="n"/>
      <c r="DEF100" s="60" t="n"/>
      <c r="DEG100" s="60" t="n"/>
      <c r="DEH100" s="60" t="n"/>
      <c r="DEI100" s="60" t="n"/>
      <c r="DEJ100" s="60" t="n"/>
      <c r="DEK100" s="60" t="n"/>
      <c r="DEL100" s="60" t="n"/>
      <c r="DEM100" s="60" t="n"/>
      <c r="DEN100" s="60" t="n"/>
      <c r="DEO100" s="60" t="n"/>
      <c r="DEP100" s="60" t="n"/>
      <c r="DEQ100" s="60" t="n"/>
      <c r="DER100" s="60" t="n"/>
      <c r="DES100" s="60" t="n"/>
      <c r="DET100" s="60" t="n"/>
      <c r="DEU100" s="60" t="n"/>
      <c r="DEV100" s="60" t="n"/>
      <c r="DEW100" s="60" t="n"/>
      <c r="DEX100" s="60" t="n"/>
      <c r="DEY100" s="60" t="n"/>
      <c r="DEZ100" s="60" t="n"/>
      <c r="DFA100" s="60" t="n"/>
      <c r="DFB100" s="60" t="n"/>
      <c r="DFC100" s="60" t="n"/>
      <c r="DFD100" s="60" t="n"/>
      <c r="DFE100" s="60" t="n"/>
      <c r="DFF100" s="60" t="n"/>
      <c r="DFG100" s="60" t="n"/>
      <c r="DFH100" s="60" t="n"/>
      <c r="DFI100" s="60" t="n"/>
      <c r="DFJ100" s="60" t="n"/>
      <c r="DFK100" s="60" t="n"/>
      <c r="DFL100" s="60" t="n"/>
      <c r="DFM100" s="60" t="n"/>
      <c r="DFN100" s="60" t="n"/>
      <c r="DFO100" s="60" t="n"/>
      <c r="DFP100" s="60" t="n"/>
      <c r="DFQ100" s="60" t="n"/>
      <c r="DFR100" s="60" t="n"/>
      <c r="DFS100" s="60" t="n"/>
      <c r="DFT100" s="60" t="n"/>
      <c r="DFU100" s="60" t="n"/>
      <c r="DFV100" s="60" t="n"/>
      <c r="DFW100" s="60" t="n"/>
      <c r="DFX100" s="60" t="n"/>
      <c r="DFY100" s="60" t="n"/>
      <c r="DFZ100" s="60" t="n"/>
      <c r="DGA100" s="60" t="n"/>
      <c r="DGB100" s="60" t="n"/>
      <c r="DGC100" s="60" t="n"/>
      <c r="DGD100" s="60" t="n"/>
      <c r="DGE100" s="60" t="n"/>
      <c r="DGF100" s="60" t="n"/>
      <c r="DGG100" s="60" t="n"/>
      <c r="DGH100" s="60" t="n"/>
      <c r="DGI100" s="60" t="n"/>
      <c r="DGJ100" s="60" t="n"/>
      <c r="DGK100" s="60" t="n"/>
      <c r="DGL100" s="60" t="n"/>
      <c r="DGM100" s="60" t="n"/>
      <c r="DGN100" s="60" t="n"/>
      <c r="DGO100" s="60" t="n"/>
      <c r="DGP100" s="60" t="n"/>
      <c r="DGQ100" s="60" t="n"/>
      <c r="DGR100" s="60" t="n"/>
      <c r="DGS100" s="60" t="n"/>
      <c r="DGT100" s="60" t="n"/>
      <c r="DGU100" s="60" t="n"/>
      <c r="DGV100" s="60" t="n"/>
      <c r="DGW100" s="60" t="n"/>
      <c r="DGX100" s="60" t="n"/>
      <c r="DGY100" s="60" t="n"/>
      <c r="DGZ100" s="60" t="n"/>
      <c r="DHA100" s="60" t="n"/>
      <c r="DHB100" s="60" t="n"/>
      <c r="DHC100" s="60" t="n"/>
      <c r="DHD100" s="60" t="n"/>
      <c r="DHE100" s="60" t="n"/>
      <c r="DHF100" s="60" t="n"/>
      <c r="DHG100" s="60" t="n"/>
      <c r="DHH100" s="60" t="n"/>
      <c r="DHI100" s="60" t="n"/>
      <c r="DHJ100" s="60" t="n"/>
      <c r="DHK100" s="60" t="n"/>
      <c r="DHL100" s="60" t="n"/>
      <c r="DHM100" s="60" t="n"/>
      <c r="DHN100" s="60" t="n"/>
      <c r="DHO100" s="60" t="n"/>
      <c r="DHP100" s="60" t="n"/>
      <c r="DHQ100" s="60" t="n"/>
      <c r="DHR100" s="60" t="n"/>
      <c r="DHS100" s="60" t="n"/>
      <c r="DHT100" s="60" t="n"/>
      <c r="DHU100" s="60" t="n"/>
      <c r="DHV100" s="60" t="n"/>
      <c r="DHW100" s="60" t="n"/>
      <c r="DHX100" s="60" t="n"/>
      <c r="DHY100" s="60" t="n"/>
      <c r="DHZ100" s="60" t="n"/>
      <c r="DIA100" s="60" t="n"/>
      <c r="DIB100" s="60" t="n"/>
      <c r="DIC100" s="60" t="n"/>
      <c r="DID100" s="60" t="n"/>
      <c r="DIE100" s="60" t="n"/>
      <c r="DIF100" s="60" t="n"/>
      <c r="DIG100" s="60" t="n"/>
      <c r="DIH100" s="60" t="n"/>
      <c r="DII100" s="60" t="n"/>
      <c r="DIJ100" s="60" t="n"/>
      <c r="DIK100" s="60" t="n"/>
      <c r="DIL100" s="60" t="n"/>
      <c r="DIM100" s="60" t="n"/>
      <c r="DIN100" s="60" t="n"/>
      <c r="DIO100" s="60" t="n"/>
      <c r="DIP100" s="60" t="n"/>
      <c r="DIQ100" s="60" t="n"/>
      <c r="DIR100" s="60" t="n"/>
      <c r="DIS100" s="60" t="n"/>
      <c r="DIT100" s="60" t="n"/>
      <c r="DIU100" s="60" t="n"/>
      <c r="DIV100" s="60" t="n"/>
      <c r="DIW100" s="60" t="n"/>
      <c r="DIX100" s="60" t="n"/>
      <c r="DIY100" s="60" t="n"/>
      <c r="DIZ100" s="60" t="n"/>
      <c r="DJA100" s="60" t="n"/>
      <c r="DJB100" s="60" t="n"/>
      <c r="DJC100" s="60" t="n"/>
      <c r="DJD100" s="60" t="n"/>
      <c r="DJE100" s="60" t="n"/>
      <c r="DJF100" s="60" t="n"/>
      <c r="DJG100" s="60" t="n"/>
      <c r="DJH100" s="60" t="n"/>
      <c r="DJI100" s="60" t="n"/>
      <c r="DJJ100" s="60" t="n"/>
      <c r="DJK100" s="60" t="n"/>
      <c r="DJL100" s="60" t="n"/>
      <c r="DJM100" s="60" t="n"/>
      <c r="DJN100" s="60" t="n"/>
      <c r="DJO100" s="60" t="n"/>
      <c r="DJP100" s="60" t="n"/>
      <c r="DJQ100" s="60" t="n"/>
      <c r="DJR100" s="60" t="n"/>
      <c r="DJS100" s="60" t="n"/>
      <c r="DJT100" s="60" t="n"/>
      <c r="DJU100" s="60" t="n"/>
      <c r="DJV100" s="60" t="n"/>
      <c r="DJW100" s="60" t="n"/>
      <c r="DJX100" s="60" t="n"/>
      <c r="DJY100" s="60" t="n"/>
      <c r="DJZ100" s="60" t="n"/>
      <c r="DKA100" s="60" t="n"/>
      <c r="DKB100" s="60" t="n"/>
      <c r="DKC100" s="60" t="n"/>
      <c r="DKD100" s="60" t="n"/>
      <c r="DKE100" s="60" t="n"/>
      <c r="DKF100" s="60" t="n"/>
      <c r="DKG100" s="60" t="n"/>
      <c r="DKH100" s="60" t="n"/>
      <c r="DKI100" s="60" t="n"/>
      <c r="DKJ100" s="60" t="n"/>
      <c r="DKK100" s="60" t="n"/>
      <c r="DKL100" s="60" t="n"/>
      <c r="DKM100" s="60" t="n"/>
      <c r="DKN100" s="60" t="n"/>
      <c r="DKO100" s="60" t="n"/>
      <c r="DKP100" s="60" t="n"/>
      <c r="DKQ100" s="60" t="n"/>
      <c r="DKR100" s="60" t="n"/>
      <c r="DKS100" s="60" t="n"/>
      <c r="DKT100" s="60" t="n"/>
      <c r="DKU100" s="60" t="n"/>
      <c r="DKV100" s="60" t="n"/>
      <c r="DKW100" s="60" t="n"/>
      <c r="DKX100" s="60" t="n"/>
      <c r="DKY100" s="60" t="n"/>
      <c r="DKZ100" s="60" t="n"/>
      <c r="DLA100" s="60" t="n"/>
      <c r="DLB100" s="60" t="n"/>
      <c r="DLC100" s="60" t="n"/>
      <c r="DLD100" s="60" t="n"/>
      <c r="DLE100" s="60" t="n"/>
      <c r="DLF100" s="60" t="n"/>
      <c r="DLG100" s="60" t="n"/>
      <c r="DLH100" s="60" t="n"/>
      <c r="DLI100" s="60" t="n"/>
      <c r="DLJ100" s="60" t="n"/>
      <c r="DLK100" s="60" t="n"/>
      <c r="DLL100" s="60" t="n"/>
      <c r="DLM100" s="60" t="n"/>
      <c r="DLN100" s="60" t="n"/>
      <c r="DLO100" s="60" t="n"/>
      <c r="DLP100" s="60" t="n"/>
      <c r="DLQ100" s="60" t="n"/>
      <c r="DLR100" s="60" t="n"/>
      <c r="DLS100" s="60" t="n"/>
      <c r="DLT100" s="60" t="n"/>
      <c r="DLU100" s="60" t="n"/>
      <c r="DLV100" s="60" t="n"/>
      <c r="DLW100" s="60" t="n"/>
      <c r="DLX100" s="60" t="n"/>
      <c r="DLY100" s="60" t="n"/>
      <c r="DLZ100" s="60" t="n"/>
      <c r="DMA100" s="60" t="n"/>
      <c r="DMB100" s="60" t="n"/>
      <c r="DMC100" s="60" t="n"/>
      <c r="DMD100" s="60" t="n"/>
      <c r="DME100" s="60" t="n"/>
      <c r="DMF100" s="60" t="n"/>
      <c r="DMG100" s="60" t="n"/>
      <c r="DMH100" s="60" t="n"/>
      <c r="DMI100" s="60" t="n"/>
      <c r="DMJ100" s="60" t="n"/>
      <c r="DMK100" s="60" t="n"/>
      <c r="DML100" s="60" t="n"/>
      <c r="DMM100" s="60" t="n"/>
      <c r="DMN100" s="60" t="n"/>
      <c r="DMO100" s="60" t="n"/>
      <c r="DMP100" s="60" t="n"/>
      <c r="DMQ100" s="60" t="n"/>
      <c r="DMR100" s="60" t="n"/>
      <c r="DMS100" s="60" t="n"/>
      <c r="DMT100" s="60" t="n"/>
      <c r="DMU100" s="60" t="n"/>
      <c r="DMV100" s="60" t="n"/>
      <c r="DMW100" s="60" t="n"/>
      <c r="DMX100" s="60" t="n"/>
      <c r="DMY100" s="60" t="n"/>
      <c r="DMZ100" s="60" t="n"/>
      <c r="DNA100" s="60" t="n"/>
      <c r="DNB100" s="60" t="n"/>
      <c r="DNC100" s="60" t="n"/>
      <c r="DND100" s="60" t="n"/>
      <c r="DNE100" s="60" t="n"/>
      <c r="DNF100" s="60" t="n"/>
      <c r="DNG100" s="60" t="n"/>
      <c r="DNH100" s="60" t="n"/>
      <c r="DNI100" s="60" t="n"/>
      <c r="DNJ100" s="60" t="n"/>
      <c r="DNK100" s="60" t="n"/>
      <c r="DNL100" s="60" t="n"/>
      <c r="DNM100" s="60" t="n"/>
      <c r="DNN100" s="60" t="n"/>
      <c r="DNO100" s="60" t="n"/>
      <c r="DNP100" s="60" t="n"/>
      <c r="DNQ100" s="60" t="n"/>
      <c r="DNR100" s="60" t="n"/>
      <c r="DNS100" s="60" t="n"/>
      <c r="DNT100" s="60" t="n"/>
      <c r="DNU100" s="60" t="n"/>
      <c r="DNV100" s="60" t="n"/>
      <c r="DNW100" s="60" t="n"/>
      <c r="DNX100" s="60" t="n"/>
      <c r="DNY100" s="60" t="n"/>
      <c r="DNZ100" s="60" t="n"/>
      <c r="DOA100" s="60" t="n"/>
      <c r="DOB100" s="60" t="n"/>
      <c r="DOC100" s="60" t="n"/>
      <c r="DOD100" s="60" t="n"/>
      <c r="DOE100" s="60" t="n"/>
      <c r="DOF100" s="60" t="n"/>
      <c r="DOG100" s="60" t="n"/>
      <c r="DOH100" s="60" t="n"/>
      <c r="DOI100" s="60" t="n"/>
      <c r="DOJ100" s="60" t="n"/>
      <c r="DOK100" s="60" t="n"/>
      <c r="DOL100" s="60" t="n"/>
      <c r="DOM100" s="60" t="n"/>
      <c r="DON100" s="60" t="n"/>
      <c r="DOO100" s="60" t="n"/>
      <c r="DOP100" s="60" t="n"/>
      <c r="DOQ100" s="60" t="n"/>
      <c r="DOR100" s="60" t="n"/>
      <c r="DOS100" s="60" t="n"/>
      <c r="DOT100" s="60" t="n"/>
      <c r="DOU100" s="60" t="n"/>
      <c r="DOV100" s="60" t="n"/>
      <c r="DOW100" s="60" t="n"/>
      <c r="DOX100" s="60" t="n"/>
      <c r="DOY100" s="60" t="n"/>
      <c r="DOZ100" s="60" t="n"/>
      <c r="DPA100" s="60" t="n"/>
      <c r="DPB100" s="60" t="n"/>
      <c r="DPC100" s="60" t="n"/>
      <c r="DPD100" s="60" t="n"/>
      <c r="DPE100" s="60" t="n"/>
      <c r="DPF100" s="60" t="n"/>
      <c r="DPG100" s="60" t="n"/>
      <c r="DPH100" s="60" t="n"/>
      <c r="DPI100" s="60" t="n"/>
      <c r="DPJ100" s="60" t="n"/>
      <c r="DPK100" s="60" t="n"/>
      <c r="DPL100" s="60" t="n"/>
      <c r="DPM100" s="60" t="n"/>
      <c r="DPN100" s="60" t="n"/>
      <c r="DPO100" s="60" t="n"/>
      <c r="DPP100" s="60" t="n"/>
      <c r="DPQ100" s="60" t="n"/>
      <c r="DPR100" s="60" t="n"/>
      <c r="DPS100" s="60" t="n"/>
      <c r="DPT100" s="60" t="n"/>
      <c r="DPU100" s="60" t="n"/>
      <c r="DPV100" s="60" t="n"/>
      <c r="DPW100" s="60" t="n"/>
      <c r="DPX100" s="60" t="n"/>
      <c r="DPY100" s="60" t="n"/>
      <c r="DPZ100" s="60" t="n"/>
      <c r="DQA100" s="60" t="n"/>
      <c r="DQB100" s="60" t="n"/>
      <c r="DQC100" s="60" t="n"/>
      <c r="DQD100" s="60" t="n"/>
      <c r="DQE100" s="60" t="n"/>
      <c r="DQF100" s="60" t="n"/>
      <c r="DQG100" s="60" t="n"/>
      <c r="DQH100" s="60" t="n"/>
      <c r="DQI100" s="60" t="n"/>
      <c r="DQJ100" s="60" t="n"/>
      <c r="DQK100" s="60" t="n"/>
      <c r="DQL100" s="60" t="n"/>
      <c r="DQM100" s="60" t="n"/>
      <c r="DQN100" s="60" t="n"/>
      <c r="DQO100" s="60" t="n"/>
      <c r="DQP100" s="60" t="n"/>
      <c r="DQQ100" s="60" t="n"/>
      <c r="DQR100" s="60" t="n"/>
      <c r="DQS100" s="60" t="n"/>
      <c r="DQT100" s="60" t="n"/>
      <c r="DQU100" s="60" t="n"/>
      <c r="DQV100" s="60" t="n"/>
      <c r="DQW100" s="60" t="n"/>
      <c r="DQX100" s="60" t="n"/>
      <c r="DQY100" s="60" t="n"/>
      <c r="DQZ100" s="60" t="n"/>
      <c r="DRA100" s="60" t="n"/>
      <c r="DRB100" s="60" t="n"/>
      <c r="DRC100" s="60" t="n"/>
      <c r="DRD100" s="60" t="n"/>
      <c r="DRE100" s="60" t="n"/>
      <c r="DRF100" s="60" t="n"/>
      <c r="DRG100" s="60" t="n"/>
      <c r="DRH100" s="60" t="n"/>
      <c r="DRI100" s="60" t="n"/>
      <c r="DRJ100" s="60" t="n"/>
      <c r="DRK100" s="60" t="n"/>
      <c r="DRL100" s="60" t="n"/>
      <c r="DRM100" s="60" t="n"/>
      <c r="DRN100" s="60" t="n"/>
      <c r="DRO100" s="60" t="n"/>
      <c r="DRP100" s="60" t="n"/>
      <c r="DRQ100" s="60" t="n"/>
      <c r="DRR100" s="60" t="n"/>
      <c r="DRS100" s="60" t="n"/>
      <c r="DRT100" s="60" t="n"/>
      <c r="DRU100" s="60" t="n"/>
      <c r="DRV100" s="60" t="n"/>
      <c r="DRW100" s="60" t="n"/>
      <c r="DRX100" s="60" t="n"/>
      <c r="DRY100" s="60" t="n"/>
      <c r="DRZ100" s="60" t="n"/>
      <c r="DSA100" s="60" t="n"/>
      <c r="DSB100" s="60" t="n"/>
      <c r="DSC100" s="60" t="n"/>
      <c r="DSD100" s="60" t="n"/>
      <c r="DSE100" s="60" t="n"/>
      <c r="DSF100" s="60" t="n"/>
      <c r="DSG100" s="60" t="n"/>
      <c r="DSH100" s="60" t="n"/>
      <c r="DSI100" s="60" t="n"/>
      <c r="DSJ100" s="60" t="n"/>
      <c r="DSK100" s="60" t="n"/>
      <c r="DSL100" s="60" t="n"/>
      <c r="DSM100" s="60" t="n"/>
      <c r="DSN100" s="60" t="n"/>
      <c r="DSO100" s="60" t="n"/>
      <c r="DSP100" s="60" t="n"/>
      <c r="DSQ100" s="60" t="n"/>
      <c r="DSR100" s="60" t="n"/>
      <c r="DSS100" s="60" t="n"/>
      <c r="DST100" s="60" t="n"/>
      <c r="DSU100" s="60" t="n"/>
      <c r="DSV100" s="60" t="n"/>
      <c r="DSW100" s="60" t="n"/>
      <c r="DSX100" s="60" t="n"/>
      <c r="DSY100" s="60" t="n"/>
      <c r="DSZ100" s="60" t="n"/>
      <c r="DTA100" s="60" t="n"/>
      <c r="DTB100" s="60" t="n"/>
      <c r="DTC100" s="60" t="n"/>
      <c r="DTD100" s="60" t="n"/>
      <c r="DTE100" s="60" t="n"/>
      <c r="DTF100" s="60" t="n"/>
      <c r="DTG100" s="60" t="n"/>
      <c r="DTH100" s="60" t="n"/>
      <c r="DTI100" s="60" t="n"/>
      <c r="DTJ100" s="60" t="n"/>
      <c r="DTK100" s="60" t="n"/>
      <c r="DTL100" s="60" t="n"/>
      <c r="DTM100" s="60" t="n"/>
      <c r="DTN100" s="60" t="n"/>
      <c r="DTO100" s="60" t="n"/>
      <c r="DTP100" s="60" t="n"/>
      <c r="DTQ100" s="60" t="n"/>
      <c r="DTR100" s="60" t="n"/>
      <c r="DTS100" s="60" t="n"/>
      <c r="DTT100" s="60" t="n"/>
      <c r="DTU100" s="60" t="n"/>
      <c r="DTV100" s="60" t="n"/>
      <c r="DTW100" s="60" t="n"/>
      <c r="DTX100" s="60" t="n"/>
      <c r="DTY100" s="60" t="n"/>
      <c r="DTZ100" s="60" t="n"/>
      <c r="DUA100" s="60" t="n"/>
      <c r="DUB100" s="60" t="n"/>
      <c r="DUC100" s="60" t="n"/>
      <c r="DUD100" s="60" t="n"/>
      <c r="DUE100" s="60" t="n"/>
      <c r="DUF100" s="60" t="n"/>
      <c r="DUG100" s="60" t="n"/>
      <c r="DUH100" s="60" t="n"/>
      <c r="DUI100" s="60" t="n"/>
      <c r="DUJ100" s="60" t="n"/>
      <c r="DUK100" s="60" t="n"/>
      <c r="DUL100" s="60" t="n"/>
      <c r="DUM100" s="60" t="n"/>
      <c r="DUN100" s="60" t="n"/>
      <c r="DUO100" s="60" t="n"/>
      <c r="DUP100" s="60" t="n"/>
      <c r="DUQ100" s="60" t="n"/>
      <c r="DUR100" s="60" t="n"/>
      <c r="DUS100" s="60" t="n"/>
      <c r="DUT100" s="60" t="n"/>
      <c r="DUU100" s="60" t="n"/>
      <c r="DUV100" s="60" t="n"/>
      <c r="DUW100" s="60" t="n"/>
      <c r="DUX100" s="60" t="n"/>
      <c r="DUY100" s="60" t="n"/>
      <c r="DUZ100" s="60" t="n"/>
      <c r="DVA100" s="60" t="n"/>
      <c r="DVB100" s="60" t="n"/>
      <c r="DVC100" s="60" t="n"/>
      <c r="DVD100" s="60" t="n"/>
      <c r="DVE100" s="60" t="n"/>
      <c r="DVF100" s="60" t="n"/>
      <c r="DVG100" s="60" t="n"/>
      <c r="DVH100" s="60" t="n"/>
      <c r="DVI100" s="60" t="n"/>
      <c r="DVJ100" s="60" t="n"/>
      <c r="DVK100" s="60" t="n"/>
      <c r="DVL100" s="60" t="n"/>
      <c r="DVM100" s="60" t="n"/>
      <c r="DVN100" s="60" t="n"/>
      <c r="DVO100" s="60" t="n"/>
      <c r="DVP100" s="60" t="n"/>
      <c r="DVQ100" s="60" t="n"/>
      <c r="DVR100" s="60" t="n"/>
      <c r="DVS100" s="60" t="n"/>
      <c r="DVT100" s="60" t="n"/>
      <c r="DVU100" s="60" t="n"/>
      <c r="DVV100" s="60" t="n"/>
      <c r="DVW100" s="60" t="n"/>
      <c r="DVX100" s="60" t="n"/>
      <c r="DVY100" s="60" t="n"/>
      <c r="DVZ100" s="60" t="n"/>
      <c r="DWA100" s="60" t="n"/>
      <c r="DWB100" s="60" t="n"/>
      <c r="DWC100" s="60" t="n"/>
      <c r="DWD100" s="60" t="n"/>
      <c r="DWE100" s="60" t="n"/>
      <c r="DWF100" s="60" t="n"/>
      <c r="DWG100" s="60" t="n"/>
      <c r="DWH100" s="60" t="n"/>
      <c r="DWI100" s="60" t="n"/>
      <c r="DWJ100" s="60" t="n"/>
      <c r="DWK100" s="60" t="n"/>
      <c r="DWL100" s="60" t="n"/>
      <c r="DWM100" s="60" t="n"/>
      <c r="DWN100" s="60" t="n"/>
      <c r="DWO100" s="60" t="n"/>
      <c r="DWP100" s="60" t="n"/>
      <c r="DWQ100" s="60" t="n"/>
      <c r="DWR100" s="60" t="n"/>
      <c r="DWS100" s="60" t="n"/>
      <c r="DWT100" s="60" t="n"/>
      <c r="DWU100" s="60" t="n"/>
      <c r="DWV100" s="60" t="n"/>
      <c r="DWW100" s="60" t="n"/>
      <c r="DWX100" s="60" t="n"/>
      <c r="DWY100" s="60" t="n"/>
      <c r="DWZ100" s="60" t="n"/>
      <c r="DXA100" s="60" t="n"/>
      <c r="DXB100" s="60" t="n"/>
      <c r="DXC100" s="60" t="n"/>
      <c r="DXD100" s="60" t="n"/>
      <c r="DXE100" s="60" t="n"/>
      <c r="DXF100" s="60" t="n"/>
      <c r="DXG100" s="60" t="n"/>
      <c r="DXH100" s="60" t="n"/>
      <c r="DXI100" s="60" t="n"/>
      <c r="DXJ100" s="60" t="n"/>
      <c r="DXK100" s="60" t="n"/>
      <c r="DXL100" s="60" t="n"/>
      <c r="DXM100" s="60" t="n"/>
      <c r="DXN100" s="60" t="n"/>
      <c r="DXO100" s="60" t="n"/>
      <c r="DXP100" s="60" t="n"/>
      <c r="DXQ100" s="60" t="n"/>
      <c r="DXR100" s="60" t="n"/>
      <c r="DXS100" s="60" t="n"/>
      <c r="DXT100" s="60" t="n"/>
      <c r="DXU100" s="60" t="n"/>
      <c r="DXV100" s="60" t="n"/>
      <c r="DXW100" s="60" t="n"/>
      <c r="DXX100" s="60" t="n"/>
      <c r="DXY100" s="60" t="n"/>
      <c r="DXZ100" s="60" t="n"/>
      <c r="DYA100" s="60" t="n"/>
      <c r="DYB100" s="60" t="n"/>
      <c r="DYC100" s="60" t="n"/>
      <c r="DYD100" s="60" t="n"/>
      <c r="DYE100" s="60" t="n"/>
      <c r="DYF100" s="60" t="n"/>
      <c r="DYG100" s="60" t="n"/>
      <c r="DYH100" s="60" t="n"/>
      <c r="DYI100" s="60" t="n"/>
      <c r="DYJ100" s="60" t="n"/>
      <c r="DYK100" s="60" t="n"/>
      <c r="DYL100" s="60" t="n"/>
      <c r="DYM100" s="60" t="n"/>
      <c r="DYN100" s="60" t="n"/>
      <c r="DYO100" s="60" t="n"/>
      <c r="DYP100" s="60" t="n"/>
      <c r="DYQ100" s="60" t="n"/>
      <c r="DYR100" s="60" t="n"/>
      <c r="DYS100" s="60" t="n"/>
      <c r="DYT100" s="60" t="n"/>
      <c r="DYU100" s="60" t="n"/>
      <c r="DYV100" s="60" t="n"/>
      <c r="DYW100" s="60" t="n"/>
      <c r="DYX100" s="60" t="n"/>
      <c r="DYY100" s="60" t="n"/>
      <c r="DYZ100" s="60" t="n"/>
      <c r="DZA100" s="60" t="n"/>
      <c r="DZB100" s="60" t="n"/>
      <c r="DZC100" s="60" t="n"/>
      <c r="DZD100" s="60" t="n"/>
      <c r="DZE100" s="60" t="n"/>
      <c r="DZF100" s="60" t="n"/>
      <c r="DZG100" s="60" t="n"/>
      <c r="DZH100" s="60" t="n"/>
      <c r="DZI100" s="60" t="n"/>
      <c r="DZJ100" s="60" t="n"/>
      <c r="DZK100" s="60" t="n"/>
      <c r="DZL100" s="60" t="n"/>
      <c r="DZM100" s="60" t="n"/>
      <c r="DZN100" s="60" t="n"/>
      <c r="DZO100" s="60" t="n"/>
      <c r="DZP100" s="60" t="n"/>
      <c r="DZQ100" s="60" t="n"/>
      <c r="DZR100" s="60" t="n"/>
      <c r="DZS100" s="60" t="n"/>
      <c r="DZT100" s="60" t="n"/>
      <c r="DZU100" s="60" t="n"/>
      <c r="DZV100" s="60" t="n"/>
      <c r="DZW100" s="60" t="n"/>
      <c r="DZX100" s="60" t="n"/>
      <c r="DZY100" s="60" t="n"/>
      <c r="DZZ100" s="60" t="n"/>
      <c r="EAA100" s="60" t="n"/>
      <c r="EAB100" s="60" t="n"/>
      <c r="EAC100" s="60" t="n"/>
      <c r="EAD100" s="60" t="n"/>
      <c r="EAE100" s="60" t="n"/>
      <c r="EAF100" s="60" t="n"/>
      <c r="EAG100" s="60" t="n"/>
      <c r="EAH100" s="60" t="n"/>
      <c r="EAI100" s="60" t="n"/>
      <c r="EAJ100" s="60" t="n"/>
      <c r="EAK100" s="60" t="n"/>
      <c r="EAL100" s="60" t="n"/>
      <c r="EAM100" s="60" t="n"/>
      <c r="EAN100" s="60" t="n"/>
      <c r="EAO100" s="60" t="n"/>
      <c r="EAP100" s="60" t="n"/>
      <c r="EAQ100" s="60" t="n"/>
      <c r="EAR100" s="60" t="n"/>
      <c r="EAS100" s="60" t="n"/>
      <c r="EAT100" s="60" t="n"/>
      <c r="EAU100" s="60" t="n"/>
      <c r="EAV100" s="60" t="n"/>
      <c r="EAW100" s="60" t="n"/>
      <c r="EAX100" s="60" t="n"/>
      <c r="EAY100" s="60" t="n"/>
      <c r="EAZ100" s="60" t="n"/>
      <c r="EBA100" s="60" t="n"/>
      <c r="EBB100" s="60" t="n"/>
      <c r="EBC100" s="60" t="n"/>
      <c r="EBD100" s="60" t="n"/>
      <c r="EBE100" s="60" t="n"/>
      <c r="EBF100" s="60" t="n"/>
      <c r="EBG100" s="60" t="n"/>
      <c r="EBH100" s="60" t="n"/>
      <c r="EBI100" s="60" t="n"/>
      <c r="EBJ100" s="60" t="n"/>
      <c r="EBK100" s="60" t="n"/>
      <c r="EBL100" s="60" t="n"/>
      <c r="EBM100" s="60" t="n"/>
      <c r="EBN100" s="60" t="n"/>
      <c r="EBO100" s="60" t="n"/>
      <c r="EBP100" s="60" t="n"/>
      <c r="EBQ100" s="60" t="n"/>
      <c r="EBR100" s="60" t="n"/>
      <c r="EBS100" s="60" t="n"/>
      <c r="EBT100" s="60" t="n"/>
      <c r="EBU100" s="60" t="n"/>
      <c r="EBV100" s="60" t="n"/>
      <c r="EBW100" s="60" t="n"/>
      <c r="EBX100" s="60" t="n"/>
      <c r="EBY100" s="60" t="n"/>
      <c r="EBZ100" s="60" t="n"/>
      <c r="ECA100" s="60" t="n"/>
      <c r="ECB100" s="60" t="n"/>
      <c r="ECC100" s="60" t="n"/>
      <c r="ECD100" s="60" t="n"/>
      <c r="ECE100" s="60" t="n"/>
      <c r="ECF100" s="60" t="n"/>
      <c r="ECG100" s="60" t="n"/>
      <c r="ECH100" s="60" t="n"/>
      <c r="ECI100" s="60" t="n"/>
      <c r="ECJ100" s="60" t="n"/>
      <c r="ECK100" s="60" t="n"/>
      <c r="ECL100" s="60" t="n"/>
      <c r="ECM100" s="60" t="n"/>
      <c r="ECN100" s="60" t="n"/>
      <c r="ECO100" s="60" t="n"/>
      <c r="ECP100" s="60" t="n"/>
      <c r="ECQ100" s="60" t="n"/>
      <c r="ECR100" s="60" t="n"/>
      <c r="ECS100" s="60" t="n"/>
      <c r="ECT100" s="60" t="n"/>
      <c r="ECU100" s="60" t="n"/>
      <c r="ECV100" s="60" t="n"/>
      <c r="ECW100" s="60" t="n"/>
      <c r="ECX100" s="60" t="n"/>
      <c r="ECY100" s="60" t="n"/>
      <c r="ECZ100" s="60" t="n"/>
      <c r="EDA100" s="60" t="n"/>
      <c r="EDB100" s="60" t="n"/>
      <c r="EDC100" s="60" t="n"/>
      <c r="EDD100" s="60" t="n"/>
      <c r="EDE100" s="60" t="n"/>
      <c r="EDF100" s="60" t="n"/>
      <c r="EDG100" s="60" t="n"/>
      <c r="EDH100" s="60" t="n"/>
      <c r="EDI100" s="60" t="n"/>
      <c r="EDJ100" s="60" t="n"/>
      <c r="EDK100" s="60" t="n"/>
      <c r="EDL100" s="60" t="n"/>
      <c r="EDM100" s="60" t="n"/>
      <c r="EDN100" s="60" t="n"/>
      <c r="EDO100" s="60" t="n"/>
      <c r="EDP100" s="60" t="n"/>
      <c r="EDQ100" s="60" t="n"/>
      <c r="EDR100" s="60" t="n"/>
      <c r="EDS100" s="60" t="n"/>
      <c r="EDT100" s="60" t="n"/>
      <c r="EDU100" s="60" t="n"/>
      <c r="EDV100" s="60" t="n"/>
      <c r="EDW100" s="60" t="n"/>
      <c r="EDX100" s="60" t="n"/>
      <c r="EDY100" s="60" t="n"/>
      <c r="EDZ100" s="60" t="n"/>
      <c r="EEA100" s="60" t="n"/>
      <c r="EEB100" s="60" t="n"/>
      <c r="EEC100" s="60" t="n"/>
      <c r="EED100" s="60" t="n"/>
      <c r="EEE100" s="60" t="n"/>
      <c r="EEF100" s="60" t="n"/>
      <c r="EEG100" s="60" t="n"/>
      <c r="EEH100" s="60" t="n"/>
      <c r="EEI100" s="60" t="n"/>
      <c r="EEJ100" s="60" t="n"/>
      <c r="EEK100" s="60" t="n"/>
      <c r="EEL100" s="60" t="n"/>
      <c r="EEM100" s="60" t="n"/>
      <c r="EEN100" s="60" t="n"/>
      <c r="EEO100" s="60" t="n"/>
      <c r="EEP100" s="60" t="n"/>
      <c r="EEQ100" s="60" t="n"/>
      <c r="EER100" s="60" t="n"/>
      <c r="EES100" s="60" t="n"/>
      <c r="EET100" s="60" t="n"/>
      <c r="EEU100" s="60" t="n"/>
      <c r="EEV100" s="60" t="n"/>
      <c r="EEW100" s="60" t="n"/>
      <c r="EEX100" s="60" t="n"/>
      <c r="EEY100" s="60" t="n"/>
      <c r="EEZ100" s="60" t="n"/>
      <c r="EFA100" s="60" t="n"/>
      <c r="EFB100" s="60" t="n"/>
      <c r="EFC100" s="60" t="n"/>
      <c r="EFD100" s="60" t="n"/>
      <c r="EFE100" s="60" t="n"/>
      <c r="EFF100" s="60" t="n"/>
      <c r="EFG100" s="60" t="n"/>
      <c r="EFH100" s="60" t="n"/>
      <c r="EFI100" s="60" t="n"/>
      <c r="EFJ100" s="60" t="n"/>
      <c r="EFK100" s="60" t="n"/>
      <c r="EFL100" s="60" t="n"/>
      <c r="EFM100" s="60" t="n"/>
      <c r="EFN100" s="60" t="n"/>
      <c r="EFO100" s="60" t="n"/>
      <c r="EFP100" s="60" t="n"/>
      <c r="EFQ100" s="60" t="n"/>
      <c r="EFR100" s="60" t="n"/>
      <c r="EFS100" s="60" t="n"/>
      <c r="EFT100" s="60" t="n"/>
      <c r="EFU100" s="60" t="n"/>
      <c r="EFV100" s="60" t="n"/>
      <c r="EFW100" s="60" t="n"/>
      <c r="EFX100" s="60" t="n"/>
      <c r="EFY100" s="60" t="n"/>
      <c r="EFZ100" s="60" t="n"/>
      <c r="EGA100" s="60" t="n"/>
      <c r="EGB100" s="60" t="n"/>
      <c r="EGC100" s="60" t="n"/>
      <c r="EGD100" s="60" t="n"/>
      <c r="EGE100" s="60" t="n"/>
      <c r="EGF100" s="60" t="n"/>
      <c r="EGG100" s="60" t="n"/>
      <c r="EGH100" s="60" t="n"/>
      <c r="EGI100" s="60" t="n"/>
      <c r="EGJ100" s="60" t="n"/>
      <c r="EGK100" s="60" t="n"/>
      <c r="EGL100" s="60" t="n"/>
      <c r="EGM100" s="60" t="n"/>
      <c r="EGN100" s="60" t="n"/>
      <c r="EGO100" s="60" t="n"/>
      <c r="EGP100" s="60" t="n"/>
      <c r="EGQ100" s="60" t="n"/>
      <c r="EGR100" s="60" t="n"/>
      <c r="EGS100" s="60" t="n"/>
      <c r="EGT100" s="60" t="n"/>
      <c r="EGU100" s="60" t="n"/>
      <c r="EGV100" s="60" t="n"/>
      <c r="EGW100" s="60" t="n"/>
      <c r="EGX100" s="60" t="n"/>
      <c r="EGY100" s="60" t="n"/>
      <c r="EGZ100" s="60" t="n"/>
      <c r="EHA100" s="60" t="n"/>
      <c r="EHB100" s="60" t="n"/>
      <c r="EHC100" s="60" t="n"/>
      <c r="EHD100" s="60" t="n"/>
      <c r="EHE100" s="60" t="n"/>
      <c r="EHF100" s="60" t="n"/>
      <c r="EHG100" s="60" t="n"/>
      <c r="EHH100" s="60" t="n"/>
      <c r="EHI100" s="60" t="n"/>
      <c r="EHJ100" s="60" t="n"/>
      <c r="EHK100" s="60" t="n"/>
      <c r="EHL100" s="60" t="n"/>
      <c r="EHM100" s="60" t="n"/>
      <c r="EHN100" s="60" t="n"/>
      <c r="EHO100" s="60" t="n"/>
      <c r="EHP100" s="60" t="n"/>
      <c r="EHQ100" s="60" t="n"/>
      <c r="EHR100" s="60" t="n"/>
      <c r="EHS100" s="60" t="n"/>
      <c r="EHT100" s="60" t="n"/>
      <c r="EHU100" s="60" t="n"/>
      <c r="EHV100" s="60" t="n"/>
      <c r="EHW100" s="60" t="n"/>
      <c r="EHX100" s="60" t="n"/>
      <c r="EHY100" s="60" t="n"/>
      <c r="EHZ100" s="60" t="n"/>
      <c r="EIA100" s="60" t="n"/>
      <c r="EIB100" s="60" t="n"/>
      <c r="EIC100" s="60" t="n"/>
      <c r="EID100" s="60" t="n"/>
      <c r="EIE100" s="60" t="n"/>
      <c r="EIF100" s="60" t="n"/>
      <c r="EIG100" s="60" t="n"/>
      <c r="EIH100" s="60" t="n"/>
      <c r="EII100" s="60" t="n"/>
      <c r="EIJ100" s="60" t="n"/>
      <c r="EIK100" s="60" t="n"/>
      <c r="EIL100" s="60" t="n"/>
      <c r="EIM100" s="60" t="n"/>
      <c r="EIN100" s="60" t="n"/>
      <c r="EIO100" s="60" t="n"/>
      <c r="EIP100" s="60" t="n"/>
      <c r="EIQ100" s="60" t="n"/>
      <c r="EIR100" s="60" t="n"/>
      <c r="EIS100" s="60" t="n"/>
      <c r="EIT100" s="60" t="n"/>
      <c r="EIU100" s="60" t="n"/>
      <c r="EIV100" s="60" t="n"/>
      <c r="EIW100" s="60" t="n"/>
      <c r="EIX100" s="60" t="n"/>
      <c r="EIY100" s="60" t="n"/>
      <c r="EIZ100" s="60" t="n"/>
      <c r="EJA100" s="60" t="n"/>
      <c r="EJB100" s="60" t="n"/>
      <c r="EJC100" s="60" t="n"/>
      <c r="EJD100" s="60" t="n"/>
      <c r="EJE100" s="60" t="n"/>
      <c r="EJF100" s="60" t="n"/>
      <c r="EJG100" s="60" t="n"/>
      <c r="EJH100" s="60" t="n"/>
      <c r="EJI100" s="60" t="n"/>
      <c r="EJJ100" s="60" t="n"/>
      <c r="EJK100" s="60" t="n"/>
      <c r="EJL100" s="60" t="n"/>
      <c r="EJM100" s="60" t="n"/>
      <c r="EJN100" s="60" t="n"/>
      <c r="EJO100" s="60" t="n"/>
      <c r="EJP100" s="60" t="n"/>
      <c r="EJQ100" s="60" t="n"/>
      <c r="EJR100" s="60" t="n"/>
      <c r="EJS100" s="60" t="n"/>
      <c r="EJT100" s="60" t="n"/>
      <c r="EJU100" s="60" t="n"/>
      <c r="EJV100" s="60" t="n"/>
      <c r="EJW100" s="60" t="n"/>
      <c r="EJX100" s="60" t="n"/>
      <c r="EJY100" s="60" t="n"/>
      <c r="EJZ100" s="60" t="n"/>
      <c r="EKA100" s="60" t="n"/>
      <c r="EKB100" s="60" t="n"/>
      <c r="EKC100" s="60" t="n"/>
      <c r="EKD100" s="60" t="n"/>
      <c r="EKE100" s="60" t="n"/>
      <c r="EKF100" s="60" t="n"/>
      <c r="EKG100" s="60" t="n"/>
      <c r="EKH100" s="60" t="n"/>
      <c r="EKI100" s="60" t="n"/>
      <c r="EKJ100" s="60" t="n"/>
      <c r="EKK100" s="60" t="n"/>
      <c r="EKL100" s="60" t="n"/>
      <c r="EKM100" s="60" t="n"/>
      <c r="EKN100" s="60" t="n"/>
      <c r="EKO100" s="60" t="n"/>
      <c r="EKP100" s="60" t="n"/>
      <c r="EKQ100" s="60" t="n"/>
      <c r="EKR100" s="60" t="n"/>
      <c r="EKS100" s="60" t="n"/>
      <c r="EKT100" s="60" t="n"/>
      <c r="EKU100" s="60" t="n"/>
      <c r="EKV100" s="60" t="n"/>
      <c r="EKW100" s="60" t="n"/>
      <c r="EKX100" s="60" t="n"/>
      <c r="EKY100" s="60" t="n"/>
      <c r="EKZ100" s="60" t="n"/>
      <c r="ELA100" s="60" t="n"/>
      <c r="ELB100" s="60" t="n"/>
      <c r="ELC100" s="60" t="n"/>
      <c r="ELD100" s="60" t="n"/>
      <c r="ELE100" s="60" t="n"/>
      <c r="ELF100" s="60" t="n"/>
      <c r="ELG100" s="60" t="n"/>
      <c r="ELH100" s="60" t="n"/>
      <c r="ELI100" s="60" t="n"/>
      <c r="ELJ100" s="60" t="n"/>
      <c r="ELK100" s="60" t="n"/>
      <c r="ELL100" s="60" t="n"/>
      <c r="ELM100" s="60" t="n"/>
      <c r="ELN100" s="60" t="n"/>
      <c r="ELO100" s="60" t="n"/>
      <c r="ELP100" s="60" t="n"/>
      <c r="ELQ100" s="60" t="n"/>
      <c r="ELR100" s="60" t="n"/>
      <c r="ELS100" s="60" t="n"/>
      <c r="ELT100" s="60" t="n"/>
      <c r="ELU100" s="60" t="n"/>
      <c r="ELV100" s="60" t="n"/>
      <c r="ELW100" s="60" t="n"/>
      <c r="ELX100" s="60" t="n"/>
      <c r="ELY100" s="60" t="n"/>
      <c r="ELZ100" s="60" t="n"/>
      <c r="EMA100" s="60" t="n"/>
      <c r="EMB100" s="60" t="n"/>
      <c r="EMC100" s="60" t="n"/>
      <c r="EMD100" s="60" t="n"/>
      <c r="EME100" s="60" t="n"/>
      <c r="EMF100" s="60" t="n"/>
      <c r="EMG100" s="60" t="n"/>
      <c r="EMH100" s="60" t="n"/>
      <c r="EMI100" s="60" t="n"/>
      <c r="EMJ100" s="60" t="n"/>
      <c r="EMK100" s="60" t="n"/>
      <c r="EML100" s="60" t="n"/>
      <c r="EMM100" s="60" t="n"/>
      <c r="EMN100" s="60" t="n"/>
      <c r="EMO100" s="60" t="n"/>
      <c r="EMP100" s="60" t="n"/>
      <c r="EMQ100" s="60" t="n"/>
      <c r="EMR100" s="60" t="n"/>
      <c r="EMS100" s="60" t="n"/>
      <c r="EMT100" s="60" t="n"/>
      <c r="EMU100" s="60" t="n"/>
      <c r="EMV100" s="60" t="n"/>
      <c r="EMW100" s="60" t="n"/>
      <c r="EMX100" s="60" t="n"/>
      <c r="EMY100" s="60" t="n"/>
      <c r="EMZ100" s="60" t="n"/>
      <c r="ENA100" s="60" t="n"/>
      <c r="ENB100" s="60" t="n"/>
      <c r="ENC100" s="60" t="n"/>
      <c r="END100" s="60" t="n"/>
      <c r="ENE100" s="60" t="n"/>
      <c r="ENF100" s="60" t="n"/>
      <c r="ENG100" s="60" t="n"/>
      <c r="ENH100" s="60" t="n"/>
      <c r="ENI100" s="60" t="n"/>
      <c r="ENJ100" s="60" t="n"/>
      <c r="ENK100" s="60" t="n"/>
      <c r="ENL100" s="60" t="n"/>
      <c r="ENM100" s="60" t="n"/>
      <c r="ENN100" s="60" t="n"/>
      <c r="ENO100" s="60" t="n"/>
      <c r="ENP100" s="60" t="n"/>
      <c r="ENQ100" s="60" t="n"/>
      <c r="ENR100" s="60" t="n"/>
      <c r="ENS100" s="60" t="n"/>
      <c r="ENT100" s="60" t="n"/>
      <c r="ENU100" s="60" t="n"/>
      <c r="ENV100" s="60" t="n"/>
      <c r="ENW100" s="60" t="n"/>
      <c r="ENX100" s="60" t="n"/>
      <c r="ENY100" s="60" t="n"/>
      <c r="ENZ100" s="60" t="n"/>
      <c r="EOA100" s="60" t="n"/>
      <c r="EOB100" s="60" t="n"/>
      <c r="EOC100" s="60" t="n"/>
      <c r="EOD100" s="60" t="n"/>
      <c r="EOE100" s="60" t="n"/>
      <c r="EOF100" s="60" t="n"/>
      <c r="EOG100" s="60" t="n"/>
      <c r="EOH100" s="60" t="n"/>
      <c r="EOI100" s="60" t="n"/>
      <c r="EOJ100" s="60" t="n"/>
      <c r="EOK100" s="60" t="n"/>
      <c r="EOL100" s="60" t="n"/>
      <c r="EOM100" s="60" t="n"/>
      <c r="EON100" s="60" t="n"/>
      <c r="EOO100" s="60" t="n"/>
      <c r="EOP100" s="60" t="n"/>
      <c r="EOQ100" s="60" t="n"/>
      <c r="EOR100" s="60" t="n"/>
      <c r="EOS100" s="60" t="n"/>
      <c r="EOT100" s="60" t="n"/>
      <c r="EOU100" s="60" t="n"/>
      <c r="EOV100" s="60" t="n"/>
      <c r="EOW100" s="60" t="n"/>
      <c r="EOX100" s="60" t="n"/>
      <c r="EOY100" s="60" t="n"/>
      <c r="EOZ100" s="60" t="n"/>
      <c r="EPA100" s="60" t="n"/>
      <c r="EPB100" s="60" t="n"/>
      <c r="EPC100" s="60" t="n"/>
      <c r="EPD100" s="60" t="n"/>
      <c r="EPE100" s="60" t="n"/>
      <c r="EPF100" s="60" t="n"/>
      <c r="EPG100" s="60" t="n"/>
      <c r="EPH100" s="60" t="n"/>
      <c r="EPI100" s="60" t="n"/>
      <c r="EPJ100" s="60" t="n"/>
      <c r="EPK100" s="60" t="n"/>
      <c r="EPL100" s="60" t="n"/>
      <c r="EPM100" s="60" t="n"/>
      <c r="EPN100" s="60" t="n"/>
      <c r="EPO100" s="60" t="n"/>
      <c r="EPP100" s="60" t="n"/>
      <c r="EPQ100" s="60" t="n"/>
      <c r="EPR100" s="60" t="n"/>
      <c r="EPS100" s="60" t="n"/>
      <c r="EPT100" s="60" t="n"/>
      <c r="EPU100" s="60" t="n"/>
      <c r="EPV100" s="60" t="n"/>
      <c r="EPW100" s="60" t="n"/>
      <c r="EPX100" s="60" t="n"/>
      <c r="EPY100" s="60" t="n"/>
      <c r="EPZ100" s="60" t="n"/>
      <c r="EQA100" s="60" t="n"/>
      <c r="EQB100" s="60" t="n"/>
      <c r="EQC100" s="60" t="n"/>
      <c r="EQD100" s="60" t="n"/>
      <c r="EQE100" s="60" t="n"/>
      <c r="EQF100" s="60" t="n"/>
      <c r="EQG100" s="60" t="n"/>
      <c r="EQH100" s="60" t="n"/>
      <c r="EQI100" s="60" t="n"/>
      <c r="EQJ100" s="60" t="n"/>
      <c r="EQK100" s="60" t="n"/>
      <c r="EQL100" s="60" t="n"/>
      <c r="EQM100" s="60" t="n"/>
      <c r="EQN100" s="60" t="n"/>
      <c r="EQO100" s="60" t="n"/>
      <c r="EQP100" s="60" t="n"/>
      <c r="EQQ100" s="60" t="n"/>
      <c r="EQR100" s="60" t="n"/>
      <c r="EQS100" s="60" t="n"/>
      <c r="EQT100" s="60" t="n"/>
      <c r="EQU100" s="60" t="n"/>
      <c r="EQV100" s="60" t="n"/>
      <c r="EQW100" s="60" t="n"/>
      <c r="EQX100" s="60" t="n"/>
      <c r="EQY100" s="60" t="n"/>
      <c r="EQZ100" s="60" t="n"/>
      <c r="ERA100" s="60" t="n"/>
      <c r="ERB100" s="60" t="n"/>
      <c r="ERC100" s="60" t="n"/>
      <c r="ERD100" s="60" t="n"/>
      <c r="ERE100" s="60" t="n"/>
      <c r="ERF100" s="60" t="n"/>
      <c r="ERG100" s="60" t="n"/>
      <c r="ERH100" s="60" t="n"/>
      <c r="ERI100" s="60" t="n"/>
      <c r="ERJ100" s="60" t="n"/>
      <c r="ERK100" s="60" t="n"/>
      <c r="ERL100" s="60" t="n"/>
      <c r="ERM100" s="60" t="n"/>
      <c r="ERN100" s="60" t="n"/>
      <c r="ERO100" s="60" t="n"/>
      <c r="ERP100" s="60" t="n"/>
      <c r="ERQ100" s="60" t="n"/>
      <c r="ERR100" s="60" t="n"/>
      <c r="ERS100" s="60" t="n"/>
      <c r="ERT100" s="60" t="n"/>
      <c r="ERU100" s="60" t="n"/>
      <c r="ERV100" s="60" t="n"/>
      <c r="ERW100" s="60" t="n"/>
      <c r="ERX100" s="60" t="n"/>
      <c r="ERY100" s="60" t="n"/>
      <c r="ERZ100" s="60" t="n"/>
      <c r="ESA100" s="60" t="n"/>
      <c r="ESB100" s="60" t="n"/>
      <c r="ESC100" s="60" t="n"/>
      <c r="ESD100" s="60" t="n"/>
      <c r="ESE100" s="60" t="n"/>
      <c r="ESF100" s="60" t="n"/>
      <c r="ESG100" s="60" t="n"/>
      <c r="ESH100" s="60" t="n"/>
      <c r="ESI100" s="60" t="n"/>
      <c r="ESJ100" s="60" t="n"/>
      <c r="ESK100" s="60" t="n"/>
      <c r="ESL100" s="60" t="n"/>
      <c r="ESM100" s="60" t="n"/>
      <c r="ESN100" s="60" t="n"/>
      <c r="ESO100" s="60" t="n"/>
      <c r="ESP100" s="60" t="n"/>
      <c r="ESQ100" s="60" t="n"/>
      <c r="ESR100" s="60" t="n"/>
      <c r="ESS100" s="60" t="n"/>
      <c r="EST100" s="60" t="n"/>
      <c r="ESU100" s="60" t="n"/>
      <c r="ESV100" s="60" t="n"/>
      <c r="ESW100" s="60" t="n"/>
      <c r="ESX100" s="60" t="n"/>
      <c r="ESY100" s="60" t="n"/>
      <c r="ESZ100" s="60" t="n"/>
      <c r="ETA100" s="60" t="n"/>
      <c r="ETB100" s="60" t="n"/>
      <c r="ETC100" s="60" t="n"/>
      <c r="ETD100" s="60" t="n"/>
      <c r="ETE100" s="60" t="n"/>
      <c r="ETF100" s="60" t="n"/>
      <c r="ETG100" s="60" t="n"/>
      <c r="ETH100" s="60" t="n"/>
      <c r="ETI100" s="60" t="n"/>
      <c r="ETJ100" s="60" t="n"/>
      <c r="ETK100" s="60" t="n"/>
      <c r="ETL100" s="60" t="n"/>
      <c r="ETM100" s="60" t="n"/>
      <c r="ETN100" s="60" t="n"/>
      <c r="ETO100" s="60" t="n"/>
      <c r="ETP100" s="60" t="n"/>
      <c r="ETQ100" s="60" t="n"/>
      <c r="ETR100" s="60" t="n"/>
      <c r="ETS100" s="60" t="n"/>
      <c r="ETT100" s="60" t="n"/>
      <c r="ETU100" s="60" t="n"/>
      <c r="ETV100" s="60" t="n"/>
      <c r="ETW100" s="60" t="n"/>
      <c r="ETX100" s="60" t="n"/>
      <c r="ETY100" s="60" t="n"/>
      <c r="ETZ100" s="60" t="n"/>
      <c r="EUA100" s="60" t="n"/>
      <c r="EUB100" s="60" t="n"/>
      <c r="EUC100" s="60" t="n"/>
      <c r="EUD100" s="60" t="n"/>
      <c r="EUE100" s="60" t="n"/>
      <c r="EUF100" s="60" t="n"/>
      <c r="EUG100" s="60" t="n"/>
      <c r="EUH100" s="60" t="n"/>
      <c r="EUI100" s="60" t="n"/>
      <c r="EUJ100" s="60" t="n"/>
      <c r="EUK100" s="60" t="n"/>
      <c r="EUL100" s="60" t="n"/>
      <c r="EUM100" s="60" t="n"/>
      <c r="EUN100" s="60" t="n"/>
      <c r="EUO100" s="60" t="n"/>
      <c r="EUP100" s="60" t="n"/>
      <c r="EUQ100" s="60" t="n"/>
      <c r="EUR100" s="60" t="n"/>
      <c r="EUS100" s="60" t="n"/>
      <c r="EUT100" s="60" t="n"/>
      <c r="EUU100" s="60" t="n"/>
      <c r="EUV100" s="60" t="n"/>
      <c r="EUW100" s="60" t="n"/>
      <c r="EUX100" s="60" t="n"/>
      <c r="EUY100" s="60" t="n"/>
      <c r="EUZ100" s="60" t="n"/>
      <c r="EVA100" s="60" t="n"/>
      <c r="EVB100" s="60" t="n"/>
      <c r="EVC100" s="60" t="n"/>
      <c r="EVD100" s="60" t="n"/>
      <c r="EVE100" s="60" t="n"/>
      <c r="EVF100" s="60" t="n"/>
      <c r="EVG100" s="60" t="n"/>
      <c r="EVH100" s="60" t="n"/>
      <c r="EVI100" s="60" t="n"/>
      <c r="EVJ100" s="60" t="n"/>
      <c r="EVK100" s="60" t="n"/>
      <c r="EVL100" s="60" t="n"/>
      <c r="EVM100" s="60" t="n"/>
      <c r="EVN100" s="60" t="n"/>
      <c r="EVO100" s="60" t="n"/>
      <c r="EVP100" s="60" t="n"/>
      <c r="EVQ100" s="60" t="n"/>
      <c r="EVR100" s="60" t="n"/>
      <c r="EVS100" s="60" t="n"/>
      <c r="EVT100" s="60" t="n"/>
      <c r="EVU100" s="60" t="n"/>
      <c r="EVV100" s="60" t="n"/>
      <c r="EVW100" s="60" t="n"/>
      <c r="EVX100" s="60" t="n"/>
      <c r="EVY100" s="60" t="n"/>
      <c r="EVZ100" s="60" t="n"/>
      <c r="EWA100" s="60" t="n"/>
      <c r="EWB100" s="60" t="n"/>
      <c r="EWC100" s="60" t="n"/>
      <c r="EWD100" s="60" t="n"/>
      <c r="EWE100" s="60" t="n"/>
      <c r="EWF100" s="60" t="n"/>
      <c r="EWG100" s="60" t="n"/>
      <c r="EWH100" s="60" t="n"/>
      <c r="EWI100" s="60" t="n"/>
      <c r="EWJ100" s="60" t="n"/>
      <c r="EWK100" s="60" t="n"/>
      <c r="EWL100" s="60" t="n"/>
      <c r="EWM100" s="60" t="n"/>
      <c r="EWN100" s="60" t="n"/>
      <c r="EWO100" s="60" t="n"/>
      <c r="EWP100" s="60" t="n"/>
      <c r="EWQ100" s="60" t="n"/>
      <c r="EWR100" s="60" t="n"/>
      <c r="EWS100" s="60" t="n"/>
      <c r="EWT100" s="60" t="n"/>
      <c r="EWU100" s="60" t="n"/>
      <c r="EWV100" s="60" t="n"/>
      <c r="EWW100" s="60" t="n"/>
      <c r="EWX100" s="60" t="n"/>
      <c r="EWY100" s="60" t="n"/>
      <c r="EWZ100" s="60" t="n"/>
      <c r="EXA100" s="60" t="n"/>
      <c r="EXB100" s="60" t="n"/>
      <c r="EXC100" s="60" t="n"/>
      <c r="EXD100" s="60" t="n"/>
      <c r="EXE100" s="60" t="n"/>
      <c r="EXF100" s="60" t="n"/>
      <c r="EXG100" s="60" t="n"/>
      <c r="EXH100" s="60" t="n"/>
      <c r="EXI100" s="60" t="n"/>
      <c r="EXJ100" s="60" t="n"/>
      <c r="EXK100" s="60" t="n"/>
      <c r="EXL100" s="60" t="n"/>
      <c r="EXM100" s="60" t="n"/>
      <c r="EXN100" s="60" t="n"/>
      <c r="EXO100" s="60" t="n"/>
      <c r="EXP100" s="60" t="n"/>
      <c r="EXQ100" s="60" t="n"/>
      <c r="EXR100" s="60" t="n"/>
      <c r="EXS100" s="60" t="n"/>
      <c r="EXT100" s="60" t="n"/>
      <c r="EXU100" s="60" t="n"/>
      <c r="EXV100" s="60" t="n"/>
      <c r="EXW100" s="60" t="n"/>
      <c r="EXX100" s="60" t="n"/>
      <c r="EXY100" s="60" t="n"/>
      <c r="EXZ100" s="60" t="n"/>
      <c r="EYA100" s="60" t="n"/>
      <c r="EYB100" s="60" t="n"/>
      <c r="EYC100" s="60" t="n"/>
      <c r="EYD100" s="60" t="n"/>
      <c r="EYE100" s="60" t="n"/>
      <c r="EYF100" s="60" t="n"/>
      <c r="EYG100" s="60" t="n"/>
      <c r="EYH100" s="60" t="n"/>
      <c r="EYI100" s="60" t="n"/>
      <c r="EYJ100" s="60" t="n"/>
      <c r="EYK100" s="60" t="n"/>
      <c r="EYL100" s="60" t="n"/>
      <c r="EYM100" s="60" t="n"/>
      <c r="EYN100" s="60" t="n"/>
      <c r="EYO100" s="60" t="n"/>
      <c r="EYP100" s="60" t="n"/>
      <c r="EYQ100" s="60" t="n"/>
      <c r="EYR100" s="60" t="n"/>
      <c r="EYS100" s="60" t="n"/>
      <c r="EYT100" s="60" t="n"/>
      <c r="EYU100" s="60" t="n"/>
      <c r="EYV100" s="60" t="n"/>
      <c r="EYW100" s="60" t="n"/>
      <c r="EYX100" s="60" t="n"/>
      <c r="EYY100" s="60" t="n"/>
      <c r="EYZ100" s="60" t="n"/>
      <c r="EZA100" s="60" t="n"/>
      <c r="EZB100" s="60" t="n"/>
      <c r="EZC100" s="60" t="n"/>
      <c r="EZD100" s="60" t="n"/>
      <c r="EZE100" s="60" t="n"/>
      <c r="EZF100" s="60" t="n"/>
      <c r="EZG100" s="60" t="n"/>
      <c r="EZH100" s="60" t="n"/>
      <c r="EZI100" s="60" t="n"/>
      <c r="EZJ100" s="60" t="n"/>
      <c r="EZK100" s="60" t="n"/>
      <c r="EZL100" s="60" t="n"/>
      <c r="EZM100" s="60" t="n"/>
      <c r="EZN100" s="60" t="n"/>
      <c r="EZO100" s="60" t="n"/>
      <c r="EZP100" s="60" t="n"/>
      <c r="EZQ100" s="60" t="n"/>
      <c r="EZR100" s="60" t="n"/>
      <c r="EZS100" s="60" t="n"/>
      <c r="EZT100" s="60" t="n"/>
      <c r="EZU100" s="60" t="n"/>
      <c r="EZV100" s="60" t="n"/>
      <c r="EZW100" s="60" t="n"/>
      <c r="EZX100" s="60" t="n"/>
      <c r="EZY100" s="60" t="n"/>
      <c r="EZZ100" s="60" t="n"/>
      <c r="FAA100" s="60" t="n"/>
      <c r="FAB100" s="60" t="n"/>
      <c r="FAC100" s="60" t="n"/>
      <c r="FAD100" s="60" t="n"/>
      <c r="FAE100" s="60" t="n"/>
      <c r="FAF100" s="60" t="n"/>
      <c r="FAG100" s="60" t="n"/>
      <c r="FAH100" s="60" t="n"/>
      <c r="FAI100" s="60" t="n"/>
      <c r="FAJ100" s="60" t="n"/>
      <c r="FAK100" s="60" t="n"/>
      <c r="FAL100" s="60" t="n"/>
      <c r="FAM100" s="60" t="n"/>
      <c r="FAN100" s="60" t="n"/>
      <c r="FAO100" s="60" t="n"/>
      <c r="FAP100" s="60" t="n"/>
      <c r="FAQ100" s="60" t="n"/>
      <c r="FAR100" s="60" t="n"/>
      <c r="FAS100" s="60" t="n"/>
      <c r="FAT100" s="60" t="n"/>
      <c r="FAU100" s="60" t="n"/>
      <c r="FAV100" s="60" t="n"/>
      <c r="FAW100" s="60" t="n"/>
      <c r="FAX100" s="60" t="n"/>
      <c r="FAY100" s="60" t="n"/>
      <c r="FAZ100" s="60" t="n"/>
      <c r="FBA100" s="60" t="n"/>
      <c r="FBB100" s="60" t="n"/>
      <c r="FBC100" s="60" t="n"/>
      <c r="FBD100" s="60" t="n"/>
      <c r="FBE100" s="60" t="n"/>
      <c r="FBF100" s="60" t="n"/>
      <c r="FBG100" s="60" t="n"/>
      <c r="FBH100" s="60" t="n"/>
      <c r="FBI100" s="60" t="n"/>
      <c r="FBJ100" s="60" t="n"/>
      <c r="FBK100" s="60" t="n"/>
      <c r="FBL100" s="60" t="n"/>
      <c r="FBM100" s="60" t="n"/>
      <c r="FBN100" s="60" t="n"/>
      <c r="FBO100" s="60" t="n"/>
      <c r="FBP100" s="60" t="n"/>
      <c r="FBQ100" s="60" t="n"/>
      <c r="FBR100" s="60" t="n"/>
      <c r="FBS100" s="60" t="n"/>
      <c r="FBT100" s="60" t="n"/>
      <c r="FBU100" s="60" t="n"/>
      <c r="FBV100" s="60" t="n"/>
      <c r="FBW100" s="60" t="n"/>
      <c r="FBX100" s="60" t="n"/>
      <c r="FBY100" s="60" t="n"/>
      <c r="FBZ100" s="60" t="n"/>
      <c r="FCA100" s="60" t="n"/>
      <c r="FCB100" s="60" t="n"/>
      <c r="FCC100" s="60" t="n"/>
      <c r="FCD100" s="60" t="n"/>
      <c r="FCE100" s="60" t="n"/>
      <c r="FCF100" s="60" t="n"/>
      <c r="FCG100" s="60" t="n"/>
      <c r="FCH100" s="60" t="n"/>
      <c r="FCI100" s="60" t="n"/>
      <c r="FCJ100" s="60" t="n"/>
      <c r="FCK100" s="60" t="n"/>
      <c r="FCL100" s="60" t="n"/>
      <c r="FCM100" s="60" t="n"/>
      <c r="FCN100" s="60" t="n"/>
      <c r="FCO100" s="60" t="n"/>
      <c r="FCP100" s="60" t="n"/>
      <c r="FCQ100" s="60" t="n"/>
      <c r="FCR100" s="60" t="n"/>
      <c r="FCS100" s="60" t="n"/>
      <c r="FCT100" s="60" t="n"/>
      <c r="FCU100" s="60" t="n"/>
      <c r="FCV100" s="60" t="n"/>
      <c r="FCW100" s="60" t="n"/>
      <c r="FCX100" s="60" t="n"/>
      <c r="FCY100" s="60" t="n"/>
      <c r="FCZ100" s="60" t="n"/>
      <c r="FDA100" s="60" t="n"/>
      <c r="FDB100" s="60" t="n"/>
      <c r="FDC100" s="60" t="n"/>
      <c r="FDD100" s="60" t="n"/>
      <c r="FDE100" s="60" t="n"/>
      <c r="FDF100" s="60" t="n"/>
      <c r="FDG100" s="60" t="n"/>
      <c r="FDH100" s="60" t="n"/>
      <c r="FDI100" s="60" t="n"/>
      <c r="FDJ100" s="60" t="n"/>
      <c r="FDK100" s="60" t="n"/>
      <c r="FDL100" s="60" t="n"/>
      <c r="FDM100" s="60" t="n"/>
      <c r="FDN100" s="60" t="n"/>
      <c r="FDO100" s="60" t="n"/>
      <c r="FDP100" s="60" t="n"/>
      <c r="FDQ100" s="60" t="n"/>
      <c r="FDR100" s="60" t="n"/>
      <c r="FDS100" s="60" t="n"/>
      <c r="FDT100" s="60" t="n"/>
      <c r="FDU100" s="60" t="n"/>
      <c r="FDV100" s="60" t="n"/>
      <c r="FDW100" s="60" t="n"/>
      <c r="FDX100" s="60" t="n"/>
      <c r="FDY100" s="60" t="n"/>
      <c r="FDZ100" s="60" t="n"/>
      <c r="FEA100" s="60" t="n"/>
      <c r="FEB100" s="60" t="n"/>
      <c r="FEC100" s="60" t="n"/>
      <c r="FED100" s="60" t="n"/>
      <c r="FEE100" s="60" t="n"/>
      <c r="FEF100" s="60" t="n"/>
      <c r="FEG100" s="60" t="n"/>
      <c r="FEH100" s="60" t="n"/>
      <c r="FEI100" s="60" t="n"/>
      <c r="FEJ100" s="60" t="n"/>
      <c r="FEK100" s="60" t="n"/>
      <c r="FEL100" s="60" t="n"/>
      <c r="FEM100" s="60" t="n"/>
      <c r="FEN100" s="60" t="n"/>
      <c r="FEO100" s="60" t="n"/>
      <c r="FEP100" s="60" t="n"/>
      <c r="FEQ100" s="60" t="n"/>
      <c r="FER100" s="60" t="n"/>
      <c r="FES100" s="60" t="n"/>
      <c r="FET100" s="60" t="n"/>
      <c r="FEU100" s="60" t="n"/>
      <c r="FEV100" s="60" t="n"/>
      <c r="FEW100" s="60" t="n"/>
      <c r="FEX100" s="60" t="n"/>
      <c r="FEY100" s="60" t="n"/>
      <c r="FEZ100" s="60" t="n"/>
      <c r="FFA100" s="60" t="n"/>
      <c r="FFB100" s="60" t="n"/>
      <c r="FFC100" s="60" t="n"/>
      <c r="FFD100" s="60" t="n"/>
      <c r="FFE100" s="60" t="n"/>
      <c r="FFF100" s="60" t="n"/>
      <c r="FFG100" s="60" t="n"/>
      <c r="FFH100" s="60" t="n"/>
      <c r="FFI100" s="60" t="n"/>
      <c r="FFJ100" s="60" t="n"/>
      <c r="FFK100" s="60" t="n"/>
      <c r="FFL100" s="60" t="n"/>
      <c r="FFM100" s="60" t="n"/>
      <c r="FFN100" s="60" t="n"/>
      <c r="FFO100" s="60" t="n"/>
      <c r="FFP100" s="60" t="n"/>
      <c r="FFQ100" s="60" t="n"/>
      <c r="FFR100" s="60" t="n"/>
      <c r="FFS100" s="60" t="n"/>
      <c r="FFT100" s="60" t="n"/>
      <c r="FFU100" s="60" t="n"/>
      <c r="FFV100" s="60" t="n"/>
      <c r="FFW100" s="60" t="n"/>
      <c r="FFX100" s="60" t="n"/>
      <c r="FFY100" s="60" t="n"/>
      <c r="FFZ100" s="60" t="n"/>
      <c r="FGA100" s="60" t="n"/>
      <c r="FGB100" s="60" t="n"/>
      <c r="FGC100" s="60" t="n"/>
      <c r="FGD100" s="60" t="n"/>
      <c r="FGE100" s="60" t="n"/>
      <c r="FGF100" s="60" t="n"/>
      <c r="FGG100" s="60" t="n"/>
      <c r="FGH100" s="60" t="n"/>
      <c r="FGI100" s="60" t="n"/>
      <c r="FGJ100" s="60" t="n"/>
      <c r="FGK100" s="60" t="n"/>
      <c r="FGL100" s="60" t="n"/>
      <c r="FGM100" s="60" t="n"/>
      <c r="FGN100" s="60" t="n"/>
      <c r="FGO100" s="60" t="n"/>
      <c r="FGP100" s="60" t="n"/>
      <c r="FGQ100" s="60" t="n"/>
      <c r="FGR100" s="60" t="n"/>
      <c r="FGS100" s="60" t="n"/>
      <c r="FGT100" s="60" t="n"/>
      <c r="FGU100" s="60" t="n"/>
      <c r="FGV100" s="60" t="n"/>
      <c r="FGW100" s="60" t="n"/>
      <c r="FGX100" s="60" t="n"/>
      <c r="FGY100" s="60" t="n"/>
      <c r="FGZ100" s="60" t="n"/>
      <c r="FHA100" s="60" t="n"/>
      <c r="FHB100" s="60" t="n"/>
      <c r="FHC100" s="60" t="n"/>
      <c r="FHD100" s="60" t="n"/>
      <c r="FHE100" s="60" t="n"/>
      <c r="FHF100" s="60" t="n"/>
      <c r="FHG100" s="60" t="n"/>
      <c r="FHH100" s="60" t="n"/>
      <c r="FHI100" s="60" t="n"/>
      <c r="FHJ100" s="60" t="n"/>
      <c r="FHK100" s="60" t="n"/>
      <c r="FHL100" s="60" t="n"/>
      <c r="FHM100" s="60" t="n"/>
      <c r="FHN100" s="60" t="n"/>
      <c r="FHO100" s="60" t="n"/>
      <c r="FHP100" s="60" t="n"/>
      <c r="FHQ100" s="60" t="n"/>
      <c r="FHR100" s="60" t="n"/>
      <c r="FHS100" s="60" t="n"/>
      <c r="FHT100" s="60" t="n"/>
      <c r="FHU100" s="60" t="n"/>
      <c r="FHV100" s="60" t="n"/>
      <c r="FHW100" s="60" t="n"/>
      <c r="FHX100" s="60" t="n"/>
      <c r="FHY100" s="60" t="n"/>
      <c r="FHZ100" s="60" t="n"/>
      <c r="FIA100" s="60" t="n"/>
      <c r="FIB100" s="60" t="n"/>
      <c r="FIC100" s="60" t="n"/>
      <c r="FID100" s="60" t="n"/>
      <c r="FIE100" s="60" t="n"/>
      <c r="FIF100" s="60" t="n"/>
      <c r="FIG100" s="60" t="n"/>
      <c r="FIH100" s="60" t="n"/>
      <c r="FII100" s="60" t="n"/>
      <c r="FIJ100" s="60" t="n"/>
      <c r="FIK100" s="60" t="n"/>
      <c r="FIL100" s="60" t="n"/>
      <c r="FIM100" s="60" t="n"/>
      <c r="FIN100" s="60" t="n"/>
      <c r="FIO100" s="60" t="n"/>
      <c r="FIP100" s="60" t="n"/>
      <c r="FIQ100" s="60" t="n"/>
      <c r="FIR100" s="60" t="n"/>
      <c r="FIS100" s="60" t="n"/>
      <c r="FIT100" s="60" t="n"/>
      <c r="FIU100" s="60" t="n"/>
      <c r="FIV100" s="60" t="n"/>
      <c r="FIW100" s="60" t="n"/>
      <c r="FIX100" s="60" t="n"/>
      <c r="FIY100" s="60" t="n"/>
      <c r="FIZ100" s="60" t="n"/>
      <c r="FJA100" s="60" t="n"/>
      <c r="FJB100" s="60" t="n"/>
      <c r="FJC100" s="60" t="n"/>
      <c r="FJD100" s="60" t="n"/>
      <c r="FJE100" s="60" t="n"/>
      <c r="FJF100" s="60" t="n"/>
      <c r="FJG100" s="60" t="n"/>
      <c r="FJH100" s="60" t="n"/>
      <c r="FJI100" s="60" t="n"/>
      <c r="FJJ100" s="60" t="n"/>
      <c r="FJK100" s="60" t="n"/>
      <c r="FJL100" s="60" t="n"/>
      <c r="FJM100" s="60" t="n"/>
      <c r="FJN100" s="60" t="n"/>
      <c r="FJO100" s="60" t="n"/>
      <c r="FJP100" s="60" t="n"/>
      <c r="FJQ100" s="60" t="n"/>
      <c r="FJR100" s="60" t="n"/>
      <c r="FJS100" s="60" t="n"/>
      <c r="FJT100" s="60" t="n"/>
      <c r="FJU100" s="60" t="n"/>
      <c r="FJV100" s="60" t="n"/>
      <c r="FJW100" s="60" t="n"/>
      <c r="FJX100" s="60" t="n"/>
      <c r="FJY100" s="60" t="n"/>
      <c r="FJZ100" s="60" t="n"/>
      <c r="FKA100" s="60" t="n"/>
      <c r="FKB100" s="60" t="n"/>
      <c r="FKC100" s="60" t="n"/>
      <c r="FKD100" s="60" t="n"/>
      <c r="FKE100" s="60" t="n"/>
      <c r="FKF100" s="60" t="n"/>
      <c r="FKG100" s="60" t="n"/>
      <c r="FKH100" s="60" t="n"/>
      <c r="FKI100" s="60" t="n"/>
      <c r="FKJ100" s="60" t="n"/>
      <c r="FKK100" s="60" t="n"/>
      <c r="FKL100" s="60" t="n"/>
      <c r="FKM100" s="60" t="n"/>
      <c r="FKN100" s="60" t="n"/>
      <c r="FKO100" s="60" t="n"/>
      <c r="FKP100" s="60" t="n"/>
      <c r="FKQ100" s="60" t="n"/>
      <c r="FKR100" s="60" t="n"/>
      <c r="FKS100" s="60" t="n"/>
      <c r="FKT100" s="60" t="n"/>
      <c r="FKU100" s="60" t="n"/>
      <c r="FKV100" s="60" t="n"/>
      <c r="FKW100" s="60" t="n"/>
      <c r="FKX100" s="60" t="n"/>
      <c r="FKY100" s="60" t="n"/>
      <c r="FKZ100" s="60" t="n"/>
      <c r="FLA100" s="60" t="n"/>
      <c r="FLB100" s="60" t="n"/>
      <c r="FLC100" s="60" t="n"/>
      <c r="FLD100" s="60" t="n"/>
      <c r="FLE100" s="60" t="n"/>
      <c r="FLF100" s="60" t="n"/>
      <c r="FLG100" s="60" t="n"/>
      <c r="FLH100" s="60" t="n"/>
      <c r="FLI100" s="60" t="n"/>
      <c r="FLJ100" s="60" t="n"/>
      <c r="FLK100" s="60" t="n"/>
      <c r="FLL100" s="60" t="n"/>
      <c r="FLM100" s="60" t="n"/>
      <c r="FLN100" s="60" t="n"/>
      <c r="FLO100" s="60" t="n"/>
      <c r="FLP100" s="60" t="n"/>
      <c r="FLQ100" s="60" t="n"/>
      <c r="FLR100" s="60" t="n"/>
      <c r="FLS100" s="60" t="n"/>
      <c r="FLT100" s="60" t="n"/>
      <c r="FLU100" s="60" t="n"/>
      <c r="FLV100" s="60" t="n"/>
      <c r="FLW100" s="60" t="n"/>
      <c r="FLX100" s="60" t="n"/>
      <c r="FLY100" s="60" t="n"/>
      <c r="FLZ100" s="60" t="n"/>
      <c r="FMA100" s="60" t="n"/>
      <c r="FMB100" s="60" t="n"/>
      <c r="FMC100" s="60" t="n"/>
      <c r="FMD100" s="60" t="n"/>
      <c r="FME100" s="60" t="n"/>
      <c r="FMF100" s="60" t="n"/>
      <c r="FMG100" s="60" t="n"/>
      <c r="FMH100" s="60" t="n"/>
      <c r="FMI100" s="60" t="n"/>
      <c r="FMJ100" s="60" t="n"/>
      <c r="FMK100" s="60" t="n"/>
      <c r="FML100" s="60" t="n"/>
      <c r="FMM100" s="60" t="n"/>
      <c r="FMN100" s="60" t="n"/>
      <c r="FMO100" s="60" t="n"/>
      <c r="FMP100" s="60" t="n"/>
      <c r="FMQ100" s="60" t="n"/>
      <c r="FMR100" s="60" t="n"/>
      <c r="FMS100" s="60" t="n"/>
      <c r="FMT100" s="60" t="n"/>
      <c r="FMU100" s="60" t="n"/>
      <c r="FMV100" s="60" t="n"/>
      <c r="FMW100" s="60" t="n"/>
      <c r="FMX100" s="60" t="n"/>
      <c r="FMY100" s="60" t="n"/>
      <c r="FMZ100" s="60" t="n"/>
      <c r="FNA100" s="60" t="n"/>
      <c r="FNB100" s="60" t="n"/>
      <c r="FNC100" s="60" t="n"/>
      <c r="FND100" s="60" t="n"/>
      <c r="FNE100" s="60" t="n"/>
      <c r="FNF100" s="60" t="n"/>
      <c r="FNG100" s="60" t="n"/>
      <c r="FNH100" s="60" t="n"/>
      <c r="FNI100" s="60" t="n"/>
      <c r="FNJ100" s="60" t="n"/>
      <c r="FNK100" s="60" t="n"/>
      <c r="FNL100" s="60" t="n"/>
      <c r="FNM100" s="60" t="n"/>
      <c r="FNN100" s="60" t="n"/>
      <c r="FNO100" s="60" t="n"/>
      <c r="FNP100" s="60" t="n"/>
      <c r="FNQ100" s="60" t="n"/>
      <c r="FNR100" s="60" t="n"/>
      <c r="FNS100" s="60" t="n"/>
      <c r="FNT100" s="60" t="n"/>
      <c r="FNU100" s="60" t="n"/>
      <c r="FNV100" s="60" t="n"/>
      <c r="FNW100" s="60" t="n"/>
      <c r="FNX100" s="60" t="n"/>
      <c r="FNY100" s="60" t="n"/>
      <c r="FNZ100" s="60" t="n"/>
      <c r="FOA100" s="60" t="n"/>
      <c r="FOB100" s="60" t="n"/>
      <c r="FOC100" s="60" t="n"/>
      <c r="FOD100" s="60" t="n"/>
      <c r="FOE100" s="60" t="n"/>
      <c r="FOF100" s="60" t="n"/>
      <c r="FOG100" s="60" t="n"/>
      <c r="FOH100" s="60" t="n"/>
      <c r="FOI100" s="60" t="n"/>
      <c r="FOJ100" s="60" t="n"/>
      <c r="FOK100" s="60" t="n"/>
      <c r="FOL100" s="60" t="n"/>
      <c r="FOM100" s="60" t="n"/>
      <c r="FON100" s="60" t="n"/>
      <c r="FOO100" s="60" t="n"/>
      <c r="FOP100" s="60" t="n"/>
      <c r="FOQ100" s="60" t="n"/>
      <c r="FOR100" s="60" t="n"/>
      <c r="FOS100" s="60" t="n"/>
      <c r="FOT100" s="60" t="n"/>
      <c r="FOU100" s="60" t="n"/>
      <c r="FOV100" s="60" t="n"/>
      <c r="FOW100" s="60" t="n"/>
      <c r="FOX100" s="60" t="n"/>
      <c r="FOY100" s="60" t="n"/>
      <c r="FOZ100" s="60" t="n"/>
      <c r="FPA100" s="60" t="n"/>
      <c r="FPB100" s="60" t="n"/>
      <c r="FPC100" s="60" t="n"/>
      <c r="FPD100" s="60" t="n"/>
      <c r="FPE100" s="60" t="n"/>
      <c r="FPF100" s="60" t="n"/>
      <c r="FPG100" s="60" t="n"/>
      <c r="FPH100" s="60" t="n"/>
      <c r="FPI100" s="60" t="n"/>
      <c r="FPJ100" s="60" t="n"/>
      <c r="FPK100" s="60" t="n"/>
      <c r="FPL100" s="60" t="n"/>
      <c r="FPM100" s="60" t="n"/>
      <c r="FPN100" s="60" t="n"/>
      <c r="FPO100" s="60" t="n"/>
      <c r="FPP100" s="60" t="n"/>
      <c r="FPQ100" s="60" t="n"/>
      <c r="FPR100" s="60" t="n"/>
      <c r="FPS100" s="60" t="n"/>
      <c r="FPT100" s="60" t="n"/>
      <c r="FPU100" s="60" t="n"/>
      <c r="FPV100" s="60" t="n"/>
      <c r="FPW100" s="60" t="n"/>
      <c r="FPX100" s="60" t="n"/>
      <c r="FPY100" s="60" t="n"/>
      <c r="FPZ100" s="60" t="n"/>
      <c r="FQA100" s="60" t="n"/>
      <c r="FQB100" s="60" t="n"/>
      <c r="FQC100" s="60" t="n"/>
      <c r="FQD100" s="60" t="n"/>
      <c r="FQE100" s="60" t="n"/>
      <c r="FQF100" s="60" t="n"/>
      <c r="FQG100" s="60" t="n"/>
      <c r="FQH100" s="60" t="n"/>
      <c r="FQI100" s="60" t="n"/>
      <c r="FQJ100" s="60" t="n"/>
      <c r="FQK100" s="60" t="n"/>
      <c r="FQL100" s="60" t="n"/>
      <c r="FQM100" s="60" t="n"/>
      <c r="FQN100" s="60" t="n"/>
      <c r="FQO100" s="60" t="n"/>
      <c r="FQP100" s="60" t="n"/>
      <c r="FQQ100" s="60" t="n"/>
      <c r="FQR100" s="60" t="n"/>
      <c r="FQS100" s="60" t="n"/>
      <c r="FQT100" s="60" t="n"/>
      <c r="FQU100" s="60" t="n"/>
      <c r="FQV100" s="60" t="n"/>
      <c r="FQW100" s="60" t="n"/>
      <c r="FQX100" s="60" t="n"/>
      <c r="FQY100" s="60" t="n"/>
      <c r="FQZ100" s="60" t="n"/>
      <c r="FRA100" s="60" t="n"/>
      <c r="FRB100" s="60" t="n"/>
      <c r="FRC100" s="60" t="n"/>
      <c r="FRD100" s="60" t="n"/>
      <c r="FRE100" s="60" t="n"/>
      <c r="FRF100" s="60" t="n"/>
      <c r="FRG100" s="60" t="n"/>
      <c r="FRH100" s="60" t="n"/>
      <c r="FRI100" s="60" t="n"/>
      <c r="FRJ100" s="60" t="n"/>
      <c r="FRK100" s="60" t="n"/>
      <c r="FRL100" s="60" t="n"/>
      <c r="FRM100" s="60" t="n"/>
      <c r="FRN100" s="60" t="n"/>
      <c r="FRO100" s="60" t="n"/>
      <c r="FRP100" s="60" t="n"/>
      <c r="FRQ100" s="60" t="n"/>
      <c r="FRR100" s="60" t="n"/>
      <c r="FRS100" s="60" t="n"/>
      <c r="FRT100" s="60" t="n"/>
      <c r="FRU100" s="60" t="n"/>
      <c r="FRV100" s="60" t="n"/>
      <c r="FRW100" s="60" t="n"/>
      <c r="FRX100" s="60" t="n"/>
      <c r="FRY100" s="60" t="n"/>
      <c r="FRZ100" s="60" t="n"/>
      <c r="FSA100" s="60" t="n"/>
      <c r="FSB100" s="60" t="n"/>
      <c r="FSC100" s="60" t="n"/>
      <c r="FSD100" s="60" t="n"/>
      <c r="FSE100" s="60" t="n"/>
      <c r="FSF100" s="60" t="n"/>
      <c r="FSG100" s="60" t="n"/>
      <c r="FSH100" s="60" t="n"/>
      <c r="FSI100" s="60" t="n"/>
      <c r="FSJ100" s="60" t="n"/>
      <c r="FSK100" s="60" t="n"/>
      <c r="FSL100" s="60" t="n"/>
      <c r="FSM100" s="60" t="n"/>
      <c r="FSN100" s="60" t="n"/>
      <c r="FSO100" s="60" t="n"/>
      <c r="FSP100" s="60" t="n"/>
      <c r="FSQ100" s="60" t="n"/>
      <c r="FSR100" s="60" t="n"/>
      <c r="FSS100" s="60" t="n"/>
      <c r="FST100" s="60" t="n"/>
      <c r="FSU100" s="60" t="n"/>
      <c r="FSV100" s="60" t="n"/>
      <c r="FSW100" s="60" t="n"/>
      <c r="FSX100" s="60" t="n"/>
      <c r="FSY100" s="60" t="n"/>
      <c r="FSZ100" s="60" t="n"/>
      <c r="FTA100" s="60" t="n"/>
      <c r="FTB100" s="60" t="n"/>
      <c r="FTC100" s="60" t="n"/>
      <c r="FTD100" s="60" t="n"/>
      <c r="FTE100" s="60" t="n"/>
      <c r="FTF100" s="60" t="n"/>
      <c r="FTG100" s="60" t="n"/>
      <c r="FTH100" s="60" t="n"/>
      <c r="FTI100" s="60" t="n"/>
      <c r="FTJ100" s="60" t="n"/>
      <c r="FTK100" s="60" t="n"/>
      <c r="FTL100" s="60" t="n"/>
      <c r="FTM100" s="60" t="n"/>
      <c r="FTN100" s="60" t="n"/>
      <c r="FTO100" s="60" t="n"/>
      <c r="FTP100" s="60" t="n"/>
      <c r="FTQ100" s="60" t="n"/>
      <c r="FTR100" s="60" t="n"/>
      <c r="FTS100" s="60" t="n"/>
      <c r="FTT100" s="60" t="n"/>
      <c r="FTU100" s="60" t="n"/>
      <c r="FTV100" s="60" t="n"/>
      <c r="FTW100" s="60" t="n"/>
      <c r="FTX100" s="60" t="n"/>
      <c r="FTY100" s="60" t="n"/>
      <c r="FTZ100" s="60" t="n"/>
      <c r="FUA100" s="60" t="n"/>
      <c r="FUB100" s="60" t="n"/>
      <c r="FUC100" s="60" t="n"/>
      <c r="FUD100" s="60" t="n"/>
      <c r="FUE100" s="60" t="n"/>
      <c r="FUF100" s="60" t="n"/>
      <c r="FUG100" s="60" t="n"/>
      <c r="FUH100" s="60" t="n"/>
      <c r="FUI100" s="60" t="n"/>
      <c r="FUJ100" s="60" t="n"/>
      <c r="FUK100" s="60" t="n"/>
      <c r="FUL100" s="60" t="n"/>
      <c r="FUM100" s="60" t="n"/>
      <c r="FUN100" s="60" t="n"/>
      <c r="FUO100" s="60" t="n"/>
      <c r="FUP100" s="60" t="n"/>
      <c r="FUQ100" s="60" t="n"/>
      <c r="FUR100" s="60" t="n"/>
      <c r="FUS100" s="60" t="n"/>
      <c r="FUT100" s="60" t="n"/>
      <c r="FUU100" s="60" t="n"/>
      <c r="FUV100" s="60" t="n"/>
      <c r="FUW100" s="60" t="n"/>
      <c r="FUX100" s="60" t="n"/>
      <c r="FUY100" s="60" t="n"/>
      <c r="FUZ100" s="60" t="n"/>
      <c r="FVA100" s="60" t="n"/>
      <c r="FVB100" s="60" t="n"/>
      <c r="FVC100" s="60" t="n"/>
      <c r="FVD100" s="60" t="n"/>
      <c r="FVE100" s="60" t="n"/>
      <c r="FVF100" s="60" t="n"/>
      <c r="FVG100" s="60" t="n"/>
      <c r="FVH100" s="60" t="n"/>
      <c r="FVI100" s="60" t="n"/>
      <c r="FVJ100" s="60" t="n"/>
      <c r="FVK100" s="60" t="n"/>
      <c r="FVL100" s="60" t="n"/>
      <c r="FVM100" s="60" t="n"/>
      <c r="FVN100" s="60" t="n"/>
      <c r="FVO100" s="60" t="n"/>
      <c r="FVP100" s="60" t="n"/>
      <c r="FVQ100" s="60" t="n"/>
      <c r="FVR100" s="60" t="n"/>
      <c r="FVS100" s="60" t="n"/>
      <c r="FVT100" s="60" t="n"/>
      <c r="FVU100" s="60" t="n"/>
      <c r="FVV100" s="60" t="n"/>
      <c r="FVW100" s="60" t="n"/>
      <c r="FVX100" s="60" t="n"/>
      <c r="FVY100" s="60" t="n"/>
      <c r="FVZ100" s="60" t="n"/>
      <c r="FWA100" s="60" t="n"/>
      <c r="FWB100" s="60" t="n"/>
      <c r="FWC100" s="60" t="n"/>
      <c r="FWD100" s="60" t="n"/>
      <c r="FWE100" s="60" t="n"/>
      <c r="FWF100" s="60" t="n"/>
      <c r="FWG100" s="60" t="n"/>
      <c r="FWH100" s="60" t="n"/>
      <c r="FWI100" s="60" t="n"/>
      <c r="FWJ100" s="60" t="n"/>
      <c r="FWK100" s="60" t="n"/>
      <c r="FWL100" s="60" t="n"/>
      <c r="FWM100" s="60" t="n"/>
      <c r="FWN100" s="60" t="n"/>
      <c r="FWO100" s="60" t="n"/>
      <c r="FWP100" s="60" t="n"/>
      <c r="FWQ100" s="60" t="n"/>
      <c r="FWR100" s="60" t="n"/>
      <c r="FWS100" s="60" t="n"/>
      <c r="FWT100" s="60" t="n"/>
      <c r="FWU100" s="60" t="n"/>
      <c r="FWV100" s="60" t="n"/>
      <c r="FWW100" s="60" t="n"/>
      <c r="FWX100" s="60" t="n"/>
      <c r="FWY100" s="60" t="n"/>
      <c r="FWZ100" s="60" t="n"/>
      <c r="FXA100" s="60" t="n"/>
      <c r="FXB100" s="60" t="n"/>
      <c r="FXC100" s="60" t="n"/>
      <c r="FXD100" s="60" t="n"/>
      <c r="FXE100" s="60" t="n"/>
      <c r="FXF100" s="60" t="n"/>
      <c r="FXG100" s="60" t="n"/>
      <c r="FXH100" s="60" t="n"/>
      <c r="FXI100" s="60" t="n"/>
      <c r="FXJ100" s="60" t="n"/>
      <c r="FXK100" s="60" t="n"/>
      <c r="FXL100" s="60" t="n"/>
      <c r="FXM100" s="60" t="n"/>
      <c r="FXN100" s="60" t="n"/>
      <c r="FXO100" s="60" t="n"/>
      <c r="FXP100" s="60" t="n"/>
      <c r="FXQ100" s="60" t="n"/>
      <c r="FXR100" s="60" t="n"/>
      <c r="FXS100" s="60" t="n"/>
      <c r="FXT100" s="60" t="n"/>
      <c r="FXU100" s="60" t="n"/>
      <c r="FXV100" s="60" t="n"/>
      <c r="FXW100" s="60" t="n"/>
      <c r="FXX100" s="60" t="n"/>
      <c r="FXY100" s="60" t="n"/>
      <c r="FXZ100" s="60" t="n"/>
      <c r="FYA100" s="60" t="n"/>
      <c r="FYB100" s="60" t="n"/>
      <c r="FYC100" s="60" t="n"/>
      <c r="FYD100" s="60" t="n"/>
      <c r="FYE100" s="60" t="n"/>
      <c r="FYF100" s="60" t="n"/>
      <c r="FYG100" s="60" t="n"/>
      <c r="FYH100" s="60" t="n"/>
      <c r="FYI100" s="60" t="n"/>
      <c r="FYJ100" s="60" t="n"/>
      <c r="FYK100" s="60" t="n"/>
      <c r="FYL100" s="60" t="n"/>
      <c r="FYM100" s="60" t="n"/>
      <c r="FYN100" s="60" t="n"/>
      <c r="FYO100" s="60" t="n"/>
      <c r="FYP100" s="60" t="n"/>
      <c r="FYQ100" s="60" t="n"/>
      <c r="FYR100" s="60" t="n"/>
      <c r="FYS100" s="60" t="n"/>
      <c r="FYT100" s="60" t="n"/>
      <c r="FYU100" s="60" t="n"/>
      <c r="FYV100" s="60" t="n"/>
      <c r="FYW100" s="60" t="n"/>
      <c r="FYX100" s="60" t="n"/>
      <c r="FYY100" s="60" t="n"/>
      <c r="FYZ100" s="60" t="n"/>
      <c r="FZA100" s="60" t="n"/>
      <c r="FZB100" s="60" t="n"/>
      <c r="FZC100" s="60" t="n"/>
      <c r="FZD100" s="60" t="n"/>
      <c r="FZE100" s="60" t="n"/>
      <c r="FZF100" s="60" t="n"/>
      <c r="FZG100" s="60" t="n"/>
      <c r="FZH100" s="60" t="n"/>
      <c r="FZI100" s="60" t="n"/>
      <c r="FZJ100" s="60" t="n"/>
      <c r="FZK100" s="60" t="n"/>
      <c r="FZL100" s="60" t="n"/>
      <c r="FZM100" s="60" t="n"/>
      <c r="FZN100" s="60" t="n"/>
      <c r="FZO100" s="60" t="n"/>
      <c r="FZP100" s="60" t="n"/>
      <c r="FZQ100" s="60" t="n"/>
      <c r="FZR100" s="60" t="n"/>
      <c r="FZS100" s="60" t="n"/>
      <c r="FZT100" s="60" t="n"/>
      <c r="FZU100" s="60" t="n"/>
      <c r="FZV100" s="60" t="n"/>
      <c r="FZW100" s="60" t="n"/>
      <c r="FZX100" s="60" t="n"/>
      <c r="FZY100" s="60" t="n"/>
      <c r="FZZ100" s="60" t="n"/>
      <c r="GAA100" s="60" t="n"/>
      <c r="GAB100" s="60" t="n"/>
      <c r="GAC100" s="60" t="n"/>
      <c r="GAD100" s="60" t="n"/>
      <c r="GAE100" s="60" t="n"/>
      <c r="GAF100" s="60" t="n"/>
      <c r="GAG100" s="60" t="n"/>
      <c r="GAH100" s="60" t="n"/>
      <c r="GAI100" s="60" t="n"/>
      <c r="GAJ100" s="60" t="n"/>
      <c r="GAK100" s="60" t="n"/>
      <c r="GAL100" s="60" t="n"/>
      <c r="GAM100" s="60" t="n"/>
      <c r="GAN100" s="60" t="n"/>
      <c r="GAO100" s="60" t="n"/>
      <c r="GAP100" s="60" t="n"/>
      <c r="GAQ100" s="60" t="n"/>
      <c r="GAR100" s="60" t="n"/>
      <c r="GAS100" s="60" t="n"/>
      <c r="GAT100" s="60" t="n"/>
      <c r="GAU100" s="60" t="n"/>
      <c r="GAV100" s="60" t="n"/>
      <c r="GAW100" s="60" t="n"/>
      <c r="GAX100" s="60" t="n"/>
      <c r="GAY100" s="60" t="n"/>
      <c r="GAZ100" s="60" t="n"/>
      <c r="GBA100" s="60" t="n"/>
      <c r="GBB100" s="60" t="n"/>
      <c r="GBC100" s="60" t="n"/>
      <c r="GBD100" s="60" t="n"/>
      <c r="GBE100" s="60" t="n"/>
      <c r="GBF100" s="60" t="n"/>
      <c r="GBG100" s="60" t="n"/>
      <c r="GBH100" s="60" t="n"/>
      <c r="GBI100" s="60" t="n"/>
      <c r="GBJ100" s="60" t="n"/>
      <c r="GBK100" s="60" t="n"/>
      <c r="GBL100" s="60" t="n"/>
      <c r="GBM100" s="60" t="n"/>
      <c r="GBN100" s="60" t="n"/>
      <c r="GBO100" s="60" t="n"/>
      <c r="GBP100" s="60" t="n"/>
      <c r="GBQ100" s="60" t="n"/>
      <c r="GBR100" s="60" t="n"/>
      <c r="GBS100" s="60" t="n"/>
      <c r="GBT100" s="60" t="n"/>
      <c r="GBU100" s="60" t="n"/>
      <c r="GBV100" s="60" t="n"/>
      <c r="GBW100" s="60" t="n"/>
      <c r="GBX100" s="60" t="n"/>
      <c r="GBY100" s="60" t="n"/>
      <c r="GBZ100" s="60" t="n"/>
      <c r="GCA100" s="60" t="n"/>
      <c r="GCB100" s="60" t="n"/>
      <c r="GCC100" s="60" t="n"/>
      <c r="GCD100" s="60" t="n"/>
      <c r="GCE100" s="60" t="n"/>
      <c r="GCF100" s="60" t="n"/>
      <c r="GCG100" s="60" t="n"/>
      <c r="GCH100" s="60" t="n"/>
      <c r="GCI100" s="60" t="n"/>
      <c r="GCJ100" s="60" t="n"/>
      <c r="GCK100" s="60" t="n"/>
      <c r="GCL100" s="60" t="n"/>
      <c r="GCM100" s="60" t="n"/>
      <c r="GCN100" s="60" t="n"/>
      <c r="GCO100" s="60" t="n"/>
      <c r="GCP100" s="60" t="n"/>
      <c r="GCQ100" s="60" t="n"/>
      <c r="GCR100" s="60" t="n"/>
      <c r="GCS100" s="60" t="n"/>
      <c r="GCT100" s="60" t="n"/>
      <c r="GCU100" s="60" t="n"/>
      <c r="GCV100" s="60" t="n"/>
      <c r="GCW100" s="60" t="n"/>
      <c r="GCX100" s="60" t="n"/>
      <c r="GCY100" s="60" t="n"/>
      <c r="GCZ100" s="60" t="n"/>
      <c r="GDA100" s="60" t="n"/>
      <c r="GDB100" s="60" t="n"/>
      <c r="GDC100" s="60" t="n"/>
      <c r="GDD100" s="60" t="n"/>
      <c r="GDE100" s="60" t="n"/>
      <c r="GDF100" s="60" t="n"/>
      <c r="GDG100" s="60" t="n"/>
      <c r="GDH100" s="60" t="n"/>
      <c r="GDI100" s="60" t="n"/>
      <c r="GDJ100" s="60" t="n"/>
      <c r="GDK100" s="60" t="n"/>
      <c r="GDL100" s="60" t="n"/>
      <c r="GDM100" s="60" t="n"/>
      <c r="GDN100" s="60" t="n"/>
      <c r="GDO100" s="60" t="n"/>
      <c r="GDP100" s="60" t="n"/>
      <c r="GDQ100" s="60" t="n"/>
      <c r="GDR100" s="60" t="n"/>
      <c r="GDS100" s="60" t="n"/>
      <c r="GDT100" s="60" t="n"/>
      <c r="GDU100" s="60" t="n"/>
      <c r="GDV100" s="60" t="n"/>
      <c r="GDW100" s="60" t="n"/>
      <c r="GDX100" s="60" t="n"/>
      <c r="GDY100" s="60" t="n"/>
      <c r="GDZ100" s="60" t="n"/>
      <c r="GEA100" s="60" t="n"/>
      <c r="GEB100" s="60" t="n"/>
      <c r="GEC100" s="60" t="n"/>
      <c r="GED100" s="60" t="n"/>
      <c r="GEE100" s="60" t="n"/>
      <c r="GEF100" s="60" t="n"/>
      <c r="GEG100" s="60" t="n"/>
      <c r="GEH100" s="60" t="n"/>
      <c r="GEI100" s="60" t="n"/>
      <c r="GEJ100" s="60" t="n"/>
      <c r="GEK100" s="60" t="n"/>
      <c r="GEL100" s="60" t="n"/>
      <c r="GEM100" s="60" t="n"/>
      <c r="GEN100" s="60" t="n"/>
      <c r="GEO100" s="60" t="n"/>
      <c r="GEP100" s="60" t="n"/>
      <c r="GEQ100" s="60" t="n"/>
      <c r="GER100" s="60" t="n"/>
      <c r="GES100" s="60" t="n"/>
      <c r="GET100" s="60" t="n"/>
      <c r="GEU100" s="60" t="n"/>
      <c r="GEV100" s="60" t="n"/>
      <c r="GEW100" s="60" t="n"/>
      <c r="GEX100" s="60" t="n"/>
      <c r="GEY100" s="60" t="n"/>
      <c r="GEZ100" s="60" t="n"/>
      <c r="GFA100" s="60" t="n"/>
      <c r="GFB100" s="60" t="n"/>
      <c r="GFC100" s="60" t="n"/>
      <c r="GFD100" s="60" t="n"/>
      <c r="GFE100" s="60" t="n"/>
      <c r="GFF100" s="60" t="n"/>
      <c r="GFG100" s="60" t="n"/>
      <c r="GFH100" s="60" t="n"/>
      <c r="GFI100" s="60" t="n"/>
      <c r="GFJ100" s="60" t="n"/>
      <c r="GFK100" s="60" t="n"/>
      <c r="GFL100" s="60" t="n"/>
      <c r="GFM100" s="60" t="n"/>
      <c r="GFN100" s="60" t="n"/>
      <c r="GFO100" s="60" t="n"/>
      <c r="GFP100" s="60" t="n"/>
      <c r="GFQ100" s="60" t="n"/>
      <c r="GFR100" s="60" t="n"/>
      <c r="GFS100" s="60" t="n"/>
      <c r="GFT100" s="60" t="n"/>
      <c r="GFU100" s="60" t="n"/>
      <c r="GFV100" s="60" t="n"/>
      <c r="GFW100" s="60" t="n"/>
      <c r="GFX100" s="60" t="n"/>
      <c r="GFY100" s="60" t="n"/>
      <c r="GFZ100" s="60" t="n"/>
      <c r="GGA100" s="60" t="n"/>
      <c r="GGB100" s="60" t="n"/>
      <c r="GGC100" s="60" t="n"/>
      <c r="GGD100" s="60" t="n"/>
      <c r="GGE100" s="60" t="n"/>
      <c r="GGF100" s="60" t="n"/>
      <c r="GGG100" s="60" t="n"/>
      <c r="GGH100" s="60" t="n"/>
      <c r="GGI100" s="60" t="n"/>
      <c r="GGJ100" s="60" t="n"/>
      <c r="GGK100" s="60" t="n"/>
      <c r="GGL100" s="60" t="n"/>
      <c r="GGM100" s="60" t="n"/>
      <c r="GGN100" s="60" t="n"/>
      <c r="GGO100" s="60" t="n"/>
      <c r="GGP100" s="60" t="n"/>
      <c r="GGQ100" s="60" t="n"/>
      <c r="GGR100" s="60" t="n"/>
      <c r="GGS100" s="60" t="n"/>
      <c r="GGT100" s="60" t="n"/>
      <c r="GGU100" s="60" t="n"/>
      <c r="GGV100" s="60" t="n"/>
      <c r="GGW100" s="60" t="n"/>
      <c r="GGX100" s="60" t="n"/>
      <c r="GGY100" s="60" t="n"/>
      <c r="GGZ100" s="60" t="n"/>
      <c r="GHA100" s="60" t="n"/>
      <c r="GHB100" s="60" t="n"/>
      <c r="GHC100" s="60" t="n"/>
      <c r="GHD100" s="60" t="n"/>
      <c r="GHE100" s="60" t="n"/>
      <c r="GHF100" s="60" t="n"/>
      <c r="GHG100" s="60" t="n"/>
      <c r="GHH100" s="60" t="n"/>
      <c r="GHI100" s="60" t="n"/>
      <c r="GHJ100" s="60" t="n"/>
      <c r="GHK100" s="60" t="n"/>
      <c r="GHL100" s="60" t="n"/>
      <c r="GHM100" s="60" t="n"/>
      <c r="GHN100" s="60" t="n"/>
      <c r="GHO100" s="60" t="n"/>
      <c r="GHP100" s="60" t="n"/>
      <c r="GHQ100" s="60" t="n"/>
      <c r="GHR100" s="60" t="n"/>
      <c r="GHS100" s="60" t="n"/>
      <c r="GHT100" s="60" t="n"/>
      <c r="GHU100" s="60" t="n"/>
      <c r="GHV100" s="60" t="n"/>
      <c r="GHW100" s="60" t="n"/>
      <c r="GHX100" s="60" t="n"/>
      <c r="GHY100" s="60" t="n"/>
      <c r="GHZ100" s="60" t="n"/>
      <c r="GIA100" s="60" t="n"/>
      <c r="GIB100" s="60" t="n"/>
      <c r="GIC100" s="60" t="n"/>
      <c r="GID100" s="60" t="n"/>
      <c r="GIE100" s="60" t="n"/>
      <c r="GIF100" s="60" t="n"/>
      <c r="GIG100" s="60" t="n"/>
      <c r="GIH100" s="60" t="n"/>
      <c r="GII100" s="60" t="n"/>
      <c r="GIJ100" s="60" t="n"/>
      <c r="GIK100" s="60" t="n"/>
      <c r="GIL100" s="60" t="n"/>
      <c r="GIM100" s="60" t="n"/>
      <c r="GIN100" s="60" t="n"/>
      <c r="GIO100" s="60" t="n"/>
      <c r="GIP100" s="60" t="n"/>
      <c r="GIQ100" s="60" t="n"/>
      <c r="GIR100" s="60" t="n"/>
      <c r="GIS100" s="60" t="n"/>
      <c r="GIT100" s="60" t="n"/>
      <c r="GIU100" s="60" t="n"/>
      <c r="GIV100" s="60" t="n"/>
      <c r="GIW100" s="60" t="n"/>
      <c r="GIX100" s="60" t="n"/>
      <c r="GIY100" s="60" t="n"/>
      <c r="GIZ100" s="60" t="n"/>
      <c r="GJA100" s="60" t="n"/>
      <c r="GJB100" s="60" t="n"/>
      <c r="GJC100" s="60" t="n"/>
      <c r="GJD100" s="60" t="n"/>
      <c r="GJE100" s="60" t="n"/>
      <c r="GJF100" s="60" t="n"/>
      <c r="GJG100" s="60" t="n"/>
      <c r="GJH100" s="60" t="n"/>
      <c r="GJI100" s="60" t="n"/>
      <c r="GJJ100" s="60" t="n"/>
      <c r="GJK100" s="60" t="n"/>
      <c r="GJL100" s="60" t="n"/>
      <c r="GJM100" s="60" t="n"/>
      <c r="GJN100" s="60" t="n"/>
      <c r="GJO100" s="60" t="n"/>
      <c r="GJP100" s="60" t="n"/>
      <c r="GJQ100" s="60" t="n"/>
      <c r="GJR100" s="60" t="n"/>
      <c r="GJS100" s="60" t="n"/>
      <c r="GJT100" s="60" t="n"/>
      <c r="GJU100" s="60" t="n"/>
      <c r="GJV100" s="60" t="n"/>
      <c r="GJW100" s="60" t="n"/>
      <c r="GJX100" s="60" t="n"/>
      <c r="GJY100" s="60" t="n"/>
      <c r="GJZ100" s="60" t="n"/>
      <c r="GKA100" s="60" t="n"/>
      <c r="GKB100" s="60" t="n"/>
      <c r="GKC100" s="60" t="n"/>
      <c r="GKD100" s="60" t="n"/>
      <c r="GKE100" s="60" t="n"/>
      <c r="GKF100" s="60" t="n"/>
      <c r="GKG100" s="60" t="n"/>
      <c r="GKH100" s="60" t="n"/>
      <c r="GKI100" s="60" t="n"/>
      <c r="GKJ100" s="60" t="n"/>
      <c r="GKK100" s="60" t="n"/>
      <c r="GKL100" s="60" t="n"/>
      <c r="GKM100" s="60" t="n"/>
      <c r="GKN100" s="60" t="n"/>
      <c r="GKO100" s="60" t="n"/>
      <c r="GKP100" s="60" t="n"/>
      <c r="GKQ100" s="60" t="n"/>
      <c r="GKR100" s="60" t="n"/>
      <c r="GKS100" s="60" t="n"/>
      <c r="GKT100" s="60" t="n"/>
      <c r="GKU100" s="60" t="n"/>
      <c r="GKV100" s="60" t="n"/>
      <c r="GKW100" s="60" t="n"/>
      <c r="GKX100" s="60" t="n"/>
      <c r="GKY100" s="60" t="n"/>
      <c r="GKZ100" s="60" t="n"/>
      <c r="GLA100" s="60" t="n"/>
      <c r="GLB100" s="60" t="n"/>
      <c r="GLC100" s="60" t="n"/>
      <c r="GLD100" s="60" t="n"/>
      <c r="GLE100" s="60" t="n"/>
      <c r="GLF100" s="60" t="n"/>
      <c r="GLG100" s="60" t="n"/>
      <c r="GLH100" s="60" t="n"/>
      <c r="GLI100" s="60" t="n"/>
      <c r="GLJ100" s="60" t="n"/>
      <c r="GLK100" s="60" t="n"/>
      <c r="GLL100" s="60" t="n"/>
      <c r="GLM100" s="60" t="n"/>
      <c r="GLN100" s="60" t="n"/>
      <c r="GLO100" s="60" t="n"/>
      <c r="GLP100" s="60" t="n"/>
      <c r="GLQ100" s="60" t="n"/>
      <c r="GLR100" s="60" t="n"/>
      <c r="GLS100" s="60" t="n"/>
      <c r="GLT100" s="60" t="n"/>
      <c r="GLU100" s="60" t="n"/>
      <c r="GLV100" s="60" t="n"/>
      <c r="GLW100" s="60" t="n"/>
      <c r="GLX100" s="60" t="n"/>
      <c r="GLY100" s="60" t="n"/>
      <c r="GLZ100" s="60" t="n"/>
      <c r="GMA100" s="60" t="n"/>
      <c r="GMB100" s="60" t="n"/>
      <c r="GMC100" s="60" t="n"/>
      <c r="GMD100" s="60" t="n"/>
      <c r="GME100" s="60" t="n"/>
      <c r="GMF100" s="60" t="n"/>
      <c r="GMG100" s="60" t="n"/>
      <c r="GMH100" s="60" t="n"/>
      <c r="GMI100" s="60" t="n"/>
      <c r="GMJ100" s="60" t="n"/>
      <c r="GMK100" s="60" t="n"/>
      <c r="GML100" s="60" t="n"/>
      <c r="GMM100" s="60" t="n"/>
      <c r="GMN100" s="60" t="n"/>
      <c r="GMO100" s="60" t="n"/>
      <c r="GMP100" s="60" t="n"/>
      <c r="GMQ100" s="60" t="n"/>
      <c r="GMR100" s="60" t="n"/>
      <c r="GMS100" s="60" t="n"/>
      <c r="GMT100" s="60" t="n"/>
      <c r="GMU100" s="60" t="n"/>
      <c r="GMV100" s="60" t="n"/>
      <c r="GMW100" s="60" t="n"/>
      <c r="GMX100" s="60" t="n"/>
      <c r="GMY100" s="60" t="n"/>
      <c r="GMZ100" s="60" t="n"/>
      <c r="GNA100" s="60" t="n"/>
      <c r="GNB100" s="60" t="n"/>
      <c r="GNC100" s="60" t="n"/>
      <c r="GND100" s="60" t="n"/>
      <c r="GNE100" s="60" t="n"/>
      <c r="GNF100" s="60" t="n"/>
      <c r="GNG100" s="60" t="n"/>
      <c r="GNH100" s="60" t="n"/>
      <c r="GNI100" s="60" t="n"/>
      <c r="GNJ100" s="60" t="n"/>
      <c r="GNK100" s="60" t="n"/>
      <c r="GNL100" s="60" t="n"/>
      <c r="GNM100" s="60" t="n"/>
      <c r="GNN100" s="60" t="n"/>
      <c r="GNO100" s="60" t="n"/>
      <c r="GNP100" s="60" t="n"/>
      <c r="GNQ100" s="60" t="n"/>
      <c r="GNR100" s="60" t="n"/>
      <c r="GNS100" s="60" t="n"/>
      <c r="GNT100" s="60" t="n"/>
      <c r="GNU100" s="60" t="n"/>
      <c r="GNV100" s="60" t="n"/>
      <c r="GNW100" s="60" t="n"/>
      <c r="GNX100" s="60" t="n"/>
      <c r="GNY100" s="60" t="n"/>
      <c r="GNZ100" s="60" t="n"/>
      <c r="GOA100" s="60" t="n"/>
      <c r="GOB100" s="60" t="n"/>
      <c r="GOC100" s="60" t="n"/>
      <c r="GOD100" s="60" t="n"/>
      <c r="GOE100" s="60" t="n"/>
      <c r="GOF100" s="60" t="n"/>
      <c r="GOG100" s="60" t="n"/>
      <c r="GOH100" s="60" t="n"/>
      <c r="GOI100" s="60" t="n"/>
      <c r="GOJ100" s="60" t="n"/>
      <c r="GOK100" s="60" t="n"/>
      <c r="GOL100" s="60" t="n"/>
      <c r="GOM100" s="60" t="n"/>
      <c r="GON100" s="60" t="n"/>
      <c r="GOO100" s="60" t="n"/>
      <c r="GOP100" s="60" t="n"/>
      <c r="GOQ100" s="60" t="n"/>
      <c r="GOR100" s="60" t="n"/>
      <c r="GOS100" s="60" t="n"/>
      <c r="GOT100" s="60" t="n"/>
      <c r="GOU100" s="60" t="n"/>
      <c r="GOV100" s="60" t="n"/>
      <c r="GOW100" s="60" t="n"/>
      <c r="GOX100" s="60" t="n"/>
      <c r="GOY100" s="60" t="n"/>
      <c r="GOZ100" s="60" t="n"/>
      <c r="GPA100" s="60" t="n"/>
      <c r="GPB100" s="60" t="n"/>
      <c r="GPC100" s="60" t="n"/>
      <c r="GPD100" s="60" t="n"/>
      <c r="GPE100" s="60" t="n"/>
      <c r="GPF100" s="60" t="n"/>
      <c r="GPG100" s="60" t="n"/>
      <c r="GPH100" s="60" t="n"/>
      <c r="GPI100" s="60" t="n"/>
      <c r="GPJ100" s="60" t="n"/>
      <c r="GPK100" s="60" t="n"/>
      <c r="GPL100" s="60" t="n"/>
      <c r="GPM100" s="60" t="n"/>
      <c r="GPN100" s="60" t="n"/>
      <c r="GPO100" s="60" t="n"/>
      <c r="GPP100" s="60" t="n"/>
      <c r="GPQ100" s="60" t="n"/>
      <c r="GPR100" s="60" t="n"/>
      <c r="GPS100" s="60" t="n"/>
      <c r="GPT100" s="60" t="n"/>
      <c r="GPU100" s="60" t="n"/>
      <c r="GPV100" s="60" t="n"/>
      <c r="GPW100" s="60" t="n"/>
      <c r="GPX100" s="60" t="n"/>
      <c r="GPY100" s="60" t="n"/>
      <c r="GPZ100" s="60" t="n"/>
      <c r="GQA100" s="60" t="n"/>
      <c r="GQB100" s="60" t="n"/>
      <c r="GQC100" s="60" t="n"/>
      <c r="GQD100" s="60" t="n"/>
      <c r="GQE100" s="60" t="n"/>
      <c r="GQF100" s="60" t="n"/>
      <c r="GQG100" s="60" t="n"/>
      <c r="GQH100" s="60" t="n"/>
      <c r="GQI100" s="60" t="n"/>
      <c r="GQJ100" s="60" t="n"/>
      <c r="GQK100" s="60" t="n"/>
      <c r="GQL100" s="60" t="n"/>
      <c r="GQM100" s="60" t="n"/>
      <c r="GQN100" s="60" t="n"/>
      <c r="GQO100" s="60" t="n"/>
      <c r="GQP100" s="60" t="n"/>
      <c r="GQQ100" s="60" t="n"/>
      <c r="GQR100" s="60" t="n"/>
      <c r="GQS100" s="60" t="n"/>
      <c r="GQT100" s="60" t="n"/>
      <c r="GQU100" s="60" t="n"/>
      <c r="GQV100" s="60" t="n"/>
      <c r="GQW100" s="60" t="n"/>
      <c r="GQX100" s="60" t="n"/>
      <c r="GQY100" s="60" t="n"/>
      <c r="GQZ100" s="60" t="n"/>
      <c r="GRA100" s="60" t="n"/>
      <c r="GRB100" s="60" t="n"/>
      <c r="GRC100" s="60" t="n"/>
      <c r="GRD100" s="60" t="n"/>
      <c r="GRE100" s="60" t="n"/>
      <c r="GRF100" s="60" t="n"/>
      <c r="GRG100" s="60" t="n"/>
      <c r="GRH100" s="60" t="n"/>
      <c r="GRI100" s="60" t="n"/>
      <c r="GRJ100" s="60" t="n"/>
      <c r="GRK100" s="60" t="n"/>
      <c r="GRL100" s="60" t="n"/>
      <c r="GRM100" s="60" t="n"/>
      <c r="GRN100" s="60" t="n"/>
      <c r="GRO100" s="60" t="n"/>
      <c r="GRP100" s="60" t="n"/>
      <c r="GRQ100" s="60" t="n"/>
      <c r="GRR100" s="60" t="n"/>
      <c r="GRS100" s="60" t="n"/>
      <c r="GRT100" s="60" t="n"/>
      <c r="GRU100" s="60" t="n"/>
      <c r="GRV100" s="60" t="n"/>
      <c r="GRW100" s="60" t="n"/>
      <c r="GRX100" s="60" t="n"/>
      <c r="GRY100" s="60" t="n"/>
      <c r="GRZ100" s="60" t="n"/>
      <c r="GSA100" s="60" t="n"/>
      <c r="GSB100" s="60" t="n"/>
      <c r="GSC100" s="60" t="n"/>
      <c r="GSD100" s="60" t="n"/>
      <c r="GSE100" s="60" t="n"/>
      <c r="GSF100" s="60" t="n"/>
      <c r="GSG100" s="60" t="n"/>
      <c r="GSH100" s="60" t="n"/>
      <c r="GSI100" s="60" t="n"/>
      <c r="GSJ100" s="60" t="n"/>
      <c r="GSK100" s="60" t="n"/>
      <c r="GSL100" s="60" t="n"/>
      <c r="GSM100" s="60" t="n"/>
      <c r="GSN100" s="60" t="n"/>
      <c r="GSO100" s="60" t="n"/>
      <c r="GSP100" s="60" t="n"/>
      <c r="GSQ100" s="60" t="n"/>
      <c r="GSR100" s="60" t="n"/>
      <c r="GSS100" s="60" t="n"/>
      <c r="GST100" s="60" t="n"/>
      <c r="GSU100" s="60" t="n"/>
      <c r="GSV100" s="60" t="n"/>
      <c r="GSW100" s="60" t="n"/>
      <c r="GSX100" s="60" t="n"/>
      <c r="GSY100" s="60" t="n"/>
      <c r="GSZ100" s="60" t="n"/>
      <c r="GTA100" s="60" t="n"/>
      <c r="GTB100" s="60" t="n"/>
      <c r="GTC100" s="60" t="n"/>
      <c r="GTD100" s="60" t="n"/>
      <c r="GTE100" s="60" t="n"/>
      <c r="GTF100" s="60" t="n"/>
      <c r="GTG100" s="60" t="n"/>
      <c r="GTH100" s="60" t="n"/>
      <c r="GTI100" s="60" t="n"/>
      <c r="GTJ100" s="60" t="n"/>
      <c r="GTK100" s="60" t="n"/>
      <c r="GTL100" s="60" t="n"/>
      <c r="GTM100" s="60" t="n"/>
      <c r="GTN100" s="60" t="n"/>
      <c r="GTO100" s="60" t="n"/>
      <c r="GTP100" s="60" t="n"/>
      <c r="GTQ100" s="60" t="n"/>
      <c r="GTR100" s="60" t="n"/>
      <c r="GTS100" s="60" t="n"/>
      <c r="GTT100" s="60" t="n"/>
      <c r="GTU100" s="60" t="n"/>
      <c r="GTV100" s="60" t="n"/>
      <c r="GTW100" s="60" t="n"/>
      <c r="GTX100" s="60" t="n"/>
      <c r="GTY100" s="60" t="n"/>
      <c r="GTZ100" s="60" t="n"/>
      <c r="GUA100" s="60" t="n"/>
      <c r="GUB100" s="60" t="n"/>
      <c r="GUC100" s="60" t="n"/>
      <c r="GUD100" s="60" t="n"/>
      <c r="GUE100" s="60" t="n"/>
      <c r="GUF100" s="60" t="n"/>
      <c r="GUG100" s="60" t="n"/>
      <c r="GUH100" s="60" t="n"/>
      <c r="GUI100" s="60" t="n"/>
      <c r="GUJ100" s="60" t="n"/>
      <c r="GUK100" s="60" t="n"/>
      <c r="GUL100" s="60" t="n"/>
      <c r="GUM100" s="60" t="n"/>
      <c r="GUN100" s="60" t="n"/>
      <c r="GUO100" s="60" t="n"/>
      <c r="GUP100" s="60" t="n"/>
      <c r="GUQ100" s="60" t="n"/>
      <c r="GUR100" s="60" t="n"/>
      <c r="GUS100" s="60" t="n"/>
      <c r="GUT100" s="60" t="n"/>
      <c r="GUU100" s="60" t="n"/>
      <c r="GUV100" s="60" t="n"/>
      <c r="GUW100" s="60" t="n"/>
      <c r="GUX100" s="60" t="n"/>
      <c r="GUY100" s="60" t="n"/>
      <c r="GUZ100" s="60" t="n"/>
      <c r="GVA100" s="60" t="n"/>
      <c r="GVB100" s="60" t="n"/>
      <c r="GVC100" s="60" t="n"/>
      <c r="GVD100" s="60" t="n"/>
      <c r="GVE100" s="60" t="n"/>
      <c r="GVF100" s="60" t="n"/>
      <c r="GVG100" s="60" t="n"/>
      <c r="GVH100" s="60" t="n"/>
      <c r="GVI100" s="60" t="n"/>
      <c r="GVJ100" s="60" t="n"/>
      <c r="GVK100" s="60" t="n"/>
      <c r="GVL100" s="60" t="n"/>
      <c r="GVM100" s="60" t="n"/>
      <c r="GVN100" s="60" t="n"/>
      <c r="GVO100" s="60" t="n"/>
      <c r="GVP100" s="60" t="n"/>
      <c r="GVQ100" s="60" t="n"/>
      <c r="GVR100" s="60" t="n"/>
      <c r="GVS100" s="60" t="n"/>
      <c r="GVT100" s="60" t="n"/>
      <c r="GVU100" s="60" t="n"/>
      <c r="GVV100" s="60" t="n"/>
      <c r="GVW100" s="60" t="n"/>
      <c r="GVX100" s="60" t="n"/>
      <c r="GVY100" s="60" t="n"/>
      <c r="GVZ100" s="60" t="n"/>
      <c r="GWA100" s="60" t="n"/>
      <c r="GWB100" s="60" t="n"/>
      <c r="GWC100" s="60" t="n"/>
      <c r="GWD100" s="60" t="n"/>
      <c r="GWE100" s="60" t="n"/>
      <c r="GWF100" s="60" t="n"/>
      <c r="GWG100" s="60" t="n"/>
      <c r="GWH100" s="60" t="n"/>
      <c r="GWI100" s="60" t="n"/>
      <c r="GWJ100" s="60" t="n"/>
      <c r="GWK100" s="60" t="n"/>
      <c r="GWL100" s="60" t="n"/>
      <c r="GWM100" s="60" t="n"/>
      <c r="GWN100" s="60" t="n"/>
      <c r="GWO100" s="60" t="n"/>
      <c r="GWP100" s="60" t="n"/>
      <c r="GWQ100" s="60" t="n"/>
      <c r="GWR100" s="60" t="n"/>
      <c r="GWS100" s="60" t="n"/>
      <c r="GWT100" s="60" t="n"/>
      <c r="GWU100" s="60" t="n"/>
      <c r="GWV100" s="60" t="n"/>
      <c r="GWW100" s="60" t="n"/>
      <c r="GWX100" s="60" t="n"/>
      <c r="GWY100" s="60" t="n"/>
      <c r="GWZ100" s="60" t="n"/>
      <c r="GXA100" s="60" t="n"/>
      <c r="GXB100" s="60" t="n"/>
      <c r="GXC100" s="60" t="n"/>
      <c r="GXD100" s="60" t="n"/>
      <c r="GXE100" s="60" t="n"/>
      <c r="GXF100" s="60" t="n"/>
      <c r="GXG100" s="60" t="n"/>
      <c r="GXH100" s="60" t="n"/>
      <c r="GXI100" s="60" t="n"/>
      <c r="GXJ100" s="60" t="n"/>
      <c r="GXK100" s="60" t="n"/>
      <c r="GXL100" s="60" t="n"/>
      <c r="GXM100" s="60" t="n"/>
      <c r="GXN100" s="60" t="n"/>
      <c r="GXO100" s="60" t="n"/>
      <c r="GXP100" s="60" t="n"/>
      <c r="GXQ100" s="60" t="n"/>
      <c r="GXR100" s="60" t="n"/>
      <c r="GXS100" s="60" t="n"/>
      <c r="GXT100" s="60" t="n"/>
      <c r="GXU100" s="60" t="n"/>
      <c r="GXV100" s="60" t="n"/>
      <c r="GXW100" s="60" t="n"/>
      <c r="GXX100" s="60" t="n"/>
      <c r="GXY100" s="60" t="n"/>
      <c r="GXZ100" s="60" t="n"/>
      <c r="GYA100" s="60" t="n"/>
      <c r="GYB100" s="60" t="n"/>
      <c r="GYC100" s="60" t="n"/>
      <c r="GYD100" s="60" t="n"/>
      <c r="GYE100" s="60" t="n"/>
      <c r="GYF100" s="60" t="n"/>
      <c r="GYG100" s="60" t="n"/>
      <c r="GYH100" s="60" t="n"/>
      <c r="GYI100" s="60" t="n"/>
      <c r="GYJ100" s="60" t="n"/>
      <c r="GYK100" s="60" t="n"/>
      <c r="GYL100" s="60" t="n"/>
      <c r="GYM100" s="60" t="n"/>
      <c r="GYN100" s="60" t="n"/>
      <c r="GYO100" s="60" t="n"/>
      <c r="GYP100" s="60" t="n"/>
      <c r="GYQ100" s="60" t="n"/>
      <c r="GYR100" s="60" t="n"/>
      <c r="GYS100" s="60" t="n"/>
      <c r="GYT100" s="60" t="n"/>
      <c r="GYU100" s="60" t="n"/>
      <c r="GYV100" s="60" t="n"/>
      <c r="GYW100" s="60" t="n"/>
      <c r="GYX100" s="60" t="n"/>
      <c r="GYY100" s="60" t="n"/>
      <c r="GYZ100" s="60" t="n"/>
      <c r="GZA100" s="60" t="n"/>
      <c r="GZB100" s="60" t="n"/>
      <c r="GZC100" s="60" t="n"/>
      <c r="GZD100" s="60" t="n"/>
      <c r="GZE100" s="60" t="n"/>
      <c r="GZF100" s="60" t="n"/>
      <c r="GZG100" s="60" t="n"/>
      <c r="GZH100" s="60" t="n"/>
      <c r="GZI100" s="60" t="n"/>
      <c r="GZJ100" s="60" t="n"/>
      <c r="GZK100" s="60" t="n"/>
      <c r="GZL100" s="60" t="n"/>
      <c r="GZM100" s="60" t="n"/>
      <c r="GZN100" s="60" t="n"/>
      <c r="GZO100" s="60" t="n"/>
      <c r="GZP100" s="60" t="n"/>
      <c r="GZQ100" s="60" t="n"/>
      <c r="GZR100" s="60" t="n"/>
      <c r="GZS100" s="60" t="n"/>
      <c r="GZT100" s="60" t="n"/>
      <c r="GZU100" s="60" t="n"/>
      <c r="GZV100" s="60" t="n"/>
      <c r="GZW100" s="60" t="n"/>
      <c r="GZX100" s="60" t="n"/>
      <c r="GZY100" s="60" t="n"/>
      <c r="GZZ100" s="60" t="n"/>
      <c r="HAA100" s="60" t="n"/>
      <c r="HAB100" s="60" t="n"/>
      <c r="HAC100" s="60" t="n"/>
      <c r="HAD100" s="60" t="n"/>
      <c r="HAE100" s="60" t="n"/>
      <c r="HAF100" s="60" t="n"/>
      <c r="HAG100" s="60" t="n"/>
      <c r="HAH100" s="60" t="n"/>
      <c r="HAI100" s="60" t="n"/>
      <c r="HAJ100" s="60" t="n"/>
      <c r="HAK100" s="60" t="n"/>
      <c r="HAL100" s="60" t="n"/>
      <c r="HAM100" s="60" t="n"/>
      <c r="HAN100" s="60" t="n"/>
      <c r="HAO100" s="60" t="n"/>
      <c r="HAP100" s="60" t="n"/>
      <c r="HAQ100" s="60" t="n"/>
      <c r="HAR100" s="60" t="n"/>
      <c r="HAS100" s="60" t="n"/>
      <c r="HAT100" s="60" t="n"/>
      <c r="HAU100" s="60" t="n"/>
      <c r="HAV100" s="60" t="n"/>
      <c r="HAW100" s="60" t="n"/>
      <c r="HAX100" s="60" t="n"/>
      <c r="HAY100" s="60" t="n"/>
      <c r="HAZ100" s="60" t="n"/>
      <c r="HBA100" s="60" t="n"/>
      <c r="HBB100" s="60" t="n"/>
      <c r="HBC100" s="60" t="n"/>
      <c r="HBD100" s="60" t="n"/>
      <c r="HBE100" s="60" t="n"/>
      <c r="HBF100" s="60" t="n"/>
      <c r="HBG100" s="60" t="n"/>
      <c r="HBH100" s="60" t="n"/>
      <c r="HBI100" s="60" t="n"/>
      <c r="HBJ100" s="60" t="n"/>
      <c r="HBK100" s="60" t="n"/>
      <c r="HBL100" s="60" t="n"/>
      <c r="HBM100" s="60" t="n"/>
      <c r="HBN100" s="60" t="n"/>
      <c r="HBO100" s="60" t="n"/>
      <c r="HBP100" s="60" t="n"/>
      <c r="HBQ100" s="60" t="n"/>
      <c r="HBR100" s="60" t="n"/>
      <c r="HBS100" s="60" t="n"/>
      <c r="HBT100" s="60" t="n"/>
      <c r="HBU100" s="60" t="n"/>
      <c r="HBV100" s="60" t="n"/>
      <c r="HBW100" s="60" t="n"/>
      <c r="HBX100" s="60" t="n"/>
      <c r="HBY100" s="60" t="n"/>
      <c r="HBZ100" s="60" t="n"/>
      <c r="HCA100" s="60" t="n"/>
      <c r="HCB100" s="60" t="n"/>
      <c r="HCC100" s="60" t="n"/>
      <c r="HCD100" s="60" t="n"/>
      <c r="HCE100" s="60" t="n"/>
      <c r="HCF100" s="60" t="n"/>
      <c r="HCG100" s="60" t="n"/>
      <c r="HCH100" s="60" t="n"/>
      <c r="HCI100" s="60" t="n"/>
      <c r="HCJ100" s="60" t="n"/>
      <c r="HCK100" s="60" t="n"/>
      <c r="HCL100" s="60" t="n"/>
      <c r="HCM100" s="60" t="n"/>
      <c r="HCN100" s="60" t="n"/>
      <c r="HCO100" s="60" t="n"/>
      <c r="HCP100" s="60" t="n"/>
      <c r="HCQ100" s="60" t="n"/>
      <c r="HCR100" s="60" t="n"/>
      <c r="HCS100" s="60" t="n"/>
      <c r="HCT100" s="60" t="n"/>
      <c r="HCU100" s="60" t="n"/>
      <c r="HCV100" s="60" t="n"/>
      <c r="HCW100" s="60" t="n"/>
      <c r="HCX100" s="60" t="n"/>
      <c r="HCY100" s="60" t="n"/>
      <c r="HCZ100" s="60" t="n"/>
      <c r="HDA100" s="60" t="n"/>
      <c r="HDB100" s="60" t="n"/>
      <c r="HDC100" s="60" t="n"/>
      <c r="HDD100" s="60" t="n"/>
      <c r="HDE100" s="60" t="n"/>
      <c r="HDF100" s="60" t="n"/>
      <c r="HDG100" s="60" t="n"/>
      <c r="HDH100" s="60" t="n"/>
      <c r="HDI100" s="60" t="n"/>
      <c r="HDJ100" s="60" t="n"/>
      <c r="HDK100" s="60" t="n"/>
      <c r="HDL100" s="60" t="n"/>
      <c r="HDM100" s="60" t="n"/>
      <c r="HDN100" s="60" t="n"/>
      <c r="HDO100" s="60" t="n"/>
      <c r="HDP100" s="60" t="n"/>
      <c r="HDQ100" s="60" t="n"/>
      <c r="HDR100" s="60" t="n"/>
      <c r="HDS100" s="60" t="n"/>
      <c r="HDT100" s="60" t="n"/>
      <c r="HDU100" s="60" t="n"/>
      <c r="HDV100" s="60" t="n"/>
      <c r="HDW100" s="60" t="n"/>
      <c r="HDX100" s="60" t="n"/>
      <c r="HDY100" s="60" t="n"/>
      <c r="HDZ100" s="60" t="n"/>
      <c r="HEA100" s="60" t="n"/>
      <c r="HEB100" s="60" t="n"/>
      <c r="HEC100" s="60" t="n"/>
      <c r="HED100" s="60" t="n"/>
      <c r="HEE100" s="60" t="n"/>
      <c r="HEF100" s="60" t="n"/>
      <c r="HEG100" s="60" t="n"/>
      <c r="HEH100" s="60" t="n"/>
      <c r="HEI100" s="60" t="n"/>
      <c r="HEJ100" s="60" t="n"/>
      <c r="HEK100" s="60" t="n"/>
      <c r="HEL100" s="60" t="n"/>
      <c r="HEM100" s="60" t="n"/>
      <c r="HEN100" s="60" t="n"/>
      <c r="HEO100" s="60" t="n"/>
      <c r="HEP100" s="60" t="n"/>
      <c r="HEQ100" s="60" t="n"/>
      <c r="HER100" s="60" t="n"/>
      <c r="HES100" s="60" t="n"/>
      <c r="HET100" s="60" t="n"/>
      <c r="HEU100" s="60" t="n"/>
      <c r="HEV100" s="60" t="n"/>
      <c r="HEW100" s="60" t="n"/>
      <c r="HEX100" s="60" t="n"/>
      <c r="HEY100" s="60" t="n"/>
      <c r="HEZ100" s="60" t="n"/>
      <c r="HFA100" s="60" t="n"/>
      <c r="HFB100" s="60" t="n"/>
      <c r="HFC100" s="60" t="n"/>
      <c r="HFD100" s="60" t="n"/>
      <c r="HFE100" s="60" t="n"/>
      <c r="HFF100" s="60" t="n"/>
      <c r="HFG100" s="60" t="n"/>
      <c r="HFH100" s="60" t="n"/>
      <c r="HFI100" s="60" t="n"/>
      <c r="HFJ100" s="60" t="n"/>
      <c r="HFK100" s="60" t="n"/>
      <c r="HFL100" s="60" t="n"/>
      <c r="HFM100" s="60" t="n"/>
      <c r="HFN100" s="60" t="n"/>
      <c r="HFO100" s="60" t="n"/>
      <c r="HFP100" s="60" t="n"/>
      <c r="HFQ100" s="60" t="n"/>
      <c r="HFR100" s="60" t="n"/>
      <c r="HFS100" s="60" t="n"/>
      <c r="HFT100" s="60" t="n"/>
      <c r="HFU100" s="60" t="n"/>
      <c r="HFV100" s="60" t="n"/>
      <c r="HFW100" s="60" t="n"/>
      <c r="HFX100" s="60" t="n"/>
      <c r="HFY100" s="60" t="n"/>
      <c r="HFZ100" s="60" t="n"/>
      <c r="HGA100" s="60" t="n"/>
      <c r="HGB100" s="60" t="n"/>
      <c r="HGC100" s="60" t="n"/>
      <c r="HGD100" s="60" t="n"/>
      <c r="HGE100" s="60" t="n"/>
      <c r="HGF100" s="60" t="n"/>
      <c r="HGG100" s="60" t="n"/>
      <c r="HGH100" s="60" t="n"/>
      <c r="HGI100" s="60" t="n"/>
      <c r="HGJ100" s="60" t="n"/>
      <c r="HGK100" s="60" t="n"/>
      <c r="HGL100" s="60" t="n"/>
      <c r="HGM100" s="60" t="n"/>
      <c r="HGN100" s="60" t="n"/>
      <c r="HGO100" s="60" t="n"/>
      <c r="HGP100" s="60" t="n"/>
      <c r="HGQ100" s="60" t="n"/>
      <c r="HGR100" s="60" t="n"/>
      <c r="HGS100" s="60" t="n"/>
      <c r="HGT100" s="60" t="n"/>
      <c r="HGU100" s="60" t="n"/>
      <c r="HGV100" s="60" t="n"/>
      <c r="HGW100" s="60" t="n"/>
      <c r="HGX100" s="60" t="n"/>
      <c r="HGY100" s="60" t="n"/>
      <c r="HGZ100" s="60" t="n"/>
      <c r="HHA100" s="60" t="n"/>
      <c r="HHB100" s="60" t="n"/>
      <c r="HHC100" s="60" t="n"/>
      <c r="HHD100" s="60" t="n"/>
      <c r="HHE100" s="60" t="n"/>
      <c r="HHF100" s="60" t="n"/>
      <c r="HHG100" s="60" t="n"/>
      <c r="HHH100" s="60" t="n"/>
      <c r="HHI100" s="60" t="n"/>
      <c r="HHJ100" s="60" t="n"/>
      <c r="HHK100" s="60" t="n"/>
      <c r="HHL100" s="60" t="n"/>
      <c r="HHM100" s="60" t="n"/>
      <c r="HHN100" s="60" t="n"/>
      <c r="HHO100" s="60" t="n"/>
      <c r="HHP100" s="60" t="n"/>
      <c r="HHQ100" s="60" t="n"/>
      <c r="HHR100" s="60" t="n"/>
      <c r="HHS100" s="60" t="n"/>
      <c r="HHT100" s="60" t="n"/>
      <c r="HHU100" s="60" t="n"/>
      <c r="HHV100" s="60" t="n"/>
      <c r="HHW100" s="60" t="n"/>
      <c r="HHX100" s="60" t="n"/>
      <c r="HHY100" s="60" t="n"/>
      <c r="HHZ100" s="60" t="n"/>
      <c r="HIA100" s="60" t="n"/>
      <c r="HIB100" s="60" t="n"/>
      <c r="HIC100" s="60" t="n"/>
      <c r="HID100" s="60" t="n"/>
      <c r="HIE100" s="60" t="n"/>
      <c r="HIF100" s="60" t="n"/>
      <c r="HIG100" s="60" t="n"/>
      <c r="HIH100" s="60" t="n"/>
      <c r="HII100" s="60" t="n"/>
      <c r="HIJ100" s="60" t="n"/>
      <c r="HIK100" s="60" t="n"/>
      <c r="HIL100" s="60" t="n"/>
      <c r="HIM100" s="60" t="n"/>
      <c r="HIN100" s="60" t="n"/>
      <c r="HIO100" s="60" t="n"/>
      <c r="HIP100" s="60" t="n"/>
      <c r="HIQ100" s="60" t="n"/>
      <c r="HIR100" s="60" t="n"/>
      <c r="HIS100" s="60" t="n"/>
      <c r="HIT100" s="60" t="n"/>
      <c r="HIU100" s="60" t="n"/>
      <c r="HIV100" s="60" t="n"/>
      <c r="HIW100" s="60" t="n"/>
      <c r="HIX100" s="60" t="n"/>
      <c r="HIY100" s="60" t="n"/>
      <c r="HIZ100" s="60" t="n"/>
      <c r="HJA100" s="60" t="n"/>
      <c r="HJB100" s="60" t="n"/>
      <c r="HJC100" s="60" t="n"/>
      <c r="HJD100" s="60" t="n"/>
      <c r="HJE100" s="60" t="n"/>
      <c r="HJF100" s="60" t="n"/>
      <c r="HJG100" s="60" t="n"/>
      <c r="HJH100" s="60" t="n"/>
      <c r="HJI100" s="60" t="n"/>
      <c r="HJJ100" s="60" t="n"/>
      <c r="HJK100" s="60" t="n"/>
      <c r="HJL100" s="60" t="n"/>
      <c r="HJM100" s="60" t="n"/>
      <c r="HJN100" s="60" t="n"/>
      <c r="HJO100" s="60" t="n"/>
      <c r="HJP100" s="60" t="n"/>
      <c r="HJQ100" s="60" t="n"/>
      <c r="HJR100" s="60" t="n"/>
      <c r="HJS100" s="60" t="n"/>
      <c r="HJT100" s="60" t="n"/>
      <c r="HJU100" s="60" t="n"/>
      <c r="HJV100" s="60" t="n"/>
      <c r="HJW100" s="60" t="n"/>
      <c r="HJX100" s="60" t="n"/>
      <c r="HJY100" s="60" t="n"/>
      <c r="HJZ100" s="60" t="n"/>
      <c r="HKA100" s="60" t="n"/>
      <c r="HKB100" s="60" t="n"/>
      <c r="HKC100" s="60" t="n"/>
      <c r="HKD100" s="60" t="n"/>
      <c r="HKE100" s="60" t="n"/>
      <c r="HKF100" s="60" t="n"/>
      <c r="HKG100" s="60" t="n"/>
      <c r="HKH100" s="60" t="n"/>
      <c r="HKI100" s="60" t="n"/>
      <c r="HKJ100" s="60" t="n"/>
      <c r="HKK100" s="60" t="n"/>
      <c r="HKL100" s="60" t="n"/>
      <c r="HKM100" s="60" t="n"/>
      <c r="HKN100" s="60" t="n"/>
      <c r="HKO100" s="60" t="n"/>
      <c r="HKP100" s="60" t="n"/>
      <c r="HKQ100" s="60" t="n"/>
      <c r="HKR100" s="60" t="n"/>
      <c r="HKS100" s="60" t="n"/>
      <c r="HKT100" s="60" t="n"/>
      <c r="HKU100" s="60" t="n"/>
      <c r="HKV100" s="60" t="n"/>
      <c r="HKW100" s="60" t="n"/>
      <c r="HKX100" s="60" t="n"/>
      <c r="HKY100" s="60" t="n"/>
      <c r="HKZ100" s="60" t="n"/>
      <c r="HLA100" s="60" t="n"/>
      <c r="HLB100" s="60" t="n"/>
      <c r="HLC100" s="60" t="n"/>
      <c r="HLD100" s="60" t="n"/>
      <c r="HLE100" s="60" t="n"/>
      <c r="HLF100" s="60" t="n"/>
      <c r="HLG100" s="60" t="n"/>
      <c r="HLH100" s="60" t="n"/>
      <c r="HLI100" s="60" t="n"/>
      <c r="HLJ100" s="60" t="n"/>
      <c r="HLK100" s="60" t="n"/>
      <c r="HLL100" s="60" t="n"/>
      <c r="HLM100" s="60" t="n"/>
      <c r="HLN100" s="60" t="n"/>
      <c r="HLO100" s="60" t="n"/>
      <c r="HLP100" s="60" t="n"/>
      <c r="HLQ100" s="60" t="n"/>
      <c r="HLR100" s="60" t="n"/>
      <c r="HLS100" s="60" t="n"/>
      <c r="HLT100" s="60" t="n"/>
      <c r="HLU100" s="60" t="n"/>
      <c r="HLV100" s="60" t="n"/>
      <c r="HLW100" s="60" t="n"/>
      <c r="HLX100" s="60" t="n"/>
      <c r="HLY100" s="60" t="n"/>
      <c r="HLZ100" s="60" t="n"/>
      <c r="HMA100" s="60" t="n"/>
      <c r="HMB100" s="60" t="n"/>
      <c r="HMC100" s="60" t="n"/>
      <c r="HMD100" s="60" t="n"/>
      <c r="HME100" s="60" t="n"/>
      <c r="HMF100" s="60" t="n"/>
      <c r="HMG100" s="60" t="n"/>
      <c r="HMH100" s="60" t="n"/>
      <c r="HMI100" s="60" t="n"/>
      <c r="HMJ100" s="60" t="n"/>
      <c r="HMK100" s="60" t="n"/>
      <c r="HML100" s="60" t="n"/>
      <c r="HMM100" s="60" t="n"/>
      <c r="HMN100" s="60" t="n"/>
      <c r="HMO100" s="60" t="n"/>
      <c r="HMP100" s="60" t="n"/>
      <c r="HMQ100" s="60" t="n"/>
      <c r="HMR100" s="60" t="n"/>
      <c r="HMS100" s="60" t="n"/>
      <c r="HMT100" s="60" t="n"/>
      <c r="HMU100" s="60" t="n"/>
      <c r="HMV100" s="60" t="n"/>
      <c r="HMW100" s="60" t="n"/>
      <c r="HMX100" s="60" t="n"/>
      <c r="HMY100" s="60" t="n"/>
      <c r="HMZ100" s="60" t="n"/>
      <c r="HNA100" s="60" t="n"/>
      <c r="HNB100" s="60" t="n"/>
      <c r="HNC100" s="60" t="n"/>
      <c r="HND100" s="60" t="n"/>
      <c r="HNE100" s="60" t="n"/>
      <c r="HNF100" s="60" t="n"/>
      <c r="HNG100" s="60" t="n"/>
      <c r="HNH100" s="60" t="n"/>
      <c r="HNI100" s="60" t="n"/>
      <c r="HNJ100" s="60" t="n"/>
      <c r="HNK100" s="60" t="n"/>
      <c r="HNL100" s="60" t="n"/>
      <c r="HNM100" s="60" t="n"/>
      <c r="HNN100" s="60" t="n"/>
      <c r="HNO100" s="60" t="n"/>
      <c r="HNP100" s="60" t="n"/>
      <c r="HNQ100" s="60" t="n"/>
      <c r="HNR100" s="60" t="n"/>
      <c r="HNS100" s="60" t="n"/>
      <c r="HNT100" s="60" t="n"/>
      <c r="HNU100" s="60" t="n"/>
      <c r="HNV100" s="60" t="n"/>
      <c r="HNW100" s="60" t="n"/>
      <c r="HNX100" s="60" t="n"/>
      <c r="HNY100" s="60" t="n"/>
      <c r="HNZ100" s="60" t="n"/>
      <c r="HOA100" s="60" t="n"/>
      <c r="HOB100" s="60" t="n"/>
      <c r="HOC100" s="60" t="n"/>
      <c r="HOD100" s="60" t="n"/>
      <c r="HOE100" s="60" t="n"/>
      <c r="HOF100" s="60" t="n"/>
      <c r="HOG100" s="60" t="n"/>
      <c r="HOH100" s="60" t="n"/>
      <c r="HOI100" s="60" t="n"/>
      <c r="HOJ100" s="60" t="n"/>
      <c r="HOK100" s="60" t="n"/>
      <c r="HOL100" s="60" t="n"/>
      <c r="HOM100" s="60" t="n"/>
      <c r="HON100" s="60" t="n"/>
      <c r="HOO100" s="60" t="n"/>
      <c r="HOP100" s="60" t="n"/>
      <c r="HOQ100" s="60" t="n"/>
      <c r="HOR100" s="60" t="n"/>
      <c r="HOS100" s="60" t="n"/>
      <c r="HOT100" s="60" t="n"/>
      <c r="HOU100" s="60" t="n"/>
      <c r="HOV100" s="60" t="n"/>
      <c r="HOW100" s="60" t="n"/>
      <c r="HOX100" s="60" t="n"/>
      <c r="HOY100" s="60" t="n"/>
      <c r="HOZ100" s="60" t="n"/>
      <c r="HPA100" s="60" t="n"/>
      <c r="HPB100" s="60" t="n"/>
      <c r="HPC100" s="60" t="n"/>
      <c r="HPD100" s="60" t="n"/>
      <c r="HPE100" s="60" t="n"/>
      <c r="HPF100" s="60" t="n"/>
      <c r="HPG100" s="60" t="n"/>
      <c r="HPH100" s="60" t="n"/>
      <c r="HPI100" s="60" t="n"/>
      <c r="HPJ100" s="60" t="n"/>
      <c r="HPK100" s="60" t="n"/>
      <c r="HPL100" s="60" t="n"/>
      <c r="HPM100" s="60" t="n"/>
      <c r="HPN100" s="60" t="n"/>
      <c r="HPO100" s="60" t="n"/>
      <c r="HPP100" s="60" t="n"/>
      <c r="HPQ100" s="60" t="n"/>
      <c r="HPR100" s="60" t="n"/>
      <c r="HPS100" s="60" t="n"/>
      <c r="HPT100" s="60" t="n"/>
      <c r="HPU100" s="60" t="n"/>
      <c r="HPV100" s="60" t="n"/>
      <c r="HPW100" s="60" t="n"/>
      <c r="HPX100" s="60" t="n"/>
      <c r="HPY100" s="60" t="n"/>
      <c r="HPZ100" s="60" t="n"/>
      <c r="HQA100" s="60" t="n"/>
      <c r="HQB100" s="60" t="n"/>
      <c r="HQC100" s="60" t="n"/>
      <c r="HQD100" s="60" t="n"/>
      <c r="HQE100" s="60" t="n"/>
      <c r="HQF100" s="60" t="n"/>
      <c r="HQG100" s="60" t="n"/>
      <c r="HQH100" s="60" t="n"/>
      <c r="HQI100" s="60" t="n"/>
      <c r="HQJ100" s="60" t="n"/>
      <c r="HQK100" s="60" t="n"/>
      <c r="HQL100" s="60" t="n"/>
      <c r="HQM100" s="60" t="n"/>
      <c r="HQN100" s="60" t="n"/>
      <c r="HQO100" s="60" t="n"/>
      <c r="HQP100" s="60" t="n"/>
      <c r="HQQ100" s="60" t="n"/>
      <c r="HQR100" s="60" t="n"/>
      <c r="HQS100" s="60" t="n"/>
      <c r="HQT100" s="60" t="n"/>
      <c r="HQU100" s="60" t="n"/>
      <c r="HQV100" s="60" t="n"/>
      <c r="HQW100" s="60" t="n"/>
      <c r="HQX100" s="60" t="n"/>
      <c r="HQY100" s="60" t="n"/>
      <c r="HQZ100" s="60" t="n"/>
      <c r="HRA100" s="60" t="n"/>
      <c r="HRB100" s="60" t="n"/>
      <c r="HRC100" s="60" t="n"/>
      <c r="HRD100" s="60" t="n"/>
      <c r="HRE100" s="60" t="n"/>
      <c r="HRF100" s="60" t="n"/>
      <c r="HRG100" s="60" t="n"/>
      <c r="HRH100" s="60" t="n"/>
      <c r="HRI100" s="60" t="n"/>
      <c r="HRJ100" s="60" t="n"/>
      <c r="HRK100" s="60" t="n"/>
      <c r="HRL100" s="60" t="n"/>
      <c r="HRM100" s="60" t="n"/>
      <c r="HRN100" s="60" t="n"/>
      <c r="HRO100" s="60" t="n"/>
      <c r="HRP100" s="60" t="n"/>
      <c r="HRQ100" s="60" t="n"/>
      <c r="HRR100" s="60" t="n"/>
      <c r="HRS100" s="60" t="n"/>
      <c r="HRT100" s="60" t="n"/>
      <c r="HRU100" s="60" t="n"/>
      <c r="HRV100" s="60" t="n"/>
      <c r="HRW100" s="60" t="n"/>
      <c r="HRX100" s="60" t="n"/>
      <c r="HRY100" s="60" t="n"/>
      <c r="HRZ100" s="60" t="n"/>
      <c r="HSA100" s="60" t="n"/>
      <c r="HSB100" s="60" t="n"/>
      <c r="HSC100" s="60" t="n"/>
      <c r="HSD100" s="60" t="n"/>
      <c r="HSE100" s="60" t="n"/>
      <c r="HSF100" s="60" t="n"/>
      <c r="HSG100" s="60" t="n"/>
      <c r="HSH100" s="60" t="n"/>
      <c r="HSI100" s="60" t="n"/>
      <c r="HSJ100" s="60" t="n"/>
      <c r="HSK100" s="60" t="n"/>
      <c r="HSL100" s="60" t="n"/>
      <c r="HSM100" s="60" t="n"/>
      <c r="HSN100" s="60" t="n"/>
      <c r="HSO100" s="60" t="n"/>
      <c r="HSP100" s="60" t="n"/>
      <c r="HSQ100" s="60" t="n"/>
      <c r="HSR100" s="60" t="n"/>
      <c r="HSS100" s="60" t="n"/>
      <c r="HST100" s="60" t="n"/>
      <c r="HSU100" s="60" t="n"/>
      <c r="HSV100" s="60" t="n"/>
      <c r="HSW100" s="60" t="n"/>
      <c r="HSX100" s="60" t="n"/>
      <c r="HSY100" s="60" t="n"/>
      <c r="HSZ100" s="60" t="n"/>
      <c r="HTA100" s="60" t="n"/>
      <c r="HTB100" s="60" t="n"/>
      <c r="HTC100" s="60" t="n"/>
      <c r="HTD100" s="60" t="n"/>
      <c r="HTE100" s="60" t="n"/>
      <c r="HTF100" s="60" t="n"/>
      <c r="HTG100" s="60" t="n"/>
      <c r="HTH100" s="60" t="n"/>
      <c r="HTI100" s="60" t="n"/>
      <c r="HTJ100" s="60" t="n"/>
      <c r="HTK100" s="60" t="n"/>
      <c r="HTL100" s="60" t="n"/>
      <c r="HTM100" s="60" t="n"/>
      <c r="HTN100" s="60" t="n"/>
      <c r="HTO100" s="60" t="n"/>
      <c r="HTP100" s="60" t="n"/>
      <c r="HTQ100" s="60" t="n"/>
      <c r="HTR100" s="60" t="n"/>
      <c r="HTS100" s="60" t="n"/>
      <c r="HTT100" s="60" t="n"/>
      <c r="HTU100" s="60" t="n"/>
      <c r="HTV100" s="60" t="n"/>
      <c r="HTW100" s="60" t="n"/>
      <c r="HTX100" s="60" t="n"/>
      <c r="HTY100" s="60" t="n"/>
      <c r="HTZ100" s="60" t="n"/>
      <c r="HUA100" s="60" t="n"/>
      <c r="HUB100" s="60" t="n"/>
      <c r="HUC100" s="60" t="n"/>
      <c r="HUD100" s="60" t="n"/>
      <c r="HUE100" s="60" t="n"/>
      <c r="HUF100" s="60" t="n"/>
      <c r="HUG100" s="60" t="n"/>
      <c r="HUH100" s="60" t="n"/>
      <c r="HUI100" s="60" t="n"/>
      <c r="HUJ100" s="60" t="n"/>
      <c r="HUK100" s="60" t="n"/>
      <c r="HUL100" s="60" t="n"/>
      <c r="HUM100" s="60" t="n"/>
      <c r="HUN100" s="60" t="n"/>
      <c r="HUO100" s="60" t="n"/>
      <c r="HUP100" s="60" t="n"/>
      <c r="HUQ100" s="60" t="n"/>
      <c r="HUR100" s="60" t="n"/>
      <c r="HUS100" s="60" t="n"/>
      <c r="HUT100" s="60" t="n"/>
      <c r="HUU100" s="60" t="n"/>
      <c r="HUV100" s="60" t="n"/>
      <c r="HUW100" s="60" t="n"/>
      <c r="HUX100" s="60" t="n"/>
      <c r="HUY100" s="60" t="n"/>
      <c r="HUZ100" s="60" t="n"/>
      <c r="HVA100" s="60" t="n"/>
      <c r="HVB100" s="60" t="n"/>
      <c r="HVC100" s="60" t="n"/>
      <c r="HVD100" s="60" t="n"/>
      <c r="HVE100" s="60" t="n"/>
      <c r="HVF100" s="60" t="n"/>
      <c r="HVG100" s="60" t="n"/>
      <c r="HVH100" s="60" t="n"/>
      <c r="HVI100" s="60" t="n"/>
      <c r="HVJ100" s="60" t="n"/>
      <c r="HVK100" s="60" t="n"/>
      <c r="HVL100" s="60" t="n"/>
      <c r="HVM100" s="60" t="n"/>
      <c r="HVN100" s="60" t="n"/>
      <c r="HVO100" s="60" t="n"/>
      <c r="HVP100" s="60" t="n"/>
      <c r="HVQ100" s="60" t="n"/>
      <c r="HVR100" s="60" t="n"/>
      <c r="HVS100" s="60" t="n"/>
      <c r="HVT100" s="60" t="n"/>
      <c r="HVU100" s="60" t="n"/>
      <c r="HVV100" s="60" t="n"/>
      <c r="HVW100" s="60" t="n"/>
      <c r="HVX100" s="60" t="n"/>
      <c r="HVY100" s="60" t="n"/>
      <c r="HVZ100" s="60" t="n"/>
      <c r="HWA100" s="60" t="n"/>
      <c r="HWB100" s="60" t="n"/>
      <c r="HWC100" s="60" t="n"/>
      <c r="HWD100" s="60" t="n"/>
      <c r="HWE100" s="60" t="n"/>
      <c r="HWF100" s="60" t="n"/>
      <c r="HWG100" s="60" t="n"/>
      <c r="HWH100" s="60" t="n"/>
      <c r="HWI100" s="60" t="n"/>
      <c r="HWJ100" s="60" t="n"/>
      <c r="HWK100" s="60" t="n"/>
      <c r="HWL100" s="60" t="n"/>
      <c r="HWM100" s="60" t="n"/>
      <c r="HWN100" s="60" t="n"/>
      <c r="HWO100" s="60" t="n"/>
      <c r="HWP100" s="60" t="n"/>
      <c r="HWQ100" s="60" t="n"/>
      <c r="HWR100" s="60" t="n"/>
      <c r="HWS100" s="60" t="n"/>
      <c r="HWT100" s="60" t="n"/>
      <c r="HWU100" s="60" t="n"/>
      <c r="HWV100" s="60" t="n"/>
      <c r="HWW100" s="60" t="n"/>
      <c r="HWX100" s="60" t="n"/>
      <c r="HWY100" s="60" t="n"/>
      <c r="HWZ100" s="60" t="n"/>
      <c r="HXA100" s="60" t="n"/>
      <c r="HXB100" s="60" t="n"/>
      <c r="HXC100" s="60" t="n"/>
      <c r="HXD100" s="60" t="n"/>
      <c r="HXE100" s="60" t="n"/>
      <c r="HXF100" s="60" t="n"/>
      <c r="HXG100" s="60" t="n"/>
      <c r="HXH100" s="60" t="n"/>
      <c r="HXI100" s="60" t="n"/>
      <c r="HXJ100" s="60" t="n"/>
      <c r="HXK100" s="60" t="n"/>
      <c r="HXL100" s="60" t="n"/>
      <c r="HXM100" s="60" t="n"/>
      <c r="HXN100" s="60" t="n"/>
      <c r="HXO100" s="60" t="n"/>
      <c r="HXP100" s="60" t="n"/>
      <c r="HXQ100" s="60" t="n"/>
      <c r="HXR100" s="60" t="n"/>
      <c r="HXS100" s="60" t="n"/>
      <c r="HXT100" s="60" t="n"/>
      <c r="HXU100" s="60" t="n"/>
      <c r="HXV100" s="60" t="n"/>
      <c r="HXW100" s="60" t="n"/>
      <c r="HXX100" s="60" t="n"/>
      <c r="HXY100" s="60" t="n"/>
      <c r="HXZ100" s="60" t="n"/>
      <c r="HYA100" s="60" t="n"/>
      <c r="HYB100" s="60" t="n"/>
      <c r="HYC100" s="60" t="n"/>
      <c r="HYD100" s="60" t="n"/>
      <c r="HYE100" s="60" t="n"/>
      <c r="HYF100" s="60" t="n"/>
      <c r="HYG100" s="60" t="n"/>
      <c r="HYH100" s="60" t="n"/>
      <c r="HYI100" s="60" t="n"/>
      <c r="HYJ100" s="60" t="n"/>
      <c r="HYK100" s="60" t="n"/>
      <c r="HYL100" s="60" t="n"/>
      <c r="HYM100" s="60" t="n"/>
      <c r="HYN100" s="60" t="n"/>
      <c r="HYO100" s="60" t="n"/>
      <c r="HYP100" s="60" t="n"/>
      <c r="HYQ100" s="60" t="n"/>
      <c r="HYR100" s="60" t="n"/>
      <c r="HYS100" s="60" t="n"/>
      <c r="HYT100" s="60" t="n"/>
      <c r="HYU100" s="60" t="n"/>
      <c r="HYV100" s="60" t="n"/>
      <c r="HYW100" s="60" t="n"/>
      <c r="HYX100" s="60" t="n"/>
      <c r="HYY100" s="60" t="n"/>
      <c r="HYZ100" s="60" t="n"/>
      <c r="HZA100" s="60" t="n"/>
      <c r="HZB100" s="60" t="n"/>
      <c r="HZC100" s="60" t="n"/>
      <c r="HZD100" s="60" t="n"/>
      <c r="HZE100" s="60" t="n"/>
      <c r="HZF100" s="60" t="n"/>
      <c r="HZG100" s="60" t="n"/>
      <c r="HZH100" s="60" t="n"/>
      <c r="HZI100" s="60" t="n"/>
      <c r="HZJ100" s="60" t="n"/>
      <c r="HZK100" s="60" t="n"/>
      <c r="HZL100" s="60" t="n"/>
      <c r="HZM100" s="60" t="n"/>
      <c r="HZN100" s="60" t="n"/>
      <c r="HZO100" s="60" t="n"/>
      <c r="HZP100" s="60" t="n"/>
      <c r="HZQ100" s="60" t="n"/>
      <c r="HZR100" s="60" t="n"/>
      <c r="HZS100" s="60" t="n"/>
      <c r="HZT100" s="60" t="n"/>
      <c r="HZU100" s="60" t="n"/>
      <c r="HZV100" s="60" t="n"/>
      <c r="HZW100" s="60" t="n"/>
      <c r="HZX100" s="60" t="n"/>
      <c r="HZY100" s="60" t="n"/>
      <c r="HZZ100" s="60" t="n"/>
      <c r="IAA100" s="60" t="n"/>
      <c r="IAB100" s="60" t="n"/>
      <c r="IAC100" s="60" t="n"/>
      <c r="IAD100" s="60" t="n"/>
      <c r="IAE100" s="60" t="n"/>
      <c r="IAF100" s="60" t="n"/>
      <c r="IAG100" s="60" t="n"/>
      <c r="IAH100" s="60" t="n"/>
      <c r="IAI100" s="60" t="n"/>
      <c r="IAJ100" s="60" t="n"/>
      <c r="IAK100" s="60" t="n"/>
      <c r="IAL100" s="60" t="n"/>
      <c r="IAM100" s="60" t="n"/>
      <c r="IAN100" s="60" t="n"/>
      <c r="IAO100" s="60" t="n"/>
      <c r="IAP100" s="60" t="n"/>
      <c r="IAQ100" s="60" t="n"/>
      <c r="IAR100" s="60" t="n"/>
      <c r="IAS100" s="60" t="n"/>
      <c r="IAT100" s="60" t="n"/>
      <c r="IAU100" s="60" t="n"/>
      <c r="IAV100" s="60" t="n"/>
      <c r="IAW100" s="60" t="n"/>
      <c r="IAX100" s="60" t="n"/>
      <c r="IAY100" s="60" t="n"/>
      <c r="IAZ100" s="60" t="n"/>
      <c r="IBA100" s="60" t="n"/>
      <c r="IBB100" s="60" t="n"/>
      <c r="IBC100" s="60" t="n"/>
      <c r="IBD100" s="60" t="n"/>
      <c r="IBE100" s="60" t="n"/>
      <c r="IBF100" s="60" t="n"/>
      <c r="IBG100" s="60" t="n"/>
      <c r="IBH100" s="60" t="n"/>
      <c r="IBI100" s="60" t="n"/>
      <c r="IBJ100" s="60" t="n"/>
      <c r="IBK100" s="60" t="n"/>
      <c r="IBL100" s="60" t="n"/>
      <c r="IBM100" s="60" t="n"/>
      <c r="IBN100" s="60" t="n"/>
      <c r="IBO100" s="60" t="n"/>
      <c r="IBP100" s="60" t="n"/>
      <c r="IBQ100" s="60" t="n"/>
      <c r="IBR100" s="60" t="n"/>
      <c r="IBS100" s="60" t="n"/>
      <c r="IBT100" s="60" t="n"/>
      <c r="IBU100" s="60" t="n"/>
      <c r="IBV100" s="60" t="n"/>
      <c r="IBW100" s="60" t="n"/>
      <c r="IBX100" s="60" t="n"/>
      <c r="IBY100" s="60" t="n"/>
      <c r="IBZ100" s="60" t="n"/>
      <c r="ICA100" s="60" t="n"/>
      <c r="ICB100" s="60" t="n"/>
      <c r="ICC100" s="60" t="n"/>
      <c r="ICD100" s="60" t="n"/>
      <c r="ICE100" s="60" t="n"/>
      <c r="ICF100" s="60" t="n"/>
      <c r="ICG100" s="60" t="n"/>
      <c r="ICH100" s="60" t="n"/>
      <c r="ICI100" s="60" t="n"/>
      <c r="ICJ100" s="60" t="n"/>
      <c r="ICK100" s="60" t="n"/>
      <c r="ICL100" s="60" t="n"/>
      <c r="ICM100" s="60" t="n"/>
      <c r="ICN100" s="60" t="n"/>
      <c r="ICO100" s="60" t="n"/>
      <c r="ICP100" s="60" t="n"/>
      <c r="ICQ100" s="60" t="n"/>
      <c r="ICR100" s="60" t="n"/>
      <c r="ICS100" s="60" t="n"/>
      <c r="ICT100" s="60" t="n"/>
      <c r="ICU100" s="60" t="n"/>
      <c r="ICV100" s="60" t="n"/>
      <c r="ICW100" s="60" t="n"/>
      <c r="ICX100" s="60" t="n"/>
      <c r="ICY100" s="60" t="n"/>
      <c r="ICZ100" s="60" t="n"/>
      <c r="IDA100" s="60" t="n"/>
      <c r="IDB100" s="60" t="n"/>
      <c r="IDC100" s="60" t="n"/>
      <c r="IDD100" s="60" t="n"/>
      <c r="IDE100" s="60" t="n"/>
      <c r="IDF100" s="60" t="n"/>
      <c r="IDG100" s="60" t="n"/>
      <c r="IDH100" s="60" t="n"/>
      <c r="IDI100" s="60" t="n"/>
      <c r="IDJ100" s="60" t="n"/>
      <c r="IDK100" s="60" t="n"/>
      <c r="IDL100" s="60" t="n"/>
      <c r="IDM100" s="60" t="n"/>
      <c r="IDN100" s="60" t="n"/>
      <c r="IDO100" s="60" t="n"/>
      <c r="IDP100" s="60" t="n"/>
      <c r="IDQ100" s="60" t="n"/>
      <c r="IDR100" s="60" t="n"/>
      <c r="IDS100" s="60" t="n"/>
      <c r="IDT100" s="60" t="n"/>
      <c r="IDU100" s="60" t="n"/>
      <c r="IDV100" s="60" t="n"/>
      <c r="IDW100" s="60" t="n"/>
      <c r="IDX100" s="60" t="n"/>
      <c r="IDY100" s="60" t="n"/>
      <c r="IDZ100" s="60" t="n"/>
      <c r="IEA100" s="60" t="n"/>
      <c r="IEB100" s="60" t="n"/>
      <c r="IEC100" s="60" t="n"/>
      <c r="IED100" s="60" t="n"/>
      <c r="IEE100" s="60" t="n"/>
      <c r="IEF100" s="60" t="n"/>
      <c r="IEG100" s="60" t="n"/>
      <c r="IEH100" s="60" t="n"/>
      <c r="IEI100" s="60" t="n"/>
      <c r="IEJ100" s="60" t="n"/>
      <c r="IEK100" s="60" t="n"/>
      <c r="IEL100" s="60" t="n"/>
      <c r="IEM100" s="60" t="n"/>
      <c r="IEN100" s="60" t="n"/>
      <c r="IEO100" s="60" t="n"/>
      <c r="IEP100" s="60" t="n"/>
      <c r="IEQ100" s="60" t="n"/>
      <c r="IER100" s="60" t="n"/>
      <c r="IES100" s="60" t="n"/>
      <c r="IET100" s="60" t="n"/>
      <c r="IEU100" s="60" t="n"/>
      <c r="IEV100" s="60" t="n"/>
      <c r="IEW100" s="60" t="n"/>
      <c r="IEX100" s="60" t="n"/>
      <c r="IEY100" s="60" t="n"/>
      <c r="IEZ100" s="60" t="n"/>
      <c r="IFA100" s="60" t="n"/>
      <c r="IFB100" s="60" t="n"/>
      <c r="IFC100" s="60" t="n"/>
      <c r="IFD100" s="60" t="n"/>
      <c r="IFE100" s="60" t="n"/>
      <c r="IFF100" s="60" t="n"/>
      <c r="IFG100" s="60" t="n"/>
      <c r="IFH100" s="60" t="n"/>
      <c r="IFI100" s="60" t="n"/>
      <c r="IFJ100" s="60" t="n"/>
      <c r="IFK100" s="60" t="n"/>
      <c r="IFL100" s="60" t="n"/>
      <c r="IFM100" s="60" t="n"/>
      <c r="IFN100" s="60" t="n"/>
      <c r="IFO100" s="60" t="n"/>
      <c r="IFP100" s="60" t="n"/>
      <c r="IFQ100" s="60" t="n"/>
      <c r="IFR100" s="60" t="n"/>
      <c r="IFS100" s="60" t="n"/>
      <c r="IFT100" s="60" t="n"/>
      <c r="IFU100" s="60" t="n"/>
      <c r="IFV100" s="60" t="n"/>
      <c r="IFW100" s="60" t="n"/>
      <c r="IFX100" s="60" t="n"/>
      <c r="IFY100" s="60" t="n"/>
      <c r="IFZ100" s="60" t="n"/>
      <c r="IGA100" s="60" t="n"/>
      <c r="IGB100" s="60" t="n"/>
      <c r="IGC100" s="60" t="n"/>
      <c r="IGD100" s="60" t="n"/>
      <c r="IGE100" s="60" t="n"/>
      <c r="IGF100" s="60" t="n"/>
      <c r="IGG100" s="60" t="n"/>
      <c r="IGH100" s="60" t="n"/>
      <c r="IGI100" s="60" t="n"/>
      <c r="IGJ100" s="60" t="n"/>
      <c r="IGK100" s="60" t="n"/>
      <c r="IGL100" s="60" t="n"/>
      <c r="IGM100" s="60" t="n"/>
      <c r="IGN100" s="60" t="n"/>
      <c r="IGO100" s="60" t="n"/>
      <c r="IGP100" s="60" t="n"/>
      <c r="IGQ100" s="60" t="n"/>
      <c r="IGR100" s="60" t="n"/>
      <c r="IGS100" s="60" t="n"/>
      <c r="IGT100" s="60" t="n"/>
      <c r="IGU100" s="60" t="n"/>
      <c r="IGV100" s="60" t="n"/>
      <c r="IGW100" s="60" t="n"/>
      <c r="IGX100" s="60" t="n"/>
      <c r="IGY100" s="60" t="n"/>
      <c r="IGZ100" s="60" t="n"/>
      <c r="IHA100" s="60" t="n"/>
      <c r="IHB100" s="60" t="n"/>
      <c r="IHC100" s="60" t="n"/>
      <c r="IHD100" s="60" t="n"/>
      <c r="IHE100" s="60" t="n"/>
      <c r="IHF100" s="60" t="n"/>
      <c r="IHG100" s="60" t="n"/>
      <c r="IHH100" s="60" t="n"/>
      <c r="IHI100" s="60" t="n"/>
      <c r="IHJ100" s="60" t="n"/>
      <c r="IHK100" s="60" t="n"/>
      <c r="IHL100" s="60" t="n"/>
      <c r="IHM100" s="60" t="n"/>
      <c r="IHN100" s="60" t="n"/>
      <c r="IHO100" s="60" t="n"/>
      <c r="IHP100" s="60" t="n"/>
      <c r="IHQ100" s="60" t="n"/>
      <c r="IHR100" s="60" t="n"/>
      <c r="IHS100" s="60" t="n"/>
      <c r="IHT100" s="60" t="n"/>
      <c r="IHU100" s="60" t="n"/>
      <c r="IHV100" s="60" t="n"/>
      <c r="IHW100" s="60" t="n"/>
      <c r="IHX100" s="60" t="n"/>
      <c r="IHY100" s="60" t="n"/>
      <c r="IHZ100" s="60" t="n"/>
      <c r="IIA100" s="60" t="n"/>
      <c r="IIB100" s="60" t="n"/>
      <c r="IIC100" s="60" t="n"/>
      <c r="IID100" s="60" t="n"/>
      <c r="IIE100" s="60" t="n"/>
      <c r="IIF100" s="60" t="n"/>
      <c r="IIG100" s="60" t="n"/>
      <c r="IIH100" s="60" t="n"/>
      <c r="III100" s="60" t="n"/>
      <c r="IIJ100" s="60" t="n"/>
      <c r="IIK100" s="60" t="n"/>
      <c r="IIL100" s="60" t="n"/>
      <c r="IIM100" s="60" t="n"/>
      <c r="IIN100" s="60" t="n"/>
      <c r="IIO100" s="60" t="n"/>
      <c r="IIP100" s="60" t="n"/>
      <c r="IIQ100" s="60" t="n"/>
      <c r="IIR100" s="60" t="n"/>
      <c r="IIS100" s="60" t="n"/>
      <c r="IIT100" s="60" t="n"/>
      <c r="IIU100" s="60" t="n"/>
      <c r="IIV100" s="60" t="n"/>
      <c r="IIW100" s="60" t="n"/>
      <c r="IIX100" s="60" t="n"/>
      <c r="IIY100" s="60" t="n"/>
      <c r="IIZ100" s="60" t="n"/>
      <c r="IJA100" s="60" t="n"/>
      <c r="IJB100" s="60" t="n"/>
      <c r="IJC100" s="60" t="n"/>
      <c r="IJD100" s="60" t="n"/>
      <c r="IJE100" s="60" t="n"/>
      <c r="IJF100" s="60" t="n"/>
      <c r="IJG100" s="60" t="n"/>
      <c r="IJH100" s="60" t="n"/>
      <c r="IJI100" s="60" t="n"/>
      <c r="IJJ100" s="60" t="n"/>
      <c r="IJK100" s="60" t="n"/>
      <c r="IJL100" s="60" t="n"/>
      <c r="IJM100" s="60" t="n"/>
      <c r="IJN100" s="60" t="n"/>
      <c r="IJO100" s="60" t="n"/>
      <c r="IJP100" s="60" t="n"/>
      <c r="IJQ100" s="60" t="n"/>
      <c r="IJR100" s="60" t="n"/>
      <c r="IJS100" s="60" t="n"/>
      <c r="IJT100" s="60" t="n"/>
      <c r="IJU100" s="60" t="n"/>
      <c r="IJV100" s="60" t="n"/>
      <c r="IJW100" s="60" t="n"/>
      <c r="IJX100" s="60" t="n"/>
      <c r="IJY100" s="60" t="n"/>
      <c r="IJZ100" s="60" t="n"/>
      <c r="IKA100" s="60" t="n"/>
      <c r="IKB100" s="60" t="n"/>
      <c r="IKC100" s="60" t="n"/>
      <c r="IKD100" s="60" t="n"/>
      <c r="IKE100" s="60" t="n"/>
      <c r="IKF100" s="60" t="n"/>
      <c r="IKG100" s="60" t="n"/>
      <c r="IKH100" s="60" t="n"/>
      <c r="IKI100" s="60" t="n"/>
      <c r="IKJ100" s="60" t="n"/>
      <c r="IKK100" s="60" t="n"/>
      <c r="IKL100" s="60" t="n"/>
      <c r="IKM100" s="60" t="n"/>
      <c r="IKN100" s="60" t="n"/>
      <c r="IKO100" s="60" t="n"/>
      <c r="IKP100" s="60" t="n"/>
      <c r="IKQ100" s="60" t="n"/>
      <c r="IKR100" s="60" t="n"/>
      <c r="IKS100" s="60" t="n"/>
      <c r="IKT100" s="60" t="n"/>
      <c r="IKU100" s="60" t="n"/>
      <c r="IKV100" s="60" t="n"/>
      <c r="IKW100" s="60" t="n"/>
      <c r="IKX100" s="60" t="n"/>
      <c r="IKY100" s="60" t="n"/>
      <c r="IKZ100" s="60" t="n"/>
      <c r="ILA100" s="60" t="n"/>
      <c r="ILB100" s="60" t="n"/>
      <c r="ILC100" s="60" t="n"/>
      <c r="ILD100" s="60" t="n"/>
      <c r="ILE100" s="60" t="n"/>
      <c r="ILF100" s="60" t="n"/>
      <c r="ILG100" s="60" t="n"/>
      <c r="ILH100" s="60" t="n"/>
      <c r="ILI100" s="60" t="n"/>
      <c r="ILJ100" s="60" t="n"/>
      <c r="ILK100" s="60" t="n"/>
      <c r="ILL100" s="60" t="n"/>
      <c r="ILM100" s="60" t="n"/>
      <c r="ILN100" s="60" t="n"/>
      <c r="ILO100" s="60" t="n"/>
      <c r="ILP100" s="60" t="n"/>
      <c r="ILQ100" s="60" t="n"/>
      <c r="ILR100" s="60" t="n"/>
      <c r="ILS100" s="60" t="n"/>
      <c r="ILT100" s="60" t="n"/>
      <c r="ILU100" s="60" t="n"/>
      <c r="ILV100" s="60" t="n"/>
      <c r="ILW100" s="60" t="n"/>
      <c r="ILX100" s="60" t="n"/>
      <c r="ILY100" s="60" t="n"/>
      <c r="ILZ100" s="60" t="n"/>
      <c r="IMA100" s="60" t="n"/>
      <c r="IMB100" s="60" t="n"/>
      <c r="IMC100" s="60" t="n"/>
      <c r="IMD100" s="60" t="n"/>
      <c r="IME100" s="60" t="n"/>
      <c r="IMF100" s="60" t="n"/>
      <c r="IMG100" s="60" t="n"/>
      <c r="IMH100" s="60" t="n"/>
      <c r="IMI100" s="60" t="n"/>
      <c r="IMJ100" s="60" t="n"/>
      <c r="IMK100" s="60" t="n"/>
      <c r="IML100" s="60" t="n"/>
      <c r="IMM100" s="60" t="n"/>
      <c r="IMN100" s="60" t="n"/>
      <c r="IMO100" s="60" t="n"/>
      <c r="IMP100" s="60" t="n"/>
      <c r="IMQ100" s="60" t="n"/>
      <c r="IMR100" s="60" t="n"/>
      <c r="IMS100" s="60" t="n"/>
      <c r="IMT100" s="60" t="n"/>
      <c r="IMU100" s="60" t="n"/>
      <c r="IMV100" s="60" t="n"/>
      <c r="IMW100" s="60" t="n"/>
      <c r="IMX100" s="60" t="n"/>
      <c r="IMY100" s="60" t="n"/>
      <c r="IMZ100" s="60" t="n"/>
      <c r="INA100" s="60" t="n"/>
      <c r="INB100" s="60" t="n"/>
      <c r="INC100" s="60" t="n"/>
      <c r="IND100" s="60" t="n"/>
      <c r="INE100" s="60" t="n"/>
      <c r="INF100" s="60" t="n"/>
      <c r="ING100" s="60" t="n"/>
      <c r="INH100" s="60" t="n"/>
      <c r="INI100" s="60" t="n"/>
      <c r="INJ100" s="60" t="n"/>
      <c r="INK100" s="60" t="n"/>
      <c r="INL100" s="60" t="n"/>
      <c r="INM100" s="60" t="n"/>
      <c r="INN100" s="60" t="n"/>
      <c r="INO100" s="60" t="n"/>
      <c r="INP100" s="60" t="n"/>
      <c r="INQ100" s="60" t="n"/>
      <c r="INR100" s="60" t="n"/>
      <c r="INS100" s="60" t="n"/>
      <c r="INT100" s="60" t="n"/>
      <c r="INU100" s="60" t="n"/>
      <c r="INV100" s="60" t="n"/>
      <c r="INW100" s="60" t="n"/>
      <c r="INX100" s="60" t="n"/>
      <c r="INY100" s="60" t="n"/>
      <c r="INZ100" s="60" t="n"/>
      <c r="IOA100" s="60" t="n"/>
      <c r="IOB100" s="60" t="n"/>
      <c r="IOC100" s="60" t="n"/>
      <c r="IOD100" s="60" t="n"/>
      <c r="IOE100" s="60" t="n"/>
      <c r="IOF100" s="60" t="n"/>
      <c r="IOG100" s="60" t="n"/>
      <c r="IOH100" s="60" t="n"/>
      <c r="IOI100" s="60" t="n"/>
      <c r="IOJ100" s="60" t="n"/>
      <c r="IOK100" s="60" t="n"/>
      <c r="IOL100" s="60" t="n"/>
      <c r="IOM100" s="60" t="n"/>
      <c r="ION100" s="60" t="n"/>
      <c r="IOO100" s="60" t="n"/>
      <c r="IOP100" s="60" t="n"/>
      <c r="IOQ100" s="60" t="n"/>
      <c r="IOR100" s="60" t="n"/>
      <c r="IOS100" s="60" t="n"/>
      <c r="IOT100" s="60" t="n"/>
      <c r="IOU100" s="60" t="n"/>
      <c r="IOV100" s="60" t="n"/>
      <c r="IOW100" s="60" t="n"/>
      <c r="IOX100" s="60" t="n"/>
      <c r="IOY100" s="60" t="n"/>
      <c r="IOZ100" s="60" t="n"/>
      <c r="IPA100" s="60" t="n"/>
      <c r="IPB100" s="60" t="n"/>
      <c r="IPC100" s="60" t="n"/>
      <c r="IPD100" s="60" t="n"/>
      <c r="IPE100" s="60" t="n"/>
      <c r="IPF100" s="60" t="n"/>
      <c r="IPG100" s="60" t="n"/>
      <c r="IPH100" s="60" t="n"/>
      <c r="IPI100" s="60" t="n"/>
      <c r="IPJ100" s="60" t="n"/>
      <c r="IPK100" s="60" t="n"/>
      <c r="IPL100" s="60" t="n"/>
      <c r="IPM100" s="60" t="n"/>
      <c r="IPN100" s="60" t="n"/>
      <c r="IPO100" s="60" t="n"/>
      <c r="IPP100" s="60" t="n"/>
      <c r="IPQ100" s="60" t="n"/>
      <c r="IPR100" s="60" t="n"/>
      <c r="IPS100" s="60" t="n"/>
      <c r="IPT100" s="60" t="n"/>
      <c r="IPU100" s="60" t="n"/>
      <c r="IPV100" s="60" t="n"/>
      <c r="IPW100" s="60" t="n"/>
      <c r="IPX100" s="60" t="n"/>
      <c r="IPY100" s="60" t="n"/>
      <c r="IPZ100" s="60" t="n"/>
      <c r="IQA100" s="60" t="n"/>
      <c r="IQB100" s="60" t="n"/>
      <c r="IQC100" s="60" t="n"/>
      <c r="IQD100" s="60" t="n"/>
      <c r="IQE100" s="60" t="n"/>
      <c r="IQF100" s="60" t="n"/>
      <c r="IQG100" s="60" t="n"/>
      <c r="IQH100" s="60" t="n"/>
      <c r="IQI100" s="60" t="n"/>
      <c r="IQJ100" s="60" t="n"/>
      <c r="IQK100" s="60" t="n"/>
      <c r="IQL100" s="60" t="n"/>
      <c r="IQM100" s="60" t="n"/>
      <c r="IQN100" s="60" t="n"/>
      <c r="IQO100" s="60" t="n"/>
      <c r="IQP100" s="60" t="n"/>
      <c r="IQQ100" s="60" t="n"/>
      <c r="IQR100" s="60" t="n"/>
      <c r="IQS100" s="60" t="n"/>
      <c r="IQT100" s="60" t="n"/>
      <c r="IQU100" s="60" t="n"/>
      <c r="IQV100" s="60" t="n"/>
      <c r="IQW100" s="60" t="n"/>
      <c r="IQX100" s="60" t="n"/>
      <c r="IQY100" s="60" t="n"/>
      <c r="IQZ100" s="60" t="n"/>
      <c r="IRA100" s="60" t="n"/>
      <c r="IRB100" s="60" t="n"/>
      <c r="IRC100" s="60" t="n"/>
      <c r="IRD100" s="60" t="n"/>
      <c r="IRE100" s="60" t="n"/>
      <c r="IRF100" s="60" t="n"/>
      <c r="IRG100" s="60" t="n"/>
      <c r="IRH100" s="60" t="n"/>
      <c r="IRI100" s="60" t="n"/>
      <c r="IRJ100" s="60" t="n"/>
      <c r="IRK100" s="60" t="n"/>
      <c r="IRL100" s="60" t="n"/>
      <c r="IRM100" s="60" t="n"/>
      <c r="IRN100" s="60" t="n"/>
      <c r="IRO100" s="60" t="n"/>
      <c r="IRP100" s="60" t="n"/>
      <c r="IRQ100" s="60" t="n"/>
      <c r="IRR100" s="60" t="n"/>
      <c r="IRS100" s="60" t="n"/>
      <c r="IRT100" s="60" t="n"/>
      <c r="IRU100" s="60" t="n"/>
      <c r="IRV100" s="60" t="n"/>
      <c r="IRW100" s="60" t="n"/>
      <c r="IRX100" s="60" t="n"/>
      <c r="IRY100" s="60" t="n"/>
      <c r="IRZ100" s="60" t="n"/>
      <c r="ISA100" s="60" t="n"/>
      <c r="ISB100" s="60" t="n"/>
      <c r="ISC100" s="60" t="n"/>
      <c r="ISD100" s="60" t="n"/>
      <c r="ISE100" s="60" t="n"/>
      <c r="ISF100" s="60" t="n"/>
      <c r="ISG100" s="60" t="n"/>
      <c r="ISH100" s="60" t="n"/>
      <c r="ISI100" s="60" t="n"/>
      <c r="ISJ100" s="60" t="n"/>
      <c r="ISK100" s="60" t="n"/>
      <c r="ISL100" s="60" t="n"/>
      <c r="ISM100" s="60" t="n"/>
      <c r="ISN100" s="60" t="n"/>
      <c r="ISO100" s="60" t="n"/>
      <c r="ISP100" s="60" t="n"/>
      <c r="ISQ100" s="60" t="n"/>
      <c r="ISR100" s="60" t="n"/>
      <c r="ISS100" s="60" t="n"/>
      <c r="IST100" s="60" t="n"/>
      <c r="ISU100" s="60" t="n"/>
      <c r="ISV100" s="60" t="n"/>
      <c r="ISW100" s="60" t="n"/>
      <c r="ISX100" s="60" t="n"/>
      <c r="ISY100" s="60" t="n"/>
      <c r="ISZ100" s="60" t="n"/>
      <c r="ITA100" s="60" t="n"/>
      <c r="ITB100" s="60" t="n"/>
      <c r="ITC100" s="60" t="n"/>
      <c r="ITD100" s="60" t="n"/>
      <c r="ITE100" s="60" t="n"/>
      <c r="ITF100" s="60" t="n"/>
      <c r="ITG100" s="60" t="n"/>
      <c r="ITH100" s="60" t="n"/>
      <c r="ITI100" s="60" t="n"/>
      <c r="ITJ100" s="60" t="n"/>
      <c r="ITK100" s="60" t="n"/>
      <c r="ITL100" s="60" t="n"/>
      <c r="ITM100" s="60" t="n"/>
      <c r="ITN100" s="60" t="n"/>
      <c r="ITO100" s="60" t="n"/>
      <c r="ITP100" s="60" t="n"/>
      <c r="ITQ100" s="60" t="n"/>
      <c r="ITR100" s="60" t="n"/>
      <c r="ITS100" s="60" t="n"/>
      <c r="ITT100" s="60" t="n"/>
      <c r="ITU100" s="60" t="n"/>
      <c r="ITV100" s="60" t="n"/>
      <c r="ITW100" s="60" t="n"/>
      <c r="ITX100" s="60" t="n"/>
      <c r="ITY100" s="60" t="n"/>
      <c r="ITZ100" s="60" t="n"/>
      <c r="IUA100" s="60" t="n"/>
      <c r="IUB100" s="60" t="n"/>
      <c r="IUC100" s="60" t="n"/>
      <c r="IUD100" s="60" t="n"/>
      <c r="IUE100" s="60" t="n"/>
      <c r="IUF100" s="60" t="n"/>
      <c r="IUG100" s="60" t="n"/>
      <c r="IUH100" s="60" t="n"/>
      <c r="IUI100" s="60" t="n"/>
      <c r="IUJ100" s="60" t="n"/>
      <c r="IUK100" s="60" t="n"/>
      <c r="IUL100" s="60" t="n"/>
      <c r="IUM100" s="60" t="n"/>
      <c r="IUN100" s="60" t="n"/>
      <c r="IUO100" s="60" t="n"/>
      <c r="IUP100" s="60" t="n"/>
      <c r="IUQ100" s="60" t="n"/>
      <c r="IUR100" s="60" t="n"/>
      <c r="IUS100" s="60" t="n"/>
      <c r="IUT100" s="60" t="n"/>
      <c r="IUU100" s="60" t="n"/>
      <c r="IUV100" s="60" t="n"/>
      <c r="IUW100" s="60" t="n"/>
      <c r="IUX100" s="60" t="n"/>
      <c r="IUY100" s="60" t="n"/>
      <c r="IUZ100" s="60" t="n"/>
      <c r="IVA100" s="60" t="n"/>
      <c r="IVB100" s="60" t="n"/>
      <c r="IVC100" s="60" t="n"/>
      <c r="IVD100" s="60" t="n"/>
      <c r="IVE100" s="60" t="n"/>
      <c r="IVF100" s="60" t="n"/>
      <c r="IVG100" s="60" t="n"/>
      <c r="IVH100" s="60" t="n"/>
      <c r="IVI100" s="60" t="n"/>
      <c r="IVJ100" s="60" t="n"/>
      <c r="IVK100" s="60" t="n"/>
      <c r="IVL100" s="60" t="n"/>
      <c r="IVM100" s="60" t="n"/>
      <c r="IVN100" s="60" t="n"/>
      <c r="IVO100" s="60" t="n"/>
      <c r="IVP100" s="60" t="n"/>
      <c r="IVQ100" s="60" t="n"/>
      <c r="IVR100" s="60" t="n"/>
      <c r="IVS100" s="60" t="n"/>
      <c r="IVT100" s="60" t="n"/>
      <c r="IVU100" s="60" t="n"/>
      <c r="IVV100" s="60" t="n"/>
      <c r="IVW100" s="60" t="n"/>
      <c r="IVX100" s="60" t="n"/>
      <c r="IVY100" s="60" t="n"/>
      <c r="IVZ100" s="60" t="n"/>
      <c r="IWA100" s="60" t="n"/>
      <c r="IWB100" s="60" t="n"/>
      <c r="IWC100" s="60" t="n"/>
      <c r="IWD100" s="60" t="n"/>
      <c r="IWE100" s="60" t="n"/>
      <c r="IWF100" s="60" t="n"/>
      <c r="IWG100" s="60" t="n"/>
      <c r="IWH100" s="60" t="n"/>
      <c r="IWI100" s="60" t="n"/>
      <c r="IWJ100" s="60" t="n"/>
      <c r="IWK100" s="60" t="n"/>
      <c r="IWL100" s="60" t="n"/>
      <c r="IWM100" s="60" t="n"/>
      <c r="IWN100" s="60" t="n"/>
      <c r="IWO100" s="60" t="n"/>
      <c r="IWP100" s="60" t="n"/>
      <c r="IWQ100" s="60" t="n"/>
      <c r="IWR100" s="60" t="n"/>
      <c r="IWS100" s="60" t="n"/>
      <c r="IWT100" s="60" t="n"/>
      <c r="IWU100" s="60" t="n"/>
      <c r="IWV100" s="60" t="n"/>
      <c r="IWW100" s="60" t="n"/>
      <c r="IWX100" s="60" t="n"/>
      <c r="IWY100" s="60" t="n"/>
      <c r="IWZ100" s="60" t="n"/>
      <c r="IXA100" s="60" t="n"/>
      <c r="IXB100" s="60" t="n"/>
      <c r="IXC100" s="60" t="n"/>
      <c r="IXD100" s="60" t="n"/>
      <c r="IXE100" s="60" t="n"/>
      <c r="IXF100" s="60" t="n"/>
      <c r="IXG100" s="60" t="n"/>
      <c r="IXH100" s="60" t="n"/>
      <c r="IXI100" s="60" t="n"/>
      <c r="IXJ100" s="60" t="n"/>
      <c r="IXK100" s="60" t="n"/>
      <c r="IXL100" s="60" t="n"/>
      <c r="IXM100" s="60" t="n"/>
      <c r="IXN100" s="60" t="n"/>
      <c r="IXO100" s="60" t="n"/>
      <c r="IXP100" s="60" t="n"/>
      <c r="IXQ100" s="60" t="n"/>
      <c r="IXR100" s="60" t="n"/>
      <c r="IXS100" s="60" t="n"/>
      <c r="IXT100" s="60" t="n"/>
      <c r="IXU100" s="60" t="n"/>
      <c r="IXV100" s="60" t="n"/>
      <c r="IXW100" s="60" t="n"/>
      <c r="IXX100" s="60" t="n"/>
      <c r="IXY100" s="60" t="n"/>
      <c r="IXZ100" s="60" t="n"/>
      <c r="IYA100" s="60" t="n"/>
      <c r="IYB100" s="60" t="n"/>
      <c r="IYC100" s="60" t="n"/>
      <c r="IYD100" s="60" t="n"/>
      <c r="IYE100" s="60" t="n"/>
      <c r="IYF100" s="60" t="n"/>
      <c r="IYG100" s="60" t="n"/>
      <c r="IYH100" s="60" t="n"/>
      <c r="IYI100" s="60" t="n"/>
      <c r="IYJ100" s="60" t="n"/>
      <c r="IYK100" s="60" t="n"/>
      <c r="IYL100" s="60" t="n"/>
      <c r="IYM100" s="60" t="n"/>
      <c r="IYN100" s="60" t="n"/>
      <c r="IYO100" s="60" t="n"/>
      <c r="IYP100" s="60" t="n"/>
      <c r="IYQ100" s="60" t="n"/>
      <c r="IYR100" s="60" t="n"/>
      <c r="IYS100" s="60" t="n"/>
      <c r="IYT100" s="60" t="n"/>
      <c r="IYU100" s="60" t="n"/>
      <c r="IYV100" s="60" t="n"/>
      <c r="IYW100" s="60" t="n"/>
      <c r="IYX100" s="60" t="n"/>
      <c r="IYY100" s="60" t="n"/>
      <c r="IYZ100" s="60" t="n"/>
      <c r="IZA100" s="60" t="n"/>
      <c r="IZB100" s="60" t="n"/>
      <c r="IZC100" s="60" t="n"/>
      <c r="IZD100" s="60" t="n"/>
      <c r="IZE100" s="60" t="n"/>
      <c r="IZF100" s="60" t="n"/>
      <c r="IZG100" s="60" t="n"/>
      <c r="IZH100" s="60" t="n"/>
      <c r="IZI100" s="60" t="n"/>
      <c r="IZJ100" s="60" t="n"/>
      <c r="IZK100" s="60" t="n"/>
      <c r="IZL100" s="60" t="n"/>
      <c r="IZM100" s="60" t="n"/>
      <c r="IZN100" s="60" t="n"/>
      <c r="IZO100" s="60" t="n"/>
      <c r="IZP100" s="60" t="n"/>
      <c r="IZQ100" s="60" t="n"/>
      <c r="IZR100" s="60" t="n"/>
      <c r="IZS100" s="60" t="n"/>
      <c r="IZT100" s="60" t="n"/>
      <c r="IZU100" s="60" t="n"/>
      <c r="IZV100" s="60" t="n"/>
      <c r="IZW100" s="60" t="n"/>
      <c r="IZX100" s="60" t="n"/>
      <c r="IZY100" s="60" t="n"/>
      <c r="IZZ100" s="60" t="n"/>
      <c r="JAA100" s="60" t="n"/>
      <c r="JAB100" s="60" t="n"/>
      <c r="JAC100" s="60" t="n"/>
      <c r="JAD100" s="60" t="n"/>
      <c r="JAE100" s="60" t="n"/>
      <c r="JAF100" s="60" t="n"/>
      <c r="JAG100" s="60" t="n"/>
      <c r="JAH100" s="60" t="n"/>
      <c r="JAI100" s="60" t="n"/>
      <c r="JAJ100" s="60" t="n"/>
      <c r="JAK100" s="60" t="n"/>
      <c r="JAL100" s="60" t="n"/>
      <c r="JAM100" s="60" t="n"/>
      <c r="JAN100" s="60" t="n"/>
      <c r="JAO100" s="60" t="n"/>
      <c r="JAP100" s="60" t="n"/>
      <c r="JAQ100" s="60" t="n"/>
      <c r="JAR100" s="60" t="n"/>
      <c r="JAS100" s="60" t="n"/>
      <c r="JAT100" s="60" t="n"/>
      <c r="JAU100" s="60" t="n"/>
      <c r="JAV100" s="60" t="n"/>
      <c r="JAW100" s="60" t="n"/>
      <c r="JAX100" s="60" t="n"/>
      <c r="JAY100" s="60" t="n"/>
      <c r="JAZ100" s="60" t="n"/>
      <c r="JBA100" s="60" t="n"/>
      <c r="JBB100" s="60" t="n"/>
      <c r="JBC100" s="60" t="n"/>
      <c r="JBD100" s="60" t="n"/>
      <c r="JBE100" s="60" t="n"/>
      <c r="JBF100" s="60" t="n"/>
      <c r="JBG100" s="60" t="n"/>
      <c r="JBH100" s="60" t="n"/>
      <c r="JBI100" s="60" t="n"/>
      <c r="JBJ100" s="60" t="n"/>
      <c r="JBK100" s="60" t="n"/>
      <c r="JBL100" s="60" t="n"/>
      <c r="JBM100" s="60" t="n"/>
      <c r="JBN100" s="60" t="n"/>
      <c r="JBO100" s="60" t="n"/>
      <c r="JBP100" s="60" t="n"/>
      <c r="JBQ100" s="60" t="n"/>
      <c r="JBR100" s="60" t="n"/>
      <c r="JBS100" s="60" t="n"/>
      <c r="JBT100" s="60" t="n"/>
      <c r="JBU100" s="60" t="n"/>
      <c r="JBV100" s="60" t="n"/>
      <c r="JBW100" s="60" t="n"/>
      <c r="JBX100" s="60" t="n"/>
      <c r="JBY100" s="60" t="n"/>
      <c r="JBZ100" s="60" t="n"/>
      <c r="JCA100" s="60" t="n"/>
      <c r="JCB100" s="60" t="n"/>
      <c r="JCC100" s="60" t="n"/>
      <c r="JCD100" s="60" t="n"/>
      <c r="JCE100" s="60" t="n"/>
      <c r="JCF100" s="60" t="n"/>
      <c r="JCG100" s="60" t="n"/>
      <c r="JCH100" s="60" t="n"/>
      <c r="JCI100" s="60" t="n"/>
      <c r="JCJ100" s="60" t="n"/>
      <c r="JCK100" s="60" t="n"/>
      <c r="JCL100" s="60" t="n"/>
      <c r="JCM100" s="60" t="n"/>
      <c r="JCN100" s="60" t="n"/>
      <c r="JCO100" s="60" t="n"/>
      <c r="JCP100" s="60" t="n"/>
      <c r="JCQ100" s="60" t="n"/>
      <c r="JCR100" s="60" t="n"/>
      <c r="JCS100" s="60" t="n"/>
      <c r="JCT100" s="60" t="n"/>
      <c r="JCU100" s="60" t="n"/>
      <c r="JCV100" s="60" t="n"/>
      <c r="JCW100" s="60" t="n"/>
      <c r="JCX100" s="60" t="n"/>
      <c r="JCY100" s="60" t="n"/>
      <c r="JCZ100" s="60" t="n"/>
      <c r="JDA100" s="60" t="n"/>
      <c r="JDB100" s="60" t="n"/>
      <c r="JDC100" s="60" t="n"/>
      <c r="JDD100" s="60" t="n"/>
      <c r="JDE100" s="60" t="n"/>
      <c r="JDF100" s="60" t="n"/>
      <c r="JDG100" s="60" t="n"/>
      <c r="JDH100" s="60" t="n"/>
      <c r="JDI100" s="60" t="n"/>
      <c r="JDJ100" s="60" t="n"/>
      <c r="JDK100" s="60" t="n"/>
      <c r="JDL100" s="60" t="n"/>
      <c r="JDM100" s="60" t="n"/>
      <c r="JDN100" s="60" t="n"/>
      <c r="JDO100" s="60" t="n"/>
      <c r="JDP100" s="60" t="n"/>
      <c r="JDQ100" s="60" t="n"/>
      <c r="JDR100" s="60" t="n"/>
      <c r="JDS100" s="60" t="n"/>
      <c r="JDT100" s="60" t="n"/>
      <c r="JDU100" s="60" t="n"/>
      <c r="JDV100" s="60" t="n"/>
      <c r="JDW100" s="60" t="n"/>
      <c r="JDX100" s="60" t="n"/>
      <c r="JDY100" s="60" t="n"/>
      <c r="JDZ100" s="60" t="n"/>
      <c r="JEA100" s="60" t="n"/>
      <c r="JEB100" s="60" t="n"/>
      <c r="JEC100" s="60" t="n"/>
      <c r="JED100" s="60" t="n"/>
      <c r="JEE100" s="60" t="n"/>
      <c r="JEF100" s="60" t="n"/>
      <c r="JEG100" s="60" t="n"/>
      <c r="JEH100" s="60" t="n"/>
      <c r="JEI100" s="60" t="n"/>
      <c r="JEJ100" s="60" t="n"/>
      <c r="JEK100" s="60" t="n"/>
      <c r="JEL100" s="60" t="n"/>
      <c r="JEM100" s="60" t="n"/>
      <c r="JEN100" s="60" t="n"/>
      <c r="JEO100" s="60" t="n"/>
      <c r="JEP100" s="60" t="n"/>
      <c r="JEQ100" s="60" t="n"/>
      <c r="JER100" s="60" t="n"/>
      <c r="JES100" s="60" t="n"/>
      <c r="JET100" s="60" t="n"/>
      <c r="JEU100" s="60" t="n"/>
      <c r="JEV100" s="60" t="n"/>
      <c r="JEW100" s="60" t="n"/>
      <c r="JEX100" s="60" t="n"/>
      <c r="JEY100" s="60" t="n"/>
      <c r="JEZ100" s="60" t="n"/>
      <c r="JFA100" s="60" t="n"/>
      <c r="JFB100" s="60" t="n"/>
      <c r="JFC100" s="60" t="n"/>
      <c r="JFD100" s="60" t="n"/>
      <c r="JFE100" s="60" t="n"/>
      <c r="JFF100" s="60" t="n"/>
      <c r="JFG100" s="60" t="n"/>
      <c r="JFH100" s="60" t="n"/>
      <c r="JFI100" s="60" t="n"/>
      <c r="JFJ100" s="60" t="n"/>
      <c r="JFK100" s="60" t="n"/>
      <c r="JFL100" s="60" t="n"/>
      <c r="JFM100" s="60" t="n"/>
      <c r="JFN100" s="60" t="n"/>
      <c r="JFO100" s="60" t="n"/>
      <c r="JFP100" s="60" t="n"/>
      <c r="JFQ100" s="60" t="n"/>
      <c r="JFR100" s="60" t="n"/>
      <c r="JFS100" s="60" t="n"/>
      <c r="JFT100" s="60" t="n"/>
      <c r="JFU100" s="60" t="n"/>
      <c r="JFV100" s="60" t="n"/>
      <c r="JFW100" s="60" t="n"/>
      <c r="JFX100" s="60" t="n"/>
      <c r="JFY100" s="60" t="n"/>
      <c r="JFZ100" s="60" t="n"/>
      <c r="JGA100" s="60" t="n"/>
      <c r="JGB100" s="60" t="n"/>
      <c r="JGC100" s="60" t="n"/>
      <c r="JGD100" s="60" t="n"/>
      <c r="JGE100" s="60" t="n"/>
      <c r="JGF100" s="60" t="n"/>
      <c r="JGG100" s="60" t="n"/>
      <c r="JGH100" s="60" t="n"/>
      <c r="JGI100" s="60" t="n"/>
      <c r="JGJ100" s="60" t="n"/>
      <c r="JGK100" s="60" t="n"/>
      <c r="JGL100" s="60" t="n"/>
      <c r="JGM100" s="60" t="n"/>
      <c r="JGN100" s="60" t="n"/>
      <c r="JGO100" s="60" t="n"/>
      <c r="JGP100" s="60" t="n"/>
      <c r="JGQ100" s="60" t="n"/>
      <c r="JGR100" s="60" t="n"/>
      <c r="JGS100" s="60" t="n"/>
      <c r="JGT100" s="60" t="n"/>
      <c r="JGU100" s="60" t="n"/>
      <c r="JGV100" s="60" t="n"/>
      <c r="JGW100" s="60" t="n"/>
      <c r="JGX100" s="60" t="n"/>
      <c r="JGY100" s="60" t="n"/>
      <c r="JGZ100" s="60" t="n"/>
      <c r="JHA100" s="60" t="n"/>
      <c r="JHB100" s="60" t="n"/>
      <c r="JHC100" s="60" t="n"/>
      <c r="JHD100" s="60" t="n"/>
      <c r="JHE100" s="60" t="n"/>
      <c r="JHF100" s="60" t="n"/>
      <c r="JHG100" s="60" t="n"/>
      <c r="JHH100" s="60" t="n"/>
      <c r="JHI100" s="60" t="n"/>
      <c r="JHJ100" s="60" t="n"/>
      <c r="JHK100" s="60" t="n"/>
      <c r="JHL100" s="60" t="n"/>
      <c r="JHM100" s="60" t="n"/>
      <c r="JHN100" s="60" t="n"/>
      <c r="JHO100" s="60" t="n"/>
      <c r="JHP100" s="60" t="n"/>
      <c r="JHQ100" s="60" t="n"/>
      <c r="JHR100" s="60" t="n"/>
      <c r="JHS100" s="60" t="n"/>
      <c r="JHT100" s="60" t="n"/>
      <c r="JHU100" s="60" t="n"/>
      <c r="JHV100" s="60" t="n"/>
      <c r="JHW100" s="60" t="n"/>
      <c r="JHX100" s="60" t="n"/>
      <c r="JHY100" s="60" t="n"/>
      <c r="JHZ100" s="60" t="n"/>
      <c r="JIA100" s="60" t="n"/>
      <c r="JIB100" s="60" t="n"/>
      <c r="JIC100" s="60" t="n"/>
      <c r="JID100" s="60" t="n"/>
      <c r="JIE100" s="60" t="n"/>
      <c r="JIF100" s="60" t="n"/>
      <c r="JIG100" s="60" t="n"/>
      <c r="JIH100" s="60" t="n"/>
      <c r="JII100" s="60" t="n"/>
      <c r="JIJ100" s="60" t="n"/>
      <c r="JIK100" s="60" t="n"/>
      <c r="JIL100" s="60" t="n"/>
      <c r="JIM100" s="60" t="n"/>
      <c r="JIN100" s="60" t="n"/>
      <c r="JIO100" s="60" t="n"/>
      <c r="JIP100" s="60" t="n"/>
      <c r="JIQ100" s="60" t="n"/>
      <c r="JIR100" s="60" t="n"/>
      <c r="JIS100" s="60" t="n"/>
      <c r="JIT100" s="60" t="n"/>
      <c r="JIU100" s="60" t="n"/>
      <c r="JIV100" s="60" t="n"/>
      <c r="JIW100" s="60" t="n"/>
      <c r="JIX100" s="60" t="n"/>
      <c r="JIY100" s="60" t="n"/>
      <c r="JIZ100" s="60" t="n"/>
      <c r="JJA100" s="60" t="n"/>
      <c r="JJB100" s="60" t="n"/>
      <c r="JJC100" s="60" t="n"/>
      <c r="JJD100" s="60" t="n"/>
      <c r="JJE100" s="60" t="n"/>
      <c r="JJF100" s="60" t="n"/>
      <c r="JJG100" s="60" t="n"/>
      <c r="JJH100" s="60" t="n"/>
      <c r="JJI100" s="60" t="n"/>
      <c r="JJJ100" s="60" t="n"/>
      <c r="JJK100" s="60" t="n"/>
      <c r="JJL100" s="60" t="n"/>
      <c r="JJM100" s="60" t="n"/>
      <c r="JJN100" s="60" t="n"/>
      <c r="JJO100" s="60" t="n"/>
      <c r="JJP100" s="60" t="n"/>
      <c r="JJQ100" s="60" t="n"/>
      <c r="JJR100" s="60" t="n"/>
      <c r="JJS100" s="60" t="n"/>
      <c r="JJT100" s="60" t="n"/>
      <c r="JJU100" s="60" t="n"/>
      <c r="JJV100" s="60" t="n"/>
      <c r="JJW100" s="60" t="n"/>
      <c r="JJX100" s="60" t="n"/>
      <c r="JJY100" s="60" t="n"/>
      <c r="JJZ100" s="60" t="n"/>
      <c r="JKA100" s="60" t="n"/>
      <c r="JKB100" s="60" t="n"/>
      <c r="JKC100" s="60" t="n"/>
      <c r="JKD100" s="60" t="n"/>
      <c r="JKE100" s="60" t="n"/>
      <c r="JKF100" s="60" t="n"/>
      <c r="JKG100" s="60" t="n"/>
      <c r="JKH100" s="60" t="n"/>
      <c r="JKI100" s="60" t="n"/>
      <c r="JKJ100" s="60" t="n"/>
      <c r="JKK100" s="60" t="n"/>
      <c r="JKL100" s="60" t="n"/>
      <c r="JKM100" s="60" t="n"/>
      <c r="JKN100" s="60" t="n"/>
      <c r="JKO100" s="60" t="n"/>
      <c r="JKP100" s="60" t="n"/>
      <c r="JKQ100" s="60" t="n"/>
      <c r="JKR100" s="60" t="n"/>
      <c r="JKS100" s="60" t="n"/>
      <c r="JKT100" s="60" t="n"/>
      <c r="JKU100" s="60" t="n"/>
      <c r="JKV100" s="60" t="n"/>
      <c r="JKW100" s="60" t="n"/>
      <c r="JKX100" s="60" t="n"/>
      <c r="JKY100" s="60" t="n"/>
      <c r="JKZ100" s="60" t="n"/>
      <c r="JLA100" s="60" t="n"/>
      <c r="JLB100" s="60" t="n"/>
      <c r="JLC100" s="60" t="n"/>
      <c r="JLD100" s="60" t="n"/>
      <c r="JLE100" s="60" t="n"/>
      <c r="JLF100" s="60" t="n"/>
      <c r="JLG100" s="60" t="n"/>
      <c r="JLH100" s="60" t="n"/>
      <c r="JLI100" s="60" t="n"/>
      <c r="JLJ100" s="60" t="n"/>
      <c r="JLK100" s="60" t="n"/>
      <c r="JLL100" s="60" t="n"/>
      <c r="JLM100" s="60" t="n"/>
      <c r="JLN100" s="60" t="n"/>
      <c r="JLO100" s="60" t="n"/>
      <c r="JLP100" s="60" t="n"/>
      <c r="JLQ100" s="60" t="n"/>
      <c r="JLR100" s="60" t="n"/>
      <c r="JLS100" s="60" t="n"/>
      <c r="JLT100" s="60" t="n"/>
      <c r="JLU100" s="60" t="n"/>
      <c r="JLV100" s="60" t="n"/>
      <c r="JLW100" s="60" t="n"/>
      <c r="JLX100" s="60" t="n"/>
      <c r="JLY100" s="60" t="n"/>
      <c r="JLZ100" s="60" t="n"/>
      <c r="JMA100" s="60" t="n"/>
      <c r="JMB100" s="60" t="n"/>
      <c r="JMC100" s="60" t="n"/>
      <c r="JMD100" s="60" t="n"/>
      <c r="JME100" s="60" t="n"/>
      <c r="JMF100" s="60" t="n"/>
      <c r="JMG100" s="60" t="n"/>
      <c r="JMH100" s="60" t="n"/>
      <c r="JMI100" s="60" t="n"/>
      <c r="JMJ100" s="60" t="n"/>
      <c r="JMK100" s="60" t="n"/>
      <c r="JML100" s="60" t="n"/>
      <c r="JMM100" s="60" t="n"/>
      <c r="JMN100" s="60" t="n"/>
      <c r="JMO100" s="60" t="n"/>
      <c r="JMP100" s="60" t="n"/>
      <c r="JMQ100" s="60" t="n"/>
      <c r="JMR100" s="60" t="n"/>
      <c r="JMS100" s="60" t="n"/>
      <c r="JMT100" s="60" t="n"/>
      <c r="JMU100" s="60" t="n"/>
      <c r="JMV100" s="60" t="n"/>
      <c r="JMW100" s="60" t="n"/>
      <c r="JMX100" s="60" t="n"/>
      <c r="JMY100" s="60" t="n"/>
      <c r="JMZ100" s="60" t="n"/>
      <c r="JNA100" s="60" t="n"/>
      <c r="JNB100" s="60" t="n"/>
      <c r="JNC100" s="60" t="n"/>
      <c r="JND100" s="60" t="n"/>
      <c r="JNE100" s="60" t="n"/>
      <c r="JNF100" s="60" t="n"/>
      <c r="JNG100" s="60" t="n"/>
      <c r="JNH100" s="60" t="n"/>
      <c r="JNI100" s="60" t="n"/>
      <c r="JNJ100" s="60" t="n"/>
      <c r="JNK100" s="60" t="n"/>
      <c r="JNL100" s="60" t="n"/>
      <c r="JNM100" s="60" t="n"/>
      <c r="JNN100" s="60" t="n"/>
      <c r="JNO100" s="60" t="n"/>
      <c r="JNP100" s="60" t="n"/>
      <c r="JNQ100" s="60" t="n"/>
      <c r="JNR100" s="60" t="n"/>
      <c r="JNS100" s="60" t="n"/>
      <c r="JNT100" s="60" t="n"/>
      <c r="JNU100" s="60" t="n"/>
      <c r="JNV100" s="60" t="n"/>
      <c r="JNW100" s="60" t="n"/>
      <c r="JNX100" s="60" t="n"/>
      <c r="JNY100" s="60" t="n"/>
      <c r="JNZ100" s="60" t="n"/>
      <c r="JOA100" s="60" t="n"/>
      <c r="JOB100" s="60" t="n"/>
      <c r="JOC100" s="60" t="n"/>
      <c r="JOD100" s="60" t="n"/>
      <c r="JOE100" s="60" t="n"/>
      <c r="JOF100" s="60" t="n"/>
      <c r="JOG100" s="60" t="n"/>
      <c r="JOH100" s="60" t="n"/>
      <c r="JOI100" s="60" t="n"/>
      <c r="JOJ100" s="60" t="n"/>
      <c r="JOK100" s="60" t="n"/>
      <c r="JOL100" s="60" t="n"/>
      <c r="JOM100" s="60" t="n"/>
      <c r="JON100" s="60" t="n"/>
      <c r="JOO100" s="60" t="n"/>
      <c r="JOP100" s="60" t="n"/>
      <c r="JOQ100" s="60" t="n"/>
      <c r="JOR100" s="60" t="n"/>
      <c r="JOS100" s="60" t="n"/>
      <c r="JOT100" s="60" t="n"/>
      <c r="JOU100" s="60" t="n"/>
      <c r="JOV100" s="60" t="n"/>
      <c r="JOW100" s="60" t="n"/>
      <c r="JOX100" s="60" t="n"/>
      <c r="JOY100" s="60" t="n"/>
      <c r="JOZ100" s="60" t="n"/>
      <c r="JPA100" s="60" t="n"/>
      <c r="JPB100" s="60" t="n"/>
      <c r="JPC100" s="60" t="n"/>
      <c r="JPD100" s="60" t="n"/>
      <c r="JPE100" s="60" t="n"/>
      <c r="JPF100" s="60" t="n"/>
      <c r="JPG100" s="60" t="n"/>
      <c r="JPH100" s="60" t="n"/>
      <c r="JPI100" s="60" t="n"/>
      <c r="JPJ100" s="60" t="n"/>
      <c r="JPK100" s="60" t="n"/>
      <c r="JPL100" s="60" t="n"/>
      <c r="JPM100" s="60" t="n"/>
      <c r="JPN100" s="60" t="n"/>
      <c r="JPO100" s="60" t="n"/>
      <c r="JPP100" s="60" t="n"/>
      <c r="JPQ100" s="60" t="n"/>
      <c r="JPR100" s="60" t="n"/>
      <c r="JPS100" s="60" t="n"/>
      <c r="JPT100" s="60" t="n"/>
      <c r="JPU100" s="60" t="n"/>
      <c r="JPV100" s="60" t="n"/>
      <c r="JPW100" s="60" t="n"/>
      <c r="JPX100" s="60" t="n"/>
      <c r="JPY100" s="60" t="n"/>
      <c r="JPZ100" s="60" t="n"/>
      <c r="JQA100" s="60" t="n"/>
      <c r="JQB100" s="60" t="n"/>
      <c r="JQC100" s="60" t="n"/>
      <c r="JQD100" s="60" t="n"/>
      <c r="JQE100" s="60" t="n"/>
      <c r="JQF100" s="60" t="n"/>
      <c r="JQG100" s="60" t="n"/>
      <c r="JQH100" s="60" t="n"/>
      <c r="JQI100" s="60" t="n"/>
      <c r="JQJ100" s="60" t="n"/>
      <c r="JQK100" s="60" t="n"/>
      <c r="JQL100" s="60" t="n"/>
      <c r="JQM100" s="60" t="n"/>
      <c r="JQN100" s="60" t="n"/>
      <c r="JQO100" s="60" t="n"/>
      <c r="JQP100" s="60" t="n"/>
      <c r="JQQ100" s="60" t="n"/>
      <c r="JQR100" s="60" t="n"/>
      <c r="JQS100" s="60" t="n"/>
      <c r="JQT100" s="60" t="n"/>
      <c r="JQU100" s="60" t="n"/>
      <c r="JQV100" s="60" t="n"/>
      <c r="JQW100" s="60" t="n"/>
      <c r="JQX100" s="60" t="n"/>
      <c r="JQY100" s="60" t="n"/>
      <c r="JQZ100" s="60" t="n"/>
      <c r="JRA100" s="60" t="n"/>
      <c r="JRB100" s="60" t="n"/>
      <c r="JRC100" s="60" t="n"/>
      <c r="JRD100" s="60" t="n"/>
      <c r="JRE100" s="60" t="n"/>
      <c r="JRF100" s="60" t="n"/>
      <c r="JRG100" s="60" t="n"/>
      <c r="JRH100" s="60" t="n"/>
      <c r="JRI100" s="60" t="n"/>
      <c r="JRJ100" s="60" t="n"/>
      <c r="JRK100" s="60" t="n"/>
      <c r="JRL100" s="60" t="n"/>
      <c r="JRM100" s="60" t="n"/>
      <c r="JRN100" s="60" t="n"/>
      <c r="JRO100" s="60" t="n"/>
      <c r="JRP100" s="60" t="n"/>
      <c r="JRQ100" s="60" t="n"/>
      <c r="JRR100" s="60" t="n"/>
      <c r="JRS100" s="60" t="n"/>
      <c r="JRT100" s="60" t="n"/>
      <c r="JRU100" s="60" t="n"/>
      <c r="JRV100" s="60" t="n"/>
      <c r="JRW100" s="60" t="n"/>
      <c r="JRX100" s="60" t="n"/>
      <c r="JRY100" s="60" t="n"/>
      <c r="JRZ100" s="60" t="n"/>
      <c r="JSA100" s="60" t="n"/>
      <c r="JSB100" s="60" t="n"/>
      <c r="JSC100" s="60" t="n"/>
      <c r="JSD100" s="60" t="n"/>
      <c r="JSE100" s="60" t="n"/>
      <c r="JSF100" s="60" t="n"/>
      <c r="JSG100" s="60" t="n"/>
      <c r="JSH100" s="60" t="n"/>
      <c r="JSI100" s="60" t="n"/>
      <c r="JSJ100" s="60" t="n"/>
      <c r="JSK100" s="60" t="n"/>
      <c r="JSL100" s="60" t="n"/>
      <c r="JSM100" s="60" t="n"/>
      <c r="JSN100" s="60" t="n"/>
      <c r="JSO100" s="60" t="n"/>
      <c r="JSP100" s="60" t="n"/>
      <c r="JSQ100" s="60" t="n"/>
      <c r="JSR100" s="60" t="n"/>
      <c r="JSS100" s="60" t="n"/>
      <c r="JST100" s="60" t="n"/>
      <c r="JSU100" s="60" t="n"/>
      <c r="JSV100" s="60" t="n"/>
      <c r="JSW100" s="60" t="n"/>
      <c r="JSX100" s="60" t="n"/>
      <c r="JSY100" s="60" t="n"/>
      <c r="JSZ100" s="60" t="n"/>
      <c r="JTA100" s="60" t="n"/>
      <c r="JTB100" s="60" t="n"/>
      <c r="JTC100" s="60" t="n"/>
      <c r="JTD100" s="60" t="n"/>
      <c r="JTE100" s="60" t="n"/>
      <c r="JTF100" s="60" t="n"/>
      <c r="JTG100" s="60" t="n"/>
      <c r="JTH100" s="60" t="n"/>
      <c r="JTI100" s="60" t="n"/>
      <c r="JTJ100" s="60" t="n"/>
      <c r="JTK100" s="60" t="n"/>
      <c r="JTL100" s="60" t="n"/>
      <c r="JTM100" s="60" t="n"/>
      <c r="JTN100" s="60" t="n"/>
      <c r="JTO100" s="60" t="n"/>
      <c r="JTP100" s="60" t="n"/>
      <c r="JTQ100" s="60" t="n"/>
      <c r="JTR100" s="60" t="n"/>
      <c r="JTS100" s="60" t="n"/>
      <c r="JTT100" s="60" t="n"/>
      <c r="JTU100" s="60" t="n"/>
      <c r="JTV100" s="60" t="n"/>
      <c r="JTW100" s="60" t="n"/>
      <c r="JTX100" s="60" t="n"/>
      <c r="JTY100" s="60" t="n"/>
      <c r="JTZ100" s="60" t="n"/>
      <c r="JUA100" s="60" t="n"/>
      <c r="JUB100" s="60" t="n"/>
      <c r="JUC100" s="60" t="n"/>
      <c r="JUD100" s="60" t="n"/>
      <c r="JUE100" s="60" t="n"/>
      <c r="JUF100" s="60" t="n"/>
      <c r="JUG100" s="60" t="n"/>
      <c r="JUH100" s="60" t="n"/>
      <c r="JUI100" s="60" t="n"/>
      <c r="JUJ100" s="60" t="n"/>
      <c r="JUK100" s="60" t="n"/>
      <c r="JUL100" s="60" t="n"/>
      <c r="JUM100" s="60" t="n"/>
      <c r="JUN100" s="60" t="n"/>
      <c r="JUO100" s="60" t="n"/>
      <c r="JUP100" s="60" t="n"/>
      <c r="JUQ100" s="60" t="n"/>
      <c r="JUR100" s="60" t="n"/>
      <c r="JUS100" s="60" t="n"/>
      <c r="JUT100" s="60" t="n"/>
      <c r="JUU100" s="60" t="n"/>
      <c r="JUV100" s="60" t="n"/>
      <c r="JUW100" s="60" t="n"/>
      <c r="JUX100" s="60" t="n"/>
      <c r="JUY100" s="60" t="n"/>
      <c r="JUZ100" s="60" t="n"/>
      <c r="JVA100" s="60" t="n"/>
      <c r="JVB100" s="60" t="n"/>
      <c r="JVC100" s="60" t="n"/>
      <c r="JVD100" s="60" t="n"/>
      <c r="JVE100" s="60" t="n"/>
      <c r="JVF100" s="60" t="n"/>
      <c r="JVG100" s="60" t="n"/>
      <c r="JVH100" s="60" t="n"/>
      <c r="JVI100" s="60" t="n"/>
      <c r="JVJ100" s="60" t="n"/>
      <c r="JVK100" s="60" t="n"/>
      <c r="JVL100" s="60" t="n"/>
      <c r="JVM100" s="60" t="n"/>
      <c r="JVN100" s="60" t="n"/>
      <c r="JVO100" s="60" t="n"/>
      <c r="JVP100" s="60" t="n"/>
      <c r="JVQ100" s="60" t="n"/>
      <c r="JVR100" s="60" t="n"/>
      <c r="JVS100" s="60" t="n"/>
      <c r="JVT100" s="60" t="n"/>
      <c r="JVU100" s="60" t="n"/>
      <c r="JVV100" s="60" t="n"/>
      <c r="JVW100" s="60" t="n"/>
      <c r="JVX100" s="60" t="n"/>
      <c r="JVY100" s="60" t="n"/>
      <c r="JVZ100" s="60" t="n"/>
      <c r="JWA100" s="60" t="n"/>
      <c r="JWB100" s="60" t="n"/>
      <c r="JWC100" s="60" t="n"/>
      <c r="JWD100" s="60" t="n"/>
      <c r="JWE100" s="60" t="n"/>
      <c r="JWF100" s="60" t="n"/>
      <c r="JWG100" s="60" t="n"/>
      <c r="JWH100" s="60" t="n"/>
      <c r="JWI100" s="60" t="n"/>
      <c r="JWJ100" s="60" t="n"/>
      <c r="JWK100" s="60" t="n"/>
      <c r="JWL100" s="60" t="n"/>
      <c r="JWM100" s="60" t="n"/>
      <c r="JWN100" s="60" t="n"/>
      <c r="JWO100" s="60" t="n"/>
      <c r="JWP100" s="60" t="n"/>
      <c r="JWQ100" s="60" t="n"/>
      <c r="JWR100" s="60" t="n"/>
      <c r="JWS100" s="60" t="n"/>
      <c r="JWT100" s="60" t="n"/>
      <c r="JWU100" s="60" t="n"/>
      <c r="JWV100" s="60" t="n"/>
      <c r="JWW100" s="60" t="n"/>
      <c r="JWX100" s="60" t="n"/>
      <c r="JWY100" s="60" t="n"/>
      <c r="JWZ100" s="60" t="n"/>
      <c r="JXA100" s="60" t="n"/>
      <c r="JXB100" s="60" t="n"/>
      <c r="JXC100" s="60" t="n"/>
      <c r="JXD100" s="60" t="n"/>
      <c r="JXE100" s="60" t="n"/>
      <c r="JXF100" s="60" t="n"/>
      <c r="JXG100" s="60" t="n"/>
      <c r="JXH100" s="60" t="n"/>
      <c r="JXI100" s="60" t="n"/>
      <c r="JXJ100" s="60" t="n"/>
      <c r="JXK100" s="60" t="n"/>
      <c r="JXL100" s="60" t="n"/>
      <c r="JXM100" s="60" t="n"/>
      <c r="JXN100" s="60" t="n"/>
      <c r="JXO100" s="60" t="n"/>
      <c r="JXP100" s="60" t="n"/>
      <c r="JXQ100" s="60" t="n"/>
      <c r="JXR100" s="60" t="n"/>
      <c r="JXS100" s="60" t="n"/>
      <c r="JXT100" s="60" t="n"/>
      <c r="JXU100" s="60" t="n"/>
      <c r="JXV100" s="60" t="n"/>
      <c r="JXW100" s="60" t="n"/>
      <c r="JXX100" s="60" t="n"/>
      <c r="JXY100" s="60" t="n"/>
      <c r="JXZ100" s="60" t="n"/>
      <c r="JYA100" s="60" t="n"/>
      <c r="JYB100" s="60" t="n"/>
      <c r="JYC100" s="60" t="n"/>
      <c r="JYD100" s="60" t="n"/>
      <c r="JYE100" s="60" t="n"/>
      <c r="JYF100" s="60" t="n"/>
      <c r="JYG100" s="60" t="n"/>
      <c r="JYH100" s="60" t="n"/>
      <c r="JYI100" s="60" t="n"/>
      <c r="JYJ100" s="60" t="n"/>
      <c r="JYK100" s="60" t="n"/>
      <c r="JYL100" s="60" t="n"/>
      <c r="JYM100" s="60" t="n"/>
      <c r="JYN100" s="60" t="n"/>
      <c r="JYO100" s="60" t="n"/>
      <c r="JYP100" s="60" t="n"/>
      <c r="JYQ100" s="60" t="n"/>
      <c r="JYR100" s="60" t="n"/>
      <c r="JYS100" s="60" t="n"/>
      <c r="JYT100" s="60" t="n"/>
      <c r="JYU100" s="60" t="n"/>
      <c r="JYV100" s="60" t="n"/>
      <c r="JYW100" s="60" t="n"/>
      <c r="JYX100" s="60" t="n"/>
      <c r="JYY100" s="60" t="n"/>
      <c r="JYZ100" s="60" t="n"/>
      <c r="JZA100" s="60" t="n"/>
      <c r="JZB100" s="60" t="n"/>
      <c r="JZC100" s="60" t="n"/>
      <c r="JZD100" s="60" t="n"/>
      <c r="JZE100" s="60" t="n"/>
      <c r="JZF100" s="60" t="n"/>
      <c r="JZG100" s="60" t="n"/>
      <c r="JZH100" s="60" t="n"/>
      <c r="JZI100" s="60" t="n"/>
      <c r="JZJ100" s="60" t="n"/>
      <c r="JZK100" s="60" t="n"/>
      <c r="JZL100" s="60" t="n"/>
      <c r="JZM100" s="60" t="n"/>
      <c r="JZN100" s="60" t="n"/>
      <c r="JZO100" s="60" t="n"/>
      <c r="JZP100" s="60" t="n"/>
      <c r="JZQ100" s="60" t="n"/>
      <c r="JZR100" s="60" t="n"/>
      <c r="JZS100" s="60" t="n"/>
      <c r="JZT100" s="60" t="n"/>
      <c r="JZU100" s="60" t="n"/>
      <c r="JZV100" s="60" t="n"/>
      <c r="JZW100" s="60" t="n"/>
      <c r="JZX100" s="60" t="n"/>
      <c r="JZY100" s="60" t="n"/>
      <c r="JZZ100" s="60" t="n"/>
      <c r="KAA100" s="60" t="n"/>
      <c r="KAB100" s="60" t="n"/>
      <c r="KAC100" s="60" t="n"/>
      <c r="KAD100" s="60" t="n"/>
      <c r="KAE100" s="60" t="n"/>
      <c r="KAF100" s="60" t="n"/>
      <c r="KAG100" s="60" t="n"/>
      <c r="KAH100" s="60" t="n"/>
      <c r="KAI100" s="60" t="n"/>
      <c r="KAJ100" s="60" t="n"/>
      <c r="KAK100" s="60" t="n"/>
      <c r="KAL100" s="60" t="n"/>
      <c r="KAM100" s="60" t="n"/>
      <c r="KAN100" s="60" t="n"/>
      <c r="KAO100" s="60" t="n"/>
      <c r="KAP100" s="60" t="n"/>
      <c r="KAQ100" s="60" t="n"/>
      <c r="KAR100" s="60" t="n"/>
      <c r="KAS100" s="60" t="n"/>
      <c r="KAT100" s="60" t="n"/>
      <c r="KAU100" s="60" t="n"/>
      <c r="KAV100" s="60" t="n"/>
      <c r="KAW100" s="60" t="n"/>
      <c r="KAX100" s="60" t="n"/>
      <c r="KAY100" s="60" t="n"/>
      <c r="KAZ100" s="60" t="n"/>
      <c r="KBA100" s="60" t="n"/>
      <c r="KBB100" s="60" t="n"/>
      <c r="KBC100" s="60" t="n"/>
      <c r="KBD100" s="60" t="n"/>
      <c r="KBE100" s="60" t="n"/>
      <c r="KBF100" s="60" t="n"/>
      <c r="KBG100" s="60" t="n"/>
      <c r="KBH100" s="60" t="n"/>
      <c r="KBI100" s="60" t="n"/>
      <c r="KBJ100" s="60" t="n"/>
      <c r="KBK100" s="60" t="n"/>
      <c r="KBL100" s="60" t="n"/>
      <c r="KBM100" s="60" t="n"/>
      <c r="KBN100" s="60" t="n"/>
      <c r="KBO100" s="60" t="n"/>
      <c r="KBP100" s="60" t="n"/>
      <c r="KBQ100" s="60" t="n"/>
      <c r="KBR100" s="60" t="n"/>
      <c r="KBS100" s="60" t="n"/>
      <c r="KBT100" s="60" t="n"/>
      <c r="KBU100" s="60" t="n"/>
      <c r="KBV100" s="60" t="n"/>
      <c r="KBW100" s="60" t="n"/>
      <c r="KBX100" s="60" t="n"/>
      <c r="KBY100" s="60" t="n"/>
      <c r="KBZ100" s="60" t="n"/>
      <c r="KCA100" s="60" t="n"/>
      <c r="KCB100" s="60" t="n"/>
      <c r="KCC100" s="60" t="n"/>
      <c r="KCD100" s="60" t="n"/>
      <c r="KCE100" s="60" t="n"/>
      <c r="KCF100" s="60" t="n"/>
      <c r="KCG100" s="60" t="n"/>
      <c r="KCH100" s="60" t="n"/>
      <c r="KCI100" s="60" t="n"/>
      <c r="KCJ100" s="60" t="n"/>
      <c r="KCK100" s="60" t="n"/>
      <c r="KCL100" s="60" t="n"/>
      <c r="KCM100" s="60" t="n"/>
      <c r="KCN100" s="60" t="n"/>
      <c r="KCO100" s="60" t="n"/>
      <c r="KCP100" s="60" t="n"/>
      <c r="KCQ100" s="60" t="n"/>
      <c r="KCR100" s="60" t="n"/>
      <c r="KCS100" s="60" t="n"/>
      <c r="KCT100" s="60" t="n"/>
      <c r="KCU100" s="60" t="n"/>
      <c r="KCV100" s="60" t="n"/>
      <c r="KCW100" s="60" t="n"/>
      <c r="KCX100" s="60" t="n"/>
      <c r="KCY100" s="60" t="n"/>
      <c r="KCZ100" s="60" t="n"/>
      <c r="KDA100" s="60" t="n"/>
      <c r="KDB100" s="60" t="n"/>
      <c r="KDC100" s="60" t="n"/>
      <c r="KDD100" s="60" t="n"/>
      <c r="KDE100" s="60" t="n"/>
      <c r="KDF100" s="60" t="n"/>
      <c r="KDG100" s="60" t="n"/>
      <c r="KDH100" s="60" t="n"/>
      <c r="KDI100" s="60" t="n"/>
      <c r="KDJ100" s="60" t="n"/>
      <c r="KDK100" s="60" t="n"/>
      <c r="KDL100" s="60" t="n"/>
      <c r="KDM100" s="60" t="n"/>
      <c r="KDN100" s="60" t="n"/>
      <c r="KDO100" s="60" t="n"/>
      <c r="KDP100" s="60" t="n"/>
      <c r="KDQ100" s="60" t="n"/>
      <c r="KDR100" s="60" t="n"/>
      <c r="KDS100" s="60" t="n"/>
      <c r="KDT100" s="60" t="n"/>
      <c r="KDU100" s="60" t="n"/>
      <c r="KDV100" s="60" t="n"/>
      <c r="KDW100" s="60" t="n"/>
      <c r="KDX100" s="60" t="n"/>
      <c r="KDY100" s="60" t="n"/>
      <c r="KDZ100" s="60" t="n"/>
      <c r="KEA100" s="60" t="n"/>
      <c r="KEB100" s="60" t="n"/>
      <c r="KEC100" s="60" t="n"/>
      <c r="KED100" s="60" t="n"/>
      <c r="KEE100" s="60" t="n"/>
      <c r="KEF100" s="60" t="n"/>
      <c r="KEG100" s="60" t="n"/>
      <c r="KEH100" s="60" t="n"/>
      <c r="KEI100" s="60" t="n"/>
      <c r="KEJ100" s="60" t="n"/>
      <c r="KEK100" s="60" t="n"/>
      <c r="KEL100" s="60" t="n"/>
      <c r="KEM100" s="60" t="n"/>
      <c r="KEN100" s="60" t="n"/>
      <c r="KEO100" s="60" t="n"/>
      <c r="KEP100" s="60" t="n"/>
      <c r="KEQ100" s="60" t="n"/>
      <c r="KER100" s="60" t="n"/>
      <c r="KES100" s="60" t="n"/>
      <c r="KET100" s="60" t="n"/>
      <c r="KEU100" s="60" t="n"/>
      <c r="KEV100" s="60" t="n"/>
      <c r="KEW100" s="60" t="n"/>
      <c r="KEX100" s="60" t="n"/>
      <c r="KEY100" s="60" t="n"/>
      <c r="KEZ100" s="60" t="n"/>
      <c r="KFA100" s="60" t="n"/>
      <c r="KFB100" s="60" t="n"/>
      <c r="KFC100" s="60" t="n"/>
      <c r="KFD100" s="60" t="n"/>
      <c r="KFE100" s="60" t="n"/>
      <c r="KFF100" s="60" t="n"/>
      <c r="KFG100" s="60" t="n"/>
      <c r="KFH100" s="60" t="n"/>
      <c r="KFI100" s="60" t="n"/>
      <c r="KFJ100" s="60" t="n"/>
      <c r="KFK100" s="60" t="n"/>
      <c r="KFL100" s="60" t="n"/>
      <c r="KFM100" s="60" t="n"/>
      <c r="KFN100" s="60" t="n"/>
      <c r="KFO100" s="60" t="n"/>
      <c r="KFP100" s="60" t="n"/>
      <c r="KFQ100" s="60" t="n"/>
      <c r="KFR100" s="60" t="n"/>
      <c r="KFS100" s="60" t="n"/>
      <c r="KFT100" s="60" t="n"/>
      <c r="KFU100" s="60" t="n"/>
      <c r="KFV100" s="60" t="n"/>
      <c r="KFW100" s="60" t="n"/>
      <c r="KFX100" s="60" t="n"/>
      <c r="KFY100" s="60" t="n"/>
      <c r="KFZ100" s="60" t="n"/>
      <c r="KGA100" s="60" t="n"/>
      <c r="KGB100" s="60" t="n"/>
      <c r="KGC100" s="60" t="n"/>
      <c r="KGD100" s="60" t="n"/>
      <c r="KGE100" s="60" t="n"/>
      <c r="KGF100" s="60" t="n"/>
      <c r="KGG100" s="60" t="n"/>
      <c r="KGH100" s="60" t="n"/>
      <c r="KGI100" s="60" t="n"/>
      <c r="KGJ100" s="60" t="n"/>
      <c r="KGK100" s="60" t="n"/>
      <c r="KGL100" s="60" t="n"/>
      <c r="KGM100" s="60" t="n"/>
      <c r="KGN100" s="60" t="n"/>
      <c r="KGO100" s="60" t="n"/>
      <c r="KGP100" s="60" t="n"/>
      <c r="KGQ100" s="60" t="n"/>
      <c r="KGR100" s="60" t="n"/>
      <c r="KGS100" s="60" t="n"/>
      <c r="KGT100" s="60" t="n"/>
      <c r="KGU100" s="60" t="n"/>
      <c r="KGV100" s="60" t="n"/>
      <c r="KGW100" s="60" t="n"/>
      <c r="KGX100" s="60" t="n"/>
      <c r="KGY100" s="60" t="n"/>
      <c r="KGZ100" s="60" t="n"/>
      <c r="KHA100" s="60" t="n"/>
      <c r="KHB100" s="60" t="n"/>
      <c r="KHC100" s="60" t="n"/>
      <c r="KHD100" s="60" t="n"/>
      <c r="KHE100" s="60" t="n"/>
      <c r="KHF100" s="60" t="n"/>
      <c r="KHG100" s="60" t="n"/>
      <c r="KHH100" s="60" t="n"/>
      <c r="KHI100" s="60" t="n"/>
      <c r="KHJ100" s="60" t="n"/>
      <c r="KHK100" s="60" t="n"/>
      <c r="KHL100" s="60" t="n"/>
      <c r="KHM100" s="60" t="n"/>
      <c r="KHN100" s="60" t="n"/>
      <c r="KHO100" s="60" t="n"/>
      <c r="KHP100" s="60" t="n"/>
      <c r="KHQ100" s="60" t="n"/>
      <c r="KHR100" s="60" t="n"/>
      <c r="KHS100" s="60" t="n"/>
      <c r="KHT100" s="60" t="n"/>
      <c r="KHU100" s="60" t="n"/>
      <c r="KHV100" s="60" t="n"/>
      <c r="KHW100" s="60" t="n"/>
      <c r="KHX100" s="60" t="n"/>
      <c r="KHY100" s="60" t="n"/>
      <c r="KHZ100" s="60" t="n"/>
      <c r="KIA100" s="60" t="n"/>
      <c r="KIB100" s="60" t="n"/>
      <c r="KIC100" s="60" t="n"/>
      <c r="KID100" s="60" t="n"/>
      <c r="KIE100" s="60" t="n"/>
      <c r="KIF100" s="60" t="n"/>
      <c r="KIG100" s="60" t="n"/>
      <c r="KIH100" s="60" t="n"/>
      <c r="KII100" s="60" t="n"/>
      <c r="KIJ100" s="60" t="n"/>
      <c r="KIK100" s="60" t="n"/>
      <c r="KIL100" s="60" t="n"/>
      <c r="KIM100" s="60" t="n"/>
      <c r="KIN100" s="60" t="n"/>
      <c r="KIO100" s="60" t="n"/>
      <c r="KIP100" s="60" t="n"/>
      <c r="KIQ100" s="60" t="n"/>
      <c r="KIR100" s="60" t="n"/>
      <c r="KIS100" s="60" t="n"/>
      <c r="KIT100" s="60" t="n"/>
      <c r="KIU100" s="60" t="n"/>
      <c r="KIV100" s="60" t="n"/>
      <c r="KIW100" s="60" t="n"/>
      <c r="KIX100" s="60" t="n"/>
      <c r="KIY100" s="60" t="n"/>
      <c r="KIZ100" s="60" t="n"/>
      <c r="KJA100" s="60" t="n"/>
      <c r="KJB100" s="60" t="n"/>
      <c r="KJC100" s="60" t="n"/>
      <c r="KJD100" s="60" t="n"/>
      <c r="KJE100" s="60" t="n"/>
      <c r="KJF100" s="60" t="n"/>
      <c r="KJG100" s="60" t="n"/>
      <c r="KJH100" s="60" t="n"/>
      <c r="KJI100" s="60" t="n"/>
      <c r="KJJ100" s="60" t="n"/>
      <c r="KJK100" s="60" t="n"/>
      <c r="KJL100" s="60" t="n"/>
      <c r="KJM100" s="60" t="n"/>
      <c r="KJN100" s="60" t="n"/>
      <c r="KJO100" s="60" t="n"/>
      <c r="KJP100" s="60" t="n"/>
      <c r="KJQ100" s="60" t="n"/>
      <c r="KJR100" s="60" t="n"/>
      <c r="KJS100" s="60" t="n"/>
      <c r="KJT100" s="60" t="n"/>
      <c r="KJU100" s="60" t="n"/>
      <c r="KJV100" s="60" t="n"/>
      <c r="KJW100" s="60" t="n"/>
      <c r="KJX100" s="60" t="n"/>
      <c r="KJY100" s="60" t="n"/>
      <c r="KJZ100" s="60" t="n"/>
      <c r="KKA100" s="60" t="n"/>
      <c r="KKB100" s="60" t="n"/>
      <c r="KKC100" s="60" t="n"/>
      <c r="KKD100" s="60" t="n"/>
      <c r="KKE100" s="60" t="n"/>
      <c r="KKF100" s="60" t="n"/>
      <c r="KKG100" s="60" t="n"/>
      <c r="KKH100" s="60" t="n"/>
      <c r="KKI100" s="60" t="n"/>
      <c r="KKJ100" s="60" t="n"/>
      <c r="KKK100" s="60" t="n"/>
      <c r="KKL100" s="60" t="n"/>
      <c r="KKM100" s="60" t="n"/>
      <c r="KKN100" s="60" t="n"/>
      <c r="KKO100" s="60" t="n"/>
      <c r="KKP100" s="60" t="n"/>
      <c r="KKQ100" s="60" t="n"/>
      <c r="KKR100" s="60" t="n"/>
      <c r="KKS100" s="60" t="n"/>
      <c r="KKT100" s="60" t="n"/>
      <c r="KKU100" s="60" t="n"/>
      <c r="KKV100" s="60" t="n"/>
      <c r="KKW100" s="60" t="n"/>
      <c r="KKX100" s="60" t="n"/>
      <c r="KKY100" s="60" t="n"/>
      <c r="KKZ100" s="60" t="n"/>
      <c r="KLA100" s="60" t="n"/>
      <c r="KLB100" s="60" t="n"/>
      <c r="KLC100" s="60" t="n"/>
      <c r="KLD100" s="60" t="n"/>
      <c r="KLE100" s="60" t="n"/>
      <c r="KLF100" s="60" t="n"/>
      <c r="KLG100" s="60" t="n"/>
      <c r="KLH100" s="60" t="n"/>
      <c r="KLI100" s="60" t="n"/>
      <c r="KLJ100" s="60" t="n"/>
      <c r="KLK100" s="60" t="n"/>
      <c r="KLL100" s="60" t="n"/>
      <c r="KLM100" s="60" t="n"/>
      <c r="KLN100" s="60" t="n"/>
      <c r="KLO100" s="60" t="n"/>
      <c r="KLP100" s="60" t="n"/>
      <c r="KLQ100" s="60" t="n"/>
      <c r="KLR100" s="60" t="n"/>
      <c r="KLS100" s="60" t="n"/>
      <c r="KLT100" s="60" t="n"/>
      <c r="KLU100" s="60" t="n"/>
      <c r="KLV100" s="60" t="n"/>
      <c r="KLW100" s="60" t="n"/>
      <c r="KLX100" s="60" t="n"/>
      <c r="KLY100" s="60" t="n"/>
      <c r="KLZ100" s="60" t="n"/>
      <c r="KMA100" s="60" t="n"/>
      <c r="KMB100" s="60" t="n"/>
      <c r="KMC100" s="60" t="n"/>
      <c r="KMD100" s="60" t="n"/>
      <c r="KME100" s="60" t="n"/>
      <c r="KMF100" s="60" t="n"/>
      <c r="KMG100" s="60" t="n"/>
      <c r="KMH100" s="60" t="n"/>
      <c r="KMI100" s="60" t="n"/>
      <c r="KMJ100" s="60" t="n"/>
      <c r="KMK100" s="60" t="n"/>
      <c r="KML100" s="60" t="n"/>
      <c r="KMM100" s="60" t="n"/>
      <c r="KMN100" s="60" t="n"/>
      <c r="KMO100" s="60" t="n"/>
      <c r="KMP100" s="60" t="n"/>
      <c r="KMQ100" s="60" t="n"/>
      <c r="KMR100" s="60" t="n"/>
      <c r="KMS100" s="60" t="n"/>
      <c r="KMT100" s="60" t="n"/>
      <c r="KMU100" s="60" t="n"/>
      <c r="KMV100" s="60" t="n"/>
      <c r="KMW100" s="60" t="n"/>
      <c r="KMX100" s="60" t="n"/>
      <c r="KMY100" s="60" t="n"/>
      <c r="KMZ100" s="60" t="n"/>
      <c r="KNA100" s="60" t="n"/>
      <c r="KNB100" s="60" t="n"/>
      <c r="KNC100" s="60" t="n"/>
      <c r="KND100" s="60" t="n"/>
      <c r="KNE100" s="60" t="n"/>
      <c r="KNF100" s="60" t="n"/>
      <c r="KNG100" s="60" t="n"/>
      <c r="KNH100" s="60" t="n"/>
      <c r="KNI100" s="60" t="n"/>
      <c r="KNJ100" s="60" t="n"/>
      <c r="KNK100" s="60" t="n"/>
      <c r="KNL100" s="60" t="n"/>
      <c r="KNM100" s="60" t="n"/>
      <c r="KNN100" s="60" t="n"/>
      <c r="KNO100" s="60" t="n"/>
      <c r="KNP100" s="60" t="n"/>
      <c r="KNQ100" s="60" t="n"/>
      <c r="KNR100" s="60" t="n"/>
      <c r="KNS100" s="60" t="n"/>
      <c r="KNT100" s="60" t="n"/>
      <c r="KNU100" s="60" t="n"/>
      <c r="KNV100" s="60" t="n"/>
      <c r="KNW100" s="60" t="n"/>
      <c r="KNX100" s="60" t="n"/>
      <c r="KNY100" s="60" t="n"/>
      <c r="KNZ100" s="60" t="n"/>
      <c r="KOA100" s="60" t="n"/>
      <c r="KOB100" s="60" t="n"/>
      <c r="KOC100" s="60" t="n"/>
      <c r="KOD100" s="60" t="n"/>
      <c r="KOE100" s="60" t="n"/>
      <c r="KOF100" s="60" t="n"/>
      <c r="KOG100" s="60" t="n"/>
      <c r="KOH100" s="60" t="n"/>
      <c r="KOI100" s="60" t="n"/>
      <c r="KOJ100" s="60" t="n"/>
      <c r="KOK100" s="60" t="n"/>
      <c r="KOL100" s="60" t="n"/>
      <c r="KOM100" s="60" t="n"/>
      <c r="KON100" s="60" t="n"/>
      <c r="KOO100" s="60" t="n"/>
      <c r="KOP100" s="60" t="n"/>
      <c r="KOQ100" s="60" t="n"/>
      <c r="KOR100" s="60" t="n"/>
      <c r="KOS100" s="60" t="n"/>
      <c r="KOT100" s="60" t="n"/>
      <c r="KOU100" s="60" t="n"/>
      <c r="KOV100" s="60" t="n"/>
      <c r="KOW100" s="60" t="n"/>
      <c r="KOX100" s="60" t="n"/>
      <c r="KOY100" s="60" t="n"/>
      <c r="KOZ100" s="60" t="n"/>
      <c r="KPA100" s="60" t="n"/>
      <c r="KPB100" s="60" t="n"/>
      <c r="KPC100" s="60" t="n"/>
      <c r="KPD100" s="60" t="n"/>
      <c r="KPE100" s="60" t="n"/>
      <c r="KPF100" s="60" t="n"/>
      <c r="KPG100" s="60" t="n"/>
      <c r="KPH100" s="60" t="n"/>
      <c r="KPI100" s="60" t="n"/>
      <c r="KPJ100" s="60" t="n"/>
      <c r="KPK100" s="60" t="n"/>
      <c r="KPL100" s="60" t="n"/>
      <c r="KPM100" s="60" t="n"/>
      <c r="KPN100" s="60" t="n"/>
      <c r="KPO100" s="60" t="n"/>
      <c r="KPP100" s="60" t="n"/>
      <c r="KPQ100" s="60" t="n"/>
      <c r="KPR100" s="60" t="n"/>
      <c r="KPS100" s="60" t="n"/>
      <c r="KPT100" s="60" t="n"/>
      <c r="KPU100" s="60" t="n"/>
      <c r="KPV100" s="60" t="n"/>
      <c r="KPW100" s="60" t="n"/>
      <c r="KPX100" s="60" t="n"/>
      <c r="KPY100" s="60" t="n"/>
      <c r="KPZ100" s="60" t="n"/>
      <c r="KQA100" s="60" t="n"/>
      <c r="KQB100" s="60" t="n"/>
      <c r="KQC100" s="60" t="n"/>
      <c r="KQD100" s="60" t="n"/>
      <c r="KQE100" s="60" t="n"/>
      <c r="KQF100" s="60" t="n"/>
      <c r="KQG100" s="60" t="n"/>
      <c r="KQH100" s="60" t="n"/>
      <c r="KQI100" s="60" t="n"/>
      <c r="KQJ100" s="60" t="n"/>
      <c r="KQK100" s="60" t="n"/>
      <c r="KQL100" s="60" t="n"/>
      <c r="KQM100" s="60" t="n"/>
      <c r="KQN100" s="60" t="n"/>
      <c r="KQO100" s="60" t="n"/>
      <c r="KQP100" s="60" t="n"/>
      <c r="KQQ100" s="60" t="n"/>
      <c r="KQR100" s="60" t="n"/>
      <c r="KQS100" s="60" t="n"/>
      <c r="KQT100" s="60" t="n"/>
      <c r="KQU100" s="60" t="n"/>
      <c r="KQV100" s="60" t="n"/>
      <c r="KQW100" s="60" t="n"/>
      <c r="KQX100" s="60" t="n"/>
      <c r="KQY100" s="60" t="n"/>
      <c r="KQZ100" s="60" t="n"/>
      <c r="KRA100" s="60" t="n"/>
      <c r="KRB100" s="60" t="n"/>
      <c r="KRC100" s="60" t="n"/>
      <c r="KRD100" s="60" t="n"/>
      <c r="KRE100" s="60" t="n"/>
      <c r="KRF100" s="60" t="n"/>
      <c r="KRG100" s="60" t="n"/>
      <c r="KRH100" s="60" t="n"/>
      <c r="KRI100" s="60" t="n"/>
      <c r="KRJ100" s="60" t="n"/>
      <c r="KRK100" s="60" t="n"/>
      <c r="KRL100" s="60" t="n"/>
      <c r="KRM100" s="60" t="n"/>
      <c r="KRN100" s="60" t="n"/>
      <c r="KRO100" s="60" t="n"/>
      <c r="KRP100" s="60" t="n"/>
      <c r="KRQ100" s="60" t="n"/>
      <c r="KRR100" s="60" t="n"/>
      <c r="KRS100" s="60" t="n"/>
      <c r="KRT100" s="60" t="n"/>
      <c r="KRU100" s="60" t="n"/>
      <c r="KRV100" s="60" t="n"/>
      <c r="KRW100" s="60" t="n"/>
      <c r="KRX100" s="60" t="n"/>
      <c r="KRY100" s="60" t="n"/>
      <c r="KRZ100" s="60" t="n"/>
      <c r="KSA100" s="60" t="n"/>
      <c r="KSB100" s="60" t="n"/>
      <c r="KSC100" s="60" t="n"/>
      <c r="KSD100" s="60" t="n"/>
      <c r="KSE100" s="60" t="n"/>
      <c r="KSF100" s="60" t="n"/>
      <c r="KSG100" s="60" t="n"/>
      <c r="KSH100" s="60" t="n"/>
      <c r="KSI100" s="60" t="n"/>
      <c r="KSJ100" s="60" t="n"/>
      <c r="KSK100" s="60" t="n"/>
      <c r="KSL100" s="60" t="n"/>
      <c r="KSM100" s="60" t="n"/>
      <c r="KSN100" s="60" t="n"/>
      <c r="KSO100" s="60" t="n"/>
      <c r="KSP100" s="60" t="n"/>
      <c r="KSQ100" s="60" t="n"/>
      <c r="KSR100" s="60" t="n"/>
      <c r="KSS100" s="60" t="n"/>
      <c r="KST100" s="60" t="n"/>
      <c r="KSU100" s="60" t="n"/>
      <c r="KSV100" s="60" t="n"/>
      <c r="KSW100" s="60" t="n"/>
      <c r="KSX100" s="60" t="n"/>
      <c r="KSY100" s="60" t="n"/>
      <c r="KSZ100" s="60" t="n"/>
      <c r="KTA100" s="60" t="n"/>
      <c r="KTB100" s="60" t="n"/>
      <c r="KTC100" s="60" t="n"/>
      <c r="KTD100" s="60" t="n"/>
      <c r="KTE100" s="60" t="n"/>
      <c r="KTF100" s="60" t="n"/>
      <c r="KTG100" s="60" t="n"/>
      <c r="KTH100" s="60" t="n"/>
      <c r="KTI100" s="60" t="n"/>
      <c r="KTJ100" s="60" t="n"/>
      <c r="KTK100" s="60" t="n"/>
      <c r="KTL100" s="60" t="n"/>
      <c r="KTM100" s="60" t="n"/>
      <c r="KTN100" s="60" t="n"/>
      <c r="KTO100" s="60" t="n"/>
      <c r="KTP100" s="60" t="n"/>
      <c r="KTQ100" s="60" t="n"/>
      <c r="KTR100" s="60" t="n"/>
      <c r="KTS100" s="60" t="n"/>
      <c r="KTT100" s="60" t="n"/>
      <c r="KTU100" s="60" t="n"/>
      <c r="KTV100" s="60" t="n"/>
      <c r="KTW100" s="60" t="n"/>
      <c r="KTX100" s="60" t="n"/>
      <c r="KTY100" s="60" t="n"/>
      <c r="KTZ100" s="60" t="n"/>
      <c r="KUA100" s="60" t="n"/>
      <c r="KUB100" s="60" t="n"/>
      <c r="KUC100" s="60" t="n"/>
      <c r="KUD100" s="60" t="n"/>
      <c r="KUE100" s="60" t="n"/>
      <c r="KUF100" s="60" t="n"/>
      <c r="KUG100" s="60" t="n"/>
      <c r="KUH100" s="60" t="n"/>
      <c r="KUI100" s="60" t="n"/>
      <c r="KUJ100" s="60" t="n"/>
      <c r="KUK100" s="60" t="n"/>
      <c r="KUL100" s="60" t="n"/>
      <c r="KUM100" s="60" t="n"/>
      <c r="KUN100" s="60" t="n"/>
      <c r="KUO100" s="60" t="n"/>
      <c r="KUP100" s="60" t="n"/>
      <c r="KUQ100" s="60" t="n"/>
      <c r="KUR100" s="60" t="n"/>
      <c r="KUS100" s="60" t="n"/>
      <c r="KUT100" s="60" t="n"/>
      <c r="KUU100" s="60" t="n"/>
      <c r="KUV100" s="60" t="n"/>
      <c r="KUW100" s="60" t="n"/>
      <c r="KUX100" s="60" t="n"/>
      <c r="KUY100" s="60" t="n"/>
      <c r="KUZ100" s="60" t="n"/>
      <c r="KVA100" s="60" t="n"/>
      <c r="KVB100" s="60" t="n"/>
      <c r="KVC100" s="60" t="n"/>
      <c r="KVD100" s="60" t="n"/>
      <c r="KVE100" s="60" t="n"/>
      <c r="KVF100" s="60" t="n"/>
      <c r="KVG100" s="60" t="n"/>
      <c r="KVH100" s="60" t="n"/>
      <c r="KVI100" s="60" t="n"/>
      <c r="KVJ100" s="60" t="n"/>
      <c r="KVK100" s="60" t="n"/>
      <c r="KVL100" s="60" t="n"/>
      <c r="KVM100" s="60" t="n"/>
      <c r="KVN100" s="60" t="n"/>
      <c r="KVO100" s="60" t="n"/>
      <c r="KVP100" s="60" t="n"/>
      <c r="KVQ100" s="60" t="n"/>
      <c r="KVR100" s="60" t="n"/>
      <c r="KVS100" s="60" t="n"/>
      <c r="KVT100" s="60" t="n"/>
      <c r="KVU100" s="60" t="n"/>
      <c r="KVV100" s="60" t="n"/>
      <c r="KVW100" s="60" t="n"/>
      <c r="KVX100" s="60" t="n"/>
      <c r="KVY100" s="60" t="n"/>
      <c r="KVZ100" s="60" t="n"/>
      <c r="KWA100" s="60" t="n"/>
      <c r="KWB100" s="60" t="n"/>
      <c r="KWC100" s="60" t="n"/>
      <c r="KWD100" s="60" t="n"/>
      <c r="KWE100" s="60" t="n"/>
      <c r="KWF100" s="60" t="n"/>
      <c r="KWG100" s="60" t="n"/>
      <c r="KWH100" s="60" t="n"/>
      <c r="KWI100" s="60" t="n"/>
      <c r="KWJ100" s="60" t="n"/>
      <c r="KWK100" s="60" t="n"/>
      <c r="KWL100" s="60" t="n"/>
      <c r="KWM100" s="60" t="n"/>
      <c r="KWN100" s="60" t="n"/>
      <c r="KWO100" s="60" t="n"/>
      <c r="KWP100" s="60" t="n"/>
      <c r="KWQ100" s="60" t="n"/>
      <c r="KWR100" s="60" t="n"/>
      <c r="KWS100" s="60" t="n"/>
      <c r="KWT100" s="60" t="n"/>
      <c r="KWU100" s="60" t="n"/>
      <c r="KWV100" s="60" t="n"/>
      <c r="KWW100" s="60" t="n"/>
      <c r="KWX100" s="60" t="n"/>
      <c r="KWY100" s="60" t="n"/>
      <c r="KWZ100" s="60" t="n"/>
      <c r="KXA100" s="60" t="n"/>
      <c r="KXB100" s="60" t="n"/>
      <c r="KXC100" s="60" t="n"/>
      <c r="KXD100" s="60" t="n"/>
      <c r="KXE100" s="60" t="n"/>
      <c r="KXF100" s="60" t="n"/>
      <c r="KXG100" s="60" t="n"/>
      <c r="KXH100" s="60" t="n"/>
      <c r="KXI100" s="60" t="n"/>
      <c r="KXJ100" s="60" t="n"/>
      <c r="KXK100" s="60" t="n"/>
      <c r="KXL100" s="60" t="n"/>
      <c r="KXM100" s="60" t="n"/>
      <c r="KXN100" s="60" t="n"/>
      <c r="KXO100" s="60" t="n"/>
      <c r="KXP100" s="60" t="n"/>
      <c r="KXQ100" s="60" t="n"/>
      <c r="KXR100" s="60" t="n"/>
      <c r="KXS100" s="60" t="n"/>
      <c r="KXT100" s="60" t="n"/>
      <c r="KXU100" s="60" t="n"/>
      <c r="KXV100" s="60" t="n"/>
      <c r="KXW100" s="60" t="n"/>
      <c r="KXX100" s="60" t="n"/>
      <c r="KXY100" s="60" t="n"/>
      <c r="KXZ100" s="60" t="n"/>
      <c r="KYA100" s="60" t="n"/>
      <c r="KYB100" s="60" t="n"/>
      <c r="KYC100" s="60" t="n"/>
      <c r="KYD100" s="60" t="n"/>
      <c r="KYE100" s="60" t="n"/>
      <c r="KYF100" s="60" t="n"/>
      <c r="KYG100" s="60" t="n"/>
      <c r="KYH100" s="60" t="n"/>
      <c r="KYI100" s="60" t="n"/>
      <c r="KYJ100" s="60" t="n"/>
      <c r="KYK100" s="60" t="n"/>
      <c r="KYL100" s="60" t="n"/>
      <c r="KYM100" s="60" t="n"/>
      <c r="KYN100" s="60" t="n"/>
      <c r="KYO100" s="60" t="n"/>
      <c r="KYP100" s="60" t="n"/>
      <c r="KYQ100" s="60" t="n"/>
      <c r="KYR100" s="60" t="n"/>
      <c r="KYS100" s="60" t="n"/>
      <c r="KYT100" s="60" t="n"/>
      <c r="KYU100" s="60" t="n"/>
      <c r="KYV100" s="60" t="n"/>
      <c r="KYW100" s="60" t="n"/>
      <c r="KYX100" s="60" t="n"/>
      <c r="KYY100" s="60" t="n"/>
      <c r="KYZ100" s="60" t="n"/>
      <c r="KZA100" s="60" t="n"/>
      <c r="KZB100" s="60" t="n"/>
      <c r="KZC100" s="60" t="n"/>
      <c r="KZD100" s="60" t="n"/>
      <c r="KZE100" s="60" t="n"/>
      <c r="KZF100" s="60" t="n"/>
      <c r="KZG100" s="60" t="n"/>
      <c r="KZH100" s="60" t="n"/>
      <c r="KZI100" s="60" t="n"/>
      <c r="KZJ100" s="60" t="n"/>
      <c r="KZK100" s="60" t="n"/>
      <c r="KZL100" s="60" t="n"/>
      <c r="KZM100" s="60" t="n"/>
      <c r="KZN100" s="60" t="n"/>
      <c r="KZO100" s="60" t="n"/>
      <c r="KZP100" s="60" t="n"/>
      <c r="KZQ100" s="60" t="n"/>
      <c r="KZR100" s="60" t="n"/>
      <c r="KZS100" s="60" t="n"/>
      <c r="KZT100" s="60" t="n"/>
      <c r="KZU100" s="60" t="n"/>
      <c r="KZV100" s="60" t="n"/>
      <c r="KZW100" s="60" t="n"/>
      <c r="KZX100" s="60" t="n"/>
      <c r="KZY100" s="60" t="n"/>
      <c r="KZZ100" s="60" t="n"/>
      <c r="LAA100" s="60" t="n"/>
      <c r="LAB100" s="60" t="n"/>
      <c r="LAC100" s="60" t="n"/>
      <c r="LAD100" s="60" t="n"/>
      <c r="LAE100" s="60" t="n"/>
      <c r="LAF100" s="60" t="n"/>
      <c r="LAG100" s="60" t="n"/>
      <c r="LAH100" s="60" t="n"/>
      <c r="LAI100" s="60" t="n"/>
      <c r="LAJ100" s="60" t="n"/>
      <c r="LAK100" s="60" t="n"/>
      <c r="LAL100" s="60" t="n"/>
      <c r="LAM100" s="60" t="n"/>
      <c r="LAN100" s="60" t="n"/>
      <c r="LAO100" s="60" t="n"/>
      <c r="LAP100" s="60" t="n"/>
      <c r="LAQ100" s="60" t="n"/>
      <c r="LAR100" s="60" t="n"/>
      <c r="LAS100" s="60" t="n"/>
      <c r="LAT100" s="60" t="n"/>
      <c r="LAU100" s="60" t="n"/>
      <c r="LAV100" s="60" t="n"/>
      <c r="LAW100" s="60" t="n"/>
      <c r="LAX100" s="60" t="n"/>
      <c r="LAY100" s="60" t="n"/>
      <c r="LAZ100" s="60" t="n"/>
      <c r="LBA100" s="60" t="n"/>
      <c r="LBB100" s="60" t="n"/>
      <c r="LBC100" s="60" t="n"/>
      <c r="LBD100" s="60" t="n"/>
      <c r="LBE100" s="60" t="n"/>
      <c r="LBF100" s="60" t="n"/>
      <c r="LBG100" s="60" t="n"/>
      <c r="LBH100" s="60" t="n"/>
      <c r="LBI100" s="60" t="n"/>
      <c r="LBJ100" s="60" t="n"/>
      <c r="LBK100" s="60" t="n"/>
      <c r="LBL100" s="60" t="n"/>
      <c r="LBM100" s="60" t="n"/>
      <c r="LBN100" s="60" t="n"/>
      <c r="LBO100" s="60" t="n"/>
      <c r="LBP100" s="60" t="n"/>
      <c r="LBQ100" s="60" t="n"/>
      <c r="LBR100" s="60" t="n"/>
      <c r="LBS100" s="60" t="n"/>
      <c r="LBT100" s="60" t="n"/>
      <c r="LBU100" s="60" t="n"/>
      <c r="LBV100" s="60" t="n"/>
      <c r="LBW100" s="60" t="n"/>
      <c r="LBX100" s="60" t="n"/>
      <c r="LBY100" s="60" t="n"/>
      <c r="LBZ100" s="60" t="n"/>
      <c r="LCA100" s="60" t="n"/>
      <c r="LCB100" s="60" t="n"/>
      <c r="LCC100" s="60" t="n"/>
      <c r="LCD100" s="60" t="n"/>
      <c r="LCE100" s="60" t="n"/>
      <c r="LCF100" s="60" t="n"/>
      <c r="LCG100" s="60" t="n"/>
      <c r="LCH100" s="60" t="n"/>
      <c r="LCI100" s="60" t="n"/>
      <c r="LCJ100" s="60" t="n"/>
      <c r="LCK100" s="60" t="n"/>
      <c r="LCL100" s="60" t="n"/>
      <c r="LCM100" s="60" t="n"/>
      <c r="LCN100" s="60" t="n"/>
      <c r="LCO100" s="60" t="n"/>
      <c r="LCP100" s="60" t="n"/>
      <c r="LCQ100" s="60" t="n"/>
      <c r="LCR100" s="60" t="n"/>
      <c r="LCS100" s="60" t="n"/>
      <c r="LCT100" s="60" t="n"/>
      <c r="LCU100" s="60" t="n"/>
      <c r="LCV100" s="60" t="n"/>
      <c r="LCW100" s="60" t="n"/>
      <c r="LCX100" s="60" t="n"/>
      <c r="LCY100" s="60" t="n"/>
      <c r="LCZ100" s="60" t="n"/>
      <c r="LDA100" s="60" t="n"/>
      <c r="LDB100" s="60" t="n"/>
      <c r="LDC100" s="60" t="n"/>
      <c r="LDD100" s="60" t="n"/>
      <c r="LDE100" s="60" t="n"/>
      <c r="LDF100" s="60" t="n"/>
      <c r="LDG100" s="60" t="n"/>
      <c r="LDH100" s="60" t="n"/>
      <c r="LDI100" s="60" t="n"/>
      <c r="LDJ100" s="60" t="n"/>
      <c r="LDK100" s="60" t="n"/>
      <c r="LDL100" s="60" t="n"/>
      <c r="LDM100" s="60" t="n"/>
      <c r="LDN100" s="60" t="n"/>
      <c r="LDO100" s="60" t="n"/>
      <c r="LDP100" s="60" t="n"/>
      <c r="LDQ100" s="60" t="n"/>
      <c r="LDR100" s="60" t="n"/>
      <c r="LDS100" s="60" t="n"/>
      <c r="LDT100" s="60" t="n"/>
      <c r="LDU100" s="60" t="n"/>
      <c r="LDV100" s="60" t="n"/>
      <c r="LDW100" s="60" t="n"/>
      <c r="LDX100" s="60" t="n"/>
      <c r="LDY100" s="60" t="n"/>
      <c r="LDZ100" s="60" t="n"/>
      <c r="LEA100" s="60" t="n"/>
      <c r="LEB100" s="60" t="n"/>
      <c r="LEC100" s="60" t="n"/>
      <c r="LED100" s="60" t="n"/>
      <c r="LEE100" s="60" t="n"/>
      <c r="LEF100" s="60" t="n"/>
      <c r="LEG100" s="60" t="n"/>
      <c r="LEH100" s="60" t="n"/>
      <c r="LEI100" s="60" t="n"/>
      <c r="LEJ100" s="60" t="n"/>
      <c r="LEK100" s="60" t="n"/>
      <c r="LEL100" s="60" t="n"/>
      <c r="LEM100" s="60" t="n"/>
      <c r="LEN100" s="60" t="n"/>
      <c r="LEO100" s="60" t="n"/>
      <c r="LEP100" s="60" t="n"/>
      <c r="LEQ100" s="60" t="n"/>
      <c r="LER100" s="60" t="n"/>
      <c r="LES100" s="60" t="n"/>
      <c r="LET100" s="60" t="n"/>
      <c r="LEU100" s="60" t="n"/>
      <c r="LEV100" s="60" t="n"/>
      <c r="LEW100" s="60" t="n"/>
      <c r="LEX100" s="60" t="n"/>
      <c r="LEY100" s="60" t="n"/>
      <c r="LEZ100" s="60" t="n"/>
      <c r="LFA100" s="60" t="n"/>
      <c r="LFB100" s="60" t="n"/>
      <c r="LFC100" s="60" t="n"/>
      <c r="LFD100" s="60" t="n"/>
      <c r="LFE100" s="60" t="n"/>
      <c r="LFF100" s="60" t="n"/>
      <c r="LFG100" s="60" t="n"/>
      <c r="LFH100" s="60" t="n"/>
      <c r="LFI100" s="60" t="n"/>
      <c r="LFJ100" s="60" t="n"/>
      <c r="LFK100" s="60" t="n"/>
      <c r="LFL100" s="60" t="n"/>
      <c r="LFM100" s="60" t="n"/>
      <c r="LFN100" s="60" t="n"/>
      <c r="LFO100" s="60" t="n"/>
      <c r="LFP100" s="60" t="n"/>
      <c r="LFQ100" s="60" t="n"/>
      <c r="LFR100" s="60" t="n"/>
      <c r="LFS100" s="60" t="n"/>
      <c r="LFT100" s="60" t="n"/>
      <c r="LFU100" s="60" t="n"/>
      <c r="LFV100" s="60" t="n"/>
      <c r="LFW100" s="60" t="n"/>
      <c r="LFX100" s="60" t="n"/>
      <c r="LFY100" s="60" t="n"/>
      <c r="LFZ100" s="60" t="n"/>
      <c r="LGA100" s="60" t="n"/>
      <c r="LGB100" s="60" t="n"/>
      <c r="LGC100" s="60" t="n"/>
      <c r="LGD100" s="60" t="n"/>
      <c r="LGE100" s="60" t="n"/>
      <c r="LGF100" s="60" t="n"/>
      <c r="LGG100" s="60" t="n"/>
      <c r="LGH100" s="60" t="n"/>
      <c r="LGI100" s="60" t="n"/>
      <c r="LGJ100" s="60" t="n"/>
      <c r="LGK100" s="60" t="n"/>
      <c r="LGL100" s="60" t="n"/>
      <c r="LGM100" s="60" t="n"/>
      <c r="LGN100" s="60" t="n"/>
      <c r="LGO100" s="60" t="n"/>
      <c r="LGP100" s="60" t="n"/>
      <c r="LGQ100" s="60" t="n"/>
      <c r="LGR100" s="60" t="n"/>
      <c r="LGS100" s="60" t="n"/>
      <c r="LGT100" s="60" t="n"/>
      <c r="LGU100" s="60" t="n"/>
      <c r="LGV100" s="60" t="n"/>
      <c r="LGW100" s="60" t="n"/>
      <c r="LGX100" s="60" t="n"/>
      <c r="LGY100" s="60" t="n"/>
      <c r="LGZ100" s="60" t="n"/>
      <c r="LHA100" s="60" t="n"/>
      <c r="LHB100" s="60" t="n"/>
      <c r="LHC100" s="60" t="n"/>
      <c r="LHD100" s="60" t="n"/>
      <c r="LHE100" s="60" t="n"/>
      <c r="LHF100" s="60" t="n"/>
      <c r="LHG100" s="60" t="n"/>
      <c r="LHH100" s="60" t="n"/>
      <c r="LHI100" s="60" t="n"/>
      <c r="LHJ100" s="60" t="n"/>
      <c r="LHK100" s="60" t="n"/>
      <c r="LHL100" s="60" t="n"/>
      <c r="LHM100" s="60" t="n"/>
      <c r="LHN100" s="60" t="n"/>
      <c r="LHO100" s="60" t="n"/>
      <c r="LHP100" s="60" t="n"/>
      <c r="LHQ100" s="60" t="n"/>
      <c r="LHR100" s="60" t="n"/>
      <c r="LHS100" s="60" t="n"/>
      <c r="LHT100" s="60" t="n"/>
      <c r="LHU100" s="60" t="n"/>
      <c r="LHV100" s="60" t="n"/>
      <c r="LHW100" s="60" t="n"/>
      <c r="LHX100" s="60" t="n"/>
      <c r="LHY100" s="60" t="n"/>
      <c r="LHZ100" s="60" t="n"/>
      <c r="LIA100" s="60" t="n"/>
      <c r="LIB100" s="60" t="n"/>
      <c r="LIC100" s="60" t="n"/>
      <c r="LID100" s="60" t="n"/>
      <c r="LIE100" s="60" t="n"/>
      <c r="LIF100" s="60" t="n"/>
      <c r="LIG100" s="60" t="n"/>
      <c r="LIH100" s="60" t="n"/>
      <c r="LII100" s="60" t="n"/>
      <c r="LIJ100" s="60" t="n"/>
      <c r="LIK100" s="60" t="n"/>
      <c r="LIL100" s="60" t="n"/>
      <c r="LIM100" s="60" t="n"/>
      <c r="LIN100" s="60" t="n"/>
      <c r="LIO100" s="60" t="n"/>
      <c r="LIP100" s="60" t="n"/>
      <c r="LIQ100" s="60" t="n"/>
      <c r="LIR100" s="60" t="n"/>
      <c r="LIS100" s="60" t="n"/>
      <c r="LIT100" s="60" t="n"/>
      <c r="LIU100" s="60" t="n"/>
      <c r="LIV100" s="60" t="n"/>
      <c r="LIW100" s="60" t="n"/>
      <c r="LIX100" s="60" t="n"/>
      <c r="LIY100" s="60" t="n"/>
      <c r="LIZ100" s="60" t="n"/>
      <c r="LJA100" s="60" t="n"/>
      <c r="LJB100" s="60" t="n"/>
      <c r="LJC100" s="60" t="n"/>
      <c r="LJD100" s="60" t="n"/>
      <c r="LJE100" s="60" t="n"/>
      <c r="LJF100" s="60" t="n"/>
      <c r="LJG100" s="60" t="n"/>
      <c r="LJH100" s="60" t="n"/>
      <c r="LJI100" s="60" t="n"/>
      <c r="LJJ100" s="60" t="n"/>
      <c r="LJK100" s="60" t="n"/>
      <c r="LJL100" s="60" t="n"/>
      <c r="LJM100" s="60" t="n"/>
      <c r="LJN100" s="60" t="n"/>
      <c r="LJO100" s="60" t="n"/>
      <c r="LJP100" s="60" t="n"/>
      <c r="LJQ100" s="60" t="n"/>
      <c r="LJR100" s="60" t="n"/>
      <c r="LJS100" s="60" t="n"/>
      <c r="LJT100" s="60" t="n"/>
      <c r="LJU100" s="60" t="n"/>
      <c r="LJV100" s="60" t="n"/>
      <c r="LJW100" s="60" t="n"/>
      <c r="LJX100" s="60" t="n"/>
      <c r="LJY100" s="60" t="n"/>
      <c r="LJZ100" s="60" t="n"/>
      <c r="LKA100" s="60" t="n"/>
      <c r="LKB100" s="60" t="n"/>
      <c r="LKC100" s="60" t="n"/>
      <c r="LKD100" s="60" t="n"/>
      <c r="LKE100" s="60" t="n"/>
      <c r="LKF100" s="60" t="n"/>
      <c r="LKG100" s="60" t="n"/>
      <c r="LKH100" s="60" t="n"/>
      <c r="LKI100" s="60" t="n"/>
      <c r="LKJ100" s="60" t="n"/>
      <c r="LKK100" s="60" t="n"/>
      <c r="LKL100" s="60" t="n"/>
      <c r="LKM100" s="60" t="n"/>
      <c r="LKN100" s="60" t="n"/>
      <c r="LKO100" s="60" t="n"/>
      <c r="LKP100" s="60" t="n"/>
      <c r="LKQ100" s="60" t="n"/>
      <c r="LKR100" s="60" t="n"/>
      <c r="LKS100" s="60" t="n"/>
      <c r="LKT100" s="60" t="n"/>
      <c r="LKU100" s="60" t="n"/>
      <c r="LKV100" s="60" t="n"/>
      <c r="LKW100" s="60" t="n"/>
      <c r="LKX100" s="60" t="n"/>
      <c r="LKY100" s="60" t="n"/>
      <c r="LKZ100" s="60" t="n"/>
      <c r="LLA100" s="60" t="n"/>
      <c r="LLB100" s="60" t="n"/>
      <c r="LLC100" s="60" t="n"/>
      <c r="LLD100" s="60" t="n"/>
      <c r="LLE100" s="60" t="n"/>
      <c r="LLF100" s="60" t="n"/>
      <c r="LLG100" s="60" t="n"/>
      <c r="LLH100" s="60" t="n"/>
      <c r="LLI100" s="60" t="n"/>
      <c r="LLJ100" s="60" t="n"/>
      <c r="LLK100" s="60" t="n"/>
      <c r="LLL100" s="60" t="n"/>
      <c r="LLM100" s="60" t="n"/>
      <c r="LLN100" s="60" t="n"/>
      <c r="LLO100" s="60" t="n"/>
      <c r="LLP100" s="60" t="n"/>
      <c r="LLQ100" s="60" t="n"/>
      <c r="LLR100" s="60" t="n"/>
      <c r="LLS100" s="60" t="n"/>
      <c r="LLT100" s="60" t="n"/>
      <c r="LLU100" s="60" t="n"/>
      <c r="LLV100" s="60" t="n"/>
      <c r="LLW100" s="60" t="n"/>
      <c r="LLX100" s="60" t="n"/>
      <c r="LLY100" s="60" t="n"/>
      <c r="LLZ100" s="60" t="n"/>
      <c r="LMA100" s="60" t="n"/>
      <c r="LMB100" s="60" t="n"/>
      <c r="LMC100" s="60" t="n"/>
      <c r="LMD100" s="60" t="n"/>
      <c r="LME100" s="60" t="n"/>
      <c r="LMF100" s="60" t="n"/>
      <c r="LMG100" s="60" t="n"/>
      <c r="LMH100" s="60" t="n"/>
      <c r="LMI100" s="60" t="n"/>
      <c r="LMJ100" s="60" t="n"/>
      <c r="LMK100" s="60" t="n"/>
      <c r="LML100" s="60" t="n"/>
      <c r="LMM100" s="60" t="n"/>
      <c r="LMN100" s="60" t="n"/>
      <c r="LMO100" s="60" t="n"/>
      <c r="LMP100" s="60" t="n"/>
      <c r="LMQ100" s="60" t="n"/>
      <c r="LMR100" s="60" t="n"/>
      <c r="LMS100" s="60" t="n"/>
      <c r="LMT100" s="60" t="n"/>
      <c r="LMU100" s="60" t="n"/>
      <c r="LMV100" s="60" t="n"/>
      <c r="LMW100" s="60" t="n"/>
      <c r="LMX100" s="60" t="n"/>
      <c r="LMY100" s="60" t="n"/>
      <c r="LMZ100" s="60" t="n"/>
      <c r="LNA100" s="60" t="n"/>
      <c r="LNB100" s="60" t="n"/>
      <c r="LNC100" s="60" t="n"/>
      <c r="LND100" s="60" t="n"/>
      <c r="LNE100" s="60" t="n"/>
      <c r="LNF100" s="60" t="n"/>
      <c r="LNG100" s="60" t="n"/>
      <c r="LNH100" s="60" t="n"/>
      <c r="LNI100" s="60" t="n"/>
      <c r="LNJ100" s="60" t="n"/>
      <c r="LNK100" s="60" t="n"/>
      <c r="LNL100" s="60" t="n"/>
      <c r="LNM100" s="60" t="n"/>
      <c r="LNN100" s="60" t="n"/>
      <c r="LNO100" s="60" t="n"/>
      <c r="LNP100" s="60" t="n"/>
      <c r="LNQ100" s="60" t="n"/>
      <c r="LNR100" s="60" t="n"/>
      <c r="LNS100" s="60" t="n"/>
      <c r="LNT100" s="60" t="n"/>
      <c r="LNU100" s="60" t="n"/>
      <c r="LNV100" s="60" t="n"/>
      <c r="LNW100" s="60" t="n"/>
      <c r="LNX100" s="60" t="n"/>
      <c r="LNY100" s="60" t="n"/>
      <c r="LNZ100" s="60" t="n"/>
      <c r="LOA100" s="60" t="n"/>
      <c r="LOB100" s="60" t="n"/>
      <c r="LOC100" s="60" t="n"/>
      <c r="LOD100" s="60" t="n"/>
      <c r="LOE100" s="60" t="n"/>
      <c r="LOF100" s="60" t="n"/>
      <c r="LOG100" s="60" t="n"/>
      <c r="LOH100" s="60" t="n"/>
      <c r="LOI100" s="60" t="n"/>
      <c r="LOJ100" s="60" t="n"/>
      <c r="LOK100" s="60" t="n"/>
      <c r="LOL100" s="60" t="n"/>
      <c r="LOM100" s="60" t="n"/>
      <c r="LON100" s="60" t="n"/>
      <c r="LOO100" s="60" t="n"/>
      <c r="LOP100" s="60" t="n"/>
      <c r="LOQ100" s="60" t="n"/>
      <c r="LOR100" s="60" t="n"/>
      <c r="LOS100" s="60" t="n"/>
      <c r="LOT100" s="60" t="n"/>
      <c r="LOU100" s="60" t="n"/>
      <c r="LOV100" s="60" t="n"/>
      <c r="LOW100" s="60" t="n"/>
      <c r="LOX100" s="60" t="n"/>
      <c r="LOY100" s="60" t="n"/>
      <c r="LOZ100" s="60" t="n"/>
      <c r="LPA100" s="60" t="n"/>
      <c r="LPB100" s="60" t="n"/>
      <c r="LPC100" s="60" t="n"/>
      <c r="LPD100" s="60" t="n"/>
      <c r="LPE100" s="60" t="n"/>
      <c r="LPF100" s="60" t="n"/>
      <c r="LPG100" s="60" t="n"/>
      <c r="LPH100" s="60" t="n"/>
      <c r="LPI100" s="60" t="n"/>
      <c r="LPJ100" s="60" t="n"/>
      <c r="LPK100" s="60" t="n"/>
      <c r="LPL100" s="60" t="n"/>
      <c r="LPM100" s="60" t="n"/>
      <c r="LPN100" s="60" t="n"/>
      <c r="LPO100" s="60" t="n"/>
      <c r="LPP100" s="60" t="n"/>
      <c r="LPQ100" s="60" t="n"/>
      <c r="LPR100" s="60" t="n"/>
      <c r="LPS100" s="60" t="n"/>
      <c r="LPT100" s="60" t="n"/>
      <c r="LPU100" s="60" t="n"/>
      <c r="LPV100" s="60" t="n"/>
      <c r="LPW100" s="60" t="n"/>
      <c r="LPX100" s="60" t="n"/>
      <c r="LPY100" s="60" t="n"/>
      <c r="LPZ100" s="60" t="n"/>
      <c r="LQA100" s="60" t="n"/>
      <c r="LQB100" s="60" t="n"/>
      <c r="LQC100" s="60" t="n"/>
      <c r="LQD100" s="60" t="n"/>
      <c r="LQE100" s="60" t="n"/>
      <c r="LQF100" s="60" t="n"/>
      <c r="LQG100" s="60" t="n"/>
      <c r="LQH100" s="60" t="n"/>
      <c r="LQI100" s="60" t="n"/>
      <c r="LQJ100" s="60" t="n"/>
      <c r="LQK100" s="60" t="n"/>
      <c r="LQL100" s="60" t="n"/>
      <c r="LQM100" s="60" t="n"/>
      <c r="LQN100" s="60" t="n"/>
      <c r="LQO100" s="60" t="n"/>
      <c r="LQP100" s="60" t="n"/>
      <c r="LQQ100" s="60" t="n"/>
      <c r="LQR100" s="60" t="n"/>
      <c r="LQS100" s="60" t="n"/>
      <c r="LQT100" s="60" t="n"/>
      <c r="LQU100" s="60" t="n"/>
      <c r="LQV100" s="60" t="n"/>
      <c r="LQW100" s="60" t="n"/>
      <c r="LQX100" s="60" t="n"/>
      <c r="LQY100" s="60" t="n"/>
      <c r="LQZ100" s="60" t="n"/>
      <c r="LRA100" s="60" t="n"/>
      <c r="LRB100" s="60" t="n"/>
      <c r="LRC100" s="60" t="n"/>
      <c r="LRD100" s="60" t="n"/>
      <c r="LRE100" s="60" t="n"/>
      <c r="LRF100" s="60" t="n"/>
      <c r="LRG100" s="60" t="n"/>
      <c r="LRH100" s="60" t="n"/>
      <c r="LRI100" s="60" t="n"/>
      <c r="LRJ100" s="60" t="n"/>
      <c r="LRK100" s="60" t="n"/>
      <c r="LRL100" s="60" t="n"/>
      <c r="LRM100" s="60" t="n"/>
      <c r="LRN100" s="60" t="n"/>
      <c r="LRO100" s="60" t="n"/>
      <c r="LRP100" s="60" t="n"/>
      <c r="LRQ100" s="60" t="n"/>
      <c r="LRR100" s="60" t="n"/>
      <c r="LRS100" s="60" t="n"/>
      <c r="LRT100" s="60" t="n"/>
      <c r="LRU100" s="60" t="n"/>
      <c r="LRV100" s="60" t="n"/>
      <c r="LRW100" s="60" t="n"/>
      <c r="LRX100" s="60" t="n"/>
      <c r="LRY100" s="60" t="n"/>
      <c r="LRZ100" s="60" t="n"/>
      <c r="LSA100" s="60" t="n"/>
      <c r="LSB100" s="60" t="n"/>
      <c r="LSC100" s="60" t="n"/>
      <c r="LSD100" s="60" t="n"/>
      <c r="LSE100" s="60" t="n"/>
      <c r="LSF100" s="60" t="n"/>
      <c r="LSG100" s="60" t="n"/>
      <c r="LSH100" s="60" t="n"/>
      <c r="LSI100" s="60" t="n"/>
      <c r="LSJ100" s="60" t="n"/>
      <c r="LSK100" s="60" t="n"/>
      <c r="LSL100" s="60" t="n"/>
      <c r="LSM100" s="60" t="n"/>
      <c r="LSN100" s="60" t="n"/>
      <c r="LSO100" s="60" t="n"/>
      <c r="LSP100" s="60" t="n"/>
      <c r="LSQ100" s="60" t="n"/>
      <c r="LSR100" s="60" t="n"/>
      <c r="LSS100" s="60" t="n"/>
      <c r="LST100" s="60" t="n"/>
      <c r="LSU100" s="60" t="n"/>
      <c r="LSV100" s="60" t="n"/>
      <c r="LSW100" s="60" t="n"/>
      <c r="LSX100" s="60" t="n"/>
      <c r="LSY100" s="60" t="n"/>
      <c r="LSZ100" s="60" t="n"/>
      <c r="LTA100" s="60" t="n"/>
      <c r="LTB100" s="60" t="n"/>
      <c r="LTC100" s="60" t="n"/>
      <c r="LTD100" s="60" t="n"/>
      <c r="LTE100" s="60" t="n"/>
      <c r="LTF100" s="60" t="n"/>
      <c r="LTG100" s="60" t="n"/>
      <c r="LTH100" s="60" t="n"/>
      <c r="LTI100" s="60" t="n"/>
      <c r="LTJ100" s="60" t="n"/>
      <c r="LTK100" s="60" t="n"/>
      <c r="LTL100" s="60" t="n"/>
      <c r="LTM100" s="60" t="n"/>
      <c r="LTN100" s="60" t="n"/>
      <c r="LTO100" s="60" t="n"/>
      <c r="LTP100" s="60" t="n"/>
      <c r="LTQ100" s="60" t="n"/>
      <c r="LTR100" s="60" t="n"/>
      <c r="LTS100" s="60" t="n"/>
      <c r="LTT100" s="60" t="n"/>
      <c r="LTU100" s="60" t="n"/>
      <c r="LTV100" s="60" t="n"/>
      <c r="LTW100" s="60" t="n"/>
      <c r="LTX100" s="60" t="n"/>
      <c r="LTY100" s="60" t="n"/>
      <c r="LTZ100" s="60" t="n"/>
      <c r="LUA100" s="60" t="n"/>
      <c r="LUB100" s="60" t="n"/>
      <c r="LUC100" s="60" t="n"/>
      <c r="LUD100" s="60" t="n"/>
      <c r="LUE100" s="60" t="n"/>
      <c r="LUF100" s="60" t="n"/>
      <c r="LUG100" s="60" t="n"/>
      <c r="LUH100" s="60" t="n"/>
      <c r="LUI100" s="60" t="n"/>
      <c r="LUJ100" s="60" t="n"/>
      <c r="LUK100" s="60" t="n"/>
      <c r="LUL100" s="60" t="n"/>
      <c r="LUM100" s="60" t="n"/>
      <c r="LUN100" s="60" t="n"/>
      <c r="LUO100" s="60" t="n"/>
      <c r="LUP100" s="60" t="n"/>
      <c r="LUQ100" s="60" t="n"/>
      <c r="LUR100" s="60" t="n"/>
      <c r="LUS100" s="60" t="n"/>
      <c r="LUT100" s="60" t="n"/>
      <c r="LUU100" s="60" t="n"/>
      <c r="LUV100" s="60" t="n"/>
      <c r="LUW100" s="60" t="n"/>
      <c r="LUX100" s="60" t="n"/>
      <c r="LUY100" s="60" t="n"/>
      <c r="LUZ100" s="60" t="n"/>
      <c r="LVA100" s="60" t="n"/>
      <c r="LVB100" s="60" t="n"/>
      <c r="LVC100" s="60" t="n"/>
      <c r="LVD100" s="60" t="n"/>
      <c r="LVE100" s="60" t="n"/>
      <c r="LVF100" s="60" t="n"/>
      <c r="LVG100" s="60" t="n"/>
      <c r="LVH100" s="60" t="n"/>
      <c r="LVI100" s="60" t="n"/>
      <c r="LVJ100" s="60" t="n"/>
      <c r="LVK100" s="60" t="n"/>
      <c r="LVL100" s="60" t="n"/>
      <c r="LVM100" s="60" t="n"/>
      <c r="LVN100" s="60" t="n"/>
      <c r="LVO100" s="60" t="n"/>
      <c r="LVP100" s="60" t="n"/>
      <c r="LVQ100" s="60" t="n"/>
      <c r="LVR100" s="60" t="n"/>
      <c r="LVS100" s="60" t="n"/>
      <c r="LVT100" s="60" t="n"/>
      <c r="LVU100" s="60" t="n"/>
      <c r="LVV100" s="60" t="n"/>
      <c r="LVW100" s="60" t="n"/>
      <c r="LVX100" s="60" t="n"/>
      <c r="LVY100" s="60" t="n"/>
      <c r="LVZ100" s="60" t="n"/>
      <c r="LWA100" s="60" t="n"/>
      <c r="LWB100" s="60" t="n"/>
      <c r="LWC100" s="60" t="n"/>
      <c r="LWD100" s="60" t="n"/>
      <c r="LWE100" s="60" t="n"/>
      <c r="LWF100" s="60" t="n"/>
      <c r="LWG100" s="60" t="n"/>
      <c r="LWH100" s="60" t="n"/>
      <c r="LWI100" s="60" t="n"/>
      <c r="LWJ100" s="60" t="n"/>
      <c r="LWK100" s="60" t="n"/>
      <c r="LWL100" s="60" t="n"/>
      <c r="LWM100" s="60" t="n"/>
      <c r="LWN100" s="60" t="n"/>
      <c r="LWO100" s="60" t="n"/>
      <c r="LWP100" s="60" t="n"/>
      <c r="LWQ100" s="60" t="n"/>
      <c r="LWR100" s="60" t="n"/>
      <c r="LWS100" s="60" t="n"/>
      <c r="LWT100" s="60" t="n"/>
      <c r="LWU100" s="60" t="n"/>
      <c r="LWV100" s="60" t="n"/>
      <c r="LWW100" s="60" t="n"/>
      <c r="LWX100" s="60" t="n"/>
      <c r="LWY100" s="60" t="n"/>
      <c r="LWZ100" s="60" t="n"/>
      <c r="LXA100" s="60" t="n"/>
      <c r="LXB100" s="60" t="n"/>
      <c r="LXC100" s="60" t="n"/>
      <c r="LXD100" s="60" t="n"/>
      <c r="LXE100" s="60" t="n"/>
      <c r="LXF100" s="60" t="n"/>
      <c r="LXG100" s="60" t="n"/>
      <c r="LXH100" s="60" t="n"/>
      <c r="LXI100" s="60" t="n"/>
      <c r="LXJ100" s="60" t="n"/>
      <c r="LXK100" s="60" t="n"/>
      <c r="LXL100" s="60" t="n"/>
      <c r="LXM100" s="60" t="n"/>
      <c r="LXN100" s="60" t="n"/>
      <c r="LXO100" s="60" t="n"/>
      <c r="LXP100" s="60" t="n"/>
      <c r="LXQ100" s="60" t="n"/>
      <c r="LXR100" s="60" t="n"/>
      <c r="LXS100" s="60" t="n"/>
      <c r="LXT100" s="60" t="n"/>
      <c r="LXU100" s="60" t="n"/>
      <c r="LXV100" s="60" t="n"/>
      <c r="LXW100" s="60" t="n"/>
      <c r="LXX100" s="60" t="n"/>
      <c r="LXY100" s="60" t="n"/>
      <c r="LXZ100" s="60" t="n"/>
      <c r="LYA100" s="60" t="n"/>
      <c r="LYB100" s="60" t="n"/>
      <c r="LYC100" s="60" t="n"/>
      <c r="LYD100" s="60" t="n"/>
      <c r="LYE100" s="60" t="n"/>
      <c r="LYF100" s="60" t="n"/>
      <c r="LYG100" s="60" t="n"/>
      <c r="LYH100" s="60" t="n"/>
      <c r="LYI100" s="60" t="n"/>
      <c r="LYJ100" s="60" t="n"/>
      <c r="LYK100" s="60" t="n"/>
      <c r="LYL100" s="60" t="n"/>
      <c r="LYM100" s="60" t="n"/>
      <c r="LYN100" s="60" t="n"/>
      <c r="LYO100" s="60" t="n"/>
      <c r="LYP100" s="60" t="n"/>
      <c r="LYQ100" s="60" t="n"/>
      <c r="LYR100" s="60" t="n"/>
      <c r="LYS100" s="60" t="n"/>
      <c r="LYT100" s="60" t="n"/>
      <c r="LYU100" s="60" t="n"/>
      <c r="LYV100" s="60" t="n"/>
      <c r="LYW100" s="60" t="n"/>
      <c r="LYX100" s="60" t="n"/>
      <c r="LYY100" s="60" t="n"/>
      <c r="LYZ100" s="60" t="n"/>
      <c r="LZA100" s="60" t="n"/>
      <c r="LZB100" s="60" t="n"/>
      <c r="LZC100" s="60" t="n"/>
      <c r="LZD100" s="60" t="n"/>
      <c r="LZE100" s="60" t="n"/>
      <c r="LZF100" s="60" t="n"/>
      <c r="LZG100" s="60" t="n"/>
      <c r="LZH100" s="60" t="n"/>
      <c r="LZI100" s="60" t="n"/>
      <c r="LZJ100" s="60" t="n"/>
      <c r="LZK100" s="60" t="n"/>
      <c r="LZL100" s="60" t="n"/>
      <c r="LZM100" s="60" t="n"/>
      <c r="LZN100" s="60" t="n"/>
      <c r="LZO100" s="60" t="n"/>
      <c r="LZP100" s="60" t="n"/>
      <c r="LZQ100" s="60" t="n"/>
      <c r="LZR100" s="60" t="n"/>
      <c r="LZS100" s="60" t="n"/>
      <c r="LZT100" s="60" t="n"/>
      <c r="LZU100" s="60" t="n"/>
      <c r="LZV100" s="60" t="n"/>
      <c r="LZW100" s="60" t="n"/>
      <c r="LZX100" s="60" t="n"/>
      <c r="LZY100" s="60" t="n"/>
      <c r="LZZ100" s="60" t="n"/>
      <c r="MAA100" s="60" t="n"/>
      <c r="MAB100" s="60" t="n"/>
      <c r="MAC100" s="60" t="n"/>
      <c r="MAD100" s="60" t="n"/>
      <c r="MAE100" s="60" t="n"/>
      <c r="MAF100" s="60" t="n"/>
      <c r="MAG100" s="60" t="n"/>
      <c r="MAH100" s="60" t="n"/>
      <c r="MAI100" s="60" t="n"/>
      <c r="MAJ100" s="60" t="n"/>
      <c r="MAK100" s="60" t="n"/>
      <c r="MAL100" s="60" t="n"/>
      <c r="MAM100" s="60" t="n"/>
      <c r="MAN100" s="60" t="n"/>
      <c r="MAO100" s="60" t="n"/>
      <c r="MAP100" s="60" t="n"/>
      <c r="MAQ100" s="60" t="n"/>
      <c r="MAR100" s="60" t="n"/>
      <c r="MAS100" s="60" t="n"/>
      <c r="MAT100" s="60" t="n"/>
      <c r="MAU100" s="60" t="n"/>
      <c r="MAV100" s="60" t="n"/>
      <c r="MAW100" s="60" t="n"/>
      <c r="MAX100" s="60" t="n"/>
      <c r="MAY100" s="60" t="n"/>
      <c r="MAZ100" s="60" t="n"/>
      <c r="MBA100" s="60" t="n"/>
      <c r="MBB100" s="60" t="n"/>
      <c r="MBC100" s="60" t="n"/>
      <c r="MBD100" s="60" t="n"/>
      <c r="MBE100" s="60" t="n"/>
      <c r="MBF100" s="60" t="n"/>
      <c r="MBG100" s="60" t="n"/>
      <c r="MBH100" s="60" t="n"/>
      <c r="MBI100" s="60" t="n"/>
      <c r="MBJ100" s="60" t="n"/>
      <c r="MBK100" s="60" t="n"/>
      <c r="MBL100" s="60" t="n"/>
      <c r="MBM100" s="60" t="n"/>
      <c r="MBN100" s="60" t="n"/>
      <c r="MBO100" s="60" t="n"/>
      <c r="MBP100" s="60" t="n"/>
      <c r="MBQ100" s="60" t="n"/>
      <c r="MBR100" s="60" t="n"/>
      <c r="MBS100" s="60" t="n"/>
      <c r="MBT100" s="60" t="n"/>
      <c r="MBU100" s="60" t="n"/>
      <c r="MBV100" s="60" t="n"/>
      <c r="MBW100" s="60" t="n"/>
      <c r="MBX100" s="60" t="n"/>
      <c r="MBY100" s="60" t="n"/>
      <c r="MBZ100" s="60" t="n"/>
      <c r="MCA100" s="60" t="n"/>
      <c r="MCB100" s="60" t="n"/>
      <c r="MCC100" s="60" t="n"/>
      <c r="MCD100" s="60" t="n"/>
      <c r="MCE100" s="60" t="n"/>
      <c r="MCF100" s="60" t="n"/>
      <c r="MCG100" s="60" t="n"/>
      <c r="MCH100" s="60" t="n"/>
      <c r="MCI100" s="60" t="n"/>
      <c r="MCJ100" s="60" t="n"/>
      <c r="MCK100" s="60" t="n"/>
      <c r="MCL100" s="60" t="n"/>
      <c r="MCM100" s="60" t="n"/>
      <c r="MCN100" s="60" t="n"/>
      <c r="MCO100" s="60" t="n"/>
      <c r="MCP100" s="60" t="n"/>
      <c r="MCQ100" s="60" t="n"/>
      <c r="MCR100" s="60" t="n"/>
      <c r="MCS100" s="60" t="n"/>
      <c r="MCT100" s="60" t="n"/>
      <c r="MCU100" s="60" t="n"/>
      <c r="MCV100" s="60" t="n"/>
      <c r="MCW100" s="60" t="n"/>
      <c r="MCX100" s="60" t="n"/>
      <c r="MCY100" s="60" t="n"/>
      <c r="MCZ100" s="60" t="n"/>
      <c r="MDA100" s="60" t="n"/>
      <c r="MDB100" s="60" t="n"/>
      <c r="MDC100" s="60" t="n"/>
      <c r="MDD100" s="60" t="n"/>
      <c r="MDE100" s="60" t="n"/>
      <c r="MDF100" s="60" t="n"/>
      <c r="MDG100" s="60" t="n"/>
      <c r="MDH100" s="60" t="n"/>
      <c r="MDI100" s="60" t="n"/>
      <c r="MDJ100" s="60" t="n"/>
      <c r="MDK100" s="60" t="n"/>
      <c r="MDL100" s="60" t="n"/>
      <c r="MDM100" s="60" t="n"/>
      <c r="MDN100" s="60" t="n"/>
      <c r="MDO100" s="60" t="n"/>
      <c r="MDP100" s="60" t="n"/>
      <c r="MDQ100" s="60" t="n"/>
      <c r="MDR100" s="60" t="n"/>
      <c r="MDS100" s="60" t="n"/>
      <c r="MDT100" s="60" t="n"/>
      <c r="MDU100" s="60" t="n"/>
      <c r="MDV100" s="60" t="n"/>
      <c r="MDW100" s="60" t="n"/>
      <c r="MDX100" s="60" t="n"/>
      <c r="MDY100" s="60" t="n"/>
      <c r="MDZ100" s="60" t="n"/>
      <c r="MEA100" s="60" t="n"/>
      <c r="MEB100" s="60" t="n"/>
      <c r="MEC100" s="60" t="n"/>
      <c r="MED100" s="60" t="n"/>
      <c r="MEE100" s="60" t="n"/>
      <c r="MEF100" s="60" t="n"/>
      <c r="MEG100" s="60" t="n"/>
      <c r="MEH100" s="60" t="n"/>
      <c r="MEI100" s="60" t="n"/>
      <c r="MEJ100" s="60" t="n"/>
      <c r="MEK100" s="60" t="n"/>
      <c r="MEL100" s="60" t="n"/>
      <c r="MEM100" s="60" t="n"/>
      <c r="MEN100" s="60" t="n"/>
      <c r="MEO100" s="60" t="n"/>
      <c r="MEP100" s="60" t="n"/>
      <c r="MEQ100" s="60" t="n"/>
      <c r="MER100" s="60" t="n"/>
      <c r="MES100" s="60" t="n"/>
      <c r="MET100" s="60" t="n"/>
      <c r="MEU100" s="60" t="n"/>
      <c r="MEV100" s="60" t="n"/>
      <c r="MEW100" s="60" t="n"/>
      <c r="MEX100" s="60" t="n"/>
      <c r="MEY100" s="60" t="n"/>
      <c r="MEZ100" s="60" t="n"/>
      <c r="MFA100" s="60" t="n"/>
      <c r="MFB100" s="60" t="n"/>
      <c r="MFC100" s="60" t="n"/>
      <c r="MFD100" s="60" t="n"/>
      <c r="MFE100" s="60" t="n"/>
      <c r="MFF100" s="60" t="n"/>
      <c r="MFG100" s="60" t="n"/>
      <c r="MFH100" s="60" t="n"/>
      <c r="MFI100" s="60" t="n"/>
      <c r="MFJ100" s="60" t="n"/>
      <c r="MFK100" s="60" t="n"/>
      <c r="MFL100" s="60" t="n"/>
      <c r="MFM100" s="60" t="n"/>
      <c r="MFN100" s="60" t="n"/>
      <c r="MFO100" s="60" t="n"/>
      <c r="MFP100" s="60" t="n"/>
      <c r="MFQ100" s="60" t="n"/>
      <c r="MFR100" s="60" t="n"/>
      <c r="MFS100" s="60" t="n"/>
      <c r="MFT100" s="60" t="n"/>
      <c r="MFU100" s="60" t="n"/>
      <c r="MFV100" s="60" t="n"/>
      <c r="MFW100" s="60" t="n"/>
      <c r="MFX100" s="60" t="n"/>
      <c r="MFY100" s="60" t="n"/>
      <c r="MFZ100" s="60" t="n"/>
      <c r="MGA100" s="60" t="n"/>
      <c r="MGB100" s="60" t="n"/>
      <c r="MGC100" s="60" t="n"/>
      <c r="MGD100" s="60" t="n"/>
      <c r="MGE100" s="60" t="n"/>
      <c r="MGF100" s="60" t="n"/>
      <c r="MGG100" s="60" t="n"/>
      <c r="MGH100" s="60" t="n"/>
      <c r="MGI100" s="60" t="n"/>
      <c r="MGJ100" s="60" t="n"/>
      <c r="MGK100" s="60" t="n"/>
      <c r="MGL100" s="60" t="n"/>
      <c r="MGM100" s="60" t="n"/>
      <c r="MGN100" s="60" t="n"/>
      <c r="MGO100" s="60" t="n"/>
      <c r="MGP100" s="60" t="n"/>
      <c r="MGQ100" s="60" t="n"/>
      <c r="MGR100" s="60" t="n"/>
      <c r="MGS100" s="60" t="n"/>
      <c r="MGT100" s="60" t="n"/>
      <c r="MGU100" s="60" t="n"/>
      <c r="MGV100" s="60" t="n"/>
      <c r="MGW100" s="60" t="n"/>
      <c r="MGX100" s="60" t="n"/>
      <c r="MGY100" s="60" t="n"/>
      <c r="MGZ100" s="60" t="n"/>
      <c r="MHA100" s="60" t="n"/>
      <c r="MHB100" s="60" t="n"/>
      <c r="MHC100" s="60" t="n"/>
      <c r="MHD100" s="60" t="n"/>
      <c r="MHE100" s="60" t="n"/>
      <c r="MHF100" s="60" t="n"/>
      <c r="MHG100" s="60" t="n"/>
      <c r="MHH100" s="60" t="n"/>
      <c r="MHI100" s="60" t="n"/>
      <c r="MHJ100" s="60" t="n"/>
      <c r="MHK100" s="60" t="n"/>
      <c r="MHL100" s="60" t="n"/>
      <c r="MHM100" s="60" t="n"/>
      <c r="MHN100" s="60" t="n"/>
      <c r="MHO100" s="60" t="n"/>
      <c r="MHP100" s="60" t="n"/>
      <c r="MHQ100" s="60" t="n"/>
      <c r="MHR100" s="60" t="n"/>
      <c r="MHS100" s="60" t="n"/>
      <c r="MHT100" s="60" t="n"/>
      <c r="MHU100" s="60" t="n"/>
      <c r="MHV100" s="60" t="n"/>
      <c r="MHW100" s="60" t="n"/>
      <c r="MHX100" s="60" t="n"/>
      <c r="MHY100" s="60" t="n"/>
      <c r="MHZ100" s="60" t="n"/>
      <c r="MIA100" s="60" t="n"/>
      <c r="MIB100" s="60" t="n"/>
      <c r="MIC100" s="60" t="n"/>
      <c r="MID100" s="60" t="n"/>
      <c r="MIE100" s="60" t="n"/>
      <c r="MIF100" s="60" t="n"/>
      <c r="MIG100" s="60" t="n"/>
      <c r="MIH100" s="60" t="n"/>
      <c r="MII100" s="60" t="n"/>
      <c r="MIJ100" s="60" t="n"/>
      <c r="MIK100" s="60" t="n"/>
      <c r="MIL100" s="60" t="n"/>
      <c r="MIM100" s="60" t="n"/>
      <c r="MIN100" s="60" t="n"/>
      <c r="MIO100" s="60" t="n"/>
      <c r="MIP100" s="60" t="n"/>
      <c r="MIQ100" s="60" t="n"/>
      <c r="MIR100" s="60" t="n"/>
      <c r="MIS100" s="60" t="n"/>
      <c r="MIT100" s="60" t="n"/>
      <c r="MIU100" s="60" t="n"/>
      <c r="MIV100" s="60" t="n"/>
      <c r="MIW100" s="60" t="n"/>
      <c r="MIX100" s="60" t="n"/>
      <c r="MIY100" s="60" t="n"/>
      <c r="MIZ100" s="60" t="n"/>
      <c r="MJA100" s="60" t="n"/>
      <c r="MJB100" s="60" t="n"/>
      <c r="MJC100" s="60" t="n"/>
      <c r="MJD100" s="60" t="n"/>
      <c r="MJE100" s="60" t="n"/>
      <c r="MJF100" s="60" t="n"/>
      <c r="MJG100" s="60" t="n"/>
      <c r="MJH100" s="60" t="n"/>
      <c r="MJI100" s="60" t="n"/>
      <c r="MJJ100" s="60" t="n"/>
      <c r="MJK100" s="60" t="n"/>
      <c r="MJL100" s="60" t="n"/>
      <c r="MJM100" s="60" t="n"/>
      <c r="MJN100" s="60" t="n"/>
      <c r="MJO100" s="60" t="n"/>
      <c r="MJP100" s="60" t="n"/>
      <c r="MJQ100" s="60" t="n"/>
      <c r="MJR100" s="60" t="n"/>
      <c r="MJS100" s="60" t="n"/>
      <c r="MJT100" s="60" t="n"/>
      <c r="MJU100" s="60" t="n"/>
      <c r="MJV100" s="60" t="n"/>
      <c r="MJW100" s="60" t="n"/>
      <c r="MJX100" s="60" t="n"/>
      <c r="MJY100" s="60" t="n"/>
      <c r="MJZ100" s="60" t="n"/>
      <c r="MKA100" s="60" t="n"/>
      <c r="MKB100" s="60" t="n"/>
      <c r="MKC100" s="60" t="n"/>
      <c r="MKD100" s="60" t="n"/>
      <c r="MKE100" s="60" t="n"/>
      <c r="MKF100" s="60" t="n"/>
      <c r="MKG100" s="60" t="n"/>
      <c r="MKH100" s="60" t="n"/>
      <c r="MKI100" s="60" t="n"/>
      <c r="MKJ100" s="60" t="n"/>
      <c r="MKK100" s="60" t="n"/>
      <c r="MKL100" s="60" t="n"/>
      <c r="MKM100" s="60" t="n"/>
      <c r="MKN100" s="60" t="n"/>
      <c r="MKO100" s="60" t="n"/>
      <c r="MKP100" s="60" t="n"/>
      <c r="MKQ100" s="60" t="n"/>
      <c r="MKR100" s="60" t="n"/>
      <c r="MKS100" s="60" t="n"/>
      <c r="MKT100" s="60" t="n"/>
      <c r="MKU100" s="60" t="n"/>
      <c r="MKV100" s="60" t="n"/>
      <c r="MKW100" s="60" t="n"/>
      <c r="MKX100" s="60" t="n"/>
      <c r="MKY100" s="60" t="n"/>
      <c r="MKZ100" s="60" t="n"/>
      <c r="MLA100" s="60" t="n"/>
      <c r="MLB100" s="60" t="n"/>
      <c r="MLC100" s="60" t="n"/>
      <c r="MLD100" s="60" t="n"/>
      <c r="MLE100" s="60" t="n"/>
      <c r="MLF100" s="60" t="n"/>
      <c r="MLG100" s="60" t="n"/>
      <c r="MLH100" s="60" t="n"/>
      <c r="MLI100" s="60" t="n"/>
      <c r="MLJ100" s="60" t="n"/>
      <c r="MLK100" s="60" t="n"/>
      <c r="MLL100" s="60" t="n"/>
      <c r="MLM100" s="60" t="n"/>
      <c r="MLN100" s="60" t="n"/>
      <c r="MLO100" s="60" t="n"/>
      <c r="MLP100" s="60" t="n"/>
      <c r="MLQ100" s="60" t="n"/>
      <c r="MLR100" s="60" t="n"/>
      <c r="MLS100" s="60" t="n"/>
      <c r="MLT100" s="60" t="n"/>
      <c r="MLU100" s="60" t="n"/>
      <c r="MLV100" s="60" t="n"/>
      <c r="MLW100" s="60" t="n"/>
      <c r="MLX100" s="60" t="n"/>
      <c r="MLY100" s="60" t="n"/>
      <c r="MLZ100" s="60" t="n"/>
      <c r="MMA100" s="60" t="n"/>
      <c r="MMB100" s="60" t="n"/>
      <c r="MMC100" s="60" t="n"/>
      <c r="MMD100" s="60" t="n"/>
      <c r="MME100" s="60" t="n"/>
      <c r="MMF100" s="60" t="n"/>
      <c r="MMG100" s="60" t="n"/>
      <c r="MMH100" s="60" t="n"/>
      <c r="MMI100" s="60" t="n"/>
      <c r="MMJ100" s="60" t="n"/>
      <c r="MMK100" s="60" t="n"/>
      <c r="MML100" s="60" t="n"/>
      <c r="MMM100" s="60" t="n"/>
      <c r="MMN100" s="60" t="n"/>
      <c r="MMO100" s="60" t="n"/>
      <c r="MMP100" s="60" t="n"/>
      <c r="MMQ100" s="60" t="n"/>
      <c r="MMR100" s="60" t="n"/>
      <c r="MMS100" s="60" t="n"/>
      <c r="MMT100" s="60" t="n"/>
      <c r="MMU100" s="60" t="n"/>
      <c r="MMV100" s="60" t="n"/>
      <c r="MMW100" s="60" t="n"/>
      <c r="MMX100" s="60" t="n"/>
      <c r="MMY100" s="60" t="n"/>
      <c r="MMZ100" s="60" t="n"/>
      <c r="MNA100" s="60" t="n"/>
      <c r="MNB100" s="60" t="n"/>
      <c r="MNC100" s="60" t="n"/>
      <c r="MND100" s="60" t="n"/>
      <c r="MNE100" s="60" t="n"/>
      <c r="MNF100" s="60" t="n"/>
      <c r="MNG100" s="60" t="n"/>
      <c r="MNH100" s="60" t="n"/>
      <c r="MNI100" s="60" t="n"/>
      <c r="MNJ100" s="60" t="n"/>
      <c r="MNK100" s="60" t="n"/>
      <c r="MNL100" s="60" t="n"/>
      <c r="MNM100" s="60" t="n"/>
      <c r="MNN100" s="60" t="n"/>
      <c r="MNO100" s="60" t="n"/>
      <c r="MNP100" s="60" t="n"/>
      <c r="MNQ100" s="60" t="n"/>
      <c r="MNR100" s="60" t="n"/>
      <c r="MNS100" s="60" t="n"/>
      <c r="MNT100" s="60" t="n"/>
      <c r="MNU100" s="60" t="n"/>
      <c r="MNV100" s="60" t="n"/>
      <c r="MNW100" s="60" t="n"/>
      <c r="MNX100" s="60" t="n"/>
      <c r="MNY100" s="60" t="n"/>
      <c r="MNZ100" s="60" t="n"/>
      <c r="MOA100" s="60" t="n"/>
      <c r="MOB100" s="60" t="n"/>
      <c r="MOC100" s="60" t="n"/>
      <c r="MOD100" s="60" t="n"/>
      <c r="MOE100" s="60" t="n"/>
      <c r="MOF100" s="60" t="n"/>
      <c r="MOG100" s="60" t="n"/>
      <c r="MOH100" s="60" t="n"/>
      <c r="MOI100" s="60" t="n"/>
      <c r="MOJ100" s="60" t="n"/>
      <c r="MOK100" s="60" t="n"/>
      <c r="MOL100" s="60" t="n"/>
      <c r="MOM100" s="60" t="n"/>
      <c r="MON100" s="60" t="n"/>
      <c r="MOO100" s="60" t="n"/>
      <c r="MOP100" s="60" t="n"/>
      <c r="MOQ100" s="60" t="n"/>
      <c r="MOR100" s="60" t="n"/>
      <c r="MOS100" s="60" t="n"/>
      <c r="MOT100" s="60" t="n"/>
      <c r="MOU100" s="60" t="n"/>
      <c r="MOV100" s="60" t="n"/>
      <c r="MOW100" s="60" t="n"/>
      <c r="MOX100" s="60" t="n"/>
      <c r="MOY100" s="60" t="n"/>
      <c r="MOZ100" s="60" t="n"/>
      <c r="MPA100" s="60" t="n"/>
      <c r="MPB100" s="60" t="n"/>
      <c r="MPC100" s="60" t="n"/>
      <c r="MPD100" s="60" t="n"/>
      <c r="MPE100" s="60" t="n"/>
      <c r="MPF100" s="60" t="n"/>
      <c r="MPG100" s="60" t="n"/>
      <c r="MPH100" s="60" t="n"/>
      <c r="MPI100" s="60" t="n"/>
      <c r="MPJ100" s="60" t="n"/>
      <c r="MPK100" s="60" t="n"/>
      <c r="MPL100" s="60" t="n"/>
      <c r="MPM100" s="60" t="n"/>
      <c r="MPN100" s="60" t="n"/>
      <c r="MPO100" s="60" t="n"/>
      <c r="MPP100" s="60" t="n"/>
      <c r="MPQ100" s="60" t="n"/>
      <c r="MPR100" s="60" t="n"/>
      <c r="MPS100" s="60" t="n"/>
      <c r="MPT100" s="60" t="n"/>
      <c r="MPU100" s="60" t="n"/>
      <c r="MPV100" s="60" t="n"/>
      <c r="MPW100" s="60" t="n"/>
      <c r="MPX100" s="60" t="n"/>
      <c r="MPY100" s="60" t="n"/>
      <c r="MPZ100" s="60" t="n"/>
      <c r="MQA100" s="60" t="n"/>
      <c r="MQB100" s="60" t="n"/>
      <c r="MQC100" s="60" t="n"/>
      <c r="MQD100" s="60" t="n"/>
      <c r="MQE100" s="60" t="n"/>
      <c r="MQF100" s="60" t="n"/>
      <c r="MQG100" s="60" t="n"/>
      <c r="MQH100" s="60" t="n"/>
      <c r="MQI100" s="60" t="n"/>
      <c r="MQJ100" s="60" t="n"/>
      <c r="MQK100" s="60" t="n"/>
      <c r="MQL100" s="60" t="n"/>
      <c r="MQM100" s="60" t="n"/>
      <c r="MQN100" s="60" t="n"/>
      <c r="MQO100" s="60" t="n"/>
      <c r="MQP100" s="60" t="n"/>
      <c r="MQQ100" s="60" t="n"/>
      <c r="MQR100" s="60" t="n"/>
      <c r="MQS100" s="60" t="n"/>
      <c r="MQT100" s="60" t="n"/>
      <c r="MQU100" s="60" t="n"/>
      <c r="MQV100" s="60" t="n"/>
      <c r="MQW100" s="60" t="n"/>
      <c r="MQX100" s="60" t="n"/>
      <c r="MQY100" s="60" t="n"/>
      <c r="MQZ100" s="60" t="n"/>
      <c r="MRA100" s="60" t="n"/>
      <c r="MRB100" s="60" t="n"/>
      <c r="MRC100" s="60" t="n"/>
      <c r="MRD100" s="60" t="n"/>
      <c r="MRE100" s="60" t="n"/>
      <c r="MRF100" s="60" t="n"/>
      <c r="MRG100" s="60" t="n"/>
      <c r="MRH100" s="60" t="n"/>
      <c r="MRI100" s="60" t="n"/>
      <c r="MRJ100" s="60" t="n"/>
      <c r="MRK100" s="60" t="n"/>
      <c r="MRL100" s="60" t="n"/>
      <c r="MRM100" s="60" t="n"/>
      <c r="MRN100" s="60" t="n"/>
      <c r="MRO100" s="60" t="n"/>
      <c r="MRP100" s="60" t="n"/>
      <c r="MRQ100" s="60" t="n"/>
      <c r="MRR100" s="60" t="n"/>
      <c r="MRS100" s="60" t="n"/>
      <c r="MRT100" s="60" t="n"/>
      <c r="MRU100" s="60" t="n"/>
      <c r="MRV100" s="60" t="n"/>
      <c r="MRW100" s="60" t="n"/>
      <c r="MRX100" s="60" t="n"/>
      <c r="MRY100" s="60" t="n"/>
      <c r="MRZ100" s="60" t="n"/>
      <c r="MSA100" s="60" t="n"/>
      <c r="MSB100" s="60" t="n"/>
      <c r="MSC100" s="60" t="n"/>
      <c r="MSD100" s="60" t="n"/>
      <c r="MSE100" s="60" t="n"/>
      <c r="MSF100" s="60" t="n"/>
      <c r="MSG100" s="60" t="n"/>
      <c r="MSH100" s="60" t="n"/>
      <c r="MSI100" s="60" t="n"/>
      <c r="MSJ100" s="60" t="n"/>
      <c r="MSK100" s="60" t="n"/>
      <c r="MSL100" s="60" t="n"/>
      <c r="MSM100" s="60" t="n"/>
      <c r="MSN100" s="60" t="n"/>
      <c r="MSO100" s="60" t="n"/>
      <c r="MSP100" s="60" t="n"/>
      <c r="MSQ100" s="60" t="n"/>
      <c r="MSR100" s="60" t="n"/>
      <c r="MSS100" s="60" t="n"/>
      <c r="MST100" s="60" t="n"/>
      <c r="MSU100" s="60" t="n"/>
      <c r="MSV100" s="60" t="n"/>
      <c r="MSW100" s="60" t="n"/>
      <c r="MSX100" s="60" t="n"/>
      <c r="MSY100" s="60" t="n"/>
      <c r="MSZ100" s="60" t="n"/>
      <c r="MTA100" s="60" t="n"/>
      <c r="MTB100" s="60" t="n"/>
      <c r="MTC100" s="60" t="n"/>
      <c r="MTD100" s="60" t="n"/>
      <c r="MTE100" s="60" t="n"/>
      <c r="MTF100" s="60" t="n"/>
      <c r="MTG100" s="60" t="n"/>
      <c r="MTH100" s="60" t="n"/>
      <c r="MTI100" s="60" t="n"/>
      <c r="MTJ100" s="60" t="n"/>
      <c r="MTK100" s="60" t="n"/>
      <c r="MTL100" s="60" t="n"/>
      <c r="MTM100" s="60" t="n"/>
      <c r="MTN100" s="60" t="n"/>
      <c r="MTO100" s="60" t="n"/>
      <c r="MTP100" s="60" t="n"/>
      <c r="MTQ100" s="60" t="n"/>
      <c r="MTR100" s="60" t="n"/>
      <c r="MTS100" s="60" t="n"/>
      <c r="MTT100" s="60" t="n"/>
      <c r="MTU100" s="60" t="n"/>
      <c r="MTV100" s="60" t="n"/>
      <c r="MTW100" s="60" t="n"/>
      <c r="MTX100" s="60" t="n"/>
      <c r="MTY100" s="60" t="n"/>
      <c r="MTZ100" s="60" t="n"/>
      <c r="MUA100" s="60" t="n"/>
      <c r="MUB100" s="60" t="n"/>
      <c r="MUC100" s="60" t="n"/>
      <c r="MUD100" s="60" t="n"/>
      <c r="MUE100" s="60" t="n"/>
      <c r="MUF100" s="60" t="n"/>
      <c r="MUG100" s="60" t="n"/>
      <c r="MUH100" s="60" t="n"/>
      <c r="MUI100" s="60" t="n"/>
      <c r="MUJ100" s="60" t="n"/>
      <c r="MUK100" s="60" t="n"/>
      <c r="MUL100" s="60" t="n"/>
      <c r="MUM100" s="60" t="n"/>
      <c r="MUN100" s="60" t="n"/>
      <c r="MUO100" s="60" t="n"/>
      <c r="MUP100" s="60" t="n"/>
      <c r="MUQ100" s="60" t="n"/>
      <c r="MUR100" s="60" t="n"/>
      <c r="MUS100" s="60" t="n"/>
      <c r="MUT100" s="60" t="n"/>
      <c r="MUU100" s="60" t="n"/>
      <c r="MUV100" s="60" t="n"/>
      <c r="MUW100" s="60" t="n"/>
      <c r="MUX100" s="60" t="n"/>
      <c r="MUY100" s="60" t="n"/>
      <c r="MUZ100" s="60" t="n"/>
      <c r="MVA100" s="60" t="n"/>
      <c r="MVB100" s="60" t="n"/>
      <c r="MVC100" s="60" t="n"/>
      <c r="MVD100" s="60" t="n"/>
      <c r="MVE100" s="60" t="n"/>
      <c r="MVF100" s="60" t="n"/>
      <c r="MVG100" s="60" t="n"/>
      <c r="MVH100" s="60" t="n"/>
      <c r="MVI100" s="60" t="n"/>
      <c r="MVJ100" s="60" t="n"/>
      <c r="MVK100" s="60" t="n"/>
      <c r="MVL100" s="60" t="n"/>
      <c r="MVM100" s="60" t="n"/>
      <c r="MVN100" s="60" t="n"/>
      <c r="MVO100" s="60" t="n"/>
      <c r="MVP100" s="60" t="n"/>
      <c r="MVQ100" s="60" t="n"/>
      <c r="MVR100" s="60" t="n"/>
      <c r="MVS100" s="60" t="n"/>
      <c r="MVT100" s="60" t="n"/>
      <c r="MVU100" s="60" t="n"/>
      <c r="MVV100" s="60" t="n"/>
      <c r="MVW100" s="60" t="n"/>
      <c r="MVX100" s="60" t="n"/>
      <c r="MVY100" s="60" t="n"/>
      <c r="MVZ100" s="60" t="n"/>
      <c r="MWA100" s="60" t="n"/>
      <c r="MWB100" s="60" t="n"/>
      <c r="MWC100" s="60" t="n"/>
      <c r="MWD100" s="60" t="n"/>
      <c r="MWE100" s="60" t="n"/>
      <c r="MWF100" s="60" t="n"/>
      <c r="MWG100" s="60" t="n"/>
      <c r="MWH100" s="60" t="n"/>
      <c r="MWI100" s="60" t="n"/>
      <c r="MWJ100" s="60" t="n"/>
      <c r="MWK100" s="60" t="n"/>
      <c r="MWL100" s="60" t="n"/>
      <c r="MWM100" s="60" t="n"/>
      <c r="MWN100" s="60" t="n"/>
      <c r="MWO100" s="60" t="n"/>
      <c r="MWP100" s="60" t="n"/>
      <c r="MWQ100" s="60" t="n"/>
      <c r="MWR100" s="60" t="n"/>
      <c r="MWS100" s="60" t="n"/>
      <c r="MWT100" s="60" t="n"/>
      <c r="MWU100" s="60" t="n"/>
      <c r="MWV100" s="60" t="n"/>
      <c r="MWW100" s="60" t="n"/>
      <c r="MWX100" s="60" t="n"/>
      <c r="MWY100" s="60" t="n"/>
      <c r="MWZ100" s="60" t="n"/>
      <c r="MXA100" s="60" t="n"/>
      <c r="MXB100" s="60" t="n"/>
      <c r="MXC100" s="60" t="n"/>
      <c r="MXD100" s="60" t="n"/>
      <c r="MXE100" s="60" t="n"/>
      <c r="MXF100" s="60" t="n"/>
      <c r="MXG100" s="60" t="n"/>
      <c r="MXH100" s="60" t="n"/>
      <c r="MXI100" s="60" t="n"/>
      <c r="MXJ100" s="60" t="n"/>
      <c r="MXK100" s="60" t="n"/>
      <c r="MXL100" s="60" t="n"/>
      <c r="MXM100" s="60" t="n"/>
      <c r="MXN100" s="60" t="n"/>
      <c r="MXO100" s="60" t="n"/>
      <c r="MXP100" s="60" t="n"/>
      <c r="MXQ100" s="60" t="n"/>
      <c r="MXR100" s="60" t="n"/>
      <c r="MXS100" s="60" t="n"/>
      <c r="MXT100" s="60" t="n"/>
      <c r="MXU100" s="60" t="n"/>
      <c r="MXV100" s="60" t="n"/>
      <c r="MXW100" s="60" t="n"/>
      <c r="MXX100" s="60" t="n"/>
      <c r="MXY100" s="60" t="n"/>
      <c r="MXZ100" s="60" t="n"/>
      <c r="MYA100" s="60" t="n"/>
      <c r="MYB100" s="60" t="n"/>
      <c r="MYC100" s="60" t="n"/>
      <c r="MYD100" s="60" t="n"/>
      <c r="MYE100" s="60" t="n"/>
      <c r="MYF100" s="60" t="n"/>
      <c r="MYG100" s="60" t="n"/>
      <c r="MYH100" s="60" t="n"/>
      <c r="MYI100" s="60" t="n"/>
      <c r="MYJ100" s="60" t="n"/>
      <c r="MYK100" s="60" t="n"/>
      <c r="MYL100" s="60" t="n"/>
      <c r="MYM100" s="60" t="n"/>
      <c r="MYN100" s="60" t="n"/>
      <c r="MYO100" s="60" t="n"/>
      <c r="MYP100" s="60" t="n"/>
      <c r="MYQ100" s="60" t="n"/>
      <c r="MYR100" s="60" t="n"/>
      <c r="MYS100" s="60" t="n"/>
      <c r="MYT100" s="60" t="n"/>
      <c r="MYU100" s="60" t="n"/>
      <c r="MYV100" s="60" t="n"/>
      <c r="MYW100" s="60" t="n"/>
      <c r="MYX100" s="60" t="n"/>
      <c r="MYY100" s="60" t="n"/>
      <c r="MYZ100" s="60" t="n"/>
      <c r="MZA100" s="60" t="n"/>
      <c r="MZB100" s="60" t="n"/>
      <c r="MZC100" s="60" t="n"/>
      <c r="MZD100" s="60" t="n"/>
      <c r="MZE100" s="60" t="n"/>
      <c r="MZF100" s="60" t="n"/>
      <c r="MZG100" s="60" t="n"/>
      <c r="MZH100" s="60" t="n"/>
      <c r="MZI100" s="60" t="n"/>
      <c r="MZJ100" s="60" t="n"/>
      <c r="MZK100" s="60" t="n"/>
      <c r="MZL100" s="60" t="n"/>
      <c r="MZM100" s="60" t="n"/>
      <c r="MZN100" s="60" t="n"/>
      <c r="MZO100" s="60" t="n"/>
      <c r="MZP100" s="60" t="n"/>
      <c r="MZQ100" s="60" t="n"/>
      <c r="MZR100" s="60" t="n"/>
      <c r="MZS100" s="60" t="n"/>
      <c r="MZT100" s="60" t="n"/>
      <c r="MZU100" s="60" t="n"/>
      <c r="MZV100" s="60" t="n"/>
      <c r="MZW100" s="60" t="n"/>
      <c r="MZX100" s="60" t="n"/>
      <c r="MZY100" s="60" t="n"/>
      <c r="MZZ100" s="60" t="n"/>
      <c r="NAA100" s="60" t="n"/>
      <c r="NAB100" s="60" t="n"/>
      <c r="NAC100" s="60" t="n"/>
      <c r="NAD100" s="60" t="n"/>
      <c r="NAE100" s="60" t="n"/>
      <c r="NAF100" s="60" t="n"/>
      <c r="NAG100" s="60" t="n"/>
      <c r="NAH100" s="60" t="n"/>
      <c r="NAI100" s="60" t="n"/>
      <c r="NAJ100" s="60" t="n"/>
      <c r="NAK100" s="60" t="n"/>
      <c r="NAL100" s="60" t="n"/>
      <c r="NAM100" s="60" t="n"/>
      <c r="NAN100" s="60" t="n"/>
      <c r="NAO100" s="60" t="n"/>
      <c r="NAP100" s="60" t="n"/>
      <c r="NAQ100" s="60" t="n"/>
      <c r="NAR100" s="60" t="n"/>
      <c r="NAS100" s="60" t="n"/>
      <c r="NAT100" s="60" t="n"/>
      <c r="NAU100" s="60" t="n"/>
      <c r="NAV100" s="60" t="n"/>
      <c r="NAW100" s="60" t="n"/>
      <c r="NAX100" s="60" t="n"/>
      <c r="NAY100" s="60" t="n"/>
      <c r="NAZ100" s="60" t="n"/>
      <c r="NBA100" s="60" t="n"/>
      <c r="NBB100" s="60" t="n"/>
      <c r="NBC100" s="60" t="n"/>
      <c r="NBD100" s="60" t="n"/>
      <c r="NBE100" s="60" t="n"/>
      <c r="NBF100" s="60" t="n"/>
      <c r="NBG100" s="60" t="n"/>
      <c r="NBH100" s="60" t="n"/>
      <c r="NBI100" s="60" t="n"/>
      <c r="NBJ100" s="60" t="n"/>
      <c r="NBK100" s="60" t="n"/>
      <c r="NBL100" s="60" t="n"/>
      <c r="NBM100" s="60" t="n"/>
      <c r="NBN100" s="60" t="n"/>
      <c r="NBO100" s="60" t="n"/>
      <c r="NBP100" s="60" t="n"/>
      <c r="NBQ100" s="60" t="n"/>
      <c r="NBR100" s="60" t="n"/>
      <c r="NBS100" s="60" t="n"/>
      <c r="NBT100" s="60" t="n"/>
      <c r="NBU100" s="60" t="n"/>
      <c r="NBV100" s="60" t="n"/>
      <c r="NBW100" s="60" t="n"/>
      <c r="NBX100" s="60" t="n"/>
      <c r="NBY100" s="60" t="n"/>
      <c r="NBZ100" s="60" t="n"/>
      <c r="NCA100" s="60" t="n"/>
      <c r="NCB100" s="60" t="n"/>
      <c r="NCC100" s="60" t="n"/>
      <c r="NCD100" s="60" t="n"/>
      <c r="NCE100" s="60" t="n"/>
      <c r="NCF100" s="60" t="n"/>
      <c r="NCG100" s="60" t="n"/>
      <c r="NCH100" s="60" t="n"/>
      <c r="NCI100" s="60" t="n"/>
      <c r="NCJ100" s="60" t="n"/>
      <c r="NCK100" s="60" t="n"/>
      <c r="NCL100" s="60" t="n"/>
      <c r="NCM100" s="60" t="n"/>
      <c r="NCN100" s="60" t="n"/>
      <c r="NCO100" s="60" t="n"/>
      <c r="NCP100" s="60" t="n"/>
      <c r="NCQ100" s="60" t="n"/>
      <c r="NCR100" s="60" t="n"/>
      <c r="NCS100" s="60" t="n"/>
      <c r="NCT100" s="60" t="n"/>
      <c r="NCU100" s="60" t="n"/>
      <c r="NCV100" s="60" t="n"/>
      <c r="NCW100" s="60" t="n"/>
      <c r="NCX100" s="60" t="n"/>
      <c r="NCY100" s="60" t="n"/>
      <c r="NCZ100" s="60" t="n"/>
      <c r="NDA100" s="60" t="n"/>
      <c r="NDB100" s="60" t="n"/>
      <c r="NDC100" s="60" t="n"/>
      <c r="NDD100" s="60" t="n"/>
      <c r="NDE100" s="60" t="n"/>
      <c r="NDF100" s="60" t="n"/>
      <c r="NDG100" s="60" t="n"/>
      <c r="NDH100" s="60" t="n"/>
      <c r="NDI100" s="60" t="n"/>
      <c r="NDJ100" s="60" t="n"/>
      <c r="NDK100" s="60" t="n"/>
      <c r="NDL100" s="60" t="n"/>
      <c r="NDM100" s="60" t="n"/>
      <c r="NDN100" s="60" t="n"/>
      <c r="NDO100" s="60" t="n"/>
      <c r="NDP100" s="60" t="n"/>
      <c r="NDQ100" s="60" t="n"/>
      <c r="NDR100" s="60" t="n"/>
      <c r="NDS100" s="60" t="n"/>
      <c r="NDT100" s="60" t="n"/>
      <c r="NDU100" s="60" t="n"/>
      <c r="NDV100" s="60" t="n"/>
      <c r="NDW100" s="60" t="n"/>
      <c r="NDX100" s="60" t="n"/>
      <c r="NDY100" s="60" t="n"/>
      <c r="NDZ100" s="60" t="n"/>
      <c r="NEA100" s="60" t="n"/>
      <c r="NEB100" s="60" t="n"/>
      <c r="NEC100" s="60" t="n"/>
      <c r="NED100" s="60" t="n"/>
      <c r="NEE100" s="60" t="n"/>
      <c r="NEF100" s="60" t="n"/>
      <c r="NEG100" s="60" t="n"/>
      <c r="NEH100" s="60" t="n"/>
      <c r="NEI100" s="60" t="n"/>
      <c r="NEJ100" s="60" t="n"/>
      <c r="NEK100" s="60" t="n"/>
      <c r="NEL100" s="60" t="n"/>
      <c r="NEM100" s="60" t="n"/>
      <c r="NEN100" s="60" t="n"/>
      <c r="NEO100" s="60" t="n"/>
      <c r="NEP100" s="60" t="n"/>
      <c r="NEQ100" s="60" t="n"/>
      <c r="NER100" s="60" t="n"/>
      <c r="NES100" s="60" t="n"/>
      <c r="NET100" s="60" t="n"/>
      <c r="NEU100" s="60" t="n"/>
      <c r="NEV100" s="60" t="n"/>
      <c r="NEW100" s="60" t="n"/>
      <c r="NEX100" s="60" t="n"/>
      <c r="NEY100" s="60" t="n"/>
      <c r="NEZ100" s="60" t="n"/>
      <c r="NFA100" s="60" t="n"/>
      <c r="NFB100" s="60" t="n"/>
      <c r="NFC100" s="60" t="n"/>
      <c r="NFD100" s="60" t="n"/>
      <c r="NFE100" s="60" t="n"/>
      <c r="NFF100" s="60" t="n"/>
      <c r="NFG100" s="60" t="n"/>
      <c r="NFH100" s="60" t="n"/>
      <c r="NFI100" s="60" t="n"/>
      <c r="NFJ100" s="60" t="n"/>
      <c r="NFK100" s="60" t="n"/>
      <c r="NFL100" s="60" t="n"/>
      <c r="NFM100" s="60" t="n"/>
      <c r="NFN100" s="60" t="n"/>
      <c r="NFO100" s="60" t="n"/>
      <c r="NFP100" s="60" t="n"/>
      <c r="NFQ100" s="60" t="n"/>
      <c r="NFR100" s="60" t="n"/>
      <c r="NFS100" s="60" t="n"/>
      <c r="NFT100" s="60" t="n"/>
      <c r="NFU100" s="60" t="n"/>
      <c r="NFV100" s="60" t="n"/>
      <c r="NFW100" s="60" t="n"/>
      <c r="NFX100" s="60" t="n"/>
      <c r="NFY100" s="60" t="n"/>
      <c r="NFZ100" s="60" t="n"/>
      <c r="NGA100" s="60" t="n"/>
      <c r="NGB100" s="60" t="n"/>
      <c r="NGC100" s="60" t="n"/>
      <c r="NGD100" s="60" t="n"/>
      <c r="NGE100" s="60" t="n"/>
      <c r="NGF100" s="60" t="n"/>
      <c r="NGG100" s="60" t="n"/>
      <c r="NGH100" s="60" t="n"/>
      <c r="NGI100" s="60" t="n"/>
      <c r="NGJ100" s="60" t="n"/>
      <c r="NGK100" s="60" t="n"/>
      <c r="NGL100" s="60" t="n"/>
      <c r="NGM100" s="60" t="n"/>
      <c r="NGN100" s="60" t="n"/>
      <c r="NGO100" s="60" t="n"/>
      <c r="NGP100" s="60" t="n"/>
      <c r="NGQ100" s="60" t="n"/>
      <c r="NGR100" s="60" t="n"/>
      <c r="NGS100" s="60" t="n"/>
      <c r="NGT100" s="60" t="n"/>
      <c r="NGU100" s="60" t="n"/>
      <c r="NGV100" s="60" t="n"/>
      <c r="NGW100" s="60" t="n"/>
      <c r="NGX100" s="60" t="n"/>
      <c r="NGY100" s="60" t="n"/>
      <c r="NGZ100" s="60" t="n"/>
      <c r="NHA100" s="60" t="n"/>
      <c r="NHB100" s="60" t="n"/>
      <c r="NHC100" s="60" t="n"/>
      <c r="NHD100" s="60" t="n"/>
      <c r="NHE100" s="60" t="n"/>
      <c r="NHF100" s="60" t="n"/>
      <c r="NHG100" s="60" t="n"/>
      <c r="NHH100" s="60" t="n"/>
      <c r="NHI100" s="60" t="n"/>
      <c r="NHJ100" s="60" t="n"/>
      <c r="NHK100" s="60" t="n"/>
      <c r="NHL100" s="60" t="n"/>
      <c r="NHM100" s="60" t="n"/>
      <c r="NHN100" s="60" t="n"/>
      <c r="NHO100" s="60" t="n"/>
      <c r="NHP100" s="60" t="n"/>
      <c r="NHQ100" s="60" t="n"/>
      <c r="NHR100" s="60" t="n"/>
      <c r="NHS100" s="60" t="n"/>
      <c r="NHT100" s="60" t="n"/>
      <c r="NHU100" s="60" t="n"/>
      <c r="NHV100" s="60" t="n"/>
      <c r="NHW100" s="60" t="n"/>
      <c r="NHX100" s="60" t="n"/>
      <c r="NHY100" s="60" t="n"/>
      <c r="NHZ100" s="60" t="n"/>
      <c r="NIA100" s="60" t="n"/>
      <c r="NIB100" s="60" t="n"/>
      <c r="NIC100" s="60" t="n"/>
      <c r="NID100" s="60" t="n"/>
      <c r="NIE100" s="60" t="n"/>
      <c r="NIF100" s="60" t="n"/>
      <c r="NIG100" s="60" t="n"/>
      <c r="NIH100" s="60" t="n"/>
      <c r="NII100" s="60" t="n"/>
      <c r="NIJ100" s="60" t="n"/>
      <c r="NIK100" s="60" t="n"/>
      <c r="NIL100" s="60" t="n"/>
      <c r="NIM100" s="60" t="n"/>
      <c r="NIN100" s="60" t="n"/>
      <c r="NIO100" s="60" t="n"/>
      <c r="NIP100" s="60" t="n"/>
      <c r="NIQ100" s="60" t="n"/>
      <c r="NIR100" s="60" t="n"/>
      <c r="NIS100" s="60" t="n"/>
      <c r="NIT100" s="60" t="n"/>
      <c r="NIU100" s="60" t="n"/>
      <c r="NIV100" s="60" t="n"/>
      <c r="NIW100" s="60" t="n"/>
      <c r="NIX100" s="60" t="n"/>
      <c r="NIY100" s="60" t="n"/>
      <c r="NIZ100" s="60" t="n"/>
      <c r="NJA100" s="60" t="n"/>
      <c r="NJB100" s="60" t="n"/>
      <c r="NJC100" s="60" t="n"/>
      <c r="NJD100" s="60" t="n"/>
      <c r="NJE100" s="60" t="n"/>
      <c r="NJF100" s="60" t="n"/>
      <c r="NJG100" s="60" t="n"/>
      <c r="NJH100" s="60" t="n"/>
      <c r="NJI100" s="60" t="n"/>
      <c r="NJJ100" s="60" t="n"/>
      <c r="NJK100" s="60" t="n"/>
      <c r="NJL100" s="60" t="n"/>
      <c r="NJM100" s="60" t="n"/>
      <c r="NJN100" s="60" t="n"/>
      <c r="NJO100" s="60" t="n"/>
      <c r="NJP100" s="60" t="n"/>
      <c r="NJQ100" s="60" t="n"/>
      <c r="NJR100" s="60" t="n"/>
      <c r="NJS100" s="60" t="n"/>
      <c r="NJT100" s="60" t="n"/>
      <c r="NJU100" s="60" t="n"/>
      <c r="NJV100" s="60" t="n"/>
      <c r="NJW100" s="60" t="n"/>
      <c r="NJX100" s="60" t="n"/>
      <c r="NJY100" s="60" t="n"/>
      <c r="NJZ100" s="60" t="n"/>
      <c r="NKA100" s="60" t="n"/>
      <c r="NKB100" s="60" t="n"/>
      <c r="NKC100" s="60" t="n"/>
      <c r="NKD100" s="60" t="n"/>
      <c r="NKE100" s="60" t="n"/>
      <c r="NKF100" s="60" t="n"/>
      <c r="NKG100" s="60" t="n"/>
      <c r="NKH100" s="60" t="n"/>
      <c r="NKI100" s="60" t="n"/>
      <c r="NKJ100" s="60" t="n"/>
      <c r="NKK100" s="60" t="n"/>
      <c r="NKL100" s="60" t="n"/>
      <c r="NKM100" s="60" t="n"/>
      <c r="NKN100" s="60" t="n"/>
      <c r="NKO100" s="60" t="n"/>
      <c r="NKP100" s="60" t="n"/>
      <c r="NKQ100" s="60" t="n"/>
      <c r="NKR100" s="60" t="n"/>
      <c r="NKS100" s="60" t="n"/>
      <c r="NKT100" s="60" t="n"/>
      <c r="NKU100" s="60" t="n"/>
      <c r="NKV100" s="60" t="n"/>
      <c r="NKW100" s="60" t="n"/>
      <c r="NKX100" s="60" t="n"/>
      <c r="NKY100" s="60" t="n"/>
      <c r="NKZ100" s="60" t="n"/>
      <c r="NLA100" s="60" t="n"/>
      <c r="NLB100" s="60" t="n"/>
      <c r="NLC100" s="60" t="n"/>
      <c r="NLD100" s="60" t="n"/>
      <c r="NLE100" s="60" t="n"/>
      <c r="NLF100" s="60" t="n"/>
      <c r="NLG100" s="60" t="n"/>
      <c r="NLH100" s="60" t="n"/>
      <c r="NLI100" s="60" t="n"/>
      <c r="NLJ100" s="60" t="n"/>
      <c r="NLK100" s="60" t="n"/>
      <c r="NLL100" s="60" t="n"/>
      <c r="NLM100" s="60" t="n"/>
      <c r="NLN100" s="60" t="n"/>
      <c r="NLO100" s="60" t="n"/>
      <c r="NLP100" s="60" t="n"/>
      <c r="NLQ100" s="60" t="n"/>
      <c r="NLR100" s="60" t="n"/>
      <c r="NLS100" s="60" t="n"/>
      <c r="NLT100" s="60" t="n"/>
      <c r="NLU100" s="60" t="n"/>
      <c r="NLV100" s="60" t="n"/>
      <c r="NLW100" s="60" t="n"/>
      <c r="NLX100" s="60" t="n"/>
      <c r="NLY100" s="60" t="n"/>
      <c r="NLZ100" s="60" t="n"/>
      <c r="NMA100" s="60" t="n"/>
      <c r="NMB100" s="60" t="n"/>
      <c r="NMC100" s="60" t="n"/>
      <c r="NMD100" s="60" t="n"/>
      <c r="NME100" s="60" t="n"/>
      <c r="NMF100" s="60" t="n"/>
      <c r="NMG100" s="60" t="n"/>
      <c r="NMH100" s="60" t="n"/>
      <c r="NMI100" s="60" t="n"/>
      <c r="NMJ100" s="60" t="n"/>
      <c r="NMK100" s="60" t="n"/>
      <c r="NML100" s="60" t="n"/>
      <c r="NMM100" s="60" t="n"/>
      <c r="NMN100" s="60" t="n"/>
      <c r="NMO100" s="60" t="n"/>
      <c r="NMP100" s="60" t="n"/>
      <c r="NMQ100" s="60" t="n"/>
      <c r="NMR100" s="60" t="n"/>
      <c r="NMS100" s="60" t="n"/>
      <c r="NMT100" s="60" t="n"/>
      <c r="NMU100" s="60" t="n"/>
      <c r="NMV100" s="60" t="n"/>
      <c r="NMW100" s="60" t="n"/>
      <c r="NMX100" s="60" t="n"/>
      <c r="NMY100" s="60" t="n"/>
      <c r="NMZ100" s="60" t="n"/>
      <c r="NNA100" s="60" t="n"/>
      <c r="NNB100" s="60" t="n"/>
      <c r="NNC100" s="60" t="n"/>
      <c r="NND100" s="60" t="n"/>
      <c r="NNE100" s="60" t="n"/>
      <c r="NNF100" s="60" t="n"/>
      <c r="NNG100" s="60" t="n"/>
      <c r="NNH100" s="60" t="n"/>
      <c r="NNI100" s="60" t="n"/>
      <c r="NNJ100" s="60" t="n"/>
      <c r="NNK100" s="60" t="n"/>
      <c r="NNL100" s="60" t="n"/>
      <c r="NNM100" s="60" t="n"/>
      <c r="NNN100" s="60" t="n"/>
      <c r="NNO100" s="60" t="n"/>
      <c r="NNP100" s="60" t="n"/>
      <c r="NNQ100" s="60" t="n"/>
      <c r="NNR100" s="60" t="n"/>
      <c r="NNS100" s="60" t="n"/>
      <c r="NNT100" s="60" t="n"/>
      <c r="NNU100" s="60" t="n"/>
      <c r="NNV100" s="60" t="n"/>
      <c r="NNW100" s="60" t="n"/>
      <c r="NNX100" s="60" t="n"/>
      <c r="NNY100" s="60" t="n"/>
      <c r="NNZ100" s="60" t="n"/>
      <c r="NOA100" s="60" t="n"/>
      <c r="NOB100" s="60" t="n"/>
      <c r="NOC100" s="60" t="n"/>
      <c r="NOD100" s="60" t="n"/>
      <c r="NOE100" s="60" t="n"/>
      <c r="NOF100" s="60" t="n"/>
      <c r="NOG100" s="60" t="n"/>
      <c r="NOH100" s="60" t="n"/>
      <c r="NOI100" s="60" t="n"/>
      <c r="NOJ100" s="60" t="n"/>
      <c r="NOK100" s="60" t="n"/>
      <c r="NOL100" s="60" t="n"/>
      <c r="NOM100" s="60" t="n"/>
      <c r="NON100" s="60" t="n"/>
      <c r="NOO100" s="60" t="n"/>
      <c r="NOP100" s="60" t="n"/>
      <c r="NOQ100" s="60" t="n"/>
      <c r="NOR100" s="60" t="n"/>
      <c r="NOS100" s="60" t="n"/>
      <c r="NOT100" s="60" t="n"/>
      <c r="NOU100" s="60" t="n"/>
      <c r="NOV100" s="60" t="n"/>
      <c r="NOW100" s="60" t="n"/>
      <c r="NOX100" s="60" t="n"/>
      <c r="NOY100" s="60" t="n"/>
      <c r="NOZ100" s="60" t="n"/>
      <c r="NPA100" s="60" t="n"/>
      <c r="NPB100" s="60" t="n"/>
      <c r="NPC100" s="60" t="n"/>
      <c r="NPD100" s="60" t="n"/>
      <c r="NPE100" s="60" t="n"/>
      <c r="NPF100" s="60" t="n"/>
      <c r="NPG100" s="60" t="n"/>
      <c r="NPH100" s="60" t="n"/>
      <c r="NPI100" s="60" t="n"/>
      <c r="NPJ100" s="60" t="n"/>
      <c r="NPK100" s="60" t="n"/>
      <c r="NPL100" s="60" t="n"/>
      <c r="NPM100" s="60" t="n"/>
      <c r="NPN100" s="60" t="n"/>
      <c r="NPO100" s="60" t="n"/>
      <c r="NPP100" s="60" t="n"/>
      <c r="NPQ100" s="60" t="n"/>
      <c r="NPR100" s="60" t="n"/>
      <c r="NPS100" s="60" t="n"/>
      <c r="NPT100" s="60" t="n"/>
      <c r="NPU100" s="60" t="n"/>
      <c r="NPV100" s="60" t="n"/>
      <c r="NPW100" s="60" t="n"/>
      <c r="NPX100" s="60" t="n"/>
      <c r="NPY100" s="60" t="n"/>
      <c r="NPZ100" s="60" t="n"/>
      <c r="NQA100" s="60" t="n"/>
      <c r="NQB100" s="60" t="n"/>
      <c r="NQC100" s="60" t="n"/>
      <c r="NQD100" s="60" t="n"/>
      <c r="NQE100" s="60" t="n"/>
      <c r="NQF100" s="60" t="n"/>
      <c r="NQG100" s="60" t="n"/>
      <c r="NQH100" s="60" t="n"/>
      <c r="NQI100" s="60" t="n"/>
      <c r="NQJ100" s="60" t="n"/>
      <c r="NQK100" s="60" t="n"/>
      <c r="NQL100" s="60" t="n"/>
      <c r="NQM100" s="60" t="n"/>
      <c r="NQN100" s="60" t="n"/>
      <c r="NQO100" s="60" t="n"/>
      <c r="NQP100" s="60" t="n"/>
      <c r="NQQ100" s="60" t="n"/>
      <c r="NQR100" s="60" t="n"/>
      <c r="NQS100" s="60" t="n"/>
      <c r="NQT100" s="60" t="n"/>
      <c r="NQU100" s="60" t="n"/>
      <c r="NQV100" s="60" t="n"/>
      <c r="NQW100" s="60" t="n"/>
      <c r="NQX100" s="60" t="n"/>
      <c r="NQY100" s="60" t="n"/>
      <c r="NQZ100" s="60" t="n"/>
      <c r="NRA100" s="60" t="n"/>
      <c r="NRB100" s="60" t="n"/>
      <c r="NRC100" s="60" t="n"/>
      <c r="NRD100" s="60" t="n"/>
      <c r="NRE100" s="60" t="n"/>
      <c r="NRF100" s="60" t="n"/>
      <c r="NRG100" s="60" t="n"/>
      <c r="NRH100" s="60" t="n"/>
      <c r="NRI100" s="60" t="n"/>
      <c r="NRJ100" s="60" t="n"/>
      <c r="NRK100" s="60" t="n"/>
      <c r="NRL100" s="60" t="n"/>
      <c r="NRM100" s="60" t="n"/>
      <c r="NRN100" s="60" t="n"/>
      <c r="NRO100" s="60" t="n"/>
      <c r="NRP100" s="60" t="n"/>
      <c r="NRQ100" s="60" t="n"/>
      <c r="NRR100" s="60" t="n"/>
      <c r="NRS100" s="60" t="n"/>
      <c r="NRT100" s="60" t="n"/>
      <c r="NRU100" s="60" t="n"/>
      <c r="NRV100" s="60" t="n"/>
      <c r="NRW100" s="60" t="n"/>
      <c r="NRX100" s="60" t="n"/>
      <c r="NRY100" s="60" t="n"/>
      <c r="NRZ100" s="60" t="n"/>
      <c r="NSA100" s="60" t="n"/>
      <c r="NSB100" s="60" t="n"/>
      <c r="NSC100" s="60" t="n"/>
      <c r="NSD100" s="60" t="n"/>
      <c r="NSE100" s="60" t="n"/>
      <c r="NSF100" s="60" t="n"/>
      <c r="NSG100" s="60" t="n"/>
      <c r="NSH100" s="60" t="n"/>
      <c r="NSI100" s="60" t="n"/>
      <c r="NSJ100" s="60" t="n"/>
      <c r="NSK100" s="60" t="n"/>
      <c r="NSL100" s="60" t="n"/>
      <c r="NSM100" s="60" t="n"/>
      <c r="NSN100" s="60" t="n"/>
      <c r="NSO100" s="60" t="n"/>
      <c r="NSP100" s="60" t="n"/>
      <c r="NSQ100" s="60" t="n"/>
      <c r="NSR100" s="60" t="n"/>
      <c r="NSS100" s="60" t="n"/>
      <c r="NST100" s="60" t="n"/>
      <c r="NSU100" s="60" t="n"/>
      <c r="NSV100" s="60" t="n"/>
      <c r="NSW100" s="60" t="n"/>
      <c r="NSX100" s="60" t="n"/>
      <c r="NSY100" s="60" t="n"/>
      <c r="NSZ100" s="60" t="n"/>
      <c r="NTA100" s="60" t="n"/>
      <c r="NTB100" s="60" t="n"/>
      <c r="NTC100" s="60" t="n"/>
      <c r="NTD100" s="60" t="n"/>
      <c r="NTE100" s="60" t="n"/>
      <c r="NTF100" s="60" t="n"/>
      <c r="NTG100" s="60" t="n"/>
      <c r="NTH100" s="60" t="n"/>
      <c r="NTI100" s="60" t="n"/>
      <c r="NTJ100" s="60" t="n"/>
      <c r="NTK100" s="60" t="n"/>
      <c r="NTL100" s="60" t="n"/>
      <c r="NTM100" s="60" t="n"/>
      <c r="NTN100" s="60" t="n"/>
      <c r="NTO100" s="60" t="n"/>
      <c r="NTP100" s="60" t="n"/>
      <c r="NTQ100" s="60" t="n"/>
      <c r="NTR100" s="60" t="n"/>
      <c r="NTS100" s="60" t="n"/>
      <c r="NTT100" s="60" t="n"/>
      <c r="NTU100" s="60" t="n"/>
      <c r="NTV100" s="60" t="n"/>
      <c r="NTW100" s="60" t="n"/>
      <c r="NTX100" s="60" t="n"/>
      <c r="NTY100" s="60" t="n"/>
      <c r="NTZ100" s="60" t="n"/>
      <c r="NUA100" s="60" t="n"/>
      <c r="NUB100" s="60" t="n"/>
      <c r="NUC100" s="60" t="n"/>
      <c r="NUD100" s="60" t="n"/>
      <c r="NUE100" s="60" t="n"/>
      <c r="NUF100" s="60" t="n"/>
      <c r="NUG100" s="60" t="n"/>
      <c r="NUH100" s="60" t="n"/>
      <c r="NUI100" s="60" t="n"/>
      <c r="NUJ100" s="60" t="n"/>
      <c r="NUK100" s="60" t="n"/>
      <c r="NUL100" s="60" t="n"/>
      <c r="NUM100" s="60" t="n"/>
      <c r="NUN100" s="60" t="n"/>
      <c r="NUO100" s="60" t="n"/>
      <c r="NUP100" s="60" t="n"/>
      <c r="NUQ100" s="60" t="n"/>
      <c r="NUR100" s="60" t="n"/>
      <c r="NUS100" s="60" t="n"/>
      <c r="NUT100" s="60" t="n"/>
      <c r="NUU100" s="60" t="n"/>
      <c r="NUV100" s="60" t="n"/>
      <c r="NUW100" s="60" t="n"/>
      <c r="NUX100" s="60" t="n"/>
      <c r="NUY100" s="60" t="n"/>
      <c r="NUZ100" s="60" t="n"/>
      <c r="NVA100" s="60" t="n"/>
      <c r="NVB100" s="60" t="n"/>
      <c r="NVC100" s="60" t="n"/>
      <c r="NVD100" s="60" t="n"/>
      <c r="NVE100" s="60" t="n"/>
      <c r="NVF100" s="60" t="n"/>
      <c r="NVG100" s="60" t="n"/>
      <c r="NVH100" s="60" t="n"/>
      <c r="NVI100" s="60" t="n"/>
      <c r="NVJ100" s="60" t="n"/>
      <c r="NVK100" s="60" t="n"/>
      <c r="NVL100" s="60" t="n"/>
      <c r="NVM100" s="60" t="n"/>
      <c r="NVN100" s="60" t="n"/>
      <c r="NVO100" s="60" t="n"/>
      <c r="NVP100" s="60" t="n"/>
      <c r="NVQ100" s="60" t="n"/>
      <c r="NVR100" s="60" t="n"/>
      <c r="NVS100" s="60" t="n"/>
      <c r="NVT100" s="60" t="n"/>
      <c r="NVU100" s="60" t="n"/>
      <c r="NVV100" s="60" t="n"/>
      <c r="NVW100" s="60" t="n"/>
      <c r="NVX100" s="60" t="n"/>
      <c r="NVY100" s="60" t="n"/>
      <c r="NVZ100" s="60" t="n"/>
      <c r="NWA100" s="60" t="n"/>
      <c r="NWB100" s="60" t="n"/>
      <c r="NWC100" s="60" t="n"/>
      <c r="NWD100" s="60" t="n"/>
      <c r="NWE100" s="60" t="n"/>
      <c r="NWF100" s="60" t="n"/>
      <c r="NWG100" s="60" t="n"/>
      <c r="NWH100" s="60" t="n"/>
      <c r="NWI100" s="60" t="n"/>
      <c r="NWJ100" s="60" t="n"/>
      <c r="NWK100" s="60" t="n"/>
      <c r="NWL100" s="60" t="n"/>
      <c r="NWM100" s="60" t="n"/>
      <c r="NWN100" s="60" t="n"/>
      <c r="NWO100" s="60" t="n"/>
      <c r="NWP100" s="60" t="n"/>
      <c r="NWQ100" s="60" t="n"/>
      <c r="NWR100" s="60" t="n"/>
      <c r="NWS100" s="60" t="n"/>
      <c r="NWT100" s="60" t="n"/>
      <c r="NWU100" s="60" t="n"/>
      <c r="NWV100" s="60" t="n"/>
      <c r="NWW100" s="60" t="n"/>
      <c r="NWX100" s="60" t="n"/>
      <c r="NWY100" s="60" t="n"/>
      <c r="NWZ100" s="60" t="n"/>
      <c r="NXA100" s="60" t="n"/>
      <c r="NXB100" s="60" t="n"/>
      <c r="NXC100" s="60" t="n"/>
      <c r="NXD100" s="60" t="n"/>
      <c r="NXE100" s="60" t="n"/>
      <c r="NXF100" s="60" t="n"/>
      <c r="NXG100" s="60" t="n"/>
      <c r="NXH100" s="60" t="n"/>
      <c r="NXI100" s="60" t="n"/>
      <c r="NXJ100" s="60" t="n"/>
      <c r="NXK100" s="60" t="n"/>
      <c r="NXL100" s="60" t="n"/>
      <c r="NXM100" s="60" t="n"/>
      <c r="NXN100" s="60" t="n"/>
      <c r="NXO100" s="60" t="n"/>
      <c r="NXP100" s="60" t="n"/>
      <c r="NXQ100" s="60" t="n"/>
      <c r="NXR100" s="60" t="n"/>
      <c r="NXS100" s="60" t="n"/>
      <c r="NXT100" s="60" t="n"/>
      <c r="NXU100" s="60" t="n"/>
      <c r="NXV100" s="60" t="n"/>
      <c r="NXW100" s="60" t="n"/>
      <c r="NXX100" s="60" t="n"/>
      <c r="NXY100" s="60" t="n"/>
      <c r="NXZ100" s="60" t="n"/>
      <c r="NYA100" s="60" t="n"/>
      <c r="NYB100" s="60" t="n"/>
      <c r="NYC100" s="60" t="n"/>
      <c r="NYD100" s="60" t="n"/>
      <c r="NYE100" s="60" t="n"/>
      <c r="NYF100" s="60" t="n"/>
      <c r="NYG100" s="60" t="n"/>
      <c r="NYH100" s="60" t="n"/>
      <c r="NYI100" s="60" t="n"/>
      <c r="NYJ100" s="60" t="n"/>
      <c r="NYK100" s="60" t="n"/>
      <c r="NYL100" s="60" t="n"/>
      <c r="NYM100" s="60" t="n"/>
      <c r="NYN100" s="60" t="n"/>
      <c r="NYO100" s="60" t="n"/>
      <c r="NYP100" s="60" t="n"/>
      <c r="NYQ100" s="60" t="n"/>
      <c r="NYR100" s="60" t="n"/>
      <c r="NYS100" s="60" t="n"/>
      <c r="NYT100" s="60" t="n"/>
      <c r="NYU100" s="60" t="n"/>
      <c r="NYV100" s="60" t="n"/>
      <c r="NYW100" s="60" t="n"/>
      <c r="NYX100" s="60" t="n"/>
      <c r="NYY100" s="60" t="n"/>
      <c r="NYZ100" s="60" t="n"/>
      <c r="NZA100" s="60" t="n"/>
      <c r="NZB100" s="60" t="n"/>
      <c r="NZC100" s="60" t="n"/>
      <c r="NZD100" s="60" t="n"/>
      <c r="NZE100" s="60" t="n"/>
      <c r="NZF100" s="60" t="n"/>
      <c r="NZG100" s="60" t="n"/>
      <c r="NZH100" s="60" t="n"/>
      <c r="NZI100" s="60" t="n"/>
      <c r="NZJ100" s="60" t="n"/>
      <c r="NZK100" s="60" t="n"/>
      <c r="NZL100" s="60" t="n"/>
      <c r="NZM100" s="60" t="n"/>
      <c r="NZN100" s="60" t="n"/>
      <c r="NZO100" s="60" t="n"/>
      <c r="NZP100" s="60" t="n"/>
      <c r="NZQ100" s="60" t="n"/>
      <c r="NZR100" s="60" t="n"/>
      <c r="NZS100" s="60" t="n"/>
      <c r="NZT100" s="60" t="n"/>
      <c r="NZU100" s="60" t="n"/>
      <c r="NZV100" s="60" t="n"/>
      <c r="NZW100" s="60" t="n"/>
      <c r="NZX100" s="60" t="n"/>
      <c r="NZY100" s="60" t="n"/>
      <c r="NZZ100" s="60" t="n"/>
      <c r="OAA100" s="60" t="n"/>
      <c r="OAB100" s="60" t="n"/>
      <c r="OAC100" s="60" t="n"/>
      <c r="OAD100" s="60" t="n"/>
      <c r="OAE100" s="60" t="n"/>
      <c r="OAF100" s="60" t="n"/>
      <c r="OAG100" s="60" t="n"/>
      <c r="OAH100" s="60" t="n"/>
      <c r="OAI100" s="60" t="n"/>
      <c r="OAJ100" s="60" t="n"/>
      <c r="OAK100" s="60" t="n"/>
      <c r="OAL100" s="60" t="n"/>
      <c r="OAM100" s="60" t="n"/>
      <c r="OAN100" s="60" t="n"/>
      <c r="OAO100" s="60" t="n"/>
      <c r="OAP100" s="60" t="n"/>
      <c r="OAQ100" s="60" t="n"/>
      <c r="OAR100" s="60" t="n"/>
      <c r="OAS100" s="60" t="n"/>
      <c r="OAT100" s="60" t="n"/>
      <c r="OAU100" s="60" t="n"/>
      <c r="OAV100" s="60" t="n"/>
      <c r="OAW100" s="60" t="n"/>
      <c r="OAX100" s="60" t="n"/>
      <c r="OAY100" s="60" t="n"/>
      <c r="OAZ100" s="60" t="n"/>
      <c r="OBA100" s="60" t="n"/>
      <c r="OBB100" s="60" t="n"/>
      <c r="OBC100" s="60" t="n"/>
      <c r="OBD100" s="60" t="n"/>
      <c r="OBE100" s="60" t="n"/>
      <c r="OBF100" s="60" t="n"/>
      <c r="OBG100" s="60" t="n"/>
      <c r="OBH100" s="60" t="n"/>
      <c r="OBI100" s="60" t="n"/>
      <c r="OBJ100" s="60" t="n"/>
      <c r="OBK100" s="60" t="n"/>
      <c r="OBL100" s="60" t="n"/>
      <c r="OBM100" s="60" t="n"/>
      <c r="OBN100" s="60" t="n"/>
      <c r="OBO100" s="60" t="n"/>
      <c r="OBP100" s="60" t="n"/>
      <c r="OBQ100" s="60" t="n"/>
      <c r="OBR100" s="60" t="n"/>
      <c r="OBS100" s="60" t="n"/>
      <c r="OBT100" s="60" t="n"/>
      <c r="OBU100" s="60" t="n"/>
      <c r="OBV100" s="60" t="n"/>
      <c r="OBW100" s="60" t="n"/>
      <c r="OBX100" s="60" t="n"/>
      <c r="OBY100" s="60" t="n"/>
      <c r="OBZ100" s="60" t="n"/>
      <c r="OCA100" s="60" t="n"/>
      <c r="OCB100" s="60" t="n"/>
      <c r="OCC100" s="60" t="n"/>
      <c r="OCD100" s="60" t="n"/>
      <c r="OCE100" s="60" t="n"/>
      <c r="OCF100" s="60" t="n"/>
      <c r="OCG100" s="60" t="n"/>
      <c r="OCH100" s="60" t="n"/>
      <c r="OCI100" s="60" t="n"/>
      <c r="OCJ100" s="60" t="n"/>
      <c r="OCK100" s="60" t="n"/>
      <c r="OCL100" s="60" t="n"/>
      <c r="OCM100" s="60" t="n"/>
      <c r="OCN100" s="60" t="n"/>
      <c r="OCO100" s="60" t="n"/>
      <c r="OCP100" s="60" t="n"/>
      <c r="OCQ100" s="60" t="n"/>
      <c r="OCR100" s="60" t="n"/>
      <c r="OCS100" s="60" t="n"/>
      <c r="OCT100" s="60" t="n"/>
      <c r="OCU100" s="60" t="n"/>
      <c r="OCV100" s="60" t="n"/>
      <c r="OCW100" s="60" t="n"/>
      <c r="OCX100" s="60" t="n"/>
      <c r="OCY100" s="60" t="n"/>
      <c r="OCZ100" s="60" t="n"/>
      <c r="ODA100" s="60" t="n"/>
      <c r="ODB100" s="60" t="n"/>
      <c r="ODC100" s="60" t="n"/>
      <c r="ODD100" s="60" t="n"/>
      <c r="ODE100" s="60" t="n"/>
      <c r="ODF100" s="60" t="n"/>
      <c r="ODG100" s="60" t="n"/>
      <c r="ODH100" s="60" t="n"/>
      <c r="ODI100" s="60" t="n"/>
      <c r="ODJ100" s="60" t="n"/>
      <c r="ODK100" s="60" t="n"/>
      <c r="ODL100" s="60" t="n"/>
      <c r="ODM100" s="60" t="n"/>
      <c r="ODN100" s="60" t="n"/>
      <c r="ODO100" s="60" t="n"/>
      <c r="ODP100" s="60" t="n"/>
      <c r="ODQ100" s="60" t="n"/>
      <c r="ODR100" s="60" t="n"/>
      <c r="ODS100" s="60" t="n"/>
      <c r="ODT100" s="60" t="n"/>
      <c r="ODU100" s="60" t="n"/>
      <c r="ODV100" s="60" t="n"/>
      <c r="ODW100" s="60" t="n"/>
      <c r="ODX100" s="60" t="n"/>
      <c r="ODY100" s="60" t="n"/>
      <c r="ODZ100" s="60" t="n"/>
      <c r="OEA100" s="60" t="n"/>
      <c r="OEB100" s="60" t="n"/>
      <c r="OEC100" s="60" t="n"/>
      <c r="OED100" s="60" t="n"/>
      <c r="OEE100" s="60" t="n"/>
      <c r="OEF100" s="60" t="n"/>
      <c r="OEG100" s="60" t="n"/>
      <c r="OEH100" s="60" t="n"/>
      <c r="OEI100" s="60" t="n"/>
      <c r="OEJ100" s="60" t="n"/>
      <c r="OEK100" s="60" t="n"/>
      <c r="OEL100" s="60" t="n"/>
      <c r="OEM100" s="60" t="n"/>
      <c r="OEN100" s="60" t="n"/>
      <c r="OEO100" s="60" t="n"/>
      <c r="OEP100" s="60" t="n"/>
      <c r="OEQ100" s="60" t="n"/>
      <c r="OER100" s="60" t="n"/>
      <c r="OES100" s="60" t="n"/>
      <c r="OET100" s="60" t="n"/>
      <c r="OEU100" s="60" t="n"/>
      <c r="OEV100" s="60" t="n"/>
      <c r="OEW100" s="60" t="n"/>
      <c r="OEX100" s="60" t="n"/>
      <c r="OEY100" s="60" t="n"/>
      <c r="OEZ100" s="60" t="n"/>
      <c r="OFA100" s="60" t="n"/>
      <c r="OFB100" s="60" t="n"/>
      <c r="OFC100" s="60" t="n"/>
      <c r="OFD100" s="60" t="n"/>
      <c r="OFE100" s="60" t="n"/>
      <c r="OFF100" s="60" t="n"/>
      <c r="OFG100" s="60" t="n"/>
      <c r="OFH100" s="60" t="n"/>
      <c r="OFI100" s="60" t="n"/>
      <c r="OFJ100" s="60" t="n"/>
      <c r="OFK100" s="60" t="n"/>
      <c r="OFL100" s="60" t="n"/>
      <c r="OFM100" s="60" t="n"/>
      <c r="OFN100" s="60" t="n"/>
      <c r="OFO100" s="60" t="n"/>
      <c r="OFP100" s="60" t="n"/>
      <c r="OFQ100" s="60" t="n"/>
      <c r="OFR100" s="60" t="n"/>
      <c r="OFS100" s="60" t="n"/>
      <c r="OFT100" s="60" t="n"/>
      <c r="OFU100" s="60" t="n"/>
      <c r="OFV100" s="60" t="n"/>
      <c r="OFW100" s="60" t="n"/>
      <c r="OFX100" s="60" t="n"/>
      <c r="OFY100" s="60" t="n"/>
      <c r="OFZ100" s="60" t="n"/>
      <c r="OGA100" s="60" t="n"/>
      <c r="OGB100" s="60" t="n"/>
      <c r="OGC100" s="60" t="n"/>
      <c r="OGD100" s="60" t="n"/>
      <c r="OGE100" s="60" t="n"/>
      <c r="OGF100" s="60" t="n"/>
      <c r="OGG100" s="60" t="n"/>
      <c r="OGH100" s="60" t="n"/>
      <c r="OGI100" s="60" t="n"/>
      <c r="OGJ100" s="60" t="n"/>
      <c r="OGK100" s="60" t="n"/>
      <c r="OGL100" s="60" t="n"/>
      <c r="OGM100" s="60" t="n"/>
      <c r="OGN100" s="60" t="n"/>
      <c r="OGO100" s="60" t="n"/>
      <c r="OGP100" s="60" t="n"/>
      <c r="OGQ100" s="60" t="n"/>
      <c r="OGR100" s="60" t="n"/>
      <c r="OGS100" s="60" t="n"/>
      <c r="OGT100" s="60" t="n"/>
      <c r="OGU100" s="60" t="n"/>
      <c r="OGV100" s="60" t="n"/>
      <c r="OGW100" s="60" t="n"/>
      <c r="OGX100" s="60" t="n"/>
      <c r="OGY100" s="60" t="n"/>
      <c r="OGZ100" s="60" t="n"/>
      <c r="OHA100" s="60" t="n"/>
      <c r="OHB100" s="60" t="n"/>
      <c r="OHC100" s="60" t="n"/>
      <c r="OHD100" s="60" t="n"/>
      <c r="OHE100" s="60" t="n"/>
      <c r="OHF100" s="60" t="n"/>
      <c r="OHG100" s="60" t="n"/>
      <c r="OHH100" s="60" t="n"/>
      <c r="OHI100" s="60" t="n"/>
      <c r="OHJ100" s="60" t="n"/>
      <c r="OHK100" s="60" t="n"/>
      <c r="OHL100" s="60" t="n"/>
      <c r="OHM100" s="60" t="n"/>
      <c r="OHN100" s="60" t="n"/>
      <c r="OHO100" s="60" t="n"/>
      <c r="OHP100" s="60" t="n"/>
      <c r="OHQ100" s="60" t="n"/>
      <c r="OHR100" s="60" t="n"/>
      <c r="OHS100" s="60" t="n"/>
      <c r="OHT100" s="60" t="n"/>
      <c r="OHU100" s="60" t="n"/>
      <c r="OHV100" s="60" t="n"/>
      <c r="OHW100" s="60" t="n"/>
      <c r="OHX100" s="60" t="n"/>
      <c r="OHY100" s="60" t="n"/>
      <c r="OHZ100" s="60" t="n"/>
      <c r="OIA100" s="60" t="n"/>
      <c r="OIB100" s="60" t="n"/>
      <c r="OIC100" s="60" t="n"/>
      <c r="OID100" s="60" t="n"/>
      <c r="OIE100" s="60" t="n"/>
      <c r="OIF100" s="60" t="n"/>
      <c r="OIG100" s="60" t="n"/>
      <c r="OIH100" s="60" t="n"/>
      <c r="OII100" s="60" t="n"/>
      <c r="OIJ100" s="60" t="n"/>
      <c r="OIK100" s="60" t="n"/>
      <c r="OIL100" s="60" t="n"/>
      <c r="OIM100" s="60" t="n"/>
      <c r="OIN100" s="60" t="n"/>
      <c r="OIO100" s="60" t="n"/>
      <c r="OIP100" s="60" t="n"/>
      <c r="OIQ100" s="60" t="n"/>
      <c r="OIR100" s="60" t="n"/>
      <c r="OIS100" s="60" t="n"/>
      <c r="OIT100" s="60" t="n"/>
      <c r="OIU100" s="60" t="n"/>
      <c r="OIV100" s="60" t="n"/>
      <c r="OIW100" s="60" t="n"/>
      <c r="OIX100" s="60" t="n"/>
      <c r="OIY100" s="60" t="n"/>
      <c r="OIZ100" s="60" t="n"/>
      <c r="OJA100" s="60" t="n"/>
      <c r="OJB100" s="60" t="n"/>
      <c r="OJC100" s="60" t="n"/>
      <c r="OJD100" s="60" t="n"/>
      <c r="OJE100" s="60" t="n"/>
      <c r="OJF100" s="60" t="n"/>
      <c r="OJG100" s="60" t="n"/>
      <c r="OJH100" s="60" t="n"/>
      <c r="OJI100" s="60" t="n"/>
      <c r="OJJ100" s="60" t="n"/>
      <c r="OJK100" s="60" t="n"/>
      <c r="OJL100" s="60" t="n"/>
      <c r="OJM100" s="60" t="n"/>
      <c r="OJN100" s="60" t="n"/>
      <c r="OJO100" s="60" t="n"/>
      <c r="OJP100" s="60" t="n"/>
      <c r="OJQ100" s="60" t="n"/>
      <c r="OJR100" s="60" t="n"/>
      <c r="OJS100" s="60" t="n"/>
      <c r="OJT100" s="60" t="n"/>
      <c r="OJU100" s="60" t="n"/>
      <c r="OJV100" s="60" t="n"/>
      <c r="OJW100" s="60" t="n"/>
      <c r="OJX100" s="60" t="n"/>
      <c r="OJY100" s="60" t="n"/>
      <c r="OJZ100" s="60" t="n"/>
      <c r="OKA100" s="60" t="n"/>
      <c r="OKB100" s="60" t="n"/>
      <c r="OKC100" s="60" t="n"/>
      <c r="OKD100" s="60" t="n"/>
      <c r="OKE100" s="60" t="n"/>
      <c r="OKF100" s="60" t="n"/>
      <c r="OKG100" s="60" t="n"/>
      <c r="OKH100" s="60" t="n"/>
      <c r="OKI100" s="60" t="n"/>
      <c r="OKJ100" s="60" t="n"/>
      <c r="OKK100" s="60" t="n"/>
      <c r="OKL100" s="60" t="n"/>
      <c r="OKM100" s="60" t="n"/>
      <c r="OKN100" s="60" t="n"/>
      <c r="OKO100" s="60" t="n"/>
      <c r="OKP100" s="60" t="n"/>
      <c r="OKQ100" s="60" t="n"/>
      <c r="OKR100" s="60" t="n"/>
      <c r="OKS100" s="60" t="n"/>
      <c r="OKT100" s="60" t="n"/>
      <c r="OKU100" s="60" t="n"/>
      <c r="OKV100" s="60" t="n"/>
      <c r="OKW100" s="60" t="n"/>
      <c r="OKX100" s="60" t="n"/>
      <c r="OKY100" s="60" t="n"/>
      <c r="OKZ100" s="60" t="n"/>
      <c r="OLA100" s="60" t="n"/>
      <c r="OLB100" s="60" t="n"/>
      <c r="OLC100" s="60" t="n"/>
      <c r="OLD100" s="60" t="n"/>
      <c r="OLE100" s="60" t="n"/>
      <c r="OLF100" s="60" t="n"/>
      <c r="OLG100" s="60" t="n"/>
      <c r="OLH100" s="60" t="n"/>
      <c r="OLI100" s="60" t="n"/>
      <c r="OLJ100" s="60" t="n"/>
      <c r="OLK100" s="60" t="n"/>
      <c r="OLL100" s="60" t="n"/>
      <c r="OLM100" s="60" t="n"/>
      <c r="OLN100" s="60" t="n"/>
      <c r="OLO100" s="60" t="n"/>
      <c r="OLP100" s="60" t="n"/>
      <c r="OLQ100" s="60" t="n"/>
      <c r="OLR100" s="60" t="n"/>
      <c r="OLS100" s="60" t="n"/>
      <c r="OLT100" s="60" t="n"/>
      <c r="OLU100" s="60" t="n"/>
      <c r="OLV100" s="60" t="n"/>
      <c r="OLW100" s="60" t="n"/>
      <c r="OLX100" s="60" t="n"/>
      <c r="OLY100" s="60" t="n"/>
      <c r="OLZ100" s="60" t="n"/>
      <c r="OMA100" s="60" t="n"/>
      <c r="OMB100" s="60" t="n"/>
      <c r="OMC100" s="60" t="n"/>
      <c r="OMD100" s="60" t="n"/>
      <c r="OME100" s="60" t="n"/>
      <c r="OMF100" s="60" t="n"/>
      <c r="OMG100" s="60" t="n"/>
      <c r="OMH100" s="60" t="n"/>
      <c r="OMI100" s="60" t="n"/>
      <c r="OMJ100" s="60" t="n"/>
      <c r="OMK100" s="60" t="n"/>
      <c r="OML100" s="60" t="n"/>
      <c r="OMM100" s="60" t="n"/>
      <c r="OMN100" s="60" t="n"/>
      <c r="OMO100" s="60" t="n"/>
      <c r="OMP100" s="60" t="n"/>
      <c r="OMQ100" s="60" t="n"/>
      <c r="OMR100" s="60" t="n"/>
      <c r="OMS100" s="60" t="n"/>
      <c r="OMT100" s="60" t="n"/>
      <c r="OMU100" s="60" t="n"/>
      <c r="OMV100" s="60" t="n"/>
      <c r="OMW100" s="60" t="n"/>
      <c r="OMX100" s="60" t="n"/>
      <c r="OMY100" s="60" t="n"/>
      <c r="OMZ100" s="60" t="n"/>
      <c r="ONA100" s="60" t="n"/>
      <c r="ONB100" s="60" t="n"/>
      <c r="ONC100" s="60" t="n"/>
      <c r="OND100" s="60" t="n"/>
      <c r="ONE100" s="60" t="n"/>
      <c r="ONF100" s="60" t="n"/>
      <c r="ONG100" s="60" t="n"/>
      <c r="ONH100" s="60" t="n"/>
      <c r="ONI100" s="60" t="n"/>
      <c r="ONJ100" s="60" t="n"/>
      <c r="ONK100" s="60" t="n"/>
      <c r="ONL100" s="60" t="n"/>
      <c r="ONM100" s="60" t="n"/>
      <c r="ONN100" s="60" t="n"/>
      <c r="ONO100" s="60" t="n"/>
      <c r="ONP100" s="60" t="n"/>
      <c r="ONQ100" s="60" t="n"/>
      <c r="ONR100" s="60" t="n"/>
      <c r="ONS100" s="60" t="n"/>
      <c r="ONT100" s="60" t="n"/>
      <c r="ONU100" s="60" t="n"/>
      <c r="ONV100" s="60" t="n"/>
      <c r="ONW100" s="60" t="n"/>
      <c r="ONX100" s="60" t="n"/>
      <c r="ONY100" s="60" t="n"/>
      <c r="ONZ100" s="60" t="n"/>
      <c r="OOA100" s="60" t="n"/>
      <c r="OOB100" s="60" t="n"/>
      <c r="OOC100" s="60" t="n"/>
      <c r="OOD100" s="60" t="n"/>
      <c r="OOE100" s="60" t="n"/>
      <c r="OOF100" s="60" t="n"/>
      <c r="OOG100" s="60" t="n"/>
      <c r="OOH100" s="60" t="n"/>
      <c r="OOI100" s="60" t="n"/>
      <c r="OOJ100" s="60" t="n"/>
      <c r="OOK100" s="60" t="n"/>
      <c r="OOL100" s="60" t="n"/>
      <c r="OOM100" s="60" t="n"/>
      <c r="OON100" s="60" t="n"/>
      <c r="OOO100" s="60" t="n"/>
      <c r="OOP100" s="60" t="n"/>
      <c r="OOQ100" s="60" t="n"/>
      <c r="OOR100" s="60" t="n"/>
      <c r="OOS100" s="60" t="n"/>
      <c r="OOT100" s="60" t="n"/>
      <c r="OOU100" s="60" t="n"/>
      <c r="OOV100" s="60" t="n"/>
      <c r="OOW100" s="60" t="n"/>
      <c r="OOX100" s="60" t="n"/>
      <c r="OOY100" s="60" t="n"/>
      <c r="OOZ100" s="60" t="n"/>
      <c r="OPA100" s="60" t="n"/>
      <c r="OPB100" s="60" t="n"/>
      <c r="OPC100" s="60" t="n"/>
      <c r="OPD100" s="60" t="n"/>
      <c r="OPE100" s="60" t="n"/>
      <c r="OPF100" s="60" t="n"/>
      <c r="OPG100" s="60" t="n"/>
      <c r="OPH100" s="60" t="n"/>
      <c r="OPI100" s="60" t="n"/>
      <c r="OPJ100" s="60" t="n"/>
      <c r="OPK100" s="60" t="n"/>
      <c r="OPL100" s="60" t="n"/>
      <c r="OPM100" s="60" t="n"/>
      <c r="OPN100" s="60" t="n"/>
      <c r="OPO100" s="60" t="n"/>
      <c r="OPP100" s="60" t="n"/>
      <c r="OPQ100" s="60" t="n"/>
      <c r="OPR100" s="60" t="n"/>
      <c r="OPS100" s="60" t="n"/>
      <c r="OPT100" s="60" t="n"/>
      <c r="OPU100" s="60" t="n"/>
      <c r="OPV100" s="60" t="n"/>
      <c r="OPW100" s="60" t="n"/>
      <c r="OPX100" s="60" t="n"/>
      <c r="OPY100" s="60" t="n"/>
      <c r="OPZ100" s="60" t="n"/>
      <c r="OQA100" s="60" t="n"/>
      <c r="OQB100" s="60" t="n"/>
      <c r="OQC100" s="60" t="n"/>
      <c r="OQD100" s="60" t="n"/>
      <c r="OQE100" s="60" t="n"/>
      <c r="OQF100" s="60" t="n"/>
      <c r="OQG100" s="60" t="n"/>
      <c r="OQH100" s="60" t="n"/>
      <c r="OQI100" s="60" t="n"/>
      <c r="OQJ100" s="60" t="n"/>
      <c r="OQK100" s="60" t="n"/>
      <c r="OQL100" s="60" t="n"/>
      <c r="OQM100" s="60" t="n"/>
      <c r="OQN100" s="60" t="n"/>
      <c r="OQO100" s="60" t="n"/>
      <c r="OQP100" s="60" t="n"/>
      <c r="OQQ100" s="60" t="n"/>
      <c r="OQR100" s="60" t="n"/>
      <c r="OQS100" s="60" t="n"/>
      <c r="OQT100" s="60" t="n"/>
      <c r="OQU100" s="60" t="n"/>
      <c r="OQV100" s="60" t="n"/>
      <c r="OQW100" s="60" t="n"/>
      <c r="OQX100" s="60" t="n"/>
      <c r="OQY100" s="60" t="n"/>
      <c r="OQZ100" s="60" t="n"/>
      <c r="ORA100" s="60" t="n"/>
      <c r="ORB100" s="60" t="n"/>
      <c r="ORC100" s="60" t="n"/>
      <c r="ORD100" s="60" t="n"/>
      <c r="ORE100" s="60" t="n"/>
      <c r="ORF100" s="60" t="n"/>
      <c r="ORG100" s="60" t="n"/>
      <c r="ORH100" s="60" t="n"/>
      <c r="ORI100" s="60" t="n"/>
      <c r="ORJ100" s="60" t="n"/>
      <c r="ORK100" s="60" t="n"/>
      <c r="ORL100" s="60" t="n"/>
      <c r="ORM100" s="60" t="n"/>
      <c r="ORN100" s="60" t="n"/>
      <c r="ORO100" s="60" t="n"/>
      <c r="ORP100" s="60" t="n"/>
      <c r="ORQ100" s="60" t="n"/>
      <c r="ORR100" s="60" t="n"/>
      <c r="ORS100" s="60" t="n"/>
      <c r="ORT100" s="60" t="n"/>
      <c r="ORU100" s="60" t="n"/>
      <c r="ORV100" s="60" t="n"/>
      <c r="ORW100" s="60" t="n"/>
      <c r="ORX100" s="60" t="n"/>
      <c r="ORY100" s="60" t="n"/>
      <c r="ORZ100" s="60" t="n"/>
      <c r="OSA100" s="60" t="n"/>
      <c r="OSB100" s="60" t="n"/>
      <c r="OSC100" s="60" t="n"/>
      <c r="OSD100" s="60" t="n"/>
      <c r="OSE100" s="60" t="n"/>
      <c r="OSF100" s="60" t="n"/>
      <c r="OSG100" s="60" t="n"/>
      <c r="OSH100" s="60" t="n"/>
      <c r="OSI100" s="60" t="n"/>
      <c r="OSJ100" s="60" t="n"/>
      <c r="OSK100" s="60" t="n"/>
      <c r="OSL100" s="60" t="n"/>
      <c r="OSM100" s="60" t="n"/>
      <c r="OSN100" s="60" t="n"/>
      <c r="OSO100" s="60" t="n"/>
      <c r="OSP100" s="60" t="n"/>
      <c r="OSQ100" s="60" t="n"/>
      <c r="OSR100" s="60" t="n"/>
      <c r="OSS100" s="60" t="n"/>
      <c r="OST100" s="60" t="n"/>
      <c r="OSU100" s="60" t="n"/>
      <c r="OSV100" s="60" t="n"/>
      <c r="OSW100" s="60" t="n"/>
      <c r="OSX100" s="60" t="n"/>
      <c r="OSY100" s="60" t="n"/>
      <c r="OSZ100" s="60" t="n"/>
      <c r="OTA100" s="60" t="n"/>
      <c r="OTB100" s="60" t="n"/>
      <c r="OTC100" s="60" t="n"/>
      <c r="OTD100" s="60" t="n"/>
      <c r="OTE100" s="60" t="n"/>
      <c r="OTF100" s="60" t="n"/>
      <c r="OTG100" s="60" t="n"/>
      <c r="OTH100" s="60" t="n"/>
      <c r="OTI100" s="60" t="n"/>
      <c r="OTJ100" s="60" t="n"/>
      <c r="OTK100" s="60" t="n"/>
      <c r="OTL100" s="60" t="n"/>
      <c r="OTM100" s="60" t="n"/>
      <c r="OTN100" s="60" t="n"/>
      <c r="OTO100" s="60" t="n"/>
      <c r="OTP100" s="60" t="n"/>
      <c r="OTQ100" s="60" t="n"/>
      <c r="OTR100" s="60" t="n"/>
      <c r="OTS100" s="60" t="n"/>
      <c r="OTT100" s="60" t="n"/>
      <c r="OTU100" s="60" t="n"/>
      <c r="OTV100" s="60" t="n"/>
      <c r="OTW100" s="60" t="n"/>
      <c r="OTX100" s="60" t="n"/>
      <c r="OTY100" s="60" t="n"/>
      <c r="OTZ100" s="60" t="n"/>
      <c r="OUA100" s="60" t="n"/>
      <c r="OUB100" s="60" t="n"/>
      <c r="OUC100" s="60" t="n"/>
      <c r="OUD100" s="60" t="n"/>
      <c r="OUE100" s="60" t="n"/>
      <c r="OUF100" s="60" t="n"/>
      <c r="OUG100" s="60" t="n"/>
      <c r="OUH100" s="60" t="n"/>
      <c r="OUI100" s="60" t="n"/>
      <c r="OUJ100" s="60" t="n"/>
      <c r="OUK100" s="60" t="n"/>
      <c r="OUL100" s="60" t="n"/>
      <c r="OUM100" s="60" t="n"/>
      <c r="OUN100" s="60" t="n"/>
      <c r="OUO100" s="60" t="n"/>
      <c r="OUP100" s="60" t="n"/>
      <c r="OUQ100" s="60" t="n"/>
      <c r="OUR100" s="60" t="n"/>
      <c r="OUS100" s="60" t="n"/>
      <c r="OUT100" s="60" t="n"/>
      <c r="OUU100" s="60" t="n"/>
      <c r="OUV100" s="60" t="n"/>
      <c r="OUW100" s="60" t="n"/>
      <c r="OUX100" s="60" t="n"/>
      <c r="OUY100" s="60" t="n"/>
      <c r="OUZ100" s="60" t="n"/>
      <c r="OVA100" s="60" t="n"/>
      <c r="OVB100" s="60" t="n"/>
      <c r="OVC100" s="60" t="n"/>
      <c r="OVD100" s="60" t="n"/>
      <c r="OVE100" s="60" t="n"/>
      <c r="OVF100" s="60" t="n"/>
      <c r="OVG100" s="60" t="n"/>
      <c r="OVH100" s="60" t="n"/>
      <c r="OVI100" s="60" t="n"/>
      <c r="OVJ100" s="60" t="n"/>
      <c r="OVK100" s="60" t="n"/>
      <c r="OVL100" s="60" t="n"/>
      <c r="OVM100" s="60" t="n"/>
      <c r="OVN100" s="60" t="n"/>
      <c r="OVO100" s="60" t="n"/>
      <c r="OVP100" s="60" t="n"/>
      <c r="OVQ100" s="60" t="n"/>
      <c r="OVR100" s="60" t="n"/>
      <c r="OVS100" s="60" t="n"/>
      <c r="OVT100" s="60" t="n"/>
      <c r="OVU100" s="60" t="n"/>
      <c r="OVV100" s="60" t="n"/>
      <c r="OVW100" s="60" t="n"/>
      <c r="OVX100" s="60" t="n"/>
      <c r="OVY100" s="60" t="n"/>
      <c r="OVZ100" s="60" t="n"/>
      <c r="OWA100" s="60" t="n"/>
      <c r="OWB100" s="60" t="n"/>
      <c r="OWC100" s="60" t="n"/>
      <c r="OWD100" s="60" t="n"/>
      <c r="OWE100" s="60" t="n"/>
      <c r="OWF100" s="60" t="n"/>
      <c r="OWG100" s="60" t="n"/>
      <c r="OWH100" s="60" t="n"/>
      <c r="OWI100" s="60" t="n"/>
      <c r="OWJ100" s="60" t="n"/>
      <c r="OWK100" s="60" t="n"/>
      <c r="OWL100" s="60" t="n"/>
      <c r="OWM100" s="60" t="n"/>
      <c r="OWN100" s="60" t="n"/>
      <c r="OWO100" s="60" t="n"/>
      <c r="OWP100" s="60" t="n"/>
      <c r="OWQ100" s="60" t="n"/>
      <c r="OWR100" s="60" t="n"/>
      <c r="OWS100" s="60" t="n"/>
      <c r="OWT100" s="60" t="n"/>
      <c r="OWU100" s="60" t="n"/>
      <c r="OWV100" s="60" t="n"/>
      <c r="OWW100" s="60" t="n"/>
      <c r="OWX100" s="60" t="n"/>
      <c r="OWY100" s="60" t="n"/>
      <c r="OWZ100" s="60" t="n"/>
      <c r="OXA100" s="60" t="n"/>
      <c r="OXB100" s="60" t="n"/>
      <c r="OXC100" s="60" t="n"/>
      <c r="OXD100" s="60" t="n"/>
      <c r="OXE100" s="60" t="n"/>
      <c r="OXF100" s="60" t="n"/>
      <c r="OXG100" s="60" t="n"/>
      <c r="OXH100" s="60" t="n"/>
      <c r="OXI100" s="60" t="n"/>
      <c r="OXJ100" s="60" t="n"/>
      <c r="OXK100" s="60" t="n"/>
      <c r="OXL100" s="60" t="n"/>
      <c r="OXM100" s="60" t="n"/>
      <c r="OXN100" s="60" t="n"/>
      <c r="OXO100" s="60" t="n"/>
      <c r="OXP100" s="60" t="n"/>
      <c r="OXQ100" s="60" t="n"/>
      <c r="OXR100" s="60" t="n"/>
      <c r="OXS100" s="60" t="n"/>
      <c r="OXT100" s="60" t="n"/>
      <c r="OXU100" s="60" t="n"/>
      <c r="OXV100" s="60" t="n"/>
      <c r="OXW100" s="60" t="n"/>
      <c r="OXX100" s="60" t="n"/>
      <c r="OXY100" s="60" t="n"/>
      <c r="OXZ100" s="60" t="n"/>
      <c r="OYA100" s="60" t="n"/>
      <c r="OYB100" s="60" t="n"/>
      <c r="OYC100" s="60" t="n"/>
      <c r="OYD100" s="60" t="n"/>
      <c r="OYE100" s="60" t="n"/>
      <c r="OYF100" s="60" t="n"/>
      <c r="OYG100" s="60" t="n"/>
      <c r="OYH100" s="60" t="n"/>
      <c r="OYI100" s="60" t="n"/>
      <c r="OYJ100" s="60" t="n"/>
      <c r="OYK100" s="60" t="n"/>
      <c r="OYL100" s="60" t="n"/>
      <c r="OYM100" s="60" t="n"/>
      <c r="OYN100" s="60" t="n"/>
      <c r="OYO100" s="60" t="n"/>
      <c r="OYP100" s="60" t="n"/>
      <c r="OYQ100" s="60" t="n"/>
      <c r="OYR100" s="60" t="n"/>
      <c r="OYS100" s="60" t="n"/>
      <c r="OYT100" s="60" t="n"/>
      <c r="OYU100" s="60" t="n"/>
      <c r="OYV100" s="60" t="n"/>
      <c r="OYW100" s="60" t="n"/>
      <c r="OYX100" s="60" t="n"/>
      <c r="OYY100" s="60" t="n"/>
      <c r="OYZ100" s="60" t="n"/>
      <c r="OZA100" s="60" t="n"/>
      <c r="OZB100" s="60" t="n"/>
      <c r="OZC100" s="60" t="n"/>
      <c r="OZD100" s="60" t="n"/>
      <c r="OZE100" s="60" t="n"/>
      <c r="OZF100" s="60" t="n"/>
      <c r="OZG100" s="60" t="n"/>
      <c r="OZH100" s="60" t="n"/>
      <c r="OZI100" s="60" t="n"/>
      <c r="OZJ100" s="60" t="n"/>
      <c r="OZK100" s="60" t="n"/>
      <c r="OZL100" s="60" t="n"/>
      <c r="OZM100" s="60" t="n"/>
      <c r="OZN100" s="60" t="n"/>
      <c r="OZO100" s="60" t="n"/>
      <c r="OZP100" s="60" t="n"/>
      <c r="OZQ100" s="60" t="n"/>
      <c r="OZR100" s="60" t="n"/>
      <c r="OZS100" s="60" t="n"/>
      <c r="OZT100" s="60" t="n"/>
      <c r="OZU100" s="60" t="n"/>
      <c r="OZV100" s="60" t="n"/>
      <c r="OZW100" s="60" t="n"/>
      <c r="OZX100" s="60" t="n"/>
      <c r="OZY100" s="60" t="n"/>
      <c r="OZZ100" s="60" t="n"/>
      <c r="PAA100" s="60" t="n"/>
      <c r="PAB100" s="60" t="n"/>
      <c r="PAC100" s="60" t="n"/>
      <c r="PAD100" s="60" t="n"/>
      <c r="PAE100" s="60" t="n"/>
      <c r="PAF100" s="60" t="n"/>
      <c r="PAG100" s="60" t="n"/>
      <c r="PAH100" s="60" t="n"/>
      <c r="PAI100" s="60" t="n"/>
      <c r="PAJ100" s="60" t="n"/>
      <c r="PAK100" s="60" t="n"/>
      <c r="PAL100" s="60" t="n"/>
      <c r="PAM100" s="60" t="n"/>
      <c r="PAN100" s="60" t="n"/>
      <c r="PAO100" s="60" t="n"/>
      <c r="PAP100" s="60" t="n"/>
      <c r="PAQ100" s="60" t="n"/>
      <c r="PAR100" s="60" t="n"/>
      <c r="PAS100" s="60" t="n"/>
      <c r="PAT100" s="60" t="n"/>
      <c r="PAU100" s="60" t="n"/>
      <c r="PAV100" s="60" t="n"/>
      <c r="PAW100" s="60" t="n"/>
      <c r="PAX100" s="60" t="n"/>
      <c r="PAY100" s="60" t="n"/>
      <c r="PAZ100" s="60" t="n"/>
      <c r="PBA100" s="60" t="n"/>
      <c r="PBB100" s="60" t="n"/>
      <c r="PBC100" s="60" t="n"/>
      <c r="PBD100" s="60" t="n"/>
      <c r="PBE100" s="60" t="n"/>
      <c r="PBF100" s="60" t="n"/>
      <c r="PBG100" s="60" t="n"/>
      <c r="PBH100" s="60" t="n"/>
      <c r="PBI100" s="60" t="n"/>
      <c r="PBJ100" s="60" t="n"/>
      <c r="PBK100" s="60" t="n"/>
      <c r="PBL100" s="60" t="n"/>
      <c r="PBM100" s="60" t="n"/>
      <c r="PBN100" s="60" t="n"/>
      <c r="PBO100" s="60" t="n"/>
      <c r="PBP100" s="60" t="n"/>
      <c r="PBQ100" s="60" t="n"/>
      <c r="PBR100" s="60" t="n"/>
      <c r="PBS100" s="60" t="n"/>
      <c r="PBT100" s="60" t="n"/>
      <c r="PBU100" s="60" t="n"/>
      <c r="PBV100" s="60" t="n"/>
      <c r="PBW100" s="60" t="n"/>
      <c r="PBX100" s="60" t="n"/>
      <c r="PBY100" s="60" t="n"/>
      <c r="PBZ100" s="60" t="n"/>
      <c r="PCA100" s="60" t="n"/>
      <c r="PCB100" s="60" t="n"/>
      <c r="PCC100" s="60" t="n"/>
      <c r="PCD100" s="60" t="n"/>
      <c r="PCE100" s="60" t="n"/>
      <c r="PCF100" s="60" t="n"/>
      <c r="PCG100" s="60" t="n"/>
      <c r="PCH100" s="60" t="n"/>
      <c r="PCI100" s="60" t="n"/>
      <c r="PCJ100" s="60" t="n"/>
      <c r="PCK100" s="60" t="n"/>
      <c r="PCL100" s="60" t="n"/>
      <c r="PCM100" s="60" t="n"/>
      <c r="PCN100" s="60" t="n"/>
      <c r="PCO100" s="60" t="n"/>
      <c r="PCP100" s="60" t="n"/>
      <c r="PCQ100" s="60" t="n"/>
      <c r="PCR100" s="60" t="n"/>
      <c r="PCS100" s="60" t="n"/>
      <c r="PCT100" s="60" t="n"/>
      <c r="PCU100" s="60" t="n"/>
      <c r="PCV100" s="60" t="n"/>
      <c r="PCW100" s="60" t="n"/>
      <c r="PCX100" s="60" t="n"/>
      <c r="PCY100" s="60" t="n"/>
      <c r="PCZ100" s="60" t="n"/>
      <c r="PDA100" s="60" t="n"/>
      <c r="PDB100" s="60" t="n"/>
      <c r="PDC100" s="60" t="n"/>
      <c r="PDD100" s="60" t="n"/>
      <c r="PDE100" s="60" t="n"/>
      <c r="PDF100" s="60" t="n"/>
      <c r="PDG100" s="60" t="n"/>
      <c r="PDH100" s="60" t="n"/>
      <c r="PDI100" s="60" t="n"/>
      <c r="PDJ100" s="60" t="n"/>
      <c r="PDK100" s="60" t="n"/>
      <c r="PDL100" s="60" t="n"/>
      <c r="PDM100" s="60" t="n"/>
      <c r="PDN100" s="60" t="n"/>
      <c r="PDO100" s="60" t="n"/>
      <c r="PDP100" s="60" t="n"/>
      <c r="PDQ100" s="60" t="n"/>
      <c r="PDR100" s="60" t="n"/>
      <c r="PDS100" s="60" t="n"/>
      <c r="PDT100" s="60" t="n"/>
      <c r="PDU100" s="60" t="n"/>
      <c r="PDV100" s="60" t="n"/>
      <c r="PDW100" s="60" t="n"/>
      <c r="PDX100" s="60" t="n"/>
      <c r="PDY100" s="60" t="n"/>
      <c r="PDZ100" s="60" t="n"/>
      <c r="PEA100" s="60" t="n"/>
      <c r="PEB100" s="60" t="n"/>
      <c r="PEC100" s="60" t="n"/>
      <c r="PED100" s="60" t="n"/>
      <c r="PEE100" s="60" t="n"/>
      <c r="PEF100" s="60" t="n"/>
      <c r="PEG100" s="60" t="n"/>
      <c r="PEH100" s="60" t="n"/>
      <c r="PEI100" s="60" t="n"/>
      <c r="PEJ100" s="60" t="n"/>
      <c r="PEK100" s="60" t="n"/>
      <c r="PEL100" s="60" t="n"/>
      <c r="PEM100" s="60" t="n"/>
      <c r="PEN100" s="60" t="n"/>
      <c r="PEO100" s="60" t="n"/>
      <c r="PEP100" s="60" t="n"/>
      <c r="PEQ100" s="60" t="n"/>
      <c r="PER100" s="60" t="n"/>
      <c r="PES100" s="60" t="n"/>
      <c r="PET100" s="60" t="n"/>
      <c r="PEU100" s="60" t="n"/>
      <c r="PEV100" s="60" t="n"/>
      <c r="PEW100" s="60" t="n"/>
      <c r="PEX100" s="60" t="n"/>
      <c r="PEY100" s="60" t="n"/>
      <c r="PEZ100" s="60" t="n"/>
      <c r="PFA100" s="60" t="n"/>
      <c r="PFB100" s="60" t="n"/>
      <c r="PFC100" s="60" t="n"/>
      <c r="PFD100" s="60" t="n"/>
      <c r="PFE100" s="60" t="n"/>
      <c r="PFF100" s="60" t="n"/>
      <c r="PFG100" s="60" t="n"/>
      <c r="PFH100" s="60" t="n"/>
      <c r="PFI100" s="60" t="n"/>
      <c r="PFJ100" s="60" t="n"/>
      <c r="PFK100" s="60" t="n"/>
      <c r="PFL100" s="60" t="n"/>
      <c r="PFM100" s="60" t="n"/>
      <c r="PFN100" s="60" t="n"/>
      <c r="PFO100" s="60" t="n"/>
      <c r="PFP100" s="60" t="n"/>
      <c r="PFQ100" s="60" t="n"/>
      <c r="PFR100" s="60" t="n"/>
      <c r="PFS100" s="60" t="n"/>
      <c r="PFT100" s="60" t="n"/>
      <c r="PFU100" s="60" t="n"/>
      <c r="PFV100" s="60" t="n"/>
      <c r="PFW100" s="60" t="n"/>
      <c r="PFX100" s="60" t="n"/>
      <c r="PFY100" s="60" t="n"/>
      <c r="PFZ100" s="60" t="n"/>
      <c r="PGA100" s="60" t="n"/>
      <c r="PGB100" s="60" t="n"/>
      <c r="PGC100" s="60" t="n"/>
      <c r="PGD100" s="60" t="n"/>
      <c r="PGE100" s="60" t="n"/>
      <c r="PGF100" s="60" t="n"/>
      <c r="PGG100" s="60" t="n"/>
      <c r="PGH100" s="60" t="n"/>
      <c r="PGI100" s="60" t="n"/>
      <c r="PGJ100" s="60" t="n"/>
      <c r="PGK100" s="60" t="n"/>
      <c r="PGL100" s="60" t="n"/>
      <c r="PGM100" s="60" t="n"/>
      <c r="PGN100" s="60" t="n"/>
      <c r="PGO100" s="60" t="n"/>
      <c r="PGP100" s="60" t="n"/>
      <c r="PGQ100" s="60" t="n"/>
      <c r="PGR100" s="60" t="n"/>
      <c r="PGS100" s="60" t="n"/>
      <c r="PGT100" s="60" t="n"/>
      <c r="PGU100" s="60" t="n"/>
      <c r="PGV100" s="60" t="n"/>
      <c r="PGW100" s="60" t="n"/>
      <c r="PGX100" s="60" t="n"/>
      <c r="PGY100" s="60" t="n"/>
      <c r="PGZ100" s="60" t="n"/>
      <c r="PHA100" s="60" t="n"/>
      <c r="PHB100" s="60" t="n"/>
      <c r="PHC100" s="60" t="n"/>
      <c r="PHD100" s="60" t="n"/>
      <c r="PHE100" s="60" t="n"/>
      <c r="PHF100" s="60" t="n"/>
      <c r="PHG100" s="60" t="n"/>
      <c r="PHH100" s="60" t="n"/>
      <c r="PHI100" s="60" t="n"/>
      <c r="PHJ100" s="60" t="n"/>
      <c r="PHK100" s="60" t="n"/>
      <c r="PHL100" s="60" t="n"/>
      <c r="PHM100" s="60" t="n"/>
      <c r="PHN100" s="60" t="n"/>
      <c r="PHO100" s="60" t="n"/>
      <c r="PHP100" s="60" t="n"/>
      <c r="PHQ100" s="60" t="n"/>
      <c r="PHR100" s="60" t="n"/>
      <c r="PHS100" s="60" t="n"/>
      <c r="PHT100" s="60" t="n"/>
      <c r="PHU100" s="60" t="n"/>
      <c r="PHV100" s="60" t="n"/>
      <c r="PHW100" s="60" t="n"/>
      <c r="PHX100" s="60" t="n"/>
      <c r="PHY100" s="60" t="n"/>
      <c r="PHZ100" s="60" t="n"/>
      <c r="PIA100" s="60" t="n"/>
      <c r="PIB100" s="60" t="n"/>
      <c r="PIC100" s="60" t="n"/>
      <c r="PID100" s="60" t="n"/>
      <c r="PIE100" s="60" t="n"/>
      <c r="PIF100" s="60" t="n"/>
      <c r="PIG100" s="60" t="n"/>
      <c r="PIH100" s="60" t="n"/>
      <c r="PII100" s="60" t="n"/>
      <c r="PIJ100" s="60" t="n"/>
      <c r="PIK100" s="60" t="n"/>
      <c r="PIL100" s="60" t="n"/>
      <c r="PIM100" s="60" t="n"/>
      <c r="PIN100" s="60" t="n"/>
      <c r="PIO100" s="60" t="n"/>
      <c r="PIP100" s="60" t="n"/>
      <c r="PIQ100" s="60" t="n"/>
      <c r="PIR100" s="60" t="n"/>
      <c r="PIS100" s="60" t="n"/>
      <c r="PIT100" s="60" t="n"/>
      <c r="PIU100" s="60" t="n"/>
      <c r="PIV100" s="60" t="n"/>
      <c r="PIW100" s="60" t="n"/>
      <c r="PIX100" s="60" t="n"/>
      <c r="PIY100" s="60" t="n"/>
      <c r="PIZ100" s="60" t="n"/>
      <c r="PJA100" s="60" t="n"/>
      <c r="PJB100" s="60" t="n"/>
      <c r="PJC100" s="60" t="n"/>
      <c r="PJD100" s="60" t="n"/>
      <c r="PJE100" s="60" t="n"/>
      <c r="PJF100" s="60" t="n"/>
      <c r="PJG100" s="60" t="n"/>
      <c r="PJH100" s="60" t="n"/>
      <c r="PJI100" s="60" t="n"/>
      <c r="PJJ100" s="60" t="n"/>
      <c r="PJK100" s="60" t="n"/>
      <c r="PJL100" s="60" t="n"/>
      <c r="PJM100" s="60" t="n"/>
      <c r="PJN100" s="60" t="n"/>
      <c r="PJO100" s="60" t="n"/>
      <c r="PJP100" s="60" t="n"/>
      <c r="PJQ100" s="60" t="n"/>
      <c r="PJR100" s="60" t="n"/>
      <c r="PJS100" s="60" t="n"/>
      <c r="PJT100" s="60" t="n"/>
      <c r="PJU100" s="60" t="n"/>
      <c r="PJV100" s="60" t="n"/>
      <c r="PJW100" s="60" t="n"/>
      <c r="PJX100" s="60" t="n"/>
      <c r="PJY100" s="60" t="n"/>
      <c r="PJZ100" s="60" t="n"/>
      <c r="PKA100" s="60" t="n"/>
      <c r="PKB100" s="60" t="n"/>
      <c r="PKC100" s="60" t="n"/>
      <c r="PKD100" s="60" t="n"/>
      <c r="PKE100" s="60" t="n"/>
      <c r="PKF100" s="60" t="n"/>
      <c r="PKG100" s="60" t="n"/>
      <c r="PKH100" s="60" t="n"/>
      <c r="PKI100" s="60" t="n"/>
      <c r="PKJ100" s="60" t="n"/>
      <c r="PKK100" s="60" t="n"/>
      <c r="PKL100" s="60" t="n"/>
      <c r="PKM100" s="60" t="n"/>
      <c r="PKN100" s="60" t="n"/>
      <c r="PKO100" s="60" t="n"/>
      <c r="PKP100" s="60" t="n"/>
      <c r="PKQ100" s="60" t="n"/>
      <c r="PKR100" s="60" t="n"/>
      <c r="PKS100" s="60" t="n"/>
      <c r="PKT100" s="60" t="n"/>
      <c r="PKU100" s="60" t="n"/>
      <c r="PKV100" s="60" t="n"/>
      <c r="PKW100" s="60" t="n"/>
      <c r="PKX100" s="60" t="n"/>
      <c r="PKY100" s="60" t="n"/>
      <c r="PKZ100" s="60" t="n"/>
      <c r="PLA100" s="60" t="n"/>
      <c r="PLB100" s="60" t="n"/>
      <c r="PLC100" s="60" t="n"/>
      <c r="PLD100" s="60" t="n"/>
      <c r="PLE100" s="60" t="n"/>
      <c r="PLF100" s="60" t="n"/>
      <c r="PLG100" s="60" t="n"/>
      <c r="PLH100" s="60" t="n"/>
      <c r="PLI100" s="60" t="n"/>
      <c r="PLJ100" s="60" t="n"/>
      <c r="PLK100" s="60" t="n"/>
      <c r="PLL100" s="60" t="n"/>
      <c r="PLM100" s="60" t="n"/>
      <c r="PLN100" s="60" t="n"/>
      <c r="PLO100" s="60" t="n"/>
      <c r="PLP100" s="60" t="n"/>
      <c r="PLQ100" s="60" t="n"/>
      <c r="PLR100" s="60" t="n"/>
      <c r="PLS100" s="60" t="n"/>
      <c r="PLT100" s="60" t="n"/>
      <c r="PLU100" s="60" t="n"/>
      <c r="PLV100" s="60" t="n"/>
      <c r="PLW100" s="60" t="n"/>
      <c r="PLX100" s="60" t="n"/>
      <c r="PLY100" s="60" t="n"/>
      <c r="PLZ100" s="60" t="n"/>
      <c r="PMA100" s="60" t="n"/>
      <c r="PMB100" s="60" t="n"/>
      <c r="PMC100" s="60" t="n"/>
      <c r="PMD100" s="60" t="n"/>
      <c r="PME100" s="60" t="n"/>
      <c r="PMF100" s="60" t="n"/>
      <c r="PMG100" s="60" t="n"/>
      <c r="PMH100" s="60" t="n"/>
      <c r="PMI100" s="60" t="n"/>
      <c r="PMJ100" s="60" t="n"/>
      <c r="PMK100" s="60" t="n"/>
      <c r="PML100" s="60" t="n"/>
      <c r="PMM100" s="60" t="n"/>
      <c r="PMN100" s="60" t="n"/>
      <c r="PMO100" s="60" t="n"/>
      <c r="PMP100" s="60" t="n"/>
      <c r="PMQ100" s="60" t="n"/>
      <c r="PMR100" s="60" t="n"/>
      <c r="PMS100" s="60" t="n"/>
      <c r="PMT100" s="60" t="n"/>
      <c r="PMU100" s="60" t="n"/>
      <c r="PMV100" s="60" t="n"/>
      <c r="PMW100" s="60" t="n"/>
      <c r="PMX100" s="60" t="n"/>
      <c r="PMY100" s="60" t="n"/>
      <c r="PMZ100" s="60" t="n"/>
      <c r="PNA100" s="60" t="n"/>
      <c r="PNB100" s="60" t="n"/>
      <c r="PNC100" s="60" t="n"/>
      <c r="PND100" s="60" t="n"/>
      <c r="PNE100" s="60" t="n"/>
      <c r="PNF100" s="60" t="n"/>
      <c r="PNG100" s="60" t="n"/>
      <c r="PNH100" s="60" t="n"/>
      <c r="PNI100" s="60" t="n"/>
      <c r="PNJ100" s="60" t="n"/>
      <c r="PNK100" s="60" t="n"/>
      <c r="PNL100" s="60" t="n"/>
      <c r="PNM100" s="60" t="n"/>
      <c r="PNN100" s="60" t="n"/>
      <c r="PNO100" s="60" t="n"/>
      <c r="PNP100" s="60" t="n"/>
      <c r="PNQ100" s="60" t="n"/>
      <c r="PNR100" s="60" t="n"/>
      <c r="PNS100" s="60" t="n"/>
      <c r="PNT100" s="60" t="n"/>
      <c r="PNU100" s="60" t="n"/>
      <c r="PNV100" s="60" t="n"/>
      <c r="PNW100" s="60" t="n"/>
      <c r="PNX100" s="60" t="n"/>
      <c r="PNY100" s="60" t="n"/>
      <c r="PNZ100" s="60" t="n"/>
      <c r="POA100" s="60" t="n"/>
      <c r="POB100" s="60" t="n"/>
      <c r="POC100" s="60" t="n"/>
      <c r="POD100" s="60" t="n"/>
      <c r="POE100" s="60" t="n"/>
      <c r="POF100" s="60" t="n"/>
      <c r="POG100" s="60" t="n"/>
      <c r="POH100" s="60" t="n"/>
      <c r="POI100" s="60" t="n"/>
      <c r="POJ100" s="60" t="n"/>
      <c r="POK100" s="60" t="n"/>
      <c r="POL100" s="60" t="n"/>
      <c r="POM100" s="60" t="n"/>
      <c r="PON100" s="60" t="n"/>
      <c r="POO100" s="60" t="n"/>
      <c r="POP100" s="60" t="n"/>
      <c r="POQ100" s="60" t="n"/>
      <c r="POR100" s="60" t="n"/>
      <c r="POS100" s="60" t="n"/>
      <c r="POT100" s="60" t="n"/>
      <c r="POU100" s="60" t="n"/>
      <c r="POV100" s="60" t="n"/>
      <c r="POW100" s="60" t="n"/>
      <c r="POX100" s="60" t="n"/>
      <c r="POY100" s="60" t="n"/>
      <c r="POZ100" s="60" t="n"/>
      <c r="PPA100" s="60" t="n"/>
      <c r="PPB100" s="60" t="n"/>
      <c r="PPC100" s="60" t="n"/>
      <c r="PPD100" s="60" t="n"/>
      <c r="PPE100" s="60" t="n"/>
      <c r="PPF100" s="60" t="n"/>
      <c r="PPG100" s="60" t="n"/>
      <c r="PPH100" s="60" t="n"/>
      <c r="PPI100" s="60" t="n"/>
      <c r="PPJ100" s="60" t="n"/>
      <c r="PPK100" s="60" t="n"/>
      <c r="PPL100" s="60" t="n"/>
      <c r="PPM100" s="60" t="n"/>
      <c r="PPN100" s="60" t="n"/>
      <c r="PPO100" s="60" t="n"/>
      <c r="PPP100" s="60" t="n"/>
      <c r="PPQ100" s="60" t="n"/>
      <c r="PPR100" s="60" t="n"/>
      <c r="PPS100" s="60" t="n"/>
      <c r="PPT100" s="60" t="n"/>
      <c r="PPU100" s="60" t="n"/>
      <c r="PPV100" s="60" t="n"/>
      <c r="PPW100" s="60" t="n"/>
      <c r="PPX100" s="60" t="n"/>
      <c r="PPY100" s="60" t="n"/>
      <c r="PPZ100" s="60" t="n"/>
      <c r="PQA100" s="60" t="n"/>
      <c r="PQB100" s="60" t="n"/>
      <c r="PQC100" s="60" t="n"/>
      <c r="PQD100" s="60" t="n"/>
      <c r="PQE100" s="60" t="n"/>
      <c r="PQF100" s="60" t="n"/>
      <c r="PQG100" s="60" t="n"/>
      <c r="PQH100" s="60" t="n"/>
      <c r="PQI100" s="60" t="n"/>
      <c r="PQJ100" s="60" t="n"/>
      <c r="PQK100" s="60" t="n"/>
      <c r="PQL100" s="60" t="n"/>
      <c r="PQM100" s="60" t="n"/>
      <c r="PQN100" s="60" t="n"/>
      <c r="PQO100" s="60" t="n"/>
      <c r="PQP100" s="60" t="n"/>
      <c r="PQQ100" s="60" t="n"/>
      <c r="PQR100" s="60" t="n"/>
      <c r="PQS100" s="60" t="n"/>
      <c r="PQT100" s="60" t="n"/>
      <c r="PQU100" s="60" t="n"/>
      <c r="PQV100" s="60" t="n"/>
      <c r="PQW100" s="60" t="n"/>
      <c r="PQX100" s="60" t="n"/>
      <c r="PQY100" s="60" t="n"/>
      <c r="PQZ100" s="60" t="n"/>
      <c r="PRA100" s="60" t="n"/>
      <c r="PRB100" s="60" t="n"/>
      <c r="PRC100" s="60" t="n"/>
      <c r="PRD100" s="60" t="n"/>
      <c r="PRE100" s="60" t="n"/>
      <c r="PRF100" s="60" t="n"/>
      <c r="PRG100" s="60" t="n"/>
      <c r="PRH100" s="60" t="n"/>
      <c r="PRI100" s="60" t="n"/>
      <c r="PRJ100" s="60" t="n"/>
      <c r="PRK100" s="60" t="n"/>
      <c r="PRL100" s="60" t="n"/>
      <c r="PRM100" s="60" t="n"/>
      <c r="PRN100" s="60" t="n"/>
      <c r="PRO100" s="60" t="n"/>
      <c r="PRP100" s="60" t="n"/>
      <c r="PRQ100" s="60" t="n"/>
      <c r="PRR100" s="60" t="n"/>
      <c r="PRS100" s="60" t="n"/>
      <c r="PRT100" s="60" t="n"/>
      <c r="PRU100" s="60" t="n"/>
      <c r="PRV100" s="60" t="n"/>
      <c r="PRW100" s="60" t="n"/>
      <c r="PRX100" s="60" t="n"/>
      <c r="PRY100" s="60" t="n"/>
      <c r="PRZ100" s="60" t="n"/>
      <c r="PSA100" s="60" t="n"/>
      <c r="PSB100" s="60" t="n"/>
      <c r="PSC100" s="60" t="n"/>
      <c r="PSD100" s="60" t="n"/>
      <c r="PSE100" s="60" t="n"/>
      <c r="PSF100" s="60" t="n"/>
      <c r="PSG100" s="60" t="n"/>
      <c r="PSH100" s="60" t="n"/>
      <c r="PSI100" s="60" t="n"/>
      <c r="PSJ100" s="60" t="n"/>
      <c r="PSK100" s="60" t="n"/>
      <c r="PSL100" s="60" t="n"/>
      <c r="PSM100" s="60" t="n"/>
      <c r="PSN100" s="60" t="n"/>
      <c r="PSO100" s="60" t="n"/>
      <c r="PSP100" s="60" t="n"/>
      <c r="PSQ100" s="60" t="n"/>
      <c r="PSR100" s="60" t="n"/>
      <c r="PSS100" s="60" t="n"/>
      <c r="PST100" s="60" t="n"/>
      <c r="PSU100" s="60" t="n"/>
      <c r="PSV100" s="60" t="n"/>
      <c r="PSW100" s="60" t="n"/>
      <c r="PSX100" s="60" t="n"/>
      <c r="PSY100" s="60" t="n"/>
      <c r="PSZ100" s="60" t="n"/>
      <c r="PTA100" s="60" t="n"/>
      <c r="PTB100" s="60" t="n"/>
      <c r="PTC100" s="60" t="n"/>
      <c r="PTD100" s="60" t="n"/>
      <c r="PTE100" s="60" t="n"/>
      <c r="PTF100" s="60" t="n"/>
      <c r="PTG100" s="60" t="n"/>
      <c r="PTH100" s="60" t="n"/>
      <c r="PTI100" s="60" t="n"/>
      <c r="PTJ100" s="60" t="n"/>
      <c r="PTK100" s="60" t="n"/>
      <c r="PTL100" s="60" t="n"/>
      <c r="PTM100" s="60" t="n"/>
      <c r="PTN100" s="60" t="n"/>
      <c r="PTO100" s="60" t="n"/>
      <c r="PTP100" s="60" t="n"/>
      <c r="PTQ100" s="60" t="n"/>
      <c r="PTR100" s="60" t="n"/>
      <c r="PTS100" s="60" t="n"/>
      <c r="PTT100" s="60" t="n"/>
      <c r="PTU100" s="60" t="n"/>
      <c r="PTV100" s="60" t="n"/>
      <c r="PTW100" s="60" t="n"/>
      <c r="PTX100" s="60" t="n"/>
      <c r="PTY100" s="60" t="n"/>
      <c r="PTZ100" s="60" t="n"/>
      <c r="PUA100" s="60" t="n"/>
      <c r="PUB100" s="60" t="n"/>
      <c r="PUC100" s="60" t="n"/>
      <c r="PUD100" s="60" t="n"/>
      <c r="PUE100" s="60" t="n"/>
      <c r="PUF100" s="60" t="n"/>
      <c r="PUG100" s="60" t="n"/>
      <c r="PUH100" s="60" t="n"/>
      <c r="PUI100" s="60" t="n"/>
      <c r="PUJ100" s="60" t="n"/>
      <c r="PUK100" s="60" t="n"/>
      <c r="PUL100" s="60" t="n"/>
      <c r="PUM100" s="60" t="n"/>
      <c r="PUN100" s="60" t="n"/>
      <c r="PUO100" s="60" t="n"/>
      <c r="PUP100" s="60" t="n"/>
      <c r="PUQ100" s="60" t="n"/>
      <c r="PUR100" s="60" t="n"/>
      <c r="PUS100" s="60" t="n"/>
      <c r="PUT100" s="60" t="n"/>
      <c r="PUU100" s="60" t="n"/>
      <c r="PUV100" s="60" t="n"/>
      <c r="PUW100" s="60" t="n"/>
      <c r="PUX100" s="60" t="n"/>
      <c r="PUY100" s="60" t="n"/>
      <c r="PUZ100" s="60" t="n"/>
      <c r="PVA100" s="60" t="n"/>
      <c r="PVB100" s="60" t="n"/>
      <c r="PVC100" s="60" t="n"/>
      <c r="PVD100" s="60" t="n"/>
      <c r="PVE100" s="60" t="n"/>
      <c r="PVF100" s="60" t="n"/>
      <c r="PVG100" s="60" t="n"/>
      <c r="PVH100" s="60" t="n"/>
      <c r="PVI100" s="60" t="n"/>
      <c r="PVJ100" s="60" t="n"/>
      <c r="PVK100" s="60" t="n"/>
      <c r="PVL100" s="60" t="n"/>
      <c r="PVM100" s="60" t="n"/>
      <c r="PVN100" s="60" t="n"/>
      <c r="PVO100" s="60" t="n"/>
      <c r="PVP100" s="60" t="n"/>
      <c r="PVQ100" s="60" t="n"/>
      <c r="PVR100" s="60" t="n"/>
      <c r="PVS100" s="60" t="n"/>
      <c r="PVT100" s="60" t="n"/>
      <c r="PVU100" s="60" t="n"/>
      <c r="PVV100" s="60" t="n"/>
      <c r="PVW100" s="60" t="n"/>
      <c r="PVX100" s="60" t="n"/>
      <c r="PVY100" s="60" t="n"/>
      <c r="PVZ100" s="60" t="n"/>
      <c r="PWA100" s="60" t="n"/>
      <c r="PWB100" s="60" t="n"/>
      <c r="PWC100" s="60" t="n"/>
      <c r="PWD100" s="60" t="n"/>
      <c r="PWE100" s="60" t="n"/>
      <c r="PWF100" s="60" t="n"/>
      <c r="PWG100" s="60" t="n"/>
      <c r="PWH100" s="60" t="n"/>
      <c r="PWI100" s="60" t="n"/>
      <c r="PWJ100" s="60" t="n"/>
      <c r="PWK100" s="60" t="n"/>
      <c r="PWL100" s="60" t="n"/>
      <c r="PWM100" s="60" t="n"/>
      <c r="PWN100" s="60" t="n"/>
      <c r="PWO100" s="60" t="n"/>
      <c r="PWP100" s="60" t="n"/>
      <c r="PWQ100" s="60" t="n"/>
      <c r="PWR100" s="60" t="n"/>
      <c r="PWS100" s="60" t="n"/>
      <c r="PWT100" s="60" t="n"/>
      <c r="PWU100" s="60" t="n"/>
      <c r="PWV100" s="60" t="n"/>
      <c r="PWW100" s="60" t="n"/>
      <c r="PWX100" s="60" t="n"/>
      <c r="PWY100" s="60" t="n"/>
      <c r="PWZ100" s="60" t="n"/>
      <c r="PXA100" s="60" t="n"/>
      <c r="PXB100" s="60" t="n"/>
      <c r="PXC100" s="60" t="n"/>
      <c r="PXD100" s="60" t="n"/>
      <c r="PXE100" s="60" t="n"/>
      <c r="PXF100" s="60" t="n"/>
      <c r="PXG100" s="60" t="n"/>
      <c r="PXH100" s="60" t="n"/>
      <c r="PXI100" s="60" t="n"/>
      <c r="PXJ100" s="60" t="n"/>
      <c r="PXK100" s="60" t="n"/>
      <c r="PXL100" s="60" t="n"/>
      <c r="PXM100" s="60" t="n"/>
      <c r="PXN100" s="60" t="n"/>
      <c r="PXO100" s="60" t="n"/>
      <c r="PXP100" s="60" t="n"/>
      <c r="PXQ100" s="60" t="n"/>
      <c r="PXR100" s="60" t="n"/>
      <c r="PXS100" s="60" t="n"/>
      <c r="PXT100" s="60" t="n"/>
      <c r="PXU100" s="60" t="n"/>
      <c r="PXV100" s="60" t="n"/>
      <c r="PXW100" s="60" t="n"/>
      <c r="PXX100" s="60" t="n"/>
      <c r="PXY100" s="60" t="n"/>
      <c r="PXZ100" s="60" t="n"/>
      <c r="PYA100" s="60" t="n"/>
      <c r="PYB100" s="60" t="n"/>
      <c r="PYC100" s="60" t="n"/>
      <c r="PYD100" s="60" t="n"/>
      <c r="PYE100" s="60" t="n"/>
      <c r="PYF100" s="60" t="n"/>
      <c r="PYG100" s="60" t="n"/>
      <c r="PYH100" s="60" t="n"/>
      <c r="PYI100" s="60" t="n"/>
      <c r="PYJ100" s="60" t="n"/>
      <c r="PYK100" s="60" t="n"/>
      <c r="PYL100" s="60" t="n"/>
      <c r="PYM100" s="60" t="n"/>
      <c r="PYN100" s="60" t="n"/>
      <c r="PYO100" s="60" t="n"/>
      <c r="PYP100" s="60" t="n"/>
      <c r="PYQ100" s="60" t="n"/>
      <c r="PYR100" s="60" t="n"/>
      <c r="PYS100" s="60" t="n"/>
      <c r="PYT100" s="60" t="n"/>
      <c r="PYU100" s="60" t="n"/>
      <c r="PYV100" s="60" t="n"/>
      <c r="PYW100" s="60" t="n"/>
      <c r="PYX100" s="60" t="n"/>
      <c r="PYY100" s="60" t="n"/>
      <c r="PYZ100" s="60" t="n"/>
      <c r="PZA100" s="60" t="n"/>
      <c r="PZB100" s="60" t="n"/>
      <c r="PZC100" s="60" t="n"/>
      <c r="PZD100" s="60" t="n"/>
      <c r="PZE100" s="60" t="n"/>
      <c r="PZF100" s="60" t="n"/>
      <c r="PZG100" s="60" t="n"/>
      <c r="PZH100" s="60" t="n"/>
      <c r="PZI100" s="60" t="n"/>
      <c r="PZJ100" s="60" t="n"/>
      <c r="PZK100" s="60" t="n"/>
      <c r="PZL100" s="60" t="n"/>
      <c r="PZM100" s="60" t="n"/>
      <c r="PZN100" s="60" t="n"/>
      <c r="PZO100" s="60" t="n"/>
      <c r="PZP100" s="60" t="n"/>
      <c r="PZQ100" s="60" t="n"/>
      <c r="PZR100" s="60" t="n"/>
      <c r="PZS100" s="60" t="n"/>
      <c r="PZT100" s="60" t="n"/>
      <c r="PZU100" s="60" t="n"/>
      <c r="PZV100" s="60" t="n"/>
      <c r="PZW100" s="60" t="n"/>
      <c r="PZX100" s="60" t="n"/>
      <c r="PZY100" s="60" t="n"/>
      <c r="PZZ100" s="60" t="n"/>
      <c r="QAA100" s="60" t="n"/>
      <c r="QAB100" s="60" t="n"/>
      <c r="QAC100" s="60" t="n"/>
      <c r="QAD100" s="60" t="n"/>
      <c r="QAE100" s="60" t="n"/>
      <c r="QAF100" s="60" t="n"/>
      <c r="QAG100" s="60" t="n"/>
      <c r="QAH100" s="60" t="n"/>
      <c r="QAI100" s="60" t="n"/>
      <c r="QAJ100" s="60" t="n"/>
      <c r="QAK100" s="60" t="n"/>
      <c r="QAL100" s="60" t="n"/>
      <c r="QAM100" s="60" t="n"/>
      <c r="QAN100" s="60" t="n"/>
      <c r="QAO100" s="60" t="n"/>
      <c r="QAP100" s="60" t="n"/>
      <c r="QAQ100" s="60" t="n"/>
      <c r="QAR100" s="60" t="n"/>
      <c r="QAS100" s="60" t="n"/>
      <c r="QAT100" s="60" t="n"/>
      <c r="QAU100" s="60" t="n"/>
      <c r="QAV100" s="60" t="n"/>
      <c r="QAW100" s="60" t="n"/>
      <c r="QAX100" s="60" t="n"/>
      <c r="QAY100" s="60" t="n"/>
      <c r="QAZ100" s="60" t="n"/>
      <c r="QBA100" s="60" t="n"/>
      <c r="QBB100" s="60" t="n"/>
      <c r="QBC100" s="60" t="n"/>
      <c r="QBD100" s="60" t="n"/>
      <c r="QBE100" s="60" t="n"/>
      <c r="QBF100" s="60" t="n"/>
      <c r="QBG100" s="60" t="n"/>
      <c r="QBH100" s="60" t="n"/>
      <c r="QBI100" s="60" t="n"/>
      <c r="QBJ100" s="60" t="n"/>
      <c r="QBK100" s="60" t="n"/>
      <c r="QBL100" s="60" t="n"/>
      <c r="QBM100" s="60" t="n"/>
      <c r="QBN100" s="60" t="n"/>
      <c r="QBO100" s="60" t="n"/>
      <c r="QBP100" s="60" t="n"/>
      <c r="QBQ100" s="60" t="n"/>
      <c r="QBR100" s="60" t="n"/>
      <c r="QBS100" s="60" t="n"/>
      <c r="QBT100" s="60" t="n"/>
      <c r="QBU100" s="60" t="n"/>
      <c r="QBV100" s="60" t="n"/>
      <c r="QBW100" s="60" t="n"/>
      <c r="QBX100" s="60" t="n"/>
      <c r="QBY100" s="60" t="n"/>
      <c r="QBZ100" s="60" t="n"/>
      <c r="QCA100" s="60" t="n"/>
      <c r="QCB100" s="60" t="n"/>
      <c r="QCC100" s="60" t="n"/>
      <c r="QCD100" s="60" t="n"/>
      <c r="QCE100" s="60" t="n"/>
      <c r="QCF100" s="60" t="n"/>
      <c r="QCG100" s="60" t="n"/>
      <c r="QCH100" s="60" t="n"/>
      <c r="QCI100" s="60" t="n"/>
      <c r="QCJ100" s="60" t="n"/>
      <c r="QCK100" s="60" t="n"/>
      <c r="QCL100" s="60" t="n"/>
      <c r="QCM100" s="60" t="n"/>
      <c r="QCN100" s="60" t="n"/>
      <c r="QCO100" s="60" t="n"/>
      <c r="QCP100" s="60" t="n"/>
      <c r="QCQ100" s="60" t="n"/>
      <c r="QCR100" s="60" t="n"/>
      <c r="QCS100" s="60" t="n"/>
      <c r="QCT100" s="60" t="n"/>
      <c r="QCU100" s="60" t="n"/>
      <c r="QCV100" s="60" t="n"/>
      <c r="QCW100" s="60" t="n"/>
      <c r="QCX100" s="60" t="n"/>
      <c r="QCY100" s="60" t="n"/>
      <c r="QCZ100" s="60" t="n"/>
      <c r="QDA100" s="60" t="n"/>
      <c r="QDB100" s="60" t="n"/>
      <c r="QDC100" s="60" t="n"/>
      <c r="QDD100" s="60" t="n"/>
      <c r="QDE100" s="60" t="n"/>
      <c r="QDF100" s="60" t="n"/>
      <c r="QDG100" s="60" t="n"/>
      <c r="QDH100" s="60" t="n"/>
      <c r="QDI100" s="60" t="n"/>
      <c r="QDJ100" s="60" t="n"/>
      <c r="QDK100" s="60" t="n"/>
      <c r="QDL100" s="60" t="n"/>
      <c r="QDM100" s="60" t="n"/>
      <c r="QDN100" s="60" t="n"/>
      <c r="QDO100" s="60" t="n"/>
      <c r="QDP100" s="60" t="n"/>
      <c r="QDQ100" s="60" t="n"/>
      <c r="QDR100" s="60" t="n"/>
      <c r="QDS100" s="60" t="n"/>
      <c r="QDT100" s="60" t="n"/>
      <c r="QDU100" s="60" t="n"/>
      <c r="QDV100" s="60" t="n"/>
      <c r="QDW100" s="60" t="n"/>
      <c r="QDX100" s="60" t="n"/>
      <c r="QDY100" s="60" t="n"/>
      <c r="QDZ100" s="60" t="n"/>
      <c r="QEA100" s="60" t="n"/>
      <c r="QEB100" s="60" t="n"/>
      <c r="QEC100" s="60" t="n"/>
      <c r="QED100" s="60" t="n"/>
      <c r="QEE100" s="60" t="n"/>
      <c r="QEF100" s="60" t="n"/>
      <c r="QEG100" s="60" t="n"/>
      <c r="QEH100" s="60" t="n"/>
      <c r="QEI100" s="60" t="n"/>
      <c r="QEJ100" s="60" t="n"/>
      <c r="QEK100" s="60" t="n"/>
      <c r="QEL100" s="60" t="n"/>
      <c r="QEM100" s="60" t="n"/>
      <c r="QEN100" s="60" t="n"/>
      <c r="QEO100" s="60" t="n"/>
      <c r="QEP100" s="60" t="n"/>
      <c r="QEQ100" s="60" t="n"/>
      <c r="QER100" s="60" t="n"/>
      <c r="QES100" s="60" t="n"/>
      <c r="QET100" s="60" t="n"/>
      <c r="QEU100" s="60" t="n"/>
      <c r="QEV100" s="60" t="n"/>
      <c r="QEW100" s="60" t="n"/>
      <c r="QEX100" s="60" t="n"/>
      <c r="QEY100" s="60" t="n"/>
      <c r="QEZ100" s="60" t="n"/>
      <c r="QFA100" s="60" t="n"/>
      <c r="QFB100" s="60" t="n"/>
      <c r="QFC100" s="60" t="n"/>
      <c r="QFD100" s="60" t="n"/>
      <c r="QFE100" s="60" t="n"/>
      <c r="QFF100" s="60" t="n"/>
      <c r="QFG100" s="60" t="n"/>
      <c r="QFH100" s="60" t="n"/>
      <c r="QFI100" s="60" t="n"/>
      <c r="QFJ100" s="60" t="n"/>
      <c r="QFK100" s="60" t="n"/>
      <c r="QFL100" s="60" t="n"/>
      <c r="QFM100" s="60" t="n"/>
      <c r="QFN100" s="60" t="n"/>
      <c r="QFO100" s="60" t="n"/>
      <c r="QFP100" s="60" t="n"/>
      <c r="QFQ100" s="60" t="n"/>
      <c r="QFR100" s="60" t="n"/>
      <c r="QFS100" s="60" t="n"/>
      <c r="QFT100" s="60" t="n"/>
      <c r="QFU100" s="60" t="n"/>
      <c r="QFV100" s="60" t="n"/>
      <c r="QFW100" s="60" t="n"/>
      <c r="QFX100" s="60" t="n"/>
      <c r="QFY100" s="60" t="n"/>
      <c r="QFZ100" s="60" t="n"/>
      <c r="QGA100" s="60" t="n"/>
      <c r="QGB100" s="60" t="n"/>
      <c r="QGC100" s="60" t="n"/>
      <c r="QGD100" s="60" t="n"/>
      <c r="QGE100" s="60" t="n"/>
      <c r="QGF100" s="60" t="n"/>
      <c r="QGG100" s="60" t="n"/>
      <c r="QGH100" s="60" t="n"/>
      <c r="QGI100" s="60" t="n"/>
      <c r="QGJ100" s="60" t="n"/>
      <c r="QGK100" s="60" t="n"/>
      <c r="QGL100" s="60" t="n"/>
      <c r="QGM100" s="60" t="n"/>
      <c r="QGN100" s="60" t="n"/>
      <c r="QGO100" s="60" t="n"/>
      <c r="QGP100" s="60" t="n"/>
      <c r="QGQ100" s="60" t="n"/>
      <c r="QGR100" s="60" t="n"/>
      <c r="QGS100" s="60" t="n"/>
      <c r="QGT100" s="60" t="n"/>
      <c r="QGU100" s="60" t="n"/>
      <c r="QGV100" s="60" t="n"/>
      <c r="QGW100" s="60" t="n"/>
      <c r="QGX100" s="60" t="n"/>
      <c r="QGY100" s="60" t="n"/>
      <c r="QGZ100" s="60" t="n"/>
      <c r="QHA100" s="60" t="n"/>
      <c r="QHB100" s="60" t="n"/>
      <c r="QHC100" s="60" t="n"/>
      <c r="QHD100" s="60" t="n"/>
      <c r="QHE100" s="60" t="n"/>
      <c r="QHF100" s="60" t="n"/>
      <c r="QHG100" s="60" t="n"/>
      <c r="QHH100" s="60" t="n"/>
      <c r="QHI100" s="60" t="n"/>
      <c r="QHJ100" s="60" t="n"/>
      <c r="QHK100" s="60" t="n"/>
      <c r="QHL100" s="60" t="n"/>
      <c r="QHM100" s="60" t="n"/>
      <c r="QHN100" s="60" t="n"/>
      <c r="QHO100" s="60" t="n"/>
      <c r="QHP100" s="60" t="n"/>
      <c r="QHQ100" s="60" t="n"/>
      <c r="QHR100" s="60" t="n"/>
      <c r="QHS100" s="60" t="n"/>
      <c r="QHT100" s="60" t="n"/>
      <c r="QHU100" s="60" t="n"/>
      <c r="QHV100" s="60" t="n"/>
      <c r="QHW100" s="60" t="n"/>
      <c r="QHX100" s="60" t="n"/>
      <c r="QHY100" s="60" t="n"/>
      <c r="QHZ100" s="60" t="n"/>
      <c r="QIA100" s="60" t="n"/>
      <c r="QIB100" s="60" t="n"/>
      <c r="QIC100" s="60" t="n"/>
      <c r="QID100" s="60" t="n"/>
      <c r="QIE100" s="60" t="n"/>
      <c r="QIF100" s="60" t="n"/>
      <c r="QIG100" s="60" t="n"/>
      <c r="QIH100" s="60" t="n"/>
      <c r="QII100" s="60" t="n"/>
      <c r="QIJ100" s="60" t="n"/>
      <c r="QIK100" s="60" t="n"/>
      <c r="QIL100" s="60" t="n"/>
      <c r="QIM100" s="60" t="n"/>
      <c r="QIN100" s="60" t="n"/>
      <c r="QIO100" s="60" t="n"/>
      <c r="QIP100" s="60" t="n"/>
      <c r="QIQ100" s="60" t="n"/>
      <c r="QIR100" s="60" t="n"/>
      <c r="QIS100" s="60" t="n"/>
      <c r="QIT100" s="60" t="n"/>
      <c r="QIU100" s="60" t="n"/>
      <c r="QIV100" s="60" t="n"/>
      <c r="QIW100" s="60" t="n"/>
      <c r="QIX100" s="60" t="n"/>
      <c r="QIY100" s="60" t="n"/>
      <c r="QIZ100" s="60" t="n"/>
      <c r="QJA100" s="60" t="n"/>
      <c r="QJB100" s="60" t="n"/>
      <c r="QJC100" s="60" t="n"/>
      <c r="QJD100" s="60" t="n"/>
      <c r="QJE100" s="60" t="n"/>
      <c r="QJF100" s="60" t="n"/>
      <c r="QJG100" s="60" t="n"/>
      <c r="QJH100" s="60" t="n"/>
      <c r="QJI100" s="60" t="n"/>
      <c r="QJJ100" s="60" t="n"/>
      <c r="QJK100" s="60" t="n"/>
      <c r="QJL100" s="60" t="n"/>
      <c r="QJM100" s="60" t="n"/>
      <c r="QJN100" s="60" t="n"/>
      <c r="QJO100" s="60" t="n"/>
      <c r="QJP100" s="60" t="n"/>
      <c r="QJQ100" s="60" t="n"/>
      <c r="QJR100" s="60" t="n"/>
      <c r="QJS100" s="60" t="n"/>
      <c r="QJT100" s="60" t="n"/>
      <c r="QJU100" s="60" t="n"/>
      <c r="QJV100" s="60" t="n"/>
      <c r="QJW100" s="60" t="n"/>
      <c r="QJX100" s="60" t="n"/>
      <c r="QJY100" s="60" t="n"/>
      <c r="QJZ100" s="60" t="n"/>
      <c r="QKA100" s="60" t="n"/>
      <c r="QKB100" s="60" t="n"/>
      <c r="QKC100" s="60" t="n"/>
      <c r="QKD100" s="60" t="n"/>
      <c r="QKE100" s="60" t="n"/>
      <c r="QKF100" s="60" t="n"/>
      <c r="QKG100" s="60" t="n"/>
      <c r="QKH100" s="60" t="n"/>
      <c r="QKI100" s="60" t="n"/>
      <c r="QKJ100" s="60" t="n"/>
      <c r="QKK100" s="60" t="n"/>
      <c r="QKL100" s="60" t="n"/>
      <c r="QKM100" s="60" t="n"/>
      <c r="QKN100" s="60" t="n"/>
      <c r="QKO100" s="60" t="n"/>
      <c r="QKP100" s="60" t="n"/>
      <c r="QKQ100" s="60" t="n"/>
      <c r="QKR100" s="60" t="n"/>
      <c r="QKS100" s="60" t="n"/>
      <c r="QKT100" s="60" t="n"/>
      <c r="QKU100" s="60" t="n"/>
      <c r="QKV100" s="60" t="n"/>
      <c r="QKW100" s="60" t="n"/>
      <c r="QKX100" s="60" t="n"/>
      <c r="QKY100" s="60" t="n"/>
      <c r="QKZ100" s="60" t="n"/>
      <c r="QLA100" s="60" t="n"/>
      <c r="QLB100" s="60" t="n"/>
      <c r="QLC100" s="60" t="n"/>
      <c r="QLD100" s="60" t="n"/>
      <c r="QLE100" s="60" t="n"/>
      <c r="QLF100" s="60" t="n"/>
      <c r="QLG100" s="60" t="n"/>
      <c r="QLH100" s="60" t="n"/>
      <c r="QLI100" s="60" t="n"/>
      <c r="QLJ100" s="60" t="n"/>
      <c r="QLK100" s="60" t="n"/>
      <c r="QLL100" s="60" t="n"/>
      <c r="QLM100" s="60" t="n"/>
      <c r="QLN100" s="60" t="n"/>
      <c r="QLO100" s="60" t="n"/>
      <c r="QLP100" s="60" t="n"/>
      <c r="QLQ100" s="60" t="n"/>
      <c r="QLR100" s="60" t="n"/>
      <c r="QLS100" s="60" t="n"/>
      <c r="QLT100" s="60" t="n"/>
      <c r="QLU100" s="60" t="n"/>
      <c r="QLV100" s="60" t="n"/>
      <c r="QLW100" s="60" t="n"/>
      <c r="QLX100" s="60" t="n"/>
      <c r="QLY100" s="60" t="n"/>
      <c r="QLZ100" s="60" t="n"/>
      <c r="QMA100" s="60" t="n"/>
      <c r="QMB100" s="60" t="n"/>
      <c r="QMC100" s="60" t="n"/>
      <c r="QMD100" s="60" t="n"/>
      <c r="QME100" s="60" t="n"/>
      <c r="QMF100" s="60" t="n"/>
      <c r="QMG100" s="60" t="n"/>
      <c r="QMH100" s="60" t="n"/>
      <c r="QMI100" s="60" t="n"/>
      <c r="QMJ100" s="60" t="n"/>
      <c r="QMK100" s="60" t="n"/>
      <c r="QML100" s="60" t="n"/>
      <c r="QMM100" s="60" t="n"/>
      <c r="QMN100" s="60" t="n"/>
      <c r="QMO100" s="60" t="n"/>
      <c r="QMP100" s="60" t="n"/>
      <c r="QMQ100" s="60" t="n"/>
      <c r="QMR100" s="60" t="n"/>
      <c r="QMS100" s="60" t="n"/>
      <c r="QMT100" s="60" t="n"/>
      <c r="QMU100" s="60" t="n"/>
      <c r="QMV100" s="60" t="n"/>
      <c r="QMW100" s="60" t="n"/>
      <c r="QMX100" s="60" t="n"/>
      <c r="QMY100" s="60" t="n"/>
      <c r="QMZ100" s="60" t="n"/>
      <c r="QNA100" s="60" t="n"/>
      <c r="QNB100" s="60" t="n"/>
      <c r="QNC100" s="60" t="n"/>
      <c r="QND100" s="60" t="n"/>
      <c r="QNE100" s="60" t="n"/>
      <c r="QNF100" s="60" t="n"/>
      <c r="QNG100" s="60" t="n"/>
      <c r="QNH100" s="60" t="n"/>
      <c r="QNI100" s="60" t="n"/>
      <c r="QNJ100" s="60" t="n"/>
      <c r="QNK100" s="60" t="n"/>
      <c r="QNL100" s="60" t="n"/>
      <c r="QNM100" s="60" t="n"/>
      <c r="QNN100" s="60" t="n"/>
      <c r="QNO100" s="60" t="n"/>
      <c r="QNP100" s="60" t="n"/>
      <c r="QNQ100" s="60" t="n"/>
      <c r="QNR100" s="60" t="n"/>
      <c r="QNS100" s="60" t="n"/>
      <c r="QNT100" s="60" t="n"/>
      <c r="QNU100" s="60" t="n"/>
      <c r="QNV100" s="60" t="n"/>
      <c r="QNW100" s="60" t="n"/>
      <c r="QNX100" s="60" t="n"/>
      <c r="QNY100" s="60" t="n"/>
      <c r="QNZ100" s="60" t="n"/>
      <c r="QOA100" s="60" t="n"/>
      <c r="QOB100" s="60" t="n"/>
      <c r="QOC100" s="60" t="n"/>
      <c r="QOD100" s="60" t="n"/>
      <c r="QOE100" s="60" t="n"/>
      <c r="QOF100" s="60" t="n"/>
      <c r="QOG100" s="60" t="n"/>
      <c r="QOH100" s="60" t="n"/>
      <c r="QOI100" s="60" t="n"/>
      <c r="QOJ100" s="60" t="n"/>
      <c r="QOK100" s="60" t="n"/>
      <c r="QOL100" s="60" t="n"/>
      <c r="QOM100" s="60" t="n"/>
      <c r="QON100" s="60" t="n"/>
      <c r="QOO100" s="60" t="n"/>
      <c r="QOP100" s="60" t="n"/>
      <c r="QOQ100" s="60" t="n"/>
      <c r="QOR100" s="60" t="n"/>
      <c r="QOS100" s="60" t="n"/>
      <c r="QOT100" s="60" t="n"/>
      <c r="QOU100" s="60" t="n"/>
      <c r="QOV100" s="60" t="n"/>
      <c r="QOW100" s="60" t="n"/>
      <c r="QOX100" s="60" t="n"/>
      <c r="QOY100" s="60" t="n"/>
      <c r="QOZ100" s="60" t="n"/>
      <c r="QPA100" s="60" t="n"/>
      <c r="QPB100" s="60" t="n"/>
      <c r="QPC100" s="60" t="n"/>
      <c r="QPD100" s="60" t="n"/>
      <c r="QPE100" s="60" t="n"/>
      <c r="QPF100" s="60" t="n"/>
      <c r="QPG100" s="60" t="n"/>
      <c r="QPH100" s="60" t="n"/>
      <c r="QPI100" s="60" t="n"/>
      <c r="QPJ100" s="60" t="n"/>
      <c r="QPK100" s="60" t="n"/>
      <c r="QPL100" s="60" t="n"/>
      <c r="QPM100" s="60" t="n"/>
      <c r="QPN100" s="60" t="n"/>
      <c r="QPO100" s="60" t="n"/>
      <c r="QPP100" s="60" t="n"/>
      <c r="QPQ100" s="60" t="n"/>
      <c r="QPR100" s="60" t="n"/>
      <c r="QPS100" s="60" t="n"/>
      <c r="QPT100" s="60" t="n"/>
      <c r="QPU100" s="60" t="n"/>
      <c r="QPV100" s="60" t="n"/>
      <c r="QPW100" s="60" t="n"/>
      <c r="QPX100" s="60" t="n"/>
      <c r="QPY100" s="60" t="n"/>
      <c r="QPZ100" s="60" t="n"/>
      <c r="QQA100" s="60" t="n"/>
      <c r="QQB100" s="60" t="n"/>
      <c r="QQC100" s="60" t="n"/>
      <c r="QQD100" s="60" t="n"/>
      <c r="QQE100" s="60" t="n"/>
      <c r="QQF100" s="60" t="n"/>
      <c r="QQG100" s="60" t="n"/>
      <c r="QQH100" s="60" t="n"/>
      <c r="QQI100" s="60" t="n"/>
      <c r="QQJ100" s="60" t="n"/>
      <c r="QQK100" s="60" t="n"/>
      <c r="QQL100" s="60" t="n"/>
      <c r="QQM100" s="60" t="n"/>
      <c r="QQN100" s="60" t="n"/>
      <c r="QQO100" s="60" t="n"/>
      <c r="QQP100" s="60" t="n"/>
      <c r="QQQ100" s="60" t="n"/>
      <c r="QQR100" s="60" t="n"/>
      <c r="QQS100" s="60" t="n"/>
      <c r="QQT100" s="60" t="n"/>
      <c r="QQU100" s="60" t="n"/>
      <c r="QQV100" s="60" t="n"/>
      <c r="QQW100" s="60" t="n"/>
      <c r="QQX100" s="60" t="n"/>
      <c r="QQY100" s="60" t="n"/>
      <c r="QQZ100" s="60" t="n"/>
      <c r="QRA100" s="60" t="n"/>
      <c r="QRB100" s="60" t="n"/>
      <c r="QRC100" s="60" t="n"/>
      <c r="QRD100" s="60" t="n"/>
      <c r="QRE100" s="60" t="n"/>
      <c r="QRF100" s="60" t="n"/>
      <c r="QRG100" s="60" t="n"/>
      <c r="QRH100" s="60" t="n"/>
      <c r="QRI100" s="60" t="n"/>
      <c r="QRJ100" s="60" t="n"/>
      <c r="QRK100" s="60" t="n"/>
      <c r="QRL100" s="60" t="n"/>
      <c r="QRM100" s="60" t="n"/>
      <c r="QRN100" s="60" t="n"/>
      <c r="QRO100" s="60" t="n"/>
      <c r="QRP100" s="60" t="n"/>
      <c r="QRQ100" s="60" t="n"/>
      <c r="QRR100" s="60" t="n"/>
      <c r="QRS100" s="60" t="n"/>
      <c r="QRT100" s="60" t="n"/>
      <c r="QRU100" s="60" t="n"/>
      <c r="QRV100" s="60" t="n"/>
      <c r="QRW100" s="60" t="n"/>
      <c r="QRX100" s="60" t="n"/>
      <c r="QRY100" s="60" t="n"/>
      <c r="QRZ100" s="60" t="n"/>
      <c r="QSA100" s="60" t="n"/>
      <c r="QSB100" s="60" t="n"/>
      <c r="QSC100" s="60" t="n"/>
      <c r="QSD100" s="60" t="n"/>
      <c r="QSE100" s="60" t="n"/>
      <c r="QSF100" s="60" t="n"/>
      <c r="QSG100" s="60" t="n"/>
      <c r="QSH100" s="60" t="n"/>
      <c r="QSI100" s="60" t="n"/>
      <c r="QSJ100" s="60" t="n"/>
      <c r="QSK100" s="60" t="n"/>
      <c r="QSL100" s="60" t="n"/>
      <c r="QSM100" s="60" t="n"/>
      <c r="QSN100" s="60" t="n"/>
      <c r="QSO100" s="60" t="n"/>
      <c r="QSP100" s="60" t="n"/>
      <c r="QSQ100" s="60" t="n"/>
      <c r="QSR100" s="60" t="n"/>
      <c r="QSS100" s="60" t="n"/>
      <c r="QST100" s="60" t="n"/>
      <c r="QSU100" s="60" t="n"/>
      <c r="QSV100" s="60" t="n"/>
      <c r="QSW100" s="60" t="n"/>
      <c r="QSX100" s="60" t="n"/>
      <c r="QSY100" s="60" t="n"/>
      <c r="QSZ100" s="60" t="n"/>
      <c r="QTA100" s="60" t="n"/>
      <c r="QTB100" s="60" t="n"/>
      <c r="QTC100" s="60" t="n"/>
      <c r="QTD100" s="60" t="n"/>
      <c r="QTE100" s="60" t="n"/>
      <c r="QTF100" s="60" t="n"/>
      <c r="QTG100" s="60" t="n"/>
      <c r="QTH100" s="60" t="n"/>
      <c r="QTI100" s="60" t="n"/>
      <c r="QTJ100" s="60" t="n"/>
      <c r="QTK100" s="60" t="n"/>
      <c r="QTL100" s="60" t="n"/>
      <c r="QTM100" s="60" t="n"/>
      <c r="QTN100" s="60" t="n"/>
      <c r="QTO100" s="60" t="n"/>
      <c r="QTP100" s="60" t="n"/>
      <c r="QTQ100" s="60" t="n"/>
      <c r="QTR100" s="60" t="n"/>
      <c r="QTS100" s="60" t="n"/>
      <c r="QTT100" s="60" t="n"/>
      <c r="QTU100" s="60" t="n"/>
      <c r="QTV100" s="60" t="n"/>
      <c r="QTW100" s="60" t="n"/>
      <c r="QTX100" s="60" t="n"/>
      <c r="QTY100" s="60" t="n"/>
      <c r="QTZ100" s="60" t="n"/>
      <c r="QUA100" s="60" t="n"/>
      <c r="QUB100" s="60" t="n"/>
      <c r="QUC100" s="60" t="n"/>
      <c r="QUD100" s="60" t="n"/>
      <c r="QUE100" s="60" t="n"/>
      <c r="QUF100" s="60" t="n"/>
      <c r="QUG100" s="60" t="n"/>
      <c r="QUH100" s="60" t="n"/>
      <c r="QUI100" s="60" t="n"/>
      <c r="QUJ100" s="60" t="n"/>
      <c r="QUK100" s="60" t="n"/>
      <c r="QUL100" s="60" t="n"/>
      <c r="QUM100" s="60" t="n"/>
      <c r="QUN100" s="60" t="n"/>
      <c r="QUO100" s="60" t="n"/>
      <c r="QUP100" s="60" t="n"/>
      <c r="QUQ100" s="60" t="n"/>
      <c r="QUR100" s="60" t="n"/>
      <c r="QUS100" s="60" t="n"/>
      <c r="QUT100" s="60" t="n"/>
      <c r="QUU100" s="60" t="n"/>
      <c r="QUV100" s="60" t="n"/>
      <c r="QUW100" s="60" t="n"/>
      <c r="QUX100" s="60" t="n"/>
      <c r="QUY100" s="60" t="n"/>
      <c r="QUZ100" s="60" t="n"/>
      <c r="QVA100" s="60" t="n"/>
      <c r="QVB100" s="60" t="n"/>
      <c r="QVC100" s="60" t="n"/>
      <c r="QVD100" s="60" t="n"/>
      <c r="QVE100" s="60" t="n"/>
      <c r="QVF100" s="60" t="n"/>
      <c r="QVG100" s="60" t="n"/>
      <c r="QVH100" s="60" t="n"/>
      <c r="QVI100" s="60" t="n"/>
      <c r="QVJ100" s="60" t="n"/>
      <c r="QVK100" s="60" t="n"/>
      <c r="QVL100" s="60" t="n"/>
      <c r="QVM100" s="60" t="n"/>
      <c r="QVN100" s="60" t="n"/>
      <c r="QVO100" s="60" t="n"/>
      <c r="QVP100" s="60" t="n"/>
      <c r="QVQ100" s="60" t="n"/>
      <c r="QVR100" s="60" t="n"/>
      <c r="QVS100" s="60" t="n"/>
      <c r="QVT100" s="60" t="n"/>
      <c r="QVU100" s="60" t="n"/>
      <c r="QVV100" s="60" t="n"/>
      <c r="QVW100" s="60" t="n"/>
      <c r="QVX100" s="60" t="n"/>
      <c r="QVY100" s="60" t="n"/>
      <c r="QVZ100" s="60" t="n"/>
      <c r="QWA100" s="60" t="n"/>
      <c r="QWB100" s="60" t="n"/>
      <c r="QWC100" s="60" t="n"/>
      <c r="QWD100" s="60" t="n"/>
      <c r="QWE100" s="60" t="n"/>
      <c r="QWF100" s="60" t="n"/>
      <c r="QWG100" s="60" t="n"/>
      <c r="QWH100" s="60" t="n"/>
      <c r="QWI100" s="60" t="n"/>
      <c r="QWJ100" s="60" t="n"/>
      <c r="QWK100" s="60" t="n"/>
      <c r="QWL100" s="60" t="n"/>
      <c r="QWM100" s="60" t="n"/>
      <c r="QWN100" s="60" t="n"/>
      <c r="QWO100" s="60" t="n"/>
      <c r="QWP100" s="60" t="n"/>
      <c r="QWQ100" s="60" t="n"/>
      <c r="QWR100" s="60" t="n"/>
      <c r="QWS100" s="60" t="n"/>
      <c r="QWT100" s="60" t="n"/>
      <c r="QWU100" s="60" t="n"/>
      <c r="QWV100" s="60" t="n"/>
      <c r="QWW100" s="60" t="n"/>
      <c r="QWX100" s="60" t="n"/>
      <c r="QWY100" s="60" t="n"/>
      <c r="QWZ100" s="60" t="n"/>
      <c r="QXA100" s="60" t="n"/>
      <c r="QXB100" s="60" t="n"/>
      <c r="QXC100" s="60" t="n"/>
      <c r="QXD100" s="60" t="n"/>
      <c r="QXE100" s="60" t="n"/>
      <c r="QXF100" s="60" t="n"/>
      <c r="QXG100" s="60" t="n"/>
      <c r="QXH100" s="60" t="n"/>
      <c r="QXI100" s="60" t="n"/>
      <c r="QXJ100" s="60" t="n"/>
      <c r="QXK100" s="60" t="n"/>
      <c r="QXL100" s="60" t="n"/>
      <c r="QXM100" s="60" t="n"/>
      <c r="QXN100" s="60" t="n"/>
      <c r="QXO100" s="60" t="n"/>
      <c r="QXP100" s="60" t="n"/>
      <c r="QXQ100" s="60" t="n"/>
      <c r="QXR100" s="60" t="n"/>
      <c r="QXS100" s="60" t="n"/>
      <c r="QXT100" s="60" t="n"/>
      <c r="QXU100" s="60" t="n"/>
      <c r="QXV100" s="60" t="n"/>
      <c r="QXW100" s="60" t="n"/>
      <c r="QXX100" s="60" t="n"/>
      <c r="QXY100" s="60" t="n"/>
      <c r="QXZ100" s="60" t="n"/>
      <c r="QYA100" s="60" t="n"/>
      <c r="QYB100" s="60" t="n"/>
      <c r="QYC100" s="60" t="n"/>
      <c r="QYD100" s="60" t="n"/>
      <c r="QYE100" s="60" t="n"/>
      <c r="QYF100" s="60" t="n"/>
      <c r="QYG100" s="60" t="n"/>
      <c r="QYH100" s="60" t="n"/>
      <c r="QYI100" s="60" t="n"/>
      <c r="QYJ100" s="60" t="n"/>
      <c r="QYK100" s="60" t="n"/>
      <c r="QYL100" s="60" t="n"/>
      <c r="QYM100" s="60" t="n"/>
      <c r="QYN100" s="60" t="n"/>
      <c r="QYO100" s="60" t="n"/>
      <c r="QYP100" s="60" t="n"/>
      <c r="QYQ100" s="60" t="n"/>
      <c r="QYR100" s="60" t="n"/>
      <c r="QYS100" s="60" t="n"/>
      <c r="QYT100" s="60" t="n"/>
      <c r="QYU100" s="60" t="n"/>
      <c r="QYV100" s="60" t="n"/>
      <c r="QYW100" s="60" t="n"/>
      <c r="QYX100" s="60" t="n"/>
      <c r="QYY100" s="60" t="n"/>
      <c r="QYZ100" s="60" t="n"/>
      <c r="QZA100" s="60" t="n"/>
      <c r="QZB100" s="60" t="n"/>
      <c r="QZC100" s="60" t="n"/>
      <c r="QZD100" s="60" t="n"/>
      <c r="QZE100" s="60" t="n"/>
      <c r="QZF100" s="60" t="n"/>
      <c r="QZG100" s="60" t="n"/>
      <c r="QZH100" s="60" t="n"/>
      <c r="QZI100" s="60" t="n"/>
      <c r="QZJ100" s="60" t="n"/>
      <c r="QZK100" s="60" t="n"/>
      <c r="QZL100" s="60" t="n"/>
      <c r="QZM100" s="60" t="n"/>
      <c r="QZN100" s="60" t="n"/>
      <c r="QZO100" s="60" t="n"/>
      <c r="QZP100" s="60" t="n"/>
      <c r="QZQ100" s="60" t="n"/>
      <c r="QZR100" s="60" t="n"/>
      <c r="QZS100" s="60" t="n"/>
      <c r="QZT100" s="60" t="n"/>
      <c r="QZU100" s="60" t="n"/>
      <c r="QZV100" s="60" t="n"/>
      <c r="QZW100" s="60" t="n"/>
      <c r="QZX100" s="60" t="n"/>
      <c r="QZY100" s="60" t="n"/>
      <c r="QZZ100" s="60" t="n"/>
      <c r="RAA100" s="60" t="n"/>
      <c r="RAB100" s="60" t="n"/>
      <c r="RAC100" s="60" t="n"/>
      <c r="RAD100" s="60" t="n"/>
      <c r="RAE100" s="60" t="n"/>
      <c r="RAF100" s="60" t="n"/>
      <c r="RAG100" s="60" t="n"/>
      <c r="RAH100" s="60" t="n"/>
      <c r="RAI100" s="60" t="n"/>
      <c r="RAJ100" s="60" t="n"/>
      <c r="RAK100" s="60" t="n"/>
      <c r="RAL100" s="60" t="n"/>
      <c r="RAM100" s="60" t="n"/>
      <c r="RAN100" s="60" t="n"/>
      <c r="RAO100" s="60" t="n"/>
      <c r="RAP100" s="60" t="n"/>
      <c r="RAQ100" s="60" t="n"/>
      <c r="RAR100" s="60" t="n"/>
      <c r="RAS100" s="60" t="n"/>
      <c r="RAT100" s="60" t="n"/>
      <c r="RAU100" s="60" t="n"/>
      <c r="RAV100" s="60" t="n"/>
      <c r="RAW100" s="60" t="n"/>
      <c r="RAX100" s="60" t="n"/>
      <c r="RAY100" s="60" t="n"/>
      <c r="RAZ100" s="60" t="n"/>
      <c r="RBA100" s="60" t="n"/>
      <c r="RBB100" s="60" t="n"/>
      <c r="RBC100" s="60" t="n"/>
      <c r="RBD100" s="60" t="n"/>
      <c r="RBE100" s="60" t="n"/>
      <c r="RBF100" s="60" t="n"/>
      <c r="RBG100" s="60" t="n"/>
      <c r="RBH100" s="60" t="n"/>
      <c r="RBI100" s="60" t="n"/>
      <c r="RBJ100" s="60" t="n"/>
      <c r="RBK100" s="60" t="n"/>
      <c r="RBL100" s="60" t="n"/>
      <c r="RBM100" s="60" t="n"/>
      <c r="RBN100" s="60" t="n"/>
      <c r="RBO100" s="60" t="n"/>
      <c r="RBP100" s="60" t="n"/>
      <c r="RBQ100" s="60" t="n"/>
      <c r="RBR100" s="60" t="n"/>
      <c r="RBS100" s="60" t="n"/>
      <c r="RBT100" s="60" t="n"/>
      <c r="RBU100" s="60" t="n"/>
      <c r="RBV100" s="60" t="n"/>
      <c r="RBW100" s="60" t="n"/>
      <c r="RBX100" s="60" t="n"/>
      <c r="RBY100" s="60" t="n"/>
      <c r="RBZ100" s="60" t="n"/>
      <c r="RCA100" s="60" t="n"/>
      <c r="RCB100" s="60" t="n"/>
      <c r="RCC100" s="60" t="n"/>
      <c r="RCD100" s="60" t="n"/>
      <c r="RCE100" s="60" t="n"/>
      <c r="RCF100" s="60" t="n"/>
      <c r="RCG100" s="60" t="n"/>
      <c r="RCH100" s="60" t="n"/>
      <c r="RCI100" s="60" t="n"/>
      <c r="RCJ100" s="60" t="n"/>
      <c r="RCK100" s="60" t="n"/>
      <c r="RCL100" s="60" t="n"/>
      <c r="RCM100" s="60" t="n"/>
      <c r="RCN100" s="60" t="n"/>
      <c r="RCO100" s="60" t="n"/>
      <c r="RCP100" s="60" t="n"/>
      <c r="RCQ100" s="60" t="n"/>
      <c r="RCR100" s="60" t="n"/>
      <c r="RCS100" s="60" t="n"/>
      <c r="RCT100" s="60" t="n"/>
      <c r="RCU100" s="60" t="n"/>
      <c r="RCV100" s="60" t="n"/>
      <c r="RCW100" s="60" t="n"/>
      <c r="RCX100" s="60" t="n"/>
      <c r="RCY100" s="60" t="n"/>
      <c r="RCZ100" s="60" t="n"/>
      <c r="RDA100" s="60" t="n"/>
      <c r="RDB100" s="60" t="n"/>
      <c r="RDC100" s="60" t="n"/>
      <c r="RDD100" s="60" t="n"/>
      <c r="RDE100" s="60" t="n"/>
      <c r="RDF100" s="60" t="n"/>
      <c r="RDG100" s="60" t="n"/>
      <c r="RDH100" s="60" t="n"/>
      <c r="RDI100" s="60" t="n"/>
      <c r="RDJ100" s="60" t="n"/>
      <c r="RDK100" s="60" t="n"/>
      <c r="RDL100" s="60" t="n"/>
      <c r="RDM100" s="60" t="n"/>
      <c r="RDN100" s="60" t="n"/>
      <c r="RDO100" s="60" t="n"/>
      <c r="RDP100" s="60" t="n"/>
      <c r="RDQ100" s="60" t="n"/>
      <c r="RDR100" s="60" t="n"/>
      <c r="RDS100" s="60" t="n"/>
      <c r="RDT100" s="60" t="n"/>
      <c r="RDU100" s="60" t="n"/>
      <c r="RDV100" s="60" t="n"/>
      <c r="RDW100" s="60" t="n"/>
      <c r="RDX100" s="60" t="n"/>
      <c r="RDY100" s="60" t="n"/>
      <c r="RDZ100" s="60" t="n"/>
      <c r="REA100" s="60" t="n"/>
      <c r="REB100" s="60" t="n"/>
      <c r="REC100" s="60" t="n"/>
      <c r="RED100" s="60" t="n"/>
      <c r="REE100" s="60" t="n"/>
      <c r="REF100" s="60" t="n"/>
      <c r="REG100" s="60" t="n"/>
      <c r="REH100" s="60" t="n"/>
      <c r="REI100" s="60" t="n"/>
      <c r="REJ100" s="60" t="n"/>
      <c r="REK100" s="60" t="n"/>
      <c r="REL100" s="60" t="n"/>
      <c r="REM100" s="60" t="n"/>
      <c r="REN100" s="60" t="n"/>
      <c r="REO100" s="60" t="n"/>
      <c r="REP100" s="60" t="n"/>
      <c r="REQ100" s="60" t="n"/>
      <c r="RER100" s="60" t="n"/>
      <c r="RES100" s="60" t="n"/>
      <c r="RET100" s="60" t="n"/>
      <c r="REU100" s="60" t="n"/>
      <c r="REV100" s="60" t="n"/>
      <c r="REW100" s="60" t="n"/>
      <c r="REX100" s="60" t="n"/>
      <c r="REY100" s="60" t="n"/>
      <c r="REZ100" s="60" t="n"/>
      <c r="RFA100" s="60" t="n"/>
      <c r="RFB100" s="60" t="n"/>
      <c r="RFC100" s="60" t="n"/>
      <c r="RFD100" s="60" t="n"/>
      <c r="RFE100" s="60" t="n"/>
      <c r="RFF100" s="60" t="n"/>
      <c r="RFG100" s="60" t="n"/>
      <c r="RFH100" s="60" t="n"/>
      <c r="RFI100" s="60" t="n"/>
      <c r="RFJ100" s="60" t="n"/>
      <c r="RFK100" s="60" t="n"/>
      <c r="RFL100" s="60" t="n"/>
      <c r="RFM100" s="60" t="n"/>
      <c r="RFN100" s="60" t="n"/>
      <c r="RFO100" s="60" t="n"/>
      <c r="RFP100" s="60" t="n"/>
      <c r="RFQ100" s="60" t="n"/>
      <c r="RFR100" s="60" t="n"/>
      <c r="RFS100" s="60" t="n"/>
      <c r="RFT100" s="60" t="n"/>
      <c r="RFU100" s="60" t="n"/>
      <c r="RFV100" s="60" t="n"/>
      <c r="RFW100" s="60" t="n"/>
      <c r="RFX100" s="60" t="n"/>
      <c r="RFY100" s="60" t="n"/>
      <c r="RFZ100" s="60" t="n"/>
      <c r="RGA100" s="60" t="n"/>
      <c r="RGB100" s="60" t="n"/>
      <c r="RGC100" s="60" t="n"/>
      <c r="RGD100" s="60" t="n"/>
      <c r="RGE100" s="60" t="n"/>
      <c r="RGF100" s="60" t="n"/>
      <c r="RGG100" s="60" t="n"/>
      <c r="RGH100" s="60" t="n"/>
      <c r="RGI100" s="60" t="n"/>
      <c r="RGJ100" s="60" t="n"/>
      <c r="RGK100" s="60" t="n"/>
      <c r="RGL100" s="60" t="n"/>
      <c r="RGM100" s="60" t="n"/>
      <c r="RGN100" s="60" t="n"/>
      <c r="RGO100" s="60" t="n"/>
      <c r="RGP100" s="60" t="n"/>
      <c r="RGQ100" s="60" t="n"/>
      <c r="RGR100" s="60" t="n"/>
      <c r="RGS100" s="60" t="n"/>
      <c r="RGT100" s="60" t="n"/>
      <c r="RGU100" s="60" t="n"/>
      <c r="RGV100" s="60" t="n"/>
      <c r="RGW100" s="60" t="n"/>
      <c r="RGX100" s="60" t="n"/>
      <c r="RGY100" s="60" t="n"/>
      <c r="RGZ100" s="60" t="n"/>
      <c r="RHA100" s="60" t="n"/>
      <c r="RHB100" s="60" t="n"/>
      <c r="RHC100" s="60" t="n"/>
      <c r="RHD100" s="60" t="n"/>
      <c r="RHE100" s="60" t="n"/>
      <c r="RHF100" s="60" t="n"/>
      <c r="RHG100" s="60" t="n"/>
      <c r="RHH100" s="60" t="n"/>
      <c r="RHI100" s="60" t="n"/>
      <c r="RHJ100" s="60" t="n"/>
      <c r="RHK100" s="60" t="n"/>
      <c r="RHL100" s="60" t="n"/>
      <c r="RHM100" s="60" t="n"/>
      <c r="RHN100" s="60" t="n"/>
      <c r="RHO100" s="60" t="n"/>
      <c r="RHP100" s="60" t="n"/>
      <c r="RHQ100" s="60" t="n"/>
      <c r="RHR100" s="60" t="n"/>
      <c r="RHS100" s="60" t="n"/>
      <c r="RHT100" s="60" t="n"/>
      <c r="RHU100" s="60" t="n"/>
      <c r="RHV100" s="60" t="n"/>
      <c r="RHW100" s="60" t="n"/>
      <c r="RHX100" s="60" t="n"/>
      <c r="RHY100" s="60" t="n"/>
      <c r="RHZ100" s="60" t="n"/>
      <c r="RIA100" s="60" t="n"/>
      <c r="RIB100" s="60" t="n"/>
      <c r="RIC100" s="60" t="n"/>
      <c r="RID100" s="60" t="n"/>
      <c r="RIE100" s="60" t="n"/>
      <c r="RIF100" s="60" t="n"/>
      <c r="RIG100" s="60" t="n"/>
      <c r="RIH100" s="60" t="n"/>
      <c r="RII100" s="60" t="n"/>
      <c r="RIJ100" s="60" t="n"/>
      <c r="RIK100" s="60" t="n"/>
      <c r="RIL100" s="60" t="n"/>
      <c r="RIM100" s="60" t="n"/>
      <c r="RIN100" s="60" t="n"/>
      <c r="RIO100" s="60" t="n"/>
      <c r="RIP100" s="60" t="n"/>
      <c r="RIQ100" s="60" t="n"/>
      <c r="RIR100" s="60" t="n"/>
      <c r="RIS100" s="60" t="n"/>
      <c r="RIT100" s="60" t="n"/>
      <c r="RIU100" s="60" t="n"/>
      <c r="RIV100" s="60" t="n"/>
      <c r="RIW100" s="60" t="n"/>
      <c r="RIX100" s="60" t="n"/>
      <c r="RIY100" s="60" t="n"/>
      <c r="RIZ100" s="60" t="n"/>
      <c r="RJA100" s="60" t="n"/>
      <c r="RJB100" s="60" t="n"/>
      <c r="RJC100" s="60" t="n"/>
      <c r="RJD100" s="60" t="n"/>
      <c r="RJE100" s="60" t="n"/>
      <c r="RJF100" s="60" t="n"/>
      <c r="RJG100" s="60" t="n"/>
      <c r="RJH100" s="60" t="n"/>
      <c r="RJI100" s="60" t="n"/>
      <c r="RJJ100" s="60" t="n"/>
      <c r="RJK100" s="60" t="n"/>
      <c r="RJL100" s="60" t="n"/>
      <c r="RJM100" s="60" t="n"/>
      <c r="RJN100" s="60" t="n"/>
      <c r="RJO100" s="60" t="n"/>
      <c r="RJP100" s="60" t="n"/>
      <c r="RJQ100" s="60" t="n"/>
      <c r="RJR100" s="60" t="n"/>
      <c r="RJS100" s="60" t="n"/>
      <c r="RJT100" s="60" t="n"/>
      <c r="RJU100" s="60" t="n"/>
      <c r="RJV100" s="60" t="n"/>
      <c r="RJW100" s="60" t="n"/>
      <c r="RJX100" s="60" t="n"/>
      <c r="RJY100" s="60" t="n"/>
      <c r="RJZ100" s="60" t="n"/>
      <c r="RKA100" s="60" t="n"/>
      <c r="RKB100" s="60" t="n"/>
      <c r="RKC100" s="60" t="n"/>
      <c r="RKD100" s="60" t="n"/>
      <c r="RKE100" s="60" t="n"/>
      <c r="RKF100" s="60" t="n"/>
      <c r="RKG100" s="60" t="n"/>
      <c r="RKH100" s="60" t="n"/>
      <c r="RKI100" s="60" t="n"/>
      <c r="RKJ100" s="60" t="n"/>
      <c r="RKK100" s="60" t="n"/>
      <c r="RKL100" s="60" t="n"/>
      <c r="RKM100" s="60" t="n"/>
      <c r="RKN100" s="60" t="n"/>
      <c r="RKO100" s="60" t="n"/>
      <c r="RKP100" s="60" t="n"/>
      <c r="RKQ100" s="60" t="n"/>
      <c r="RKR100" s="60" t="n"/>
      <c r="RKS100" s="60" t="n"/>
      <c r="RKT100" s="60" t="n"/>
      <c r="RKU100" s="60" t="n"/>
      <c r="RKV100" s="60" t="n"/>
      <c r="RKW100" s="60" t="n"/>
      <c r="RKX100" s="60" t="n"/>
      <c r="RKY100" s="60" t="n"/>
      <c r="RKZ100" s="60" t="n"/>
      <c r="RLA100" s="60" t="n"/>
      <c r="RLB100" s="60" t="n"/>
      <c r="RLC100" s="60" t="n"/>
      <c r="RLD100" s="60" t="n"/>
      <c r="RLE100" s="60" t="n"/>
      <c r="RLF100" s="60" t="n"/>
      <c r="RLG100" s="60" t="n"/>
      <c r="RLH100" s="60" t="n"/>
      <c r="RLI100" s="60" t="n"/>
      <c r="RLJ100" s="60" t="n"/>
      <c r="RLK100" s="60" t="n"/>
      <c r="RLL100" s="60" t="n"/>
      <c r="RLM100" s="60" t="n"/>
      <c r="RLN100" s="60" t="n"/>
      <c r="RLO100" s="60" t="n"/>
      <c r="RLP100" s="60" t="n"/>
      <c r="RLQ100" s="60" t="n"/>
      <c r="RLR100" s="60" t="n"/>
      <c r="RLS100" s="60" t="n"/>
      <c r="RLT100" s="60" t="n"/>
      <c r="RLU100" s="60" t="n"/>
      <c r="RLV100" s="60" t="n"/>
      <c r="RLW100" s="60" t="n"/>
      <c r="RLX100" s="60" t="n"/>
      <c r="RLY100" s="60" t="n"/>
      <c r="RLZ100" s="60" t="n"/>
      <c r="RMA100" s="60" t="n"/>
      <c r="RMB100" s="60" t="n"/>
      <c r="RMC100" s="60" t="n"/>
      <c r="RMD100" s="60" t="n"/>
      <c r="RME100" s="60" t="n"/>
      <c r="RMF100" s="60" t="n"/>
      <c r="RMG100" s="60" t="n"/>
      <c r="RMH100" s="60" t="n"/>
      <c r="RMI100" s="60" t="n"/>
      <c r="RMJ100" s="60" t="n"/>
      <c r="RMK100" s="60" t="n"/>
      <c r="RML100" s="60" t="n"/>
      <c r="RMM100" s="60" t="n"/>
      <c r="RMN100" s="60" t="n"/>
      <c r="RMO100" s="60" t="n"/>
      <c r="RMP100" s="60" t="n"/>
      <c r="RMQ100" s="60" t="n"/>
      <c r="RMR100" s="60" t="n"/>
      <c r="RMS100" s="60" t="n"/>
      <c r="RMT100" s="60" t="n"/>
      <c r="RMU100" s="60" t="n"/>
      <c r="RMV100" s="60" t="n"/>
      <c r="RMW100" s="60" t="n"/>
      <c r="RMX100" s="60" t="n"/>
      <c r="RMY100" s="60" t="n"/>
      <c r="RMZ100" s="60" t="n"/>
      <c r="RNA100" s="60" t="n"/>
      <c r="RNB100" s="60" t="n"/>
      <c r="RNC100" s="60" t="n"/>
      <c r="RND100" s="60" t="n"/>
      <c r="RNE100" s="60" t="n"/>
      <c r="RNF100" s="60" t="n"/>
      <c r="RNG100" s="60" t="n"/>
      <c r="RNH100" s="60" t="n"/>
      <c r="RNI100" s="60" t="n"/>
      <c r="RNJ100" s="60" t="n"/>
      <c r="RNK100" s="60" t="n"/>
      <c r="RNL100" s="60" t="n"/>
      <c r="RNM100" s="60" t="n"/>
      <c r="RNN100" s="60" t="n"/>
      <c r="RNO100" s="60" t="n"/>
      <c r="RNP100" s="60" t="n"/>
      <c r="RNQ100" s="60" t="n"/>
      <c r="RNR100" s="60" t="n"/>
      <c r="RNS100" s="60" t="n"/>
      <c r="RNT100" s="60" t="n"/>
      <c r="RNU100" s="60" t="n"/>
      <c r="RNV100" s="60" t="n"/>
      <c r="RNW100" s="60" t="n"/>
      <c r="RNX100" s="60" t="n"/>
      <c r="RNY100" s="60" t="n"/>
      <c r="RNZ100" s="60" t="n"/>
      <c r="ROA100" s="60" t="n"/>
      <c r="ROB100" s="60" t="n"/>
      <c r="ROC100" s="60" t="n"/>
      <c r="ROD100" s="60" t="n"/>
      <c r="ROE100" s="60" t="n"/>
      <c r="ROF100" s="60" t="n"/>
      <c r="ROG100" s="60" t="n"/>
      <c r="ROH100" s="60" t="n"/>
      <c r="ROI100" s="60" t="n"/>
      <c r="ROJ100" s="60" t="n"/>
      <c r="ROK100" s="60" t="n"/>
      <c r="ROL100" s="60" t="n"/>
      <c r="ROM100" s="60" t="n"/>
      <c r="RON100" s="60" t="n"/>
      <c r="ROO100" s="60" t="n"/>
      <c r="ROP100" s="60" t="n"/>
      <c r="ROQ100" s="60" t="n"/>
      <c r="ROR100" s="60" t="n"/>
      <c r="ROS100" s="60" t="n"/>
      <c r="ROT100" s="60" t="n"/>
      <c r="ROU100" s="60" t="n"/>
      <c r="ROV100" s="60" t="n"/>
      <c r="ROW100" s="60" t="n"/>
      <c r="ROX100" s="60" t="n"/>
      <c r="ROY100" s="60" t="n"/>
      <c r="ROZ100" s="60" t="n"/>
      <c r="RPA100" s="60" t="n"/>
      <c r="RPB100" s="60" t="n"/>
      <c r="RPC100" s="60" t="n"/>
      <c r="RPD100" s="60" t="n"/>
      <c r="RPE100" s="60" t="n"/>
      <c r="RPF100" s="60" t="n"/>
      <c r="RPG100" s="60" t="n"/>
      <c r="RPH100" s="60" t="n"/>
      <c r="RPI100" s="60" t="n"/>
      <c r="RPJ100" s="60" t="n"/>
      <c r="RPK100" s="60" t="n"/>
      <c r="RPL100" s="60" t="n"/>
      <c r="RPM100" s="60" t="n"/>
      <c r="RPN100" s="60" t="n"/>
      <c r="RPO100" s="60" t="n"/>
      <c r="RPP100" s="60" t="n"/>
      <c r="RPQ100" s="60" t="n"/>
      <c r="RPR100" s="60" t="n"/>
      <c r="RPS100" s="60" t="n"/>
      <c r="RPT100" s="60" t="n"/>
      <c r="RPU100" s="60" t="n"/>
      <c r="RPV100" s="60" t="n"/>
      <c r="RPW100" s="60" t="n"/>
      <c r="RPX100" s="60" t="n"/>
      <c r="RPY100" s="60" t="n"/>
      <c r="RPZ100" s="60" t="n"/>
      <c r="RQA100" s="60" t="n"/>
      <c r="RQB100" s="60" t="n"/>
      <c r="RQC100" s="60" t="n"/>
      <c r="RQD100" s="60" t="n"/>
      <c r="RQE100" s="60" t="n"/>
      <c r="RQF100" s="60" t="n"/>
      <c r="RQG100" s="60" t="n"/>
      <c r="RQH100" s="60" t="n"/>
      <c r="RQI100" s="60" t="n"/>
      <c r="RQJ100" s="60" t="n"/>
      <c r="RQK100" s="60" t="n"/>
      <c r="RQL100" s="60" t="n"/>
      <c r="RQM100" s="60" t="n"/>
      <c r="RQN100" s="60" t="n"/>
      <c r="RQO100" s="60" t="n"/>
      <c r="RQP100" s="60" t="n"/>
      <c r="RQQ100" s="60" t="n"/>
      <c r="RQR100" s="60" t="n"/>
      <c r="RQS100" s="60" t="n"/>
      <c r="RQT100" s="60" t="n"/>
      <c r="RQU100" s="60" t="n"/>
      <c r="RQV100" s="60" t="n"/>
      <c r="RQW100" s="60" t="n"/>
      <c r="RQX100" s="60" t="n"/>
      <c r="RQY100" s="60" t="n"/>
      <c r="RQZ100" s="60" t="n"/>
      <c r="RRA100" s="60" t="n"/>
      <c r="RRB100" s="60" t="n"/>
      <c r="RRC100" s="60" t="n"/>
      <c r="RRD100" s="60" t="n"/>
      <c r="RRE100" s="60" t="n"/>
      <c r="RRF100" s="60" t="n"/>
      <c r="RRG100" s="60" t="n"/>
      <c r="RRH100" s="60" t="n"/>
      <c r="RRI100" s="60" t="n"/>
      <c r="RRJ100" s="60" t="n"/>
      <c r="RRK100" s="60" t="n"/>
      <c r="RRL100" s="60" t="n"/>
      <c r="RRM100" s="60" t="n"/>
      <c r="RRN100" s="60" t="n"/>
      <c r="RRO100" s="60" t="n"/>
      <c r="RRP100" s="60" t="n"/>
      <c r="RRQ100" s="60" t="n"/>
      <c r="RRR100" s="60" t="n"/>
      <c r="RRS100" s="60" t="n"/>
      <c r="RRT100" s="60" t="n"/>
      <c r="RRU100" s="60" t="n"/>
      <c r="RRV100" s="60" t="n"/>
      <c r="RRW100" s="60" t="n"/>
      <c r="RRX100" s="60" t="n"/>
      <c r="RRY100" s="60" t="n"/>
      <c r="RRZ100" s="60" t="n"/>
      <c r="RSA100" s="60" t="n"/>
      <c r="RSB100" s="60" t="n"/>
      <c r="RSC100" s="60" t="n"/>
      <c r="RSD100" s="60" t="n"/>
      <c r="RSE100" s="60" t="n"/>
      <c r="RSF100" s="60" t="n"/>
      <c r="RSG100" s="60" t="n"/>
      <c r="RSH100" s="60" t="n"/>
      <c r="RSI100" s="60" t="n"/>
      <c r="RSJ100" s="60" t="n"/>
      <c r="RSK100" s="60" t="n"/>
      <c r="RSL100" s="60" t="n"/>
      <c r="RSM100" s="60" t="n"/>
      <c r="RSN100" s="60" t="n"/>
      <c r="RSO100" s="60" t="n"/>
      <c r="RSP100" s="60" t="n"/>
      <c r="RSQ100" s="60" t="n"/>
      <c r="RSR100" s="60" t="n"/>
      <c r="RSS100" s="60" t="n"/>
      <c r="RST100" s="60" t="n"/>
      <c r="RSU100" s="60" t="n"/>
      <c r="RSV100" s="60" t="n"/>
      <c r="RSW100" s="60" t="n"/>
      <c r="RSX100" s="60" t="n"/>
      <c r="RSY100" s="60" t="n"/>
      <c r="RSZ100" s="60" t="n"/>
      <c r="RTA100" s="60" t="n"/>
      <c r="RTB100" s="60" t="n"/>
      <c r="RTC100" s="60" t="n"/>
      <c r="RTD100" s="60" t="n"/>
      <c r="RTE100" s="60" t="n"/>
      <c r="RTF100" s="60" t="n"/>
      <c r="RTG100" s="60" t="n"/>
      <c r="RTH100" s="60" t="n"/>
      <c r="RTI100" s="60" t="n"/>
      <c r="RTJ100" s="60" t="n"/>
      <c r="RTK100" s="60" t="n"/>
      <c r="RTL100" s="60" t="n"/>
      <c r="RTM100" s="60" t="n"/>
      <c r="RTN100" s="60" t="n"/>
      <c r="RTO100" s="60" t="n"/>
      <c r="RTP100" s="60" t="n"/>
      <c r="RTQ100" s="60" t="n"/>
      <c r="RTR100" s="60" t="n"/>
      <c r="RTS100" s="60" t="n"/>
      <c r="RTT100" s="60" t="n"/>
      <c r="RTU100" s="60" t="n"/>
      <c r="RTV100" s="60" t="n"/>
      <c r="RTW100" s="60" t="n"/>
      <c r="RTX100" s="60" t="n"/>
      <c r="RTY100" s="60" t="n"/>
      <c r="RTZ100" s="60" t="n"/>
      <c r="RUA100" s="60" t="n"/>
      <c r="RUB100" s="60" t="n"/>
      <c r="RUC100" s="60" t="n"/>
      <c r="RUD100" s="60" t="n"/>
      <c r="RUE100" s="60" t="n"/>
      <c r="RUF100" s="60" t="n"/>
      <c r="RUG100" s="60" t="n"/>
      <c r="RUH100" s="60" t="n"/>
      <c r="RUI100" s="60" t="n"/>
      <c r="RUJ100" s="60" t="n"/>
      <c r="RUK100" s="60" t="n"/>
      <c r="RUL100" s="60" t="n"/>
      <c r="RUM100" s="60" t="n"/>
      <c r="RUN100" s="60" t="n"/>
      <c r="RUO100" s="60" t="n"/>
      <c r="RUP100" s="60" t="n"/>
      <c r="RUQ100" s="60" t="n"/>
      <c r="RUR100" s="60" t="n"/>
      <c r="RUS100" s="60" t="n"/>
      <c r="RUT100" s="60" t="n"/>
      <c r="RUU100" s="60" t="n"/>
      <c r="RUV100" s="60" t="n"/>
      <c r="RUW100" s="60" t="n"/>
      <c r="RUX100" s="60" t="n"/>
      <c r="RUY100" s="60" t="n"/>
      <c r="RUZ100" s="60" t="n"/>
      <c r="RVA100" s="60" t="n"/>
      <c r="RVB100" s="60" t="n"/>
      <c r="RVC100" s="60" t="n"/>
      <c r="RVD100" s="60" t="n"/>
      <c r="RVE100" s="60" t="n"/>
      <c r="RVF100" s="60" t="n"/>
      <c r="RVG100" s="60" t="n"/>
      <c r="RVH100" s="60" t="n"/>
      <c r="RVI100" s="60" t="n"/>
      <c r="RVJ100" s="60" t="n"/>
      <c r="RVK100" s="60" t="n"/>
      <c r="RVL100" s="60" t="n"/>
      <c r="RVM100" s="60" t="n"/>
      <c r="RVN100" s="60" t="n"/>
      <c r="RVO100" s="60" t="n"/>
      <c r="RVP100" s="60" t="n"/>
      <c r="RVQ100" s="60" t="n"/>
      <c r="RVR100" s="60" t="n"/>
      <c r="RVS100" s="60" t="n"/>
      <c r="RVT100" s="60" t="n"/>
      <c r="RVU100" s="60" t="n"/>
      <c r="RVV100" s="60" t="n"/>
      <c r="RVW100" s="60" t="n"/>
      <c r="RVX100" s="60" t="n"/>
      <c r="RVY100" s="60" t="n"/>
      <c r="RVZ100" s="60" t="n"/>
      <c r="RWA100" s="60" t="n"/>
      <c r="RWB100" s="60" t="n"/>
      <c r="RWC100" s="60" t="n"/>
      <c r="RWD100" s="60" t="n"/>
      <c r="RWE100" s="60" t="n"/>
      <c r="RWF100" s="60" t="n"/>
      <c r="RWG100" s="60" t="n"/>
      <c r="RWH100" s="60" t="n"/>
      <c r="RWI100" s="60" t="n"/>
      <c r="RWJ100" s="60" t="n"/>
      <c r="RWK100" s="60" t="n"/>
      <c r="RWL100" s="60" t="n"/>
      <c r="RWM100" s="60" t="n"/>
      <c r="RWN100" s="60" t="n"/>
      <c r="RWO100" s="60" t="n"/>
      <c r="RWP100" s="60" t="n"/>
      <c r="RWQ100" s="60" t="n"/>
      <c r="RWR100" s="60" t="n"/>
      <c r="RWS100" s="60" t="n"/>
      <c r="RWT100" s="60" t="n"/>
      <c r="RWU100" s="60" t="n"/>
      <c r="RWV100" s="60" t="n"/>
      <c r="RWW100" s="60" t="n"/>
      <c r="RWX100" s="60" t="n"/>
      <c r="RWY100" s="60" t="n"/>
      <c r="RWZ100" s="60" t="n"/>
      <c r="RXA100" s="60" t="n"/>
      <c r="RXB100" s="60" t="n"/>
      <c r="RXC100" s="60" t="n"/>
      <c r="RXD100" s="60" t="n"/>
      <c r="RXE100" s="60" t="n"/>
      <c r="RXF100" s="60" t="n"/>
      <c r="RXG100" s="60" t="n"/>
      <c r="RXH100" s="60" t="n"/>
      <c r="RXI100" s="60" t="n"/>
      <c r="RXJ100" s="60" t="n"/>
      <c r="RXK100" s="60" t="n"/>
      <c r="RXL100" s="60" t="n"/>
      <c r="RXM100" s="60" t="n"/>
      <c r="RXN100" s="60" t="n"/>
      <c r="RXO100" s="60" t="n"/>
      <c r="RXP100" s="60" t="n"/>
      <c r="RXQ100" s="60" t="n"/>
      <c r="RXR100" s="60" t="n"/>
      <c r="RXS100" s="60" t="n"/>
      <c r="RXT100" s="60" t="n"/>
      <c r="RXU100" s="60" t="n"/>
      <c r="RXV100" s="60" t="n"/>
      <c r="RXW100" s="60" t="n"/>
      <c r="RXX100" s="60" t="n"/>
      <c r="RXY100" s="60" t="n"/>
      <c r="RXZ100" s="60" t="n"/>
      <c r="RYA100" s="60" t="n"/>
      <c r="RYB100" s="60" t="n"/>
      <c r="RYC100" s="60" t="n"/>
      <c r="RYD100" s="60" t="n"/>
      <c r="RYE100" s="60" t="n"/>
      <c r="RYF100" s="60" t="n"/>
      <c r="RYG100" s="60" t="n"/>
      <c r="RYH100" s="60" t="n"/>
      <c r="RYI100" s="60" t="n"/>
      <c r="RYJ100" s="60" t="n"/>
      <c r="RYK100" s="60" t="n"/>
      <c r="RYL100" s="60" t="n"/>
      <c r="RYM100" s="60" t="n"/>
      <c r="RYN100" s="60" t="n"/>
      <c r="RYO100" s="60" t="n"/>
      <c r="RYP100" s="60" t="n"/>
      <c r="RYQ100" s="60" t="n"/>
      <c r="RYR100" s="60" t="n"/>
      <c r="RYS100" s="60" t="n"/>
      <c r="RYT100" s="60" t="n"/>
      <c r="RYU100" s="60" t="n"/>
      <c r="RYV100" s="60" t="n"/>
      <c r="RYW100" s="60" t="n"/>
      <c r="RYX100" s="60" t="n"/>
      <c r="RYY100" s="60" t="n"/>
      <c r="RYZ100" s="60" t="n"/>
      <c r="RZA100" s="60" t="n"/>
      <c r="RZB100" s="60" t="n"/>
      <c r="RZC100" s="60" t="n"/>
      <c r="RZD100" s="60" t="n"/>
      <c r="RZE100" s="60" t="n"/>
      <c r="RZF100" s="60" t="n"/>
      <c r="RZG100" s="60" t="n"/>
      <c r="RZH100" s="60" t="n"/>
      <c r="RZI100" s="60" t="n"/>
      <c r="RZJ100" s="60" t="n"/>
      <c r="RZK100" s="60" t="n"/>
      <c r="RZL100" s="60" t="n"/>
      <c r="RZM100" s="60" t="n"/>
      <c r="RZN100" s="60" t="n"/>
      <c r="RZO100" s="60" t="n"/>
      <c r="RZP100" s="60" t="n"/>
      <c r="RZQ100" s="60" t="n"/>
      <c r="RZR100" s="60" t="n"/>
      <c r="RZS100" s="60" t="n"/>
      <c r="RZT100" s="60" t="n"/>
      <c r="RZU100" s="60" t="n"/>
      <c r="RZV100" s="60" t="n"/>
      <c r="RZW100" s="60" t="n"/>
      <c r="RZX100" s="60" t="n"/>
      <c r="RZY100" s="60" t="n"/>
      <c r="RZZ100" s="60" t="n"/>
      <c r="SAA100" s="60" t="n"/>
      <c r="SAB100" s="60" t="n"/>
      <c r="SAC100" s="60" t="n"/>
      <c r="SAD100" s="60" t="n"/>
      <c r="SAE100" s="60" t="n"/>
      <c r="SAF100" s="60" t="n"/>
      <c r="SAG100" s="60" t="n"/>
      <c r="SAH100" s="60" t="n"/>
      <c r="SAI100" s="60" t="n"/>
      <c r="SAJ100" s="60" t="n"/>
      <c r="SAK100" s="60" t="n"/>
      <c r="SAL100" s="60" t="n"/>
      <c r="SAM100" s="60" t="n"/>
      <c r="SAN100" s="60" t="n"/>
      <c r="SAO100" s="60" t="n"/>
      <c r="SAP100" s="60" t="n"/>
      <c r="SAQ100" s="60" t="n"/>
      <c r="SAR100" s="60" t="n"/>
      <c r="SAS100" s="60" t="n"/>
      <c r="SAT100" s="60" t="n"/>
      <c r="SAU100" s="60" t="n"/>
      <c r="SAV100" s="60" t="n"/>
      <c r="SAW100" s="60" t="n"/>
      <c r="SAX100" s="60" t="n"/>
      <c r="SAY100" s="60" t="n"/>
      <c r="SAZ100" s="60" t="n"/>
      <c r="SBA100" s="60" t="n"/>
      <c r="SBB100" s="60" t="n"/>
      <c r="SBC100" s="60" t="n"/>
      <c r="SBD100" s="60" t="n"/>
      <c r="SBE100" s="60" t="n"/>
      <c r="SBF100" s="60" t="n"/>
      <c r="SBG100" s="60" t="n"/>
      <c r="SBH100" s="60" t="n"/>
      <c r="SBI100" s="60" t="n"/>
      <c r="SBJ100" s="60" t="n"/>
      <c r="SBK100" s="60" t="n"/>
      <c r="SBL100" s="60" t="n"/>
      <c r="SBM100" s="60" t="n"/>
      <c r="SBN100" s="60" t="n"/>
      <c r="SBO100" s="60" t="n"/>
      <c r="SBP100" s="60" t="n"/>
      <c r="SBQ100" s="60" t="n"/>
      <c r="SBR100" s="60" t="n"/>
      <c r="SBS100" s="60" t="n"/>
      <c r="SBT100" s="60" t="n"/>
      <c r="SBU100" s="60" t="n"/>
      <c r="SBV100" s="60" t="n"/>
      <c r="SBW100" s="60" t="n"/>
      <c r="SBX100" s="60" t="n"/>
      <c r="SBY100" s="60" t="n"/>
      <c r="SBZ100" s="60" t="n"/>
      <c r="SCA100" s="60" t="n"/>
      <c r="SCB100" s="60" t="n"/>
      <c r="SCC100" s="60" t="n"/>
      <c r="SCD100" s="60" t="n"/>
      <c r="SCE100" s="60" t="n"/>
      <c r="SCF100" s="60" t="n"/>
      <c r="SCG100" s="60" t="n"/>
      <c r="SCH100" s="60" t="n"/>
      <c r="SCI100" s="60" t="n"/>
      <c r="SCJ100" s="60" t="n"/>
      <c r="SCK100" s="60" t="n"/>
      <c r="SCL100" s="60" t="n"/>
      <c r="SCM100" s="60" t="n"/>
      <c r="SCN100" s="60" t="n"/>
      <c r="SCO100" s="60" t="n"/>
      <c r="SCP100" s="60" t="n"/>
      <c r="SCQ100" s="60" t="n"/>
      <c r="SCR100" s="60" t="n"/>
      <c r="SCS100" s="60" t="n"/>
      <c r="SCT100" s="60" t="n"/>
      <c r="SCU100" s="60" t="n"/>
      <c r="SCV100" s="60" t="n"/>
      <c r="SCW100" s="60" t="n"/>
      <c r="SCX100" s="60" t="n"/>
      <c r="SCY100" s="60" t="n"/>
      <c r="SCZ100" s="60" t="n"/>
      <c r="SDA100" s="60" t="n"/>
      <c r="SDB100" s="60" t="n"/>
      <c r="SDC100" s="60" t="n"/>
      <c r="SDD100" s="60" t="n"/>
      <c r="SDE100" s="60" t="n"/>
      <c r="SDF100" s="60" t="n"/>
      <c r="SDG100" s="60" t="n"/>
      <c r="SDH100" s="60" t="n"/>
      <c r="SDI100" s="60" t="n"/>
      <c r="SDJ100" s="60" t="n"/>
      <c r="SDK100" s="60" t="n"/>
      <c r="SDL100" s="60" t="n"/>
      <c r="SDM100" s="60" t="n"/>
      <c r="SDN100" s="60" t="n"/>
      <c r="SDO100" s="60" t="n"/>
      <c r="SDP100" s="60" t="n"/>
      <c r="SDQ100" s="60" t="n"/>
      <c r="SDR100" s="60" t="n"/>
      <c r="SDS100" s="60" t="n"/>
      <c r="SDT100" s="60" t="n"/>
      <c r="SDU100" s="60" t="n"/>
      <c r="SDV100" s="60" t="n"/>
      <c r="SDW100" s="60" t="n"/>
      <c r="SDX100" s="60" t="n"/>
      <c r="SDY100" s="60" t="n"/>
      <c r="SDZ100" s="60" t="n"/>
      <c r="SEA100" s="60" t="n"/>
      <c r="SEB100" s="60" t="n"/>
      <c r="SEC100" s="60" t="n"/>
      <c r="SED100" s="60" t="n"/>
      <c r="SEE100" s="60" t="n"/>
      <c r="SEF100" s="60" t="n"/>
      <c r="SEG100" s="60" t="n"/>
      <c r="SEH100" s="60" t="n"/>
      <c r="SEI100" s="60" t="n"/>
      <c r="SEJ100" s="60" t="n"/>
      <c r="SEK100" s="60" t="n"/>
      <c r="SEL100" s="60" t="n"/>
      <c r="SEM100" s="60" t="n"/>
      <c r="SEN100" s="60" t="n"/>
      <c r="SEO100" s="60" t="n"/>
      <c r="SEP100" s="60" t="n"/>
      <c r="SEQ100" s="60" t="n"/>
      <c r="SER100" s="60" t="n"/>
      <c r="SES100" s="60" t="n"/>
      <c r="SET100" s="60" t="n"/>
      <c r="SEU100" s="60" t="n"/>
      <c r="SEV100" s="60" t="n"/>
      <c r="SEW100" s="60" t="n"/>
      <c r="SEX100" s="60" t="n"/>
      <c r="SEY100" s="60" t="n"/>
      <c r="SEZ100" s="60" t="n"/>
      <c r="SFA100" s="60" t="n"/>
      <c r="SFB100" s="60" t="n"/>
      <c r="SFC100" s="60" t="n"/>
      <c r="SFD100" s="60" t="n"/>
      <c r="SFE100" s="60" t="n"/>
      <c r="SFF100" s="60" t="n"/>
      <c r="SFG100" s="60" t="n"/>
      <c r="SFH100" s="60" t="n"/>
      <c r="SFI100" s="60" t="n"/>
      <c r="SFJ100" s="60" t="n"/>
      <c r="SFK100" s="60" t="n"/>
      <c r="SFL100" s="60" t="n"/>
      <c r="SFM100" s="60" t="n"/>
      <c r="SFN100" s="60" t="n"/>
      <c r="SFO100" s="60" t="n"/>
      <c r="SFP100" s="60" t="n"/>
      <c r="SFQ100" s="60" t="n"/>
      <c r="SFR100" s="60" t="n"/>
      <c r="SFS100" s="60" t="n"/>
      <c r="SFT100" s="60" t="n"/>
      <c r="SFU100" s="60" t="n"/>
      <c r="SFV100" s="60" t="n"/>
      <c r="SFW100" s="60" t="n"/>
      <c r="SFX100" s="60" t="n"/>
      <c r="SFY100" s="60" t="n"/>
      <c r="SFZ100" s="60" t="n"/>
      <c r="SGA100" s="60" t="n"/>
      <c r="SGB100" s="60" t="n"/>
      <c r="SGC100" s="60" t="n"/>
      <c r="SGD100" s="60" t="n"/>
      <c r="SGE100" s="60" t="n"/>
      <c r="SGF100" s="60" t="n"/>
      <c r="SGG100" s="60" t="n"/>
      <c r="SGH100" s="60" t="n"/>
      <c r="SGI100" s="60" t="n"/>
      <c r="SGJ100" s="60" t="n"/>
      <c r="SGK100" s="60" t="n"/>
      <c r="SGL100" s="60" t="n"/>
      <c r="SGM100" s="60" t="n"/>
      <c r="SGN100" s="60" t="n"/>
      <c r="SGO100" s="60" t="n"/>
      <c r="SGP100" s="60" t="n"/>
      <c r="SGQ100" s="60" t="n"/>
      <c r="SGR100" s="60" t="n"/>
      <c r="SGS100" s="60" t="n"/>
      <c r="SGT100" s="60" t="n"/>
      <c r="SGU100" s="60" t="n"/>
      <c r="SGV100" s="60" t="n"/>
      <c r="SGW100" s="60" t="n"/>
      <c r="SGX100" s="60" t="n"/>
      <c r="SGY100" s="60" t="n"/>
      <c r="SGZ100" s="60" t="n"/>
      <c r="SHA100" s="60" t="n"/>
      <c r="SHB100" s="60" t="n"/>
      <c r="SHC100" s="60" t="n"/>
      <c r="SHD100" s="60" t="n"/>
      <c r="SHE100" s="60" t="n"/>
      <c r="SHF100" s="60" t="n"/>
      <c r="SHG100" s="60" t="n"/>
      <c r="SHH100" s="60" t="n"/>
      <c r="SHI100" s="60" t="n"/>
      <c r="SHJ100" s="60" t="n"/>
      <c r="SHK100" s="60" t="n"/>
      <c r="SHL100" s="60" t="n"/>
      <c r="SHM100" s="60" t="n"/>
      <c r="SHN100" s="60" t="n"/>
      <c r="SHO100" s="60" t="n"/>
      <c r="SHP100" s="60" t="n"/>
      <c r="SHQ100" s="60" t="n"/>
      <c r="SHR100" s="60" t="n"/>
      <c r="SHS100" s="60" t="n"/>
      <c r="SHT100" s="60" t="n"/>
      <c r="SHU100" s="60" t="n"/>
      <c r="SHV100" s="60" t="n"/>
      <c r="SHW100" s="60" t="n"/>
      <c r="SHX100" s="60" t="n"/>
      <c r="SHY100" s="60" t="n"/>
      <c r="SHZ100" s="60" t="n"/>
      <c r="SIA100" s="60" t="n"/>
      <c r="SIB100" s="60" t="n"/>
      <c r="SIC100" s="60" t="n"/>
      <c r="SID100" s="60" t="n"/>
      <c r="SIE100" s="60" t="n"/>
      <c r="SIF100" s="60" t="n"/>
      <c r="SIG100" s="60" t="n"/>
      <c r="SIH100" s="60" t="n"/>
      <c r="SII100" s="60" t="n"/>
      <c r="SIJ100" s="60" t="n"/>
      <c r="SIK100" s="60" t="n"/>
      <c r="SIL100" s="60" t="n"/>
      <c r="SIM100" s="60" t="n"/>
      <c r="SIN100" s="60" t="n"/>
      <c r="SIO100" s="60" t="n"/>
      <c r="SIP100" s="60" t="n"/>
      <c r="SIQ100" s="60" t="n"/>
      <c r="SIR100" s="60" t="n"/>
      <c r="SIS100" s="60" t="n"/>
      <c r="SIT100" s="60" t="n"/>
      <c r="SIU100" s="60" t="n"/>
      <c r="SIV100" s="60" t="n"/>
      <c r="SIW100" s="60" t="n"/>
      <c r="SIX100" s="60" t="n"/>
      <c r="SIY100" s="60" t="n"/>
      <c r="SIZ100" s="60" t="n"/>
      <c r="SJA100" s="60" t="n"/>
      <c r="SJB100" s="60" t="n"/>
      <c r="SJC100" s="60" t="n"/>
      <c r="SJD100" s="60" t="n"/>
      <c r="SJE100" s="60" t="n"/>
      <c r="SJF100" s="60" t="n"/>
      <c r="SJG100" s="60" t="n"/>
      <c r="SJH100" s="60" t="n"/>
      <c r="SJI100" s="60" t="n"/>
      <c r="SJJ100" s="60" t="n"/>
      <c r="SJK100" s="60" t="n"/>
      <c r="SJL100" s="60" t="n"/>
      <c r="SJM100" s="60" t="n"/>
      <c r="SJN100" s="60" t="n"/>
      <c r="SJO100" s="60" t="n"/>
      <c r="SJP100" s="60" t="n"/>
      <c r="SJQ100" s="60" t="n"/>
      <c r="SJR100" s="60" t="n"/>
      <c r="SJS100" s="60" t="n"/>
      <c r="SJT100" s="60" t="n"/>
      <c r="SJU100" s="60" t="n"/>
      <c r="SJV100" s="60" t="n"/>
      <c r="SJW100" s="60" t="n"/>
      <c r="SJX100" s="60" t="n"/>
      <c r="SJY100" s="60" t="n"/>
      <c r="SJZ100" s="60" t="n"/>
      <c r="SKA100" s="60" t="n"/>
      <c r="SKB100" s="60" t="n"/>
      <c r="SKC100" s="60" t="n"/>
      <c r="SKD100" s="60" t="n"/>
      <c r="SKE100" s="60" t="n"/>
      <c r="SKF100" s="60" t="n"/>
      <c r="SKG100" s="60" t="n"/>
      <c r="SKH100" s="60" t="n"/>
      <c r="SKI100" s="60" t="n"/>
      <c r="SKJ100" s="60" t="n"/>
      <c r="SKK100" s="60" t="n"/>
      <c r="SKL100" s="60" t="n"/>
      <c r="SKM100" s="60" t="n"/>
      <c r="SKN100" s="60" t="n"/>
      <c r="SKO100" s="60" t="n"/>
      <c r="SKP100" s="60" t="n"/>
      <c r="SKQ100" s="60" t="n"/>
      <c r="SKR100" s="60" t="n"/>
      <c r="SKS100" s="60" t="n"/>
      <c r="SKT100" s="60" t="n"/>
      <c r="SKU100" s="60" t="n"/>
      <c r="SKV100" s="60" t="n"/>
      <c r="SKW100" s="60" t="n"/>
      <c r="SKX100" s="60" t="n"/>
      <c r="SKY100" s="60" t="n"/>
      <c r="SKZ100" s="60" t="n"/>
      <c r="SLA100" s="60" t="n"/>
      <c r="SLB100" s="60" t="n"/>
      <c r="SLC100" s="60" t="n"/>
      <c r="SLD100" s="60" t="n"/>
      <c r="SLE100" s="60" t="n"/>
      <c r="SLF100" s="60" t="n"/>
      <c r="SLG100" s="60" t="n"/>
      <c r="SLH100" s="60" t="n"/>
      <c r="SLI100" s="60" t="n"/>
      <c r="SLJ100" s="60" t="n"/>
      <c r="SLK100" s="60" t="n"/>
      <c r="SLL100" s="60" t="n"/>
      <c r="SLM100" s="60" t="n"/>
      <c r="SLN100" s="60" t="n"/>
      <c r="SLO100" s="60" t="n"/>
      <c r="SLP100" s="60" t="n"/>
      <c r="SLQ100" s="60" t="n"/>
      <c r="SLR100" s="60" t="n"/>
      <c r="SLS100" s="60" t="n"/>
      <c r="SLT100" s="60" t="n"/>
      <c r="SLU100" s="60" t="n"/>
      <c r="SLV100" s="60" t="n"/>
      <c r="SLW100" s="60" t="n"/>
      <c r="SLX100" s="60" t="n"/>
      <c r="SLY100" s="60" t="n"/>
      <c r="SLZ100" s="60" t="n"/>
      <c r="SMA100" s="60" t="n"/>
      <c r="SMB100" s="60" t="n"/>
      <c r="SMC100" s="60" t="n"/>
      <c r="SMD100" s="60" t="n"/>
      <c r="SME100" s="60" t="n"/>
      <c r="SMF100" s="60" t="n"/>
      <c r="SMG100" s="60" t="n"/>
      <c r="SMH100" s="60" t="n"/>
      <c r="SMI100" s="60" t="n"/>
      <c r="SMJ100" s="60" t="n"/>
      <c r="SMK100" s="60" t="n"/>
      <c r="SML100" s="60" t="n"/>
      <c r="SMM100" s="60" t="n"/>
      <c r="SMN100" s="60" t="n"/>
      <c r="SMO100" s="60" t="n"/>
      <c r="SMP100" s="60" t="n"/>
      <c r="SMQ100" s="60" t="n"/>
      <c r="SMR100" s="60" t="n"/>
      <c r="SMS100" s="60" t="n"/>
      <c r="SMT100" s="60" t="n"/>
      <c r="SMU100" s="60" t="n"/>
      <c r="SMV100" s="60" t="n"/>
      <c r="SMW100" s="60" t="n"/>
      <c r="SMX100" s="60" t="n"/>
      <c r="SMY100" s="60" t="n"/>
      <c r="SMZ100" s="60" t="n"/>
      <c r="SNA100" s="60" t="n"/>
      <c r="SNB100" s="60" t="n"/>
      <c r="SNC100" s="60" t="n"/>
      <c r="SND100" s="60" t="n"/>
      <c r="SNE100" s="60" t="n"/>
      <c r="SNF100" s="60" t="n"/>
      <c r="SNG100" s="60" t="n"/>
      <c r="SNH100" s="60" t="n"/>
      <c r="SNI100" s="60" t="n"/>
      <c r="SNJ100" s="60" t="n"/>
      <c r="SNK100" s="60" t="n"/>
      <c r="SNL100" s="60" t="n"/>
      <c r="SNM100" s="60" t="n"/>
      <c r="SNN100" s="60" t="n"/>
      <c r="SNO100" s="60" t="n"/>
      <c r="SNP100" s="60" t="n"/>
      <c r="SNQ100" s="60" t="n"/>
      <c r="SNR100" s="60" t="n"/>
      <c r="SNS100" s="60" t="n"/>
      <c r="SNT100" s="60" t="n"/>
      <c r="SNU100" s="60" t="n"/>
      <c r="SNV100" s="60" t="n"/>
      <c r="SNW100" s="60" t="n"/>
      <c r="SNX100" s="60" t="n"/>
      <c r="SNY100" s="60" t="n"/>
      <c r="SNZ100" s="60" t="n"/>
      <c r="SOA100" s="60" t="n"/>
      <c r="SOB100" s="60" t="n"/>
      <c r="SOC100" s="60" t="n"/>
      <c r="SOD100" s="60" t="n"/>
      <c r="SOE100" s="60" t="n"/>
      <c r="SOF100" s="60" t="n"/>
      <c r="SOG100" s="60" t="n"/>
      <c r="SOH100" s="60" t="n"/>
      <c r="SOI100" s="60" t="n"/>
      <c r="SOJ100" s="60" t="n"/>
      <c r="SOK100" s="60" t="n"/>
      <c r="SOL100" s="60" t="n"/>
      <c r="SOM100" s="60" t="n"/>
      <c r="SON100" s="60" t="n"/>
      <c r="SOO100" s="60" t="n"/>
      <c r="SOP100" s="60" t="n"/>
      <c r="SOQ100" s="60" t="n"/>
      <c r="SOR100" s="60" t="n"/>
      <c r="SOS100" s="60" t="n"/>
      <c r="SOT100" s="60" t="n"/>
      <c r="SOU100" s="60" t="n"/>
      <c r="SOV100" s="60" t="n"/>
      <c r="SOW100" s="60" t="n"/>
      <c r="SOX100" s="60" t="n"/>
      <c r="SOY100" s="60" t="n"/>
      <c r="SOZ100" s="60" t="n"/>
      <c r="SPA100" s="60" t="n"/>
      <c r="SPB100" s="60" t="n"/>
      <c r="SPC100" s="60" t="n"/>
      <c r="SPD100" s="60" t="n"/>
      <c r="SPE100" s="60" t="n"/>
      <c r="SPF100" s="60" t="n"/>
      <c r="SPG100" s="60" t="n"/>
      <c r="SPH100" s="60" t="n"/>
      <c r="SPI100" s="60" t="n"/>
      <c r="SPJ100" s="60" t="n"/>
      <c r="SPK100" s="60" t="n"/>
      <c r="SPL100" s="60" t="n"/>
      <c r="SPM100" s="60" t="n"/>
      <c r="SPN100" s="60" t="n"/>
      <c r="SPO100" s="60" t="n"/>
      <c r="SPP100" s="60" t="n"/>
      <c r="SPQ100" s="60" t="n"/>
      <c r="SPR100" s="60" t="n"/>
      <c r="SPS100" s="60" t="n"/>
      <c r="SPT100" s="60" t="n"/>
      <c r="SPU100" s="60" t="n"/>
      <c r="SPV100" s="60" t="n"/>
      <c r="SPW100" s="60" t="n"/>
      <c r="SPX100" s="60" t="n"/>
      <c r="SPY100" s="60" t="n"/>
      <c r="SPZ100" s="60" t="n"/>
      <c r="SQA100" s="60" t="n"/>
      <c r="SQB100" s="60" t="n"/>
      <c r="SQC100" s="60" t="n"/>
      <c r="SQD100" s="60" t="n"/>
      <c r="SQE100" s="60" t="n"/>
      <c r="SQF100" s="60" t="n"/>
      <c r="SQG100" s="60" t="n"/>
      <c r="SQH100" s="60" t="n"/>
      <c r="SQI100" s="60" t="n"/>
      <c r="SQJ100" s="60" t="n"/>
      <c r="SQK100" s="60" t="n"/>
      <c r="SQL100" s="60" t="n"/>
      <c r="SQM100" s="60" t="n"/>
      <c r="SQN100" s="60" t="n"/>
      <c r="SQO100" s="60" t="n"/>
      <c r="SQP100" s="60" t="n"/>
      <c r="SQQ100" s="60" t="n"/>
      <c r="SQR100" s="60" t="n"/>
      <c r="SQS100" s="60" t="n"/>
      <c r="SQT100" s="60" t="n"/>
      <c r="SQU100" s="60" t="n"/>
      <c r="SQV100" s="60" t="n"/>
      <c r="SQW100" s="60" t="n"/>
      <c r="SQX100" s="60" t="n"/>
      <c r="SQY100" s="60" t="n"/>
      <c r="SQZ100" s="60" t="n"/>
      <c r="SRA100" s="60" t="n"/>
      <c r="SRB100" s="60" t="n"/>
      <c r="SRC100" s="60" t="n"/>
      <c r="SRD100" s="60" t="n"/>
      <c r="SRE100" s="60" t="n"/>
      <c r="SRF100" s="60" t="n"/>
      <c r="SRG100" s="60" t="n"/>
      <c r="SRH100" s="60" t="n"/>
      <c r="SRI100" s="60" t="n"/>
      <c r="SRJ100" s="60" t="n"/>
      <c r="SRK100" s="60" t="n"/>
      <c r="SRL100" s="60" t="n"/>
      <c r="SRM100" s="60" t="n"/>
      <c r="SRN100" s="60" t="n"/>
      <c r="SRO100" s="60" t="n"/>
      <c r="SRP100" s="60" t="n"/>
      <c r="SRQ100" s="60" t="n"/>
      <c r="SRR100" s="60" t="n"/>
      <c r="SRS100" s="60" t="n"/>
      <c r="SRT100" s="60" t="n"/>
      <c r="SRU100" s="60" t="n"/>
      <c r="SRV100" s="60" t="n"/>
      <c r="SRW100" s="60" t="n"/>
      <c r="SRX100" s="60" t="n"/>
      <c r="SRY100" s="60" t="n"/>
      <c r="SRZ100" s="60" t="n"/>
      <c r="SSA100" s="60" t="n"/>
      <c r="SSB100" s="60" t="n"/>
      <c r="SSC100" s="60" t="n"/>
      <c r="SSD100" s="60" t="n"/>
      <c r="SSE100" s="60" t="n"/>
      <c r="SSF100" s="60" t="n"/>
      <c r="SSG100" s="60" t="n"/>
      <c r="SSH100" s="60" t="n"/>
      <c r="SSI100" s="60" t="n"/>
      <c r="SSJ100" s="60" t="n"/>
      <c r="SSK100" s="60" t="n"/>
      <c r="SSL100" s="60" t="n"/>
      <c r="SSM100" s="60" t="n"/>
      <c r="SSN100" s="60" t="n"/>
      <c r="SSO100" s="60" t="n"/>
      <c r="SSP100" s="60" t="n"/>
      <c r="SSQ100" s="60" t="n"/>
      <c r="SSR100" s="60" t="n"/>
      <c r="SSS100" s="60" t="n"/>
      <c r="SST100" s="60" t="n"/>
      <c r="SSU100" s="60" t="n"/>
      <c r="SSV100" s="60" t="n"/>
      <c r="SSW100" s="60" t="n"/>
      <c r="SSX100" s="60" t="n"/>
      <c r="SSY100" s="60" t="n"/>
      <c r="SSZ100" s="60" t="n"/>
      <c r="STA100" s="60" t="n"/>
      <c r="STB100" s="60" t="n"/>
      <c r="STC100" s="60" t="n"/>
      <c r="STD100" s="60" t="n"/>
      <c r="STE100" s="60" t="n"/>
      <c r="STF100" s="60" t="n"/>
      <c r="STG100" s="60" t="n"/>
      <c r="STH100" s="60" t="n"/>
      <c r="STI100" s="60" t="n"/>
      <c r="STJ100" s="60" t="n"/>
      <c r="STK100" s="60" t="n"/>
      <c r="STL100" s="60" t="n"/>
      <c r="STM100" s="60" t="n"/>
      <c r="STN100" s="60" t="n"/>
      <c r="STO100" s="60" t="n"/>
      <c r="STP100" s="60" t="n"/>
      <c r="STQ100" s="60" t="n"/>
      <c r="STR100" s="60" t="n"/>
      <c r="STS100" s="60" t="n"/>
      <c r="STT100" s="60" t="n"/>
      <c r="STU100" s="60" t="n"/>
      <c r="STV100" s="60" t="n"/>
      <c r="STW100" s="60" t="n"/>
      <c r="STX100" s="60" t="n"/>
      <c r="STY100" s="60" t="n"/>
      <c r="STZ100" s="60" t="n"/>
      <c r="SUA100" s="60" t="n"/>
      <c r="SUB100" s="60" t="n"/>
      <c r="SUC100" s="60" t="n"/>
      <c r="SUD100" s="60" t="n"/>
      <c r="SUE100" s="60" t="n"/>
      <c r="SUF100" s="60" t="n"/>
      <c r="SUG100" s="60" t="n"/>
      <c r="SUH100" s="60" t="n"/>
      <c r="SUI100" s="60" t="n"/>
      <c r="SUJ100" s="60" t="n"/>
      <c r="SUK100" s="60" t="n"/>
      <c r="SUL100" s="60" t="n"/>
      <c r="SUM100" s="60" t="n"/>
      <c r="SUN100" s="60" t="n"/>
      <c r="SUO100" s="60" t="n"/>
      <c r="SUP100" s="60" t="n"/>
      <c r="SUQ100" s="60" t="n"/>
      <c r="SUR100" s="60" t="n"/>
      <c r="SUS100" s="60" t="n"/>
      <c r="SUT100" s="60" t="n"/>
      <c r="SUU100" s="60" t="n"/>
      <c r="SUV100" s="60" t="n"/>
      <c r="SUW100" s="60" t="n"/>
      <c r="SUX100" s="60" t="n"/>
      <c r="SUY100" s="60" t="n"/>
      <c r="SUZ100" s="60" t="n"/>
      <c r="SVA100" s="60" t="n"/>
      <c r="SVB100" s="60" t="n"/>
      <c r="SVC100" s="60" t="n"/>
      <c r="SVD100" s="60" t="n"/>
      <c r="SVE100" s="60" t="n"/>
      <c r="SVF100" s="60" t="n"/>
      <c r="SVG100" s="60" t="n"/>
      <c r="SVH100" s="60" t="n"/>
      <c r="SVI100" s="60" t="n"/>
      <c r="SVJ100" s="60" t="n"/>
      <c r="SVK100" s="60" t="n"/>
      <c r="SVL100" s="60" t="n"/>
      <c r="SVM100" s="60" t="n"/>
      <c r="SVN100" s="60" t="n"/>
      <c r="SVO100" s="60" t="n"/>
      <c r="SVP100" s="60" t="n"/>
      <c r="SVQ100" s="60" t="n"/>
      <c r="SVR100" s="60" t="n"/>
      <c r="SVS100" s="60" t="n"/>
      <c r="SVT100" s="60" t="n"/>
      <c r="SVU100" s="60" t="n"/>
      <c r="SVV100" s="60" t="n"/>
      <c r="SVW100" s="60" t="n"/>
      <c r="SVX100" s="60" t="n"/>
      <c r="SVY100" s="60" t="n"/>
      <c r="SVZ100" s="60" t="n"/>
      <c r="SWA100" s="60" t="n"/>
      <c r="SWB100" s="60" t="n"/>
      <c r="SWC100" s="60" t="n"/>
      <c r="SWD100" s="60" t="n"/>
      <c r="SWE100" s="60" t="n"/>
      <c r="SWF100" s="60" t="n"/>
      <c r="SWG100" s="60" t="n"/>
      <c r="SWH100" s="60" t="n"/>
      <c r="SWI100" s="60" t="n"/>
      <c r="SWJ100" s="60" t="n"/>
      <c r="SWK100" s="60" t="n"/>
      <c r="SWL100" s="60" t="n"/>
      <c r="SWM100" s="60" t="n"/>
      <c r="SWN100" s="60" t="n"/>
      <c r="SWO100" s="60" t="n"/>
      <c r="SWP100" s="60" t="n"/>
      <c r="SWQ100" s="60" t="n"/>
      <c r="SWR100" s="60" t="n"/>
      <c r="SWS100" s="60" t="n"/>
      <c r="SWT100" s="60" t="n"/>
      <c r="SWU100" s="60" t="n"/>
      <c r="SWV100" s="60" t="n"/>
      <c r="SWW100" s="60" t="n"/>
      <c r="SWX100" s="60" t="n"/>
      <c r="SWY100" s="60" t="n"/>
      <c r="SWZ100" s="60" t="n"/>
      <c r="SXA100" s="60" t="n"/>
      <c r="SXB100" s="60" t="n"/>
      <c r="SXC100" s="60" t="n"/>
      <c r="SXD100" s="60" t="n"/>
      <c r="SXE100" s="60" t="n"/>
      <c r="SXF100" s="60" t="n"/>
      <c r="SXG100" s="60" t="n"/>
      <c r="SXH100" s="60" t="n"/>
      <c r="SXI100" s="60" t="n"/>
      <c r="SXJ100" s="60" t="n"/>
      <c r="SXK100" s="60" t="n"/>
      <c r="SXL100" s="60" t="n"/>
      <c r="SXM100" s="60" t="n"/>
      <c r="SXN100" s="60" t="n"/>
      <c r="SXO100" s="60" t="n"/>
      <c r="SXP100" s="60" t="n"/>
      <c r="SXQ100" s="60" t="n"/>
      <c r="SXR100" s="60" t="n"/>
      <c r="SXS100" s="60" t="n"/>
      <c r="SXT100" s="60" t="n"/>
      <c r="SXU100" s="60" t="n"/>
      <c r="SXV100" s="60" t="n"/>
      <c r="SXW100" s="60" t="n"/>
      <c r="SXX100" s="60" t="n"/>
      <c r="SXY100" s="60" t="n"/>
      <c r="SXZ100" s="60" t="n"/>
      <c r="SYA100" s="60" t="n"/>
      <c r="SYB100" s="60" t="n"/>
      <c r="SYC100" s="60" t="n"/>
      <c r="SYD100" s="60" t="n"/>
      <c r="SYE100" s="60" t="n"/>
      <c r="SYF100" s="60" t="n"/>
      <c r="SYG100" s="60" t="n"/>
      <c r="SYH100" s="60" t="n"/>
      <c r="SYI100" s="60" t="n"/>
      <c r="SYJ100" s="60" t="n"/>
      <c r="SYK100" s="60" t="n"/>
      <c r="SYL100" s="60" t="n"/>
      <c r="SYM100" s="60" t="n"/>
      <c r="SYN100" s="60" t="n"/>
      <c r="SYO100" s="60" t="n"/>
      <c r="SYP100" s="60" t="n"/>
      <c r="SYQ100" s="60" t="n"/>
      <c r="SYR100" s="60" t="n"/>
      <c r="SYS100" s="60" t="n"/>
      <c r="SYT100" s="60" t="n"/>
      <c r="SYU100" s="60" t="n"/>
      <c r="SYV100" s="60" t="n"/>
      <c r="SYW100" s="60" t="n"/>
      <c r="SYX100" s="60" t="n"/>
      <c r="SYY100" s="60" t="n"/>
      <c r="SYZ100" s="60" t="n"/>
      <c r="SZA100" s="60" t="n"/>
      <c r="SZB100" s="60" t="n"/>
      <c r="SZC100" s="60" t="n"/>
      <c r="SZD100" s="60" t="n"/>
      <c r="SZE100" s="60" t="n"/>
      <c r="SZF100" s="60" t="n"/>
      <c r="SZG100" s="60" t="n"/>
      <c r="SZH100" s="60" t="n"/>
      <c r="SZI100" s="60" t="n"/>
      <c r="SZJ100" s="60" t="n"/>
      <c r="SZK100" s="60" t="n"/>
      <c r="SZL100" s="60" t="n"/>
      <c r="SZM100" s="60" t="n"/>
      <c r="SZN100" s="60" t="n"/>
      <c r="SZO100" s="60" t="n"/>
      <c r="SZP100" s="60" t="n"/>
      <c r="SZQ100" s="60" t="n"/>
      <c r="SZR100" s="60" t="n"/>
      <c r="SZS100" s="60" t="n"/>
      <c r="SZT100" s="60" t="n"/>
      <c r="SZU100" s="60" t="n"/>
      <c r="SZV100" s="60" t="n"/>
      <c r="SZW100" s="60" t="n"/>
      <c r="SZX100" s="60" t="n"/>
      <c r="SZY100" s="60" t="n"/>
      <c r="SZZ100" s="60" t="n"/>
      <c r="TAA100" s="60" t="n"/>
      <c r="TAB100" s="60" t="n"/>
      <c r="TAC100" s="60" t="n"/>
      <c r="TAD100" s="60" t="n"/>
      <c r="TAE100" s="60" t="n"/>
      <c r="TAF100" s="60" t="n"/>
      <c r="TAG100" s="60" t="n"/>
      <c r="TAH100" s="60" t="n"/>
      <c r="TAI100" s="60" t="n"/>
      <c r="TAJ100" s="60" t="n"/>
      <c r="TAK100" s="60" t="n"/>
      <c r="TAL100" s="60" t="n"/>
      <c r="TAM100" s="60" t="n"/>
      <c r="TAN100" s="60" t="n"/>
      <c r="TAO100" s="60" t="n"/>
      <c r="TAP100" s="60" t="n"/>
      <c r="TAQ100" s="60" t="n"/>
      <c r="TAR100" s="60" t="n"/>
      <c r="TAS100" s="60" t="n"/>
      <c r="TAT100" s="60" t="n"/>
      <c r="TAU100" s="60" t="n"/>
      <c r="TAV100" s="60" t="n"/>
      <c r="TAW100" s="60" t="n"/>
      <c r="TAX100" s="60" t="n"/>
      <c r="TAY100" s="60" t="n"/>
      <c r="TAZ100" s="60" t="n"/>
      <c r="TBA100" s="60" t="n"/>
      <c r="TBB100" s="60" t="n"/>
      <c r="TBC100" s="60" t="n"/>
      <c r="TBD100" s="60" t="n"/>
      <c r="TBE100" s="60" t="n"/>
      <c r="TBF100" s="60" t="n"/>
      <c r="TBG100" s="60" t="n"/>
      <c r="TBH100" s="60" t="n"/>
      <c r="TBI100" s="60" t="n"/>
      <c r="TBJ100" s="60" t="n"/>
      <c r="TBK100" s="60" t="n"/>
      <c r="TBL100" s="60" t="n"/>
      <c r="TBM100" s="60" t="n"/>
      <c r="TBN100" s="60" t="n"/>
      <c r="TBO100" s="60" t="n"/>
      <c r="TBP100" s="60" t="n"/>
      <c r="TBQ100" s="60" t="n"/>
      <c r="TBR100" s="60" t="n"/>
      <c r="TBS100" s="60" t="n"/>
      <c r="TBT100" s="60" t="n"/>
      <c r="TBU100" s="60" t="n"/>
      <c r="TBV100" s="60" t="n"/>
      <c r="TBW100" s="60" t="n"/>
      <c r="TBX100" s="60" t="n"/>
      <c r="TBY100" s="60" t="n"/>
      <c r="TBZ100" s="60" t="n"/>
      <c r="TCA100" s="60" t="n"/>
      <c r="TCB100" s="60" t="n"/>
      <c r="TCC100" s="60" t="n"/>
      <c r="TCD100" s="60" t="n"/>
      <c r="TCE100" s="60" t="n"/>
      <c r="TCF100" s="60" t="n"/>
      <c r="TCG100" s="60" t="n"/>
      <c r="TCH100" s="60" t="n"/>
      <c r="TCI100" s="60" t="n"/>
      <c r="TCJ100" s="60" t="n"/>
      <c r="TCK100" s="60" t="n"/>
      <c r="TCL100" s="60" t="n"/>
      <c r="TCM100" s="60" t="n"/>
      <c r="TCN100" s="60" t="n"/>
      <c r="TCO100" s="60" t="n"/>
      <c r="TCP100" s="60" t="n"/>
      <c r="TCQ100" s="60" t="n"/>
      <c r="TCR100" s="60" t="n"/>
      <c r="TCS100" s="60" t="n"/>
      <c r="TCT100" s="60" t="n"/>
      <c r="TCU100" s="60" t="n"/>
      <c r="TCV100" s="60" t="n"/>
      <c r="TCW100" s="60" t="n"/>
      <c r="TCX100" s="60" t="n"/>
      <c r="TCY100" s="60" t="n"/>
      <c r="TCZ100" s="60" t="n"/>
      <c r="TDA100" s="60" t="n"/>
      <c r="TDB100" s="60" t="n"/>
      <c r="TDC100" s="60" t="n"/>
      <c r="TDD100" s="60" t="n"/>
      <c r="TDE100" s="60" t="n"/>
      <c r="TDF100" s="60" t="n"/>
      <c r="TDG100" s="60" t="n"/>
      <c r="TDH100" s="60" t="n"/>
      <c r="TDI100" s="60" t="n"/>
      <c r="TDJ100" s="60" t="n"/>
      <c r="TDK100" s="60" t="n"/>
      <c r="TDL100" s="60" t="n"/>
      <c r="TDM100" s="60" t="n"/>
      <c r="TDN100" s="60" t="n"/>
      <c r="TDO100" s="60" t="n"/>
      <c r="TDP100" s="60" t="n"/>
      <c r="TDQ100" s="60" t="n"/>
      <c r="TDR100" s="60" t="n"/>
      <c r="TDS100" s="60" t="n"/>
      <c r="TDT100" s="60" t="n"/>
      <c r="TDU100" s="60" t="n"/>
      <c r="TDV100" s="60" t="n"/>
      <c r="TDW100" s="60" t="n"/>
      <c r="TDX100" s="60" t="n"/>
      <c r="TDY100" s="60" t="n"/>
      <c r="TDZ100" s="60" t="n"/>
      <c r="TEA100" s="60" t="n"/>
      <c r="TEB100" s="60" t="n"/>
      <c r="TEC100" s="60" t="n"/>
      <c r="TED100" s="60" t="n"/>
      <c r="TEE100" s="60" t="n"/>
      <c r="TEF100" s="60" t="n"/>
      <c r="TEG100" s="60" t="n"/>
      <c r="TEH100" s="60" t="n"/>
      <c r="TEI100" s="60" t="n"/>
      <c r="TEJ100" s="60" t="n"/>
      <c r="TEK100" s="60" t="n"/>
      <c r="TEL100" s="60" t="n"/>
      <c r="TEM100" s="60" t="n"/>
      <c r="TEN100" s="60" t="n"/>
      <c r="TEO100" s="60" t="n"/>
      <c r="TEP100" s="60" t="n"/>
      <c r="TEQ100" s="60" t="n"/>
      <c r="TER100" s="60" t="n"/>
      <c r="TES100" s="60" t="n"/>
      <c r="TET100" s="60" t="n"/>
      <c r="TEU100" s="60" t="n"/>
      <c r="TEV100" s="60" t="n"/>
      <c r="TEW100" s="60" t="n"/>
      <c r="TEX100" s="60" t="n"/>
      <c r="TEY100" s="60" t="n"/>
      <c r="TEZ100" s="60" t="n"/>
      <c r="TFA100" s="60" t="n"/>
      <c r="TFB100" s="60" t="n"/>
      <c r="TFC100" s="60" t="n"/>
      <c r="TFD100" s="60" t="n"/>
      <c r="TFE100" s="60" t="n"/>
      <c r="TFF100" s="60" t="n"/>
      <c r="TFG100" s="60" t="n"/>
      <c r="TFH100" s="60" t="n"/>
      <c r="TFI100" s="60" t="n"/>
      <c r="TFJ100" s="60" t="n"/>
      <c r="TFK100" s="60" t="n"/>
      <c r="TFL100" s="60" t="n"/>
      <c r="TFM100" s="60" t="n"/>
      <c r="TFN100" s="60" t="n"/>
      <c r="TFO100" s="60" t="n"/>
      <c r="TFP100" s="60" t="n"/>
      <c r="TFQ100" s="60" t="n"/>
      <c r="TFR100" s="60" t="n"/>
      <c r="TFS100" s="60" t="n"/>
      <c r="TFT100" s="60" t="n"/>
      <c r="TFU100" s="60" t="n"/>
      <c r="TFV100" s="60" t="n"/>
      <c r="TFW100" s="60" t="n"/>
      <c r="TFX100" s="60" t="n"/>
      <c r="TFY100" s="60" t="n"/>
      <c r="TFZ100" s="60" t="n"/>
      <c r="TGA100" s="60" t="n"/>
      <c r="TGB100" s="60" t="n"/>
      <c r="TGC100" s="60" t="n"/>
      <c r="TGD100" s="60" t="n"/>
      <c r="TGE100" s="60" t="n"/>
      <c r="TGF100" s="60" t="n"/>
      <c r="TGG100" s="60" t="n"/>
      <c r="TGH100" s="60" t="n"/>
      <c r="TGI100" s="60" t="n"/>
      <c r="TGJ100" s="60" t="n"/>
      <c r="TGK100" s="60" t="n"/>
      <c r="TGL100" s="60" t="n"/>
      <c r="TGM100" s="60" t="n"/>
      <c r="TGN100" s="60" t="n"/>
      <c r="TGO100" s="60" t="n"/>
      <c r="TGP100" s="60" t="n"/>
      <c r="TGQ100" s="60" t="n"/>
      <c r="TGR100" s="60" t="n"/>
      <c r="TGS100" s="60" t="n"/>
      <c r="TGT100" s="60" t="n"/>
      <c r="TGU100" s="60" t="n"/>
      <c r="TGV100" s="60" t="n"/>
      <c r="TGW100" s="60" t="n"/>
      <c r="TGX100" s="60" t="n"/>
      <c r="TGY100" s="60" t="n"/>
      <c r="TGZ100" s="60" t="n"/>
      <c r="THA100" s="60" t="n"/>
      <c r="THB100" s="60" t="n"/>
      <c r="THC100" s="60" t="n"/>
      <c r="THD100" s="60" t="n"/>
      <c r="THE100" s="60" t="n"/>
      <c r="THF100" s="60" t="n"/>
      <c r="THG100" s="60" t="n"/>
      <c r="THH100" s="60" t="n"/>
      <c r="THI100" s="60" t="n"/>
      <c r="THJ100" s="60" t="n"/>
      <c r="THK100" s="60" t="n"/>
      <c r="THL100" s="60" t="n"/>
      <c r="THM100" s="60" t="n"/>
      <c r="THN100" s="60" t="n"/>
      <c r="THO100" s="60" t="n"/>
      <c r="THP100" s="60" t="n"/>
      <c r="THQ100" s="60" t="n"/>
      <c r="THR100" s="60" t="n"/>
      <c r="THS100" s="60" t="n"/>
      <c r="THT100" s="60" t="n"/>
      <c r="THU100" s="60" t="n"/>
      <c r="THV100" s="60" t="n"/>
      <c r="THW100" s="60" t="n"/>
      <c r="THX100" s="60" t="n"/>
      <c r="THY100" s="60" t="n"/>
      <c r="THZ100" s="60" t="n"/>
      <c r="TIA100" s="60" t="n"/>
      <c r="TIB100" s="60" t="n"/>
      <c r="TIC100" s="60" t="n"/>
      <c r="TID100" s="60" t="n"/>
      <c r="TIE100" s="60" t="n"/>
      <c r="TIF100" s="60" t="n"/>
      <c r="TIG100" s="60" t="n"/>
      <c r="TIH100" s="60" t="n"/>
      <c r="TII100" s="60" t="n"/>
      <c r="TIJ100" s="60" t="n"/>
      <c r="TIK100" s="60" t="n"/>
      <c r="TIL100" s="60" t="n"/>
      <c r="TIM100" s="60" t="n"/>
      <c r="TIN100" s="60" t="n"/>
      <c r="TIO100" s="60" t="n"/>
      <c r="TIP100" s="60" t="n"/>
      <c r="TIQ100" s="60" t="n"/>
      <c r="TIR100" s="60" t="n"/>
      <c r="TIS100" s="60" t="n"/>
      <c r="TIT100" s="60" t="n"/>
      <c r="TIU100" s="60" t="n"/>
      <c r="TIV100" s="60" t="n"/>
      <c r="TIW100" s="60" t="n"/>
      <c r="TIX100" s="60" t="n"/>
      <c r="TIY100" s="60" t="n"/>
      <c r="TIZ100" s="60" t="n"/>
      <c r="TJA100" s="60" t="n"/>
      <c r="TJB100" s="60" t="n"/>
      <c r="TJC100" s="60" t="n"/>
      <c r="TJD100" s="60" t="n"/>
      <c r="TJE100" s="60" t="n"/>
      <c r="TJF100" s="60" t="n"/>
      <c r="TJG100" s="60" t="n"/>
      <c r="TJH100" s="60" t="n"/>
      <c r="TJI100" s="60" t="n"/>
      <c r="TJJ100" s="60" t="n"/>
      <c r="TJK100" s="60" t="n"/>
      <c r="TJL100" s="60" t="n"/>
      <c r="TJM100" s="60" t="n"/>
      <c r="TJN100" s="60" t="n"/>
      <c r="TJO100" s="60" t="n"/>
      <c r="TJP100" s="60" t="n"/>
      <c r="TJQ100" s="60" t="n"/>
      <c r="TJR100" s="60" t="n"/>
      <c r="TJS100" s="60" t="n"/>
      <c r="TJT100" s="60" t="n"/>
      <c r="TJU100" s="60" t="n"/>
      <c r="TJV100" s="60" t="n"/>
      <c r="TJW100" s="60" t="n"/>
      <c r="TJX100" s="60" t="n"/>
      <c r="TJY100" s="60" t="n"/>
      <c r="TJZ100" s="60" t="n"/>
      <c r="TKA100" s="60" t="n"/>
      <c r="TKB100" s="60" t="n"/>
      <c r="TKC100" s="60" t="n"/>
      <c r="TKD100" s="60" t="n"/>
      <c r="TKE100" s="60" t="n"/>
      <c r="TKF100" s="60" t="n"/>
      <c r="TKG100" s="60" t="n"/>
      <c r="TKH100" s="60" t="n"/>
      <c r="TKI100" s="60" t="n"/>
      <c r="TKJ100" s="60" t="n"/>
      <c r="TKK100" s="60" t="n"/>
      <c r="TKL100" s="60" t="n"/>
      <c r="TKM100" s="60" t="n"/>
      <c r="TKN100" s="60" t="n"/>
      <c r="TKO100" s="60" t="n"/>
      <c r="TKP100" s="60" t="n"/>
      <c r="TKQ100" s="60" t="n"/>
      <c r="TKR100" s="60" t="n"/>
      <c r="TKS100" s="60" t="n"/>
      <c r="TKT100" s="60" t="n"/>
      <c r="TKU100" s="60" t="n"/>
      <c r="TKV100" s="60" t="n"/>
      <c r="TKW100" s="60" t="n"/>
      <c r="TKX100" s="60" t="n"/>
      <c r="TKY100" s="60" t="n"/>
      <c r="TKZ100" s="60" t="n"/>
      <c r="TLA100" s="60" t="n"/>
      <c r="TLB100" s="60" t="n"/>
      <c r="TLC100" s="60" t="n"/>
      <c r="TLD100" s="60" t="n"/>
      <c r="TLE100" s="60" t="n"/>
      <c r="TLF100" s="60" t="n"/>
      <c r="TLG100" s="60" t="n"/>
      <c r="TLH100" s="60" t="n"/>
      <c r="TLI100" s="60" t="n"/>
      <c r="TLJ100" s="60" t="n"/>
      <c r="TLK100" s="60" t="n"/>
      <c r="TLL100" s="60" t="n"/>
      <c r="TLM100" s="60" t="n"/>
      <c r="TLN100" s="60" t="n"/>
      <c r="TLO100" s="60" t="n"/>
      <c r="TLP100" s="60" t="n"/>
      <c r="TLQ100" s="60" t="n"/>
      <c r="TLR100" s="60" t="n"/>
      <c r="TLS100" s="60" t="n"/>
      <c r="TLT100" s="60" t="n"/>
      <c r="TLU100" s="60" t="n"/>
      <c r="TLV100" s="60" t="n"/>
      <c r="TLW100" s="60" t="n"/>
      <c r="TLX100" s="60" t="n"/>
      <c r="TLY100" s="60" t="n"/>
      <c r="TLZ100" s="60" t="n"/>
      <c r="TMA100" s="60" t="n"/>
      <c r="TMB100" s="60" t="n"/>
      <c r="TMC100" s="60" t="n"/>
      <c r="TMD100" s="60" t="n"/>
      <c r="TME100" s="60" t="n"/>
      <c r="TMF100" s="60" t="n"/>
      <c r="TMG100" s="60" t="n"/>
      <c r="TMH100" s="60" t="n"/>
      <c r="TMI100" s="60" t="n"/>
      <c r="TMJ100" s="60" t="n"/>
      <c r="TMK100" s="60" t="n"/>
      <c r="TML100" s="60" t="n"/>
      <c r="TMM100" s="60" t="n"/>
      <c r="TMN100" s="60" t="n"/>
      <c r="TMO100" s="60" t="n"/>
      <c r="TMP100" s="60" t="n"/>
      <c r="TMQ100" s="60" t="n"/>
      <c r="TMR100" s="60" t="n"/>
      <c r="TMS100" s="60" t="n"/>
      <c r="TMT100" s="60" t="n"/>
      <c r="TMU100" s="60" t="n"/>
      <c r="TMV100" s="60" t="n"/>
      <c r="TMW100" s="60" t="n"/>
      <c r="TMX100" s="60" t="n"/>
      <c r="TMY100" s="60" t="n"/>
      <c r="TMZ100" s="60" t="n"/>
      <c r="TNA100" s="60" t="n"/>
      <c r="TNB100" s="60" t="n"/>
      <c r="TNC100" s="60" t="n"/>
      <c r="TND100" s="60" t="n"/>
      <c r="TNE100" s="60" t="n"/>
      <c r="TNF100" s="60" t="n"/>
      <c r="TNG100" s="60" t="n"/>
      <c r="TNH100" s="60" t="n"/>
      <c r="TNI100" s="60" t="n"/>
      <c r="TNJ100" s="60" t="n"/>
      <c r="TNK100" s="60" t="n"/>
      <c r="TNL100" s="60" t="n"/>
      <c r="TNM100" s="60" t="n"/>
      <c r="TNN100" s="60" t="n"/>
      <c r="TNO100" s="60" t="n"/>
      <c r="TNP100" s="60" t="n"/>
      <c r="TNQ100" s="60" t="n"/>
      <c r="TNR100" s="60" t="n"/>
      <c r="TNS100" s="60" t="n"/>
      <c r="TNT100" s="60" t="n"/>
      <c r="TNU100" s="60" t="n"/>
      <c r="TNV100" s="60" t="n"/>
      <c r="TNW100" s="60" t="n"/>
      <c r="TNX100" s="60" t="n"/>
      <c r="TNY100" s="60" t="n"/>
      <c r="TNZ100" s="60" t="n"/>
      <c r="TOA100" s="60" t="n"/>
      <c r="TOB100" s="60" t="n"/>
      <c r="TOC100" s="60" t="n"/>
      <c r="TOD100" s="60" t="n"/>
      <c r="TOE100" s="60" t="n"/>
      <c r="TOF100" s="60" t="n"/>
      <c r="TOG100" s="60" t="n"/>
      <c r="TOH100" s="60" t="n"/>
      <c r="TOI100" s="60" t="n"/>
      <c r="TOJ100" s="60" t="n"/>
      <c r="TOK100" s="60" t="n"/>
      <c r="TOL100" s="60" t="n"/>
      <c r="TOM100" s="60" t="n"/>
      <c r="TON100" s="60" t="n"/>
      <c r="TOO100" s="60" t="n"/>
      <c r="TOP100" s="60" t="n"/>
      <c r="TOQ100" s="60" t="n"/>
      <c r="TOR100" s="60" t="n"/>
      <c r="TOS100" s="60" t="n"/>
      <c r="TOT100" s="60" t="n"/>
      <c r="TOU100" s="60" t="n"/>
      <c r="TOV100" s="60" t="n"/>
      <c r="TOW100" s="60" t="n"/>
      <c r="TOX100" s="60" t="n"/>
      <c r="TOY100" s="60" t="n"/>
      <c r="TOZ100" s="60" t="n"/>
      <c r="TPA100" s="60" t="n"/>
      <c r="TPB100" s="60" t="n"/>
      <c r="TPC100" s="60" t="n"/>
      <c r="TPD100" s="60" t="n"/>
      <c r="TPE100" s="60" t="n"/>
      <c r="TPF100" s="60" t="n"/>
      <c r="TPG100" s="60" t="n"/>
      <c r="TPH100" s="60" t="n"/>
      <c r="TPI100" s="60" t="n"/>
      <c r="TPJ100" s="60" t="n"/>
      <c r="TPK100" s="60" t="n"/>
      <c r="TPL100" s="60" t="n"/>
      <c r="TPM100" s="60" t="n"/>
      <c r="TPN100" s="60" t="n"/>
      <c r="TPO100" s="60" t="n"/>
      <c r="TPP100" s="60" t="n"/>
      <c r="TPQ100" s="60" t="n"/>
      <c r="TPR100" s="60" t="n"/>
      <c r="TPS100" s="60" t="n"/>
      <c r="TPT100" s="60" t="n"/>
      <c r="TPU100" s="60" t="n"/>
      <c r="TPV100" s="60" t="n"/>
      <c r="TPW100" s="60" t="n"/>
      <c r="TPX100" s="60" t="n"/>
      <c r="TPY100" s="60" t="n"/>
      <c r="TPZ100" s="60" t="n"/>
      <c r="TQA100" s="60" t="n"/>
      <c r="TQB100" s="60" t="n"/>
      <c r="TQC100" s="60" t="n"/>
      <c r="TQD100" s="60" t="n"/>
      <c r="TQE100" s="60" t="n"/>
      <c r="TQF100" s="60" t="n"/>
      <c r="TQG100" s="60" t="n"/>
      <c r="TQH100" s="60" t="n"/>
      <c r="TQI100" s="60" t="n"/>
      <c r="TQJ100" s="60" t="n"/>
      <c r="TQK100" s="60" t="n"/>
      <c r="TQL100" s="60" t="n"/>
      <c r="TQM100" s="60" t="n"/>
      <c r="TQN100" s="60" t="n"/>
      <c r="TQO100" s="60" t="n"/>
      <c r="TQP100" s="60" t="n"/>
      <c r="TQQ100" s="60" t="n"/>
      <c r="TQR100" s="60" t="n"/>
      <c r="TQS100" s="60" t="n"/>
      <c r="TQT100" s="60" t="n"/>
      <c r="TQU100" s="60" t="n"/>
      <c r="TQV100" s="60" t="n"/>
      <c r="TQW100" s="60" t="n"/>
      <c r="TQX100" s="60" t="n"/>
      <c r="TQY100" s="60" t="n"/>
      <c r="TQZ100" s="60" t="n"/>
      <c r="TRA100" s="60" t="n"/>
      <c r="TRB100" s="60" t="n"/>
      <c r="TRC100" s="60" t="n"/>
      <c r="TRD100" s="60" t="n"/>
      <c r="TRE100" s="60" t="n"/>
      <c r="TRF100" s="60" t="n"/>
      <c r="TRG100" s="60" t="n"/>
      <c r="TRH100" s="60" t="n"/>
      <c r="TRI100" s="60" t="n"/>
      <c r="TRJ100" s="60" t="n"/>
      <c r="TRK100" s="60" t="n"/>
      <c r="TRL100" s="60" t="n"/>
      <c r="TRM100" s="60" t="n"/>
      <c r="TRN100" s="60" t="n"/>
      <c r="TRO100" s="60" t="n"/>
      <c r="TRP100" s="60" t="n"/>
      <c r="TRQ100" s="60" t="n"/>
      <c r="TRR100" s="60" t="n"/>
      <c r="TRS100" s="60" t="n"/>
      <c r="TRT100" s="60" t="n"/>
      <c r="TRU100" s="60" t="n"/>
      <c r="TRV100" s="60" t="n"/>
      <c r="TRW100" s="60" t="n"/>
      <c r="TRX100" s="60" t="n"/>
      <c r="TRY100" s="60" t="n"/>
      <c r="TRZ100" s="60" t="n"/>
      <c r="TSA100" s="60" t="n"/>
      <c r="TSB100" s="60" t="n"/>
      <c r="TSC100" s="60" t="n"/>
      <c r="TSD100" s="60" t="n"/>
      <c r="TSE100" s="60" t="n"/>
      <c r="TSF100" s="60" t="n"/>
      <c r="TSG100" s="60" t="n"/>
      <c r="TSH100" s="60" t="n"/>
      <c r="TSI100" s="60" t="n"/>
      <c r="TSJ100" s="60" t="n"/>
      <c r="TSK100" s="60" t="n"/>
      <c r="TSL100" s="60" t="n"/>
      <c r="TSM100" s="60" t="n"/>
      <c r="TSN100" s="60" t="n"/>
      <c r="TSO100" s="60" t="n"/>
      <c r="TSP100" s="60" t="n"/>
      <c r="TSQ100" s="60" t="n"/>
      <c r="TSR100" s="60" t="n"/>
      <c r="TSS100" s="60" t="n"/>
      <c r="TST100" s="60" t="n"/>
      <c r="TSU100" s="60" t="n"/>
      <c r="TSV100" s="60" t="n"/>
      <c r="TSW100" s="60" t="n"/>
      <c r="TSX100" s="60" t="n"/>
      <c r="TSY100" s="60" t="n"/>
      <c r="TSZ100" s="60" t="n"/>
      <c r="TTA100" s="60" t="n"/>
      <c r="TTB100" s="60" t="n"/>
      <c r="TTC100" s="60" t="n"/>
      <c r="TTD100" s="60" t="n"/>
      <c r="TTE100" s="60" t="n"/>
      <c r="TTF100" s="60" t="n"/>
      <c r="TTG100" s="60" t="n"/>
      <c r="TTH100" s="60" t="n"/>
      <c r="TTI100" s="60" t="n"/>
      <c r="TTJ100" s="60" t="n"/>
      <c r="TTK100" s="60" t="n"/>
      <c r="TTL100" s="60" t="n"/>
      <c r="TTM100" s="60" t="n"/>
      <c r="TTN100" s="60" t="n"/>
      <c r="TTO100" s="60" t="n"/>
      <c r="TTP100" s="60" t="n"/>
      <c r="TTQ100" s="60" t="n"/>
      <c r="TTR100" s="60" t="n"/>
      <c r="TTS100" s="60" t="n"/>
      <c r="TTT100" s="60" t="n"/>
      <c r="TTU100" s="60" t="n"/>
      <c r="TTV100" s="60" t="n"/>
      <c r="TTW100" s="60" t="n"/>
      <c r="TTX100" s="60" t="n"/>
      <c r="TTY100" s="60" t="n"/>
      <c r="TTZ100" s="60" t="n"/>
      <c r="TUA100" s="60" t="n"/>
      <c r="TUB100" s="60" t="n"/>
      <c r="TUC100" s="60" t="n"/>
      <c r="TUD100" s="60" t="n"/>
      <c r="TUE100" s="60" t="n"/>
      <c r="TUF100" s="60" t="n"/>
      <c r="TUG100" s="60" t="n"/>
      <c r="TUH100" s="60" t="n"/>
      <c r="TUI100" s="60" t="n"/>
      <c r="TUJ100" s="60" t="n"/>
      <c r="TUK100" s="60" t="n"/>
      <c r="TUL100" s="60" t="n"/>
      <c r="TUM100" s="60" t="n"/>
      <c r="TUN100" s="60" t="n"/>
      <c r="TUO100" s="60" t="n"/>
      <c r="TUP100" s="60" t="n"/>
      <c r="TUQ100" s="60" t="n"/>
      <c r="TUR100" s="60" t="n"/>
      <c r="TUS100" s="60" t="n"/>
      <c r="TUT100" s="60" t="n"/>
      <c r="TUU100" s="60" t="n"/>
      <c r="TUV100" s="60" t="n"/>
      <c r="TUW100" s="60" t="n"/>
      <c r="TUX100" s="60" t="n"/>
      <c r="TUY100" s="60" t="n"/>
      <c r="TUZ100" s="60" t="n"/>
      <c r="TVA100" s="60" t="n"/>
      <c r="TVB100" s="60" t="n"/>
      <c r="TVC100" s="60" t="n"/>
      <c r="TVD100" s="60" t="n"/>
      <c r="TVE100" s="60" t="n"/>
      <c r="TVF100" s="60" t="n"/>
      <c r="TVG100" s="60" t="n"/>
      <c r="TVH100" s="60" t="n"/>
      <c r="TVI100" s="60" t="n"/>
      <c r="TVJ100" s="60" t="n"/>
      <c r="TVK100" s="60" t="n"/>
      <c r="TVL100" s="60" t="n"/>
      <c r="TVM100" s="60" t="n"/>
      <c r="TVN100" s="60" t="n"/>
      <c r="TVO100" s="60" t="n"/>
      <c r="TVP100" s="60" t="n"/>
      <c r="TVQ100" s="60" t="n"/>
      <c r="TVR100" s="60" t="n"/>
      <c r="TVS100" s="60" t="n"/>
      <c r="TVT100" s="60" t="n"/>
      <c r="TVU100" s="60" t="n"/>
      <c r="TVV100" s="60" t="n"/>
      <c r="TVW100" s="60" t="n"/>
      <c r="TVX100" s="60" t="n"/>
      <c r="TVY100" s="60" t="n"/>
      <c r="TVZ100" s="60" t="n"/>
      <c r="TWA100" s="60" t="n"/>
      <c r="TWB100" s="60" t="n"/>
      <c r="TWC100" s="60" t="n"/>
      <c r="TWD100" s="60" t="n"/>
      <c r="TWE100" s="60" t="n"/>
      <c r="TWF100" s="60" t="n"/>
      <c r="TWG100" s="60" t="n"/>
      <c r="TWH100" s="60" t="n"/>
      <c r="TWI100" s="60" t="n"/>
      <c r="TWJ100" s="60" t="n"/>
      <c r="TWK100" s="60" t="n"/>
      <c r="TWL100" s="60" t="n"/>
      <c r="TWM100" s="60" t="n"/>
      <c r="TWN100" s="60" t="n"/>
      <c r="TWO100" s="60" t="n"/>
      <c r="TWP100" s="60" t="n"/>
      <c r="TWQ100" s="60" t="n"/>
      <c r="TWR100" s="60" t="n"/>
      <c r="TWS100" s="60" t="n"/>
      <c r="TWT100" s="60" t="n"/>
      <c r="TWU100" s="60" t="n"/>
      <c r="TWV100" s="60" t="n"/>
      <c r="TWW100" s="60" t="n"/>
      <c r="TWX100" s="60" t="n"/>
      <c r="TWY100" s="60" t="n"/>
      <c r="TWZ100" s="60" t="n"/>
      <c r="TXA100" s="60" t="n"/>
      <c r="TXB100" s="60" t="n"/>
      <c r="TXC100" s="60" t="n"/>
      <c r="TXD100" s="60" t="n"/>
      <c r="TXE100" s="60" t="n"/>
      <c r="TXF100" s="60" t="n"/>
      <c r="TXG100" s="60" t="n"/>
      <c r="TXH100" s="60" t="n"/>
      <c r="TXI100" s="60" t="n"/>
      <c r="TXJ100" s="60" t="n"/>
      <c r="TXK100" s="60" t="n"/>
      <c r="TXL100" s="60" t="n"/>
      <c r="TXM100" s="60" t="n"/>
      <c r="TXN100" s="60" t="n"/>
      <c r="TXO100" s="60" t="n"/>
      <c r="TXP100" s="60" t="n"/>
      <c r="TXQ100" s="60" t="n"/>
      <c r="TXR100" s="60" t="n"/>
      <c r="TXS100" s="60" t="n"/>
      <c r="TXT100" s="60" t="n"/>
      <c r="TXU100" s="60" t="n"/>
      <c r="TXV100" s="60" t="n"/>
      <c r="TXW100" s="60" t="n"/>
      <c r="TXX100" s="60" t="n"/>
      <c r="TXY100" s="60" t="n"/>
      <c r="TXZ100" s="60" t="n"/>
      <c r="TYA100" s="60" t="n"/>
      <c r="TYB100" s="60" t="n"/>
      <c r="TYC100" s="60" t="n"/>
      <c r="TYD100" s="60" t="n"/>
      <c r="TYE100" s="60" t="n"/>
      <c r="TYF100" s="60" t="n"/>
      <c r="TYG100" s="60" t="n"/>
      <c r="TYH100" s="60" t="n"/>
      <c r="TYI100" s="60" t="n"/>
      <c r="TYJ100" s="60" t="n"/>
      <c r="TYK100" s="60" t="n"/>
      <c r="TYL100" s="60" t="n"/>
      <c r="TYM100" s="60" t="n"/>
      <c r="TYN100" s="60" t="n"/>
      <c r="TYO100" s="60" t="n"/>
      <c r="TYP100" s="60" t="n"/>
      <c r="TYQ100" s="60" t="n"/>
      <c r="TYR100" s="60" t="n"/>
      <c r="TYS100" s="60" t="n"/>
      <c r="TYT100" s="60" t="n"/>
      <c r="TYU100" s="60" t="n"/>
      <c r="TYV100" s="60" t="n"/>
      <c r="TYW100" s="60" t="n"/>
      <c r="TYX100" s="60" t="n"/>
      <c r="TYY100" s="60" t="n"/>
      <c r="TYZ100" s="60" t="n"/>
      <c r="TZA100" s="60" t="n"/>
      <c r="TZB100" s="60" t="n"/>
      <c r="TZC100" s="60" t="n"/>
      <c r="TZD100" s="60" t="n"/>
      <c r="TZE100" s="60" t="n"/>
      <c r="TZF100" s="60" t="n"/>
      <c r="TZG100" s="60" t="n"/>
      <c r="TZH100" s="60" t="n"/>
      <c r="TZI100" s="60" t="n"/>
      <c r="TZJ100" s="60" t="n"/>
      <c r="TZK100" s="60" t="n"/>
      <c r="TZL100" s="60" t="n"/>
      <c r="TZM100" s="60" t="n"/>
      <c r="TZN100" s="60" t="n"/>
      <c r="TZO100" s="60" t="n"/>
      <c r="TZP100" s="60" t="n"/>
      <c r="TZQ100" s="60" t="n"/>
      <c r="TZR100" s="60" t="n"/>
      <c r="TZS100" s="60" t="n"/>
      <c r="TZT100" s="60" t="n"/>
      <c r="TZU100" s="60" t="n"/>
      <c r="TZV100" s="60" t="n"/>
      <c r="TZW100" s="60" t="n"/>
      <c r="TZX100" s="60" t="n"/>
      <c r="TZY100" s="60" t="n"/>
      <c r="TZZ100" s="60" t="n"/>
      <c r="UAA100" s="60" t="n"/>
      <c r="UAB100" s="60" t="n"/>
      <c r="UAC100" s="60" t="n"/>
      <c r="UAD100" s="60" t="n"/>
      <c r="UAE100" s="60" t="n"/>
      <c r="UAF100" s="60" t="n"/>
      <c r="UAG100" s="60" t="n"/>
      <c r="UAH100" s="60" t="n"/>
      <c r="UAI100" s="60" t="n"/>
      <c r="UAJ100" s="60" t="n"/>
      <c r="UAK100" s="60" t="n"/>
      <c r="UAL100" s="60" t="n"/>
      <c r="UAM100" s="60" t="n"/>
      <c r="UAN100" s="60" t="n"/>
      <c r="UAO100" s="60" t="n"/>
      <c r="UAP100" s="60" t="n"/>
      <c r="UAQ100" s="60" t="n"/>
      <c r="UAR100" s="60" t="n"/>
      <c r="UAS100" s="60" t="n"/>
      <c r="UAT100" s="60" t="n"/>
      <c r="UAU100" s="60" t="n"/>
      <c r="UAV100" s="60" t="n"/>
      <c r="UAW100" s="60" t="n"/>
      <c r="UAX100" s="60" t="n"/>
      <c r="UAY100" s="60" t="n"/>
      <c r="UAZ100" s="60" t="n"/>
      <c r="UBA100" s="60" t="n"/>
      <c r="UBB100" s="60" t="n"/>
      <c r="UBC100" s="60" t="n"/>
      <c r="UBD100" s="60" t="n"/>
      <c r="UBE100" s="60" t="n"/>
      <c r="UBF100" s="60" t="n"/>
      <c r="UBG100" s="60" t="n"/>
      <c r="UBH100" s="60" t="n"/>
      <c r="UBI100" s="60" t="n"/>
      <c r="UBJ100" s="60" t="n"/>
      <c r="UBK100" s="60" t="n"/>
      <c r="UBL100" s="60" t="n"/>
      <c r="UBM100" s="60" t="n"/>
      <c r="UBN100" s="60" t="n"/>
      <c r="UBO100" s="60" t="n"/>
      <c r="UBP100" s="60" t="n"/>
      <c r="UBQ100" s="60" t="n"/>
      <c r="UBR100" s="60" t="n"/>
      <c r="UBS100" s="60" t="n"/>
      <c r="UBT100" s="60" t="n"/>
      <c r="UBU100" s="60" t="n"/>
      <c r="UBV100" s="60" t="n"/>
      <c r="UBW100" s="60" t="n"/>
      <c r="UBX100" s="60" t="n"/>
      <c r="UBY100" s="60" t="n"/>
      <c r="UBZ100" s="60" t="n"/>
      <c r="UCA100" s="60" t="n"/>
      <c r="UCB100" s="60" t="n"/>
      <c r="UCC100" s="60" t="n"/>
      <c r="UCD100" s="60" t="n"/>
      <c r="UCE100" s="60" t="n"/>
      <c r="UCF100" s="60" t="n"/>
      <c r="UCG100" s="60" t="n"/>
      <c r="UCH100" s="60" t="n"/>
      <c r="UCI100" s="60" t="n"/>
      <c r="UCJ100" s="60" t="n"/>
      <c r="UCK100" s="60" t="n"/>
      <c r="UCL100" s="60" t="n"/>
      <c r="UCM100" s="60" t="n"/>
      <c r="UCN100" s="60" t="n"/>
      <c r="UCO100" s="60" t="n"/>
      <c r="UCP100" s="60" t="n"/>
      <c r="UCQ100" s="60" t="n"/>
      <c r="UCR100" s="60" t="n"/>
      <c r="UCS100" s="60" t="n"/>
      <c r="UCT100" s="60" t="n"/>
      <c r="UCU100" s="60" t="n"/>
      <c r="UCV100" s="60" t="n"/>
      <c r="UCW100" s="60" t="n"/>
      <c r="UCX100" s="60" t="n"/>
      <c r="UCY100" s="60" t="n"/>
      <c r="UCZ100" s="60" t="n"/>
      <c r="UDA100" s="60" t="n"/>
      <c r="UDB100" s="60" t="n"/>
      <c r="UDC100" s="60" t="n"/>
      <c r="UDD100" s="60" t="n"/>
      <c r="UDE100" s="60" t="n"/>
      <c r="UDF100" s="60" t="n"/>
      <c r="UDG100" s="60" t="n"/>
      <c r="UDH100" s="60" t="n"/>
      <c r="UDI100" s="60" t="n"/>
      <c r="UDJ100" s="60" t="n"/>
      <c r="UDK100" s="60" t="n"/>
      <c r="UDL100" s="60" t="n"/>
      <c r="UDM100" s="60" t="n"/>
      <c r="UDN100" s="60" t="n"/>
      <c r="UDO100" s="60" t="n"/>
      <c r="UDP100" s="60" t="n"/>
      <c r="UDQ100" s="60" t="n"/>
      <c r="UDR100" s="60" t="n"/>
      <c r="UDS100" s="60" t="n"/>
      <c r="UDT100" s="60" t="n"/>
      <c r="UDU100" s="60" t="n"/>
      <c r="UDV100" s="60" t="n"/>
      <c r="UDW100" s="60" t="n"/>
      <c r="UDX100" s="60" t="n"/>
      <c r="UDY100" s="60" t="n"/>
      <c r="UDZ100" s="60" t="n"/>
      <c r="UEA100" s="60" t="n"/>
      <c r="UEB100" s="60" t="n"/>
      <c r="UEC100" s="60" t="n"/>
      <c r="UED100" s="60" t="n"/>
      <c r="UEE100" s="60" t="n"/>
      <c r="UEF100" s="60" t="n"/>
      <c r="UEG100" s="60" t="n"/>
      <c r="UEH100" s="60" t="n"/>
      <c r="UEI100" s="60" t="n"/>
      <c r="UEJ100" s="60" t="n"/>
      <c r="UEK100" s="60" t="n"/>
      <c r="UEL100" s="60" t="n"/>
      <c r="UEM100" s="60" t="n"/>
      <c r="UEN100" s="60" t="n"/>
      <c r="UEO100" s="60" t="n"/>
      <c r="UEP100" s="60" t="n"/>
      <c r="UEQ100" s="60" t="n"/>
      <c r="UER100" s="60" t="n"/>
      <c r="UES100" s="60" t="n"/>
      <c r="UET100" s="60" t="n"/>
      <c r="UEU100" s="60" t="n"/>
      <c r="UEV100" s="60" t="n"/>
      <c r="UEW100" s="60" t="n"/>
      <c r="UEX100" s="60" t="n"/>
      <c r="UEY100" s="60" t="n"/>
      <c r="UEZ100" s="60" t="n"/>
      <c r="UFA100" s="60" t="n"/>
      <c r="UFB100" s="60" t="n"/>
      <c r="UFC100" s="60" t="n"/>
      <c r="UFD100" s="60" t="n"/>
      <c r="UFE100" s="60" t="n"/>
      <c r="UFF100" s="60" t="n"/>
      <c r="UFG100" s="60" t="n"/>
      <c r="UFH100" s="60" t="n"/>
      <c r="UFI100" s="60" t="n"/>
      <c r="UFJ100" s="60" t="n"/>
      <c r="UFK100" s="60" t="n"/>
      <c r="UFL100" s="60" t="n"/>
      <c r="UFM100" s="60" t="n"/>
      <c r="UFN100" s="60" t="n"/>
      <c r="UFO100" s="60" t="n"/>
      <c r="UFP100" s="60" t="n"/>
      <c r="UFQ100" s="60" t="n"/>
      <c r="UFR100" s="60" t="n"/>
      <c r="UFS100" s="60" t="n"/>
      <c r="UFT100" s="60" t="n"/>
      <c r="UFU100" s="60" t="n"/>
      <c r="UFV100" s="60" t="n"/>
      <c r="UFW100" s="60" t="n"/>
      <c r="UFX100" s="60" t="n"/>
      <c r="UFY100" s="60" t="n"/>
      <c r="UFZ100" s="60" t="n"/>
      <c r="UGA100" s="60" t="n"/>
      <c r="UGB100" s="60" t="n"/>
      <c r="UGC100" s="60" t="n"/>
      <c r="UGD100" s="60" t="n"/>
      <c r="UGE100" s="60" t="n"/>
      <c r="UGF100" s="60" t="n"/>
      <c r="UGG100" s="60" t="n"/>
      <c r="UGH100" s="60" t="n"/>
      <c r="UGI100" s="60" t="n"/>
      <c r="UGJ100" s="60" t="n"/>
      <c r="UGK100" s="60" t="n"/>
      <c r="UGL100" s="60" t="n"/>
      <c r="UGM100" s="60" t="n"/>
      <c r="UGN100" s="60" t="n"/>
      <c r="UGO100" s="60" t="n"/>
      <c r="UGP100" s="60" t="n"/>
      <c r="UGQ100" s="60" t="n"/>
      <c r="UGR100" s="60" t="n"/>
      <c r="UGS100" s="60" t="n"/>
      <c r="UGT100" s="60" t="n"/>
      <c r="UGU100" s="60" t="n"/>
      <c r="UGV100" s="60" t="n"/>
      <c r="UGW100" s="60" t="n"/>
      <c r="UGX100" s="60" t="n"/>
      <c r="UGY100" s="60" t="n"/>
      <c r="UGZ100" s="60" t="n"/>
      <c r="UHA100" s="60" t="n"/>
      <c r="UHB100" s="60" t="n"/>
      <c r="UHC100" s="60" t="n"/>
      <c r="UHD100" s="60" t="n"/>
      <c r="UHE100" s="60" t="n"/>
      <c r="UHF100" s="60" t="n"/>
      <c r="UHG100" s="60" t="n"/>
      <c r="UHH100" s="60" t="n"/>
      <c r="UHI100" s="60" t="n"/>
      <c r="UHJ100" s="60" t="n"/>
      <c r="UHK100" s="60" t="n"/>
      <c r="UHL100" s="60" t="n"/>
      <c r="UHM100" s="60" t="n"/>
      <c r="UHN100" s="60" t="n"/>
      <c r="UHO100" s="60" t="n"/>
      <c r="UHP100" s="60" t="n"/>
      <c r="UHQ100" s="60" t="n"/>
      <c r="UHR100" s="60" t="n"/>
      <c r="UHS100" s="60" t="n"/>
      <c r="UHT100" s="60" t="n"/>
      <c r="UHU100" s="60" t="n"/>
      <c r="UHV100" s="60" t="n"/>
      <c r="UHW100" s="60" t="n"/>
      <c r="UHX100" s="60" t="n"/>
      <c r="UHY100" s="60" t="n"/>
      <c r="UHZ100" s="60" t="n"/>
      <c r="UIA100" s="60" t="n"/>
      <c r="UIB100" s="60" t="n"/>
      <c r="UIC100" s="60" t="n"/>
      <c r="UID100" s="60" t="n"/>
      <c r="UIE100" s="60" t="n"/>
      <c r="UIF100" s="60" t="n"/>
      <c r="UIG100" s="60" t="n"/>
      <c r="UIH100" s="60" t="n"/>
      <c r="UII100" s="60" t="n"/>
      <c r="UIJ100" s="60" t="n"/>
      <c r="UIK100" s="60" t="n"/>
      <c r="UIL100" s="60" t="n"/>
      <c r="UIM100" s="60" t="n"/>
      <c r="UIN100" s="60" t="n"/>
      <c r="UIO100" s="60" t="n"/>
      <c r="UIP100" s="60" t="n"/>
      <c r="UIQ100" s="60" t="n"/>
      <c r="UIR100" s="60" t="n"/>
      <c r="UIS100" s="60" t="n"/>
      <c r="UIT100" s="60" t="n"/>
      <c r="UIU100" s="60" t="n"/>
      <c r="UIV100" s="60" t="n"/>
      <c r="UIW100" s="60" t="n"/>
      <c r="UIX100" s="60" t="n"/>
      <c r="UIY100" s="60" t="n"/>
      <c r="UIZ100" s="60" t="n"/>
      <c r="UJA100" s="60" t="n"/>
      <c r="UJB100" s="60" t="n"/>
      <c r="UJC100" s="60" t="n"/>
      <c r="UJD100" s="60" t="n"/>
      <c r="UJE100" s="60" t="n"/>
      <c r="UJF100" s="60" t="n"/>
      <c r="UJG100" s="60" t="n"/>
      <c r="UJH100" s="60" t="n"/>
      <c r="UJI100" s="60" t="n"/>
      <c r="UJJ100" s="60" t="n"/>
      <c r="UJK100" s="60" t="n"/>
      <c r="UJL100" s="60" t="n"/>
      <c r="UJM100" s="60" t="n"/>
      <c r="UJN100" s="60" t="n"/>
      <c r="UJO100" s="60" t="n"/>
      <c r="UJP100" s="60" t="n"/>
      <c r="UJQ100" s="60" t="n"/>
      <c r="UJR100" s="60" t="n"/>
      <c r="UJS100" s="60" t="n"/>
      <c r="UJT100" s="60" t="n"/>
      <c r="UJU100" s="60" t="n"/>
      <c r="UJV100" s="60" t="n"/>
      <c r="UJW100" s="60" t="n"/>
      <c r="UJX100" s="60" t="n"/>
      <c r="UJY100" s="60" t="n"/>
      <c r="UJZ100" s="60" t="n"/>
      <c r="UKA100" s="60" t="n"/>
      <c r="UKB100" s="60" t="n"/>
      <c r="UKC100" s="60" t="n"/>
      <c r="UKD100" s="60" t="n"/>
      <c r="UKE100" s="60" t="n"/>
      <c r="UKF100" s="60" t="n"/>
      <c r="UKG100" s="60" t="n"/>
      <c r="UKH100" s="60" t="n"/>
      <c r="UKI100" s="60" t="n"/>
      <c r="UKJ100" s="60" t="n"/>
      <c r="UKK100" s="60" t="n"/>
      <c r="UKL100" s="60" t="n"/>
      <c r="UKM100" s="60" t="n"/>
      <c r="UKN100" s="60" t="n"/>
      <c r="UKO100" s="60" t="n"/>
      <c r="UKP100" s="60" t="n"/>
      <c r="UKQ100" s="60" t="n"/>
      <c r="UKR100" s="60" t="n"/>
      <c r="UKS100" s="60" t="n"/>
      <c r="UKT100" s="60" t="n"/>
      <c r="UKU100" s="60" t="n"/>
      <c r="UKV100" s="60" t="n"/>
      <c r="UKW100" s="60" t="n"/>
      <c r="UKX100" s="60" t="n"/>
      <c r="UKY100" s="60" t="n"/>
      <c r="UKZ100" s="60" t="n"/>
      <c r="ULA100" s="60" t="n"/>
      <c r="ULB100" s="60" t="n"/>
      <c r="ULC100" s="60" t="n"/>
      <c r="ULD100" s="60" t="n"/>
      <c r="ULE100" s="60" t="n"/>
      <c r="ULF100" s="60" t="n"/>
      <c r="ULG100" s="60" t="n"/>
      <c r="ULH100" s="60" t="n"/>
      <c r="ULI100" s="60" t="n"/>
      <c r="ULJ100" s="60" t="n"/>
      <c r="ULK100" s="60" t="n"/>
      <c r="ULL100" s="60" t="n"/>
      <c r="ULM100" s="60" t="n"/>
      <c r="ULN100" s="60" t="n"/>
      <c r="ULO100" s="60" t="n"/>
      <c r="ULP100" s="60" t="n"/>
      <c r="ULQ100" s="60" t="n"/>
      <c r="ULR100" s="60" t="n"/>
      <c r="ULS100" s="60" t="n"/>
      <c r="ULT100" s="60" t="n"/>
      <c r="ULU100" s="60" t="n"/>
      <c r="ULV100" s="60" t="n"/>
      <c r="ULW100" s="60" t="n"/>
      <c r="ULX100" s="60" t="n"/>
      <c r="ULY100" s="60" t="n"/>
      <c r="ULZ100" s="60" t="n"/>
      <c r="UMA100" s="60" t="n"/>
      <c r="UMB100" s="60" t="n"/>
      <c r="UMC100" s="60" t="n"/>
      <c r="UMD100" s="60" t="n"/>
      <c r="UME100" s="60" t="n"/>
      <c r="UMF100" s="60" t="n"/>
      <c r="UMG100" s="60" t="n"/>
      <c r="UMH100" s="60" t="n"/>
      <c r="UMI100" s="60" t="n"/>
      <c r="UMJ100" s="60" t="n"/>
      <c r="UMK100" s="60" t="n"/>
      <c r="UML100" s="60" t="n"/>
      <c r="UMM100" s="60" t="n"/>
      <c r="UMN100" s="60" t="n"/>
      <c r="UMO100" s="60" t="n"/>
      <c r="UMP100" s="60" t="n"/>
      <c r="UMQ100" s="60" t="n"/>
      <c r="UMR100" s="60" t="n"/>
      <c r="UMS100" s="60" t="n"/>
      <c r="UMT100" s="60" t="n"/>
      <c r="UMU100" s="60" t="n"/>
      <c r="UMV100" s="60" t="n"/>
      <c r="UMW100" s="60" t="n"/>
      <c r="UMX100" s="60" t="n"/>
      <c r="UMY100" s="60" t="n"/>
      <c r="UMZ100" s="60" t="n"/>
      <c r="UNA100" s="60" t="n"/>
      <c r="UNB100" s="60" t="n"/>
      <c r="UNC100" s="60" t="n"/>
      <c r="UND100" s="60" t="n"/>
      <c r="UNE100" s="60" t="n"/>
      <c r="UNF100" s="60" t="n"/>
      <c r="UNG100" s="60" t="n"/>
      <c r="UNH100" s="60" t="n"/>
      <c r="UNI100" s="60" t="n"/>
      <c r="UNJ100" s="60" t="n"/>
      <c r="UNK100" s="60" t="n"/>
      <c r="UNL100" s="60" t="n"/>
      <c r="UNM100" s="60" t="n"/>
      <c r="UNN100" s="60" t="n"/>
      <c r="UNO100" s="60" t="n"/>
      <c r="UNP100" s="60" t="n"/>
      <c r="UNQ100" s="60" t="n"/>
      <c r="UNR100" s="60" t="n"/>
      <c r="UNS100" s="60" t="n"/>
      <c r="UNT100" s="60" t="n"/>
      <c r="UNU100" s="60" t="n"/>
      <c r="UNV100" s="60" t="n"/>
      <c r="UNW100" s="60" t="n"/>
      <c r="UNX100" s="60" t="n"/>
      <c r="UNY100" s="60" t="n"/>
      <c r="UNZ100" s="60" t="n"/>
      <c r="UOA100" s="60" t="n"/>
      <c r="UOB100" s="60" t="n"/>
      <c r="UOC100" s="60" t="n"/>
      <c r="UOD100" s="60" t="n"/>
      <c r="UOE100" s="60" t="n"/>
      <c r="UOF100" s="60" t="n"/>
      <c r="UOG100" s="60" t="n"/>
      <c r="UOH100" s="60" t="n"/>
      <c r="UOI100" s="60" t="n"/>
      <c r="UOJ100" s="60" t="n"/>
      <c r="UOK100" s="60" t="n"/>
      <c r="UOL100" s="60" t="n"/>
      <c r="UOM100" s="60" t="n"/>
      <c r="UON100" s="60" t="n"/>
      <c r="UOO100" s="60" t="n"/>
      <c r="UOP100" s="60" t="n"/>
      <c r="UOQ100" s="60" t="n"/>
      <c r="UOR100" s="60" t="n"/>
      <c r="UOS100" s="60" t="n"/>
      <c r="UOT100" s="60" t="n"/>
      <c r="UOU100" s="60" t="n"/>
      <c r="UOV100" s="60" t="n"/>
      <c r="UOW100" s="60" t="n"/>
      <c r="UOX100" s="60" t="n"/>
      <c r="UOY100" s="60" t="n"/>
      <c r="UOZ100" s="60" t="n"/>
      <c r="UPA100" s="60" t="n"/>
      <c r="UPB100" s="60" t="n"/>
      <c r="UPC100" s="60" t="n"/>
      <c r="UPD100" s="60" t="n"/>
      <c r="UPE100" s="60" t="n"/>
      <c r="UPF100" s="60" t="n"/>
      <c r="UPG100" s="60" t="n"/>
      <c r="UPH100" s="60" t="n"/>
      <c r="UPI100" s="60" t="n"/>
      <c r="UPJ100" s="60" t="n"/>
      <c r="UPK100" s="60" t="n"/>
      <c r="UPL100" s="60" t="n"/>
      <c r="UPM100" s="60" t="n"/>
      <c r="UPN100" s="60" t="n"/>
      <c r="UPO100" s="60" t="n"/>
      <c r="UPP100" s="60" t="n"/>
      <c r="UPQ100" s="60" t="n"/>
      <c r="UPR100" s="60" t="n"/>
      <c r="UPS100" s="60" t="n"/>
      <c r="UPT100" s="60" t="n"/>
      <c r="UPU100" s="60" t="n"/>
      <c r="UPV100" s="60" t="n"/>
      <c r="UPW100" s="60" t="n"/>
      <c r="UPX100" s="60" t="n"/>
      <c r="UPY100" s="60" t="n"/>
      <c r="UPZ100" s="60" t="n"/>
      <c r="UQA100" s="60" t="n"/>
      <c r="UQB100" s="60" t="n"/>
      <c r="UQC100" s="60" t="n"/>
      <c r="UQD100" s="60" t="n"/>
      <c r="UQE100" s="60" t="n"/>
      <c r="UQF100" s="60" t="n"/>
      <c r="UQG100" s="60" t="n"/>
      <c r="UQH100" s="60" t="n"/>
      <c r="UQI100" s="60" t="n"/>
      <c r="UQJ100" s="60" t="n"/>
      <c r="UQK100" s="60" t="n"/>
      <c r="UQL100" s="60" t="n"/>
      <c r="UQM100" s="60" t="n"/>
      <c r="UQN100" s="60" t="n"/>
      <c r="UQO100" s="60" t="n"/>
      <c r="UQP100" s="60" t="n"/>
      <c r="UQQ100" s="60" t="n"/>
      <c r="UQR100" s="60" t="n"/>
      <c r="UQS100" s="60" t="n"/>
      <c r="UQT100" s="60" t="n"/>
      <c r="UQU100" s="60" t="n"/>
      <c r="UQV100" s="60" t="n"/>
      <c r="UQW100" s="60" t="n"/>
      <c r="UQX100" s="60" t="n"/>
      <c r="UQY100" s="60" t="n"/>
      <c r="UQZ100" s="60" t="n"/>
      <c r="URA100" s="60" t="n"/>
      <c r="URB100" s="60" t="n"/>
      <c r="URC100" s="60" t="n"/>
      <c r="URD100" s="60" t="n"/>
      <c r="URE100" s="60" t="n"/>
      <c r="URF100" s="60" t="n"/>
      <c r="URG100" s="60" t="n"/>
      <c r="URH100" s="60" t="n"/>
      <c r="URI100" s="60" t="n"/>
      <c r="URJ100" s="60" t="n"/>
      <c r="URK100" s="60" t="n"/>
      <c r="URL100" s="60" t="n"/>
      <c r="URM100" s="60" t="n"/>
      <c r="URN100" s="60" t="n"/>
      <c r="URO100" s="60" t="n"/>
      <c r="URP100" s="60" t="n"/>
      <c r="URQ100" s="60" t="n"/>
      <c r="URR100" s="60" t="n"/>
      <c r="URS100" s="60" t="n"/>
      <c r="URT100" s="60" t="n"/>
      <c r="URU100" s="60" t="n"/>
      <c r="URV100" s="60" t="n"/>
      <c r="URW100" s="60" t="n"/>
      <c r="URX100" s="60" t="n"/>
      <c r="URY100" s="60" t="n"/>
      <c r="URZ100" s="60" t="n"/>
      <c r="USA100" s="60" t="n"/>
      <c r="USB100" s="60" t="n"/>
      <c r="USC100" s="60" t="n"/>
      <c r="USD100" s="60" t="n"/>
      <c r="USE100" s="60" t="n"/>
      <c r="USF100" s="60" t="n"/>
      <c r="USG100" s="60" t="n"/>
      <c r="USH100" s="60" t="n"/>
      <c r="USI100" s="60" t="n"/>
      <c r="USJ100" s="60" t="n"/>
      <c r="USK100" s="60" t="n"/>
      <c r="USL100" s="60" t="n"/>
      <c r="USM100" s="60" t="n"/>
      <c r="USN100" s="60" t="n"/>
      <c r="USO100" s="60" t="n"/>
      <c r="USP100" s="60" t="n"/>
      <c r="USQ100" s="60" t="n"/>
      <c r="USR100" s="60" t="n"/>
      <c r="USS100" s="60" t="n"/>
      <c r="UST100" s="60" t="n"/>
      <c r="USU100" s="60" t="n"/>
      <c r="USV100" s="60" t="n"/>
      <c r="USW100" s="60" t="n"/>
      <c r="USX100" s="60" t="n"/>
      <c r="USY100" s="60" t="n"/>
      <c r="USZ100" s="60" t="n"/>
      <c r="UTA100" s="60" t="n"/>
      <c r="UTB100" s="60" t="n"/>
      <c r="UTC100" s="60" t="n"/>
      <c r="UTD100" s="60" t="n"/>
      <c r="UTE100" s="60" t="n"/>
      <c r="UTF100" s="60" t="n"/>
      <c r="UTG100" s="60" t="n"/>
      <c r="UTH100" s="60" t="n"/>
      <c r="UTI100" s="60" t="n"/>
      <c r="UTJ100" s="60" t="n"/>
      <c r="UTK100" s="60" t="n"/>
      <c r="UTL100" s="60" t="n"/>
      <c r="UTM100" s="60" t="n"/>
      <c r="UTN100" s="60" t="n"/>
      <c r="UTO100" s="60" t="n"/>
      <c r="UTP100" s="60" t="n"/>
      <c r="UTQ100" s="60" t="n"/>
      <c r="UTR100" s="60" t="n"/>
      <c r="UTS100" s="60" t="n"/>
      <c r="UTT100" s="60" t="n"/>
      <c r="UTU100" s="60" t="n"/>
      <c r="UTV100" s="60" t="n"/>
      <c r="UTW100" s="60" t="n"/>
      <c r="UTX100" s="60" t="n"/>
      <c r="UTY100" s="60" t="n"/>
      <c r="UTZ100" s="60" t="n"/>
      <c r="UUA100" s="60" t="n"/>
      <c r="UUB100" s="60" t="n"/>
      <c r="UUC100" s="60" t="n"/>
      <c r="UUD100" s="60" t="n"/>
      <c r="UUE100" s="60" t="n"/>
      <c r="UUF100" s="60" t="n"/>
      <c r="UUG100" s="60" t="n"/>
      <c r="UUH100" s="60" t="n"/>
      <c r="UUI100" s="60" t="n"/>
      <c r="UUJ100" s="60" t="n"/>
      <c r="UUK100" s="60" t="n"/>
      <c r="UUL100" s="60" t="n"/>
      <c r="UUM100" s="60" t="n"/>
      <c r="UUN100" s="60" t="n"/>
      <c r="UUO100" s="60" t="n"/>
      <c r="UUP100" s="60" t="n"/>
      <c r="UUQ100" s="60" t="n"/>
      <c r="UUR100" s="60" t="n"/>
      <c r="UUS100" s="60" t="n"/>
      <c r="UUT100" s="60" t="n"/>
      <c r="UUU100" s="60" t="n"/>
      <c r="UUV100" s="60" t="n"/>
      <c r="UUW100" s="60" t="n"/>
      <c r="UUX100" s="60" t="n"/>
      <c r="UUY100" s="60" t="n"/>
      <c r="UUZ100" s="60" t="n"/>
      <c r="UVA100" s="60" t="n"/>
      <c r="UVB100" s="60" t="n"/>
      <c r="UVC100" s="60" t="n"/>
      <c r="UVD100" s="60" t="n"/>
      <c r="UVE100" s="60" t="n"/>
      <c r="UVF100" s="60" t="n"/>
      <c r="UVG100" s="60" t="n"/>
      <c r="UVH100" s="60" t="n"/>
      <c r="UVI100" s="60" t="n"/>
      <c r="UVJ100" s="60" t="n"/>
      <c r="UVK100" s="60" t="n"/>
      <c r="UVL100" s="60" t="n"/>
      <c r="UVM100" s="60" t="n"/>
      <c r="UVN100" s="60" t="n"/>
      <c r="UVO100" s="60" t="n"/>
      <c r="UVP100" s="60" t="n"/>
      <c r="UVQ100" s="60" t="n"/>
      <c r="UVR100" s="60" t="n"/>
      <c r="UVS100" s="60" t="n"/>
      <c r="UVT100" s="60" t="n"/>
      <c r="UVU100" s="60" t="n"/>
      <c r="UVV100" s="60" t="n"/>
      <c r="UVW100" s="60" t="n"/>
      <c r="UVX100" s="60" t="n"/>
      <c r="UVY100" s="60" t="n"/>
      <c r="UVZ100" s="60" t="n"/>
      <c r="UWA100" s="60" t="n"/>
      <c r="UWB100" s="60" t="n"/>
      <c r="UWC100" s="60" t="n"/>
      <c r="UWD100" s="60" t="n"/>
      <c r="UWE100" s="60" t="n"/>
      <c r="UWF100" s="60" t="n"/>
      <c r="UWG100" s="60" t="n"/>
      <c r="UWH100" s="60" t="n"/>
      <c r="UWI100" s="60" t="n"/>
      <c r="UWJ100" s="60" t="n"/>
      <c r="UWK100" s="60" t="n"/>
      <c r="UWL100" s="60" t="n"/>
      <c r="UWM100" s="60" t="n"/>
      <c r="UWN100" s="60" t="n"/>
      <c r="UWO100" s="60" t="n"/>
      <c r="UWP100" s="60" t="n"/>
      <c r="UWQ100" s="60" t="n"/>
      <c r="UWR100" s="60" t="n"/>
      <c r="UWS100" s="60" t="n"/>
      <c r="UWT100" s="60" t="n"/>
      <c r="UWU100" s="60" t="n"/>
      <c r="UWV100" s="60" t="n"/>
      <c r="UWW100" s="60" t="n"/>
      <c r="UWX100" s="60" t="n"/>
      <c r="UWY100" s="60" t="n"/>
      <c r="UWZ100" s="60" t="n"/>
      <c r="UXA100" s="60" t="n"/>
      <c r="UXB100" s="60" t="n"/>
      <c r="UXC100" s="60" t="n"/>
      <c r="UXD100" s="60" t="n"/>
      <c r="UXE100" s="60" t="n"/>
      <c r="UXF100" s="60" t="n"/>
      <c r="UXG100" s="60" t="n"/>
      <c r="UXH100" s="60" t="n"/>
      <c r="UXI100" s="60" t="n"/>
      <c r="UXJ100" s="60" t="n"/>
      <c r="UXK100" s="60" t="n"/>
      <c r="UXL100" s="60" t="n"/>
      <c r="UXM100" s="60" t="n"/>
      <c r="UXN100" s="60" t="n"/>
      <c r="UXO100" s="60" t="n"/>
      <c r="UXP100" s="60" t="n"/>
      <c r="UXQ100" s="60" t="n"/>
      <c r="UXR100" s="60" t="n"/>
      <c r="UXS100" s="60" t="n"/>
      <c r="UXT100" s="60" t="n"/>
      <c r="UXU100" s="60" t="n"/>
      <c r="UXV100" s="60" t="n"/>
      <c r="UXW100" s="60" t="n"/>
      <c r="UXX100" s="60" t="n"/>
      <c r="UXY100" s="60" t="n"/>
      <c r="UXZ100" s="60" t="n"/>
      <c r="UYA100" s="60" t="n"/>
      <c r="UYB100" s="60" t="n"/>
      <c r="UYC100" s="60" t="n"/>
      <c r="UYD100" s="60" t="n"/>
      <c r="UYE100" s="60" t="n"/>
      <c r="UYF100" s="60" t="n"/>
      <c r="UYG100" s="60" t="n"/>
      <c r="UYH100" s="60" t="n"/>
      <c r="UYI100" s="60" t="n"/>
      <c r="UYJ100" s="60" t="n"/>
      <c r="UYK100" s="60" t="n"/>
      <c r="UYL100" s="60" t="n"/>
      <c r="UYM100" s="60" t="n"/>
      <c r="UYN100" s="60" t="n"/>
      <c r="UYO100" s="60" t="n"/>
      <c r="UYP100" s="60" t="n"/>
      <c r="UYQ100" s="60" t="n"/>
      <c r="UYR100" s="60" t="n"/>
      <c r="UYS100" s="60" t="n"/>
      <c r="UYT100" s="60" t="n"/>
      <c r="UYU100" s="60" t="n"/>
      <c r="UYV100" s="60" t="n"/>
      <c r="UYW100" s="60" t="n"/>
      <c r="UYX100" s="60" t="n"/>
      <c r="UYY100" s="60" t="n"/>
      <c r="UYZ100" s="60" t="n"/>
      <c r="UZA100" s="60" t="n"/>
      <c r="UZB100" s="60" t="n"/>
      <c r="UZC100" s="60" t="n"/>
      <c r="UZD100" s="60" t="n"/>
      <c r="UZE100" s="60" t="n"/>
      <c r="UZF100" s="60" t="n"/>
      <c r="UZG100" s="60" t="n"/>
      <c r="UZH100" s="60" t="n"/>
      <c r="UZI100" s="60" t="n"/>
      <c r="UZJ100" s="60" t="n"/>
      <c r="UZK100" s="60" t="n"/>
      <c r="UZL100" s="60" t="n"/>
      <c r="UZM100" s="60" t="n"/>
      <c r="UZN100" s="60" t="n"/>
      <c r="UZO100" s="60" t="n"/>
      <c r="UZP100" s="60" t="n"/>
      <c r="UZQ100" s="60" t="n"/>
      <c r="UZR100" s="60" t="n"/>
      <c r="UZS100" s="60" t="n"/>
      <c r="UZT100" s="60" t="n"/>
      <c r="UZU100" s="60" t="n"/>
      <c r="UZV100" s="60" t="n"/>
      <c r="UZW100" s="60" t="n"/>
      <c r="UZX100" s="60" t="n"/>
      <c r="UZY100" s="60" t="n"/>
      <c r="UZZ100" s="60" t="n"/>
      <c r="VAA100" s="60" t="n"/>
      <c r="VAB100" s="60" t="n"/>
      <c r="VAC100" s="60" t="n"/>
      <c r="VAD100" s="60" t="n"/>
      <c r="VAE100" s="60" t="n"/>
      <c r="VAF100" s="60" t="n"/>
      <c r="VAG100" s="60" t="n"/>
      <c r="VAH100" s="60" t="n"/>
      <c r="VAI100" s="60" t="n"/>
      <c r="VAJ100" s="60" t="n"/>
      <c r="VAK100" s="60" t="n"/>
      <c r="VAL100" s="60" t="n"/>
      <c r="VAM100" s="60" t="n"/>
      <c r="VAN100" s="60" t="n"/>
      <c r="VAO100" s="60" t="n"/>
      <c r="VAP100" s="60" t="n"/>
      <c r="VAQ100" s="60" t="n"/>
      <c r="VAR100" s="60" t="n"/>
      <c r="VAS100" s="60" t="n"/>
      <c r="VAT100" s="60" t="n"/>
      <c r="VAU100" s="60" t="n"/>
      <c r="VAV100" s="60" t="n"/>
      <c r="VAW100" s="60" t="n"/>
      <c r="VAX100" s="60" t="n"/>
      <c r="VAY100" s="60" t="n"/>
      <c r="VAZ100" s="60" t="n"/>
      <c r="VBA100" s="60" t="n"/>
      <c r="VBB100" s="60" t="n"/>
      <c r="VBC100" s="60" t="n"/>
      <c r="VBD100" s="60" t="n"/>
      <c r="VBE100" s="60" t="n"/>
      <c r="VBF100" s="60" t="n"/>
      <c r="VBG100" s="60" t="n"/>
      <c r="VBH100" s="60" t="n"/>
      <c r="VBI100" s="60" t="n"/>
      <c r="VBJ100" s="60" t="n"/>
      <c r="VBK100" s="60" t="n"/>
      <c r="VBL100" s="60" t="n"/>
      <c r="VBM100" s="60" t="n"/>
      <c r="VBN100" s="60" t="n"/>
      <c r="VBO100" s="60" t="n"/>
      <c r="VBP100" s="60" t="n"/>
      <c r="VBQ100" s="60" t="n"/>
      <c r="VBR100" s="60" t="n"/>
      <c r="VBS100" s="60" t="n"/>
      <c r="VBT100" s="60" t="n"/>
      <c r="VBU100" s="60" t="n"/>
      <c r="VBV100" s="60" t="n"/>
      <c r="VBW100" s="60" t="n"/>
      <c r="VBX100" s="60" t="n"/>
      <c r="VBY100" s="60" t="n"/>
      <c r="VBZ100" s="60" t="n"/>
      <c r="VCA100" s="60" t="n"/>
      <c r="VCB100" s="60" t="n"/>
      <c r="VCC100" s="60" t="n"/>
      <c r="VCD100" s="60" t="n"/>
      <c r="VCE100" s="60" t="n"/>
      <c r="VCF100" s="60" t="n"/>
      <c r="VCG100" s="60" t="n"/>
      <c r="VCH100" s="60" t="n"/>
      <c r="VCI100" s="60" t="n"/>
      <c r="VCJ100" s="60" t="n"/>
      <c r="VCK100" s="60" t="n"/>
      <c r="VCL100" s="60" t="n"/>
      <c r="VCM100" s="60" t="n"/>
      <c r="VCN100" s="60" t="n"/>
      <c r="VCO100" s="60" t="n"/>
      <c r="VCP100" s="60" t="n"/>
      <c r="VCQ100" s="60" t="n"/>
      <c r="VCR100" s="60" t="n"/>
      <c r="VCS100" s="60" t="n"/>
      <c r="VCT100" s="60" t="n"/>
      <c r="VCU100" s="60" t="n"/>
      <c r="VCV100" s="60" t="n"/>
      <c r="VCW100" s="60" t="n"/>
      <c r="VCX100" s="60" t="n"/>
      <c r="VCY100" s="60" t="n"/>
      <c r="VCZ100" s="60" t="n"/>
      <c r="VDA100" s="60" t="n"/>
      <c r="VDB100" s="60" t="n"/>
      <c r="VDC100" s="60" t="n"/>
      <c r="VDD100" s="60" t="n"/>
      <c r="VDE100" s="60" t="n"/>
      <c r="VDF100" s="60" t="n"/>
      <c r="VDG100" s="60" t="n"/>
      <c r="VDH100" s="60" t="n"/>
      <c r="VDI100" s="60" t="n"/>
      <c r="VDJ100" s="60" t="n"/>
      <c r="VDK100" s="60" t="n"/>
      <c r="VDL100" s="60" t="n"/>
      <c r="VDM100" s="60" t="n"/>
      <c r="VDN100" s="60" t="n"/>
      <c r="VDO100" s="60" t="n"/>
      <c r="VDP100" s="60" t="n"/>
      <c r="VDQ100" s="60" t="n"/>
      <c r="VDR100" s="60" t="n"/>
      <c r="VDS100" s="60" t="n"/>
      <c r="VDT100" s="60" t="n"/>
      <c r="VDU100" s="60" t="n"/>
      <c r="VDV100" s="60" t="n"/>
      <c r="VDW100" s="60" t="n"/>
      <c r="VDX100" s="60" t="n"/>
      <c r="VDY100" s="60" t="n"/>
      <c r="VDZ100" s="60" t="n"/>
      <c r="VEA100" s="60" t="n"/>
      <c r="VEB100" s="60" t="n"/>
      <c r="VEC100" s="60" t="n"/>
      <c r="VED100" s="60" t="n"/>
      <c r="VEE100" s="60" t="n"/>
      <c r="VEF100" s="60" t="n"/>
      <c r="VEG100" s="60" t="n"/>
      <c r="VEH100" s="60" t="n"/>
      <c r="VEI100" s="60" t="n"/>
      <c r="VEJ100" s="60" t="n"/>
      <c r="VEK100" s="60" t="n"/>
      <c r="VEL100" s="60" t="n"/>
      <c r="VEM100" s="60" t="n"/>
      <c r="VEN100" s="60" t="n"/>
      <c r="VEO100" s="60" t="n"/>
      <c r="VEP100" s="60" t="n"/>
      <c r="VEQ100" s="60" t="n"/>
      <c r="VER100" s="60" t="n"/>
      <c r="VES100" s="60" t="n"/>
      <c r="VET100" s="60" t="n"/>
      <c r="VEU100" s="60" t="n"/>
      <c r="VEV100" s="60" t="n"/>
      <c r="VEW100" s="60" t="n"/>
      <c r="VEX100" s="60" t="n"/>
      <c r="VEY100" s="60" t="n"/>
      <c r="VEZ100" s="60" t="n"/>
      <c r="VFA100" s="60" t="n"/>
      <c r="VFB100" s="60" t="n"/>
      <c r="VFC100" s="60" t="n"/>
      <c r="VFD100" s="60" t="n"/>
      <c r="VFE100" s="60" t="n"/>
      <c r="VFF100" s="60" t="n"/>
      <c r="VFG100" s="60" t="n"/>
      <c r="VFH100" s="60" t="n"/>
      <c r="VFI100" s="60" t="n"/>
      <c r="VFJ100" s="60" t="n"/>
      <c r="VFK100" s="60" t="n"/>
      <c r="VFL100" s="60" t="n"/>
      <c r="VFM100" s="60" t="n"/>
      <c r="VFN100" s="60" t="n"/>
      <c r="VFO100" s="60" t="n"/>
      <c r="VFP100" s="60" t="n"/>
      <c r="VFQ100" s="60" t="n"/>
      <c r="VFR100" s="60" t="n"/>
      <c r="VFS100" s="60" t="n"/>
      <c r="VFT100" s="60" t="n"/>
      <c r="VFU100" s="60" t="n"/>
      <c r="VFV100" s="60" t="n"/>
      <c r="VFW100" s="60" t="n"/>
      <c r="VFX100" s="60" t="n"/>
      <c r="VFY100" s="60" t="n"/>
      <c r="VFZ100" s="60" t="n"/>
      <c r="VGA100" s="60" t="n"/>
      <c r="VGB100" s="60" t="n"/>
      <c r="VGC100" s="60" t="n"/>
      <c r="VGD100" s="60" t="n"/>
      <c r="VGE100" s="60" t="n"/>
      <c r="VGF100" s="60" t="n"/>
      <c r="VGG100" s="60" t="n"/>
      <c r="VGH100" s="60" t="n"/>
      <c r="VGI100" s="60" t="n"/>
      <c r="VGJ100" s="60" t="n"/>
      <c r="VGK100" s="60" t="n"/>
      <c r="VGL100" s="60" t="n"/>
      <c r="VGM100" s="60" t="n"/>
      <c r="VGN100" s="60" t="n"/>
      <c r="VGO100" s="60" t="n"/>
      <c r="VGP100" s="60" t="n"/>
      <c r="VGQ100" s="60" t="n"/>
      <c r="VGR100" s="60" t="n"/>
      <c r="VGS100" s="60" t="n"/>
      <c r="VGT100" s="60" t="n"/>
      <c r="VGU100" s="60" t="n"/>
      <c r="VGV100" s="60" t="n"/>
      <c r="VGW100" s="60" t="n"/>
      <c r="VGX100" s="60" t="n"/>
      <c r="VGY100" s="60" t="n"/>
      <c r="VGZ100" s="60" t="n"/>
      <c r="VHA100" s="60" t="n"/>
      <c r="VHB100" s="60" t="n"/>
      <c r="VHC100" s="60" t="n"/>
      <c r="VHD100" s="60" t="n"/>
      <c r="VHE100" s="60" t="n"/>
      <c r="VHF100" s="60" t="n"/>
      <c r="VHG100" s="60" t="n"/>
      <c r="VHH100" s="60" t="n"/>
      <c r="VHI100" s="60" t="n"/>
      <c r="VHJ100" s="60" t="n"/>
      <c r="VHK100" s="60" t="n"/>
      <c r="VHL100" s="60" t="n"/>
      <c r="VHM100" s="60" t="n"/>
      <c r="VHN100" s="60" t="n"/>
      <c r="VHO100" s="60" t="n"/>
      <c r="VHP100" s="60" t="n"/>
      <c r="VHQ100" s="60" t="n"/>
      <c r="VHR100" s="60" t="n"/>
      <c r="VHS100" s="60" t="n"/>
      <c r="VHT100" s="60" t="n"/>
      <c r="VHU100" s="60" t="n"/>
      <c r="VHV100" s="60" t="n"/>
      <c r="VHW100" s="60" t="n"/>
      <c r="VHX100" s="60" t="n"/>
      <c r="VHY100" s="60" t="n"/>
      <c r="VHZ100" s="60" t="n"/>
      <c r="VIA100" s="60" t="n"/>
      <c r="VIB100" s="60" t="n"/>
      <c r="VIC100" s="60" t="n"/>
      <c r="VID100" s="60" t="n"/>
      <c r="VIE100" s="60" t="n"/>
      <c r="VIF100" s="60" t="n"/>
      <c r="VIG100" s="60" t="n"/>
      <c r="VIH100" s="60" t="n"/>
      <c r="VII100" s="60" t="n"/>
      <c r="VIJ100" s="60" t="n"/>
      <c r="VIK100" s="60" t="n"/>
      <c r="VIL100" s="60" t="n"/>
      <c r="VIM100" s="60" t="n"/>
      <c r="VIN100" s="60" t="n"/>
      <c r="VIO100" s="60" t="n"/>
      <c r="VIP100" s="60" t="n"/>
      <c r="VIQ100" s="60" t="n"/>
      <c r="VIR100" s="60" t="n"/>
      <c r="VIS100" s="60" t="n"/>
      <c r="VIT100" s="60" t="n"/>
      <c r="VIU100" s="60" t="n"/>
      <c r="VIV100" s="60" t="n"/>
      <c r="VIW100" s="60" t="n"/>
      <c r="VIX100" s="60" t="n"/>
      <c r="VIY100" s="60" t="n"/>
      <c r="VIZ100" s="60" t="n"/>
      <c r="VJA100" s="60" t="n"/>
      <c r="VJB100" s="60" t="n"/>
      <c r="VJC100" s="60" t="n"/>
      <c r="VJD100" s="60" t="n"/>
      <c r="VJE100" s="60" t="n"/>
      <c r="VJF100" s="60" t="n"/>
      <c r="VJG100" s="60" t="n"/>
      <c r="VJH100" s="60" t="n"/>
      <c r="VJI100" s="60" t="n"/>
      <c r="VJJ100" s="60" t="n"/>
      <c r="VJK100" s="60" t="n"/>
      <c r="VJL100" s="60" t="n"/>
      <c r="VJM100" s="60" t="n"/>
      <c r="VJN100" s="60" t="n"/>
      <c r="VJO100" s="60" t="n"/>
      <c r="VJP100" s="60" t="n"/>
      <c r="VJQ100" s="60" t="n"/>
      <c r="VJR100" s="60" t="n"/>
      <c r="VJS100" s="60" t="n"/>
      <c r="VJT100" s="60" t="n"/>
      <c r="VJU100" s="60" t="n"/>
      <c r="VJV100" s="60" t="n"/>
      <c r="VJW100" s="60" t="n"/>
      <c r="VJX100" s="60" t="n"/>
      <c r="VJY100" s="60" t="n"/>
      <c r="VJZ100" s="60" t="n"/>
      <c r="VKA100" s="60" t="n"/>
      <c r="VKB100" s="60" t="n"/>
      <c r="VKC100" s="60" t="n"/>
      <c r="VKD100" s="60" t="n"/>
      <c r="VKE100" s="60" t="n"/>
      <c r="VKF100" s="60" t="n"/>
      <c r="VKG100" s="60" t="n"/>
      <c r="VKH100" s="60" t="n"/>
      <c r="VKI100" s="60" t="n"/>
      <c r="VKJ100" s="60" t="n"/>
      <c r="VKK100" s="60" t="n"/>
      <c r="VKL100" s="60" t="n"/>
      <c r="VKM100" s="60" t="n"/>
      <c r="VKN100" s="60" t="n"/>
      <c r="VKO100" s="60" t="n"/>
      <c r="VKP100" s="60" t="n"/>
      <c r="VKQ100" s="60" t="n"/>
      <c r="VKR100" s="60" t="n"/>
      <c r="VKS100" s="60" t="n"/>
      <c r="VKT100" s="60" t="n"/>
      <c r="VKU100" s="60" t="n"/>
      <c r="VKV100" s="60" t="n"/>
      <c r="VKW100" s="60" t="n"/>
      <c r="VKX100" s="60" t="n"/>
      <c r="VKY100" s="60" t="n"/>
      <c r="VKZ100" s="60" t="n"/>
      <c r="VLA100" s="60" t="n"/>
      <c r="VLB100" s="60" t="n"/>
      <c r="VLC100" s="60" t="n"/>
      <c r="VLD100" s="60" t="n"/>
      <c r="VLE100" s="60" t="n"/>
      <c r="VLF100" s="60" t="n"/>
      <c r="VLG100" s="60" t="n"/>
      <c r="VLH100" s="60" t="n"/>
      <c r="VLI100" s="60" t="n"/>
      <c r="VLJ100" s="60" t="n"/>
      <c r="VLK100" s="60" t="n"/>
      <c r="VLL100" s="60" t="n"/>
      <c r="VLM100" s="60" t="n"/>
      <c r="VLN100" s="60" t="n"/>
      <c r="VLO100" s="60" t="n"/>
      <c r="VLP100" s="60" t="n"/>
      <c r="VLQ100" s="60" t="n"/>
      <c r="VLR100" s="60" t="n"/>
      <c r="VLS100" s="60" t="n"/>
      <c r="VLT100" s="60" t="n"/>
      <c r="VLU100" s="60" t="n"/>
      <c r="VLV100" s="60" t="n"/>
      <c r="VLW100" s="60" t="n"/>
      <c r="VLX100" s="60" t="n"/>
      <c r="VLY100" s="60" t="n"/>
      <c r="VLZ100" s="60" t="n"/>
      <c r="VMA100" s="60" t="n"/>
      <c r="VMB100" s="60" t="n"/>
      <c r="VMC100" s="60" t="n"/>
      <c r="VMD100" s="60" t="n"/>
      <c r="VME100" s="60" t="n"/>
      <c r="VMF100" s="60" t="n"/>
      <c r="VMG100" s="60" t="n"/>
      <c r="VMH100" s="60" t="n"/>
      <c r="VMI100" s="60" t="n"/>
      <c r="VMJ100" s="60" t="n"/>
      <c r="VMK100" s="60" t="n"/>
      <c r="VML100" s="60" t="n"/>
      <c r="VMM100" s="60" t="n"/>
      <c r="VMN100" s="60" t="n"/>
      <c r="VMO100" s="60" t="n"/>
      <c r="VMP100" s="60" t="n"/>
      <c r="VMQ100" s="60" t="n"/>
      <c r="VMR100" s="60" t="n"/>
      <c r="VMS100" s="60" t="n"/>
      <c r="VMT100" s="60" t="n"/>
      <c r="VMU100" s="60" t="n"/>
      <c r="VMV100" s="60" t="n"/>
      <c r="VMW100" s="60" t="n"/>
      <c r="VMX100" s="60" t="n"/>
      <c r="VMY100" s="60" t="n"/>
      <c r="VMZ100" s="60" t="n"/>
      <c r="VNA100" s="60" t="n"/>
      <c r="VNB100" s="60" t="n"/>
      <c r="VNC100" s="60" t="n"/>
      <c r="VND100" s="60" t="n"/>
      <c r="VNE100" s="60" t="n"/>
      <c r="VNF100" s="60" t="n"/>
      <c r="VNG100" s="60" t="n"/>
      <c r="VNH100" s="60" t="n"/>
      <c r="VNI100" s="60" t="n"/>
      <c r="VNJ100" s="60" t="n"/>
      <c r="VNK100" s="60" t="n"/>
      <c r="VNL100" s="60" t="n"/>
      <c r="VNM100" s="60" t="n"/>
      <c r="VNN100" s="60" t="n"/>
      <c r="VNO100" s="60" t="n"/>
      <c r="VNP100" s="60" t="n"/>
      <c r="VNQ100" s="60" t="n"/>
      <c r="VNR100" s="60" t="n"/>
      <c r="VNS100" s="60" t="n"/>
      <c r="VNT100" s="60" t="n"/>
      <c r="VNU100" s="60" t="n"/>
      <c r="VNV100" s="60" t="n"/>
      <c r="VNW100" s="60" t="n"/>
      <c r="VNX100" s="60" t="n"/>
      <c r="VNY100" s="60" t="n"/>
      <c r="VNZ100" s="60" t="n"/>
      <c r="VOA100" s="60" t="n"/>
      <c r="VOB100" s="60" t="n"/>
      <c r="VOC100" s="60" t="n"/>
      <c r="VOD100" s="60" t="n"/>
      <c r="VOE100" s="60" t="n"/>
      <c r="VOF100" s="60" t="n"/>
      <c r="VOG100" s="60" t="n"/>
      <c r="VOH100" s="60" t="n"/>
      <c r="VOI100" s="60" t="n"/>
      <c r="VOJ100" s="60" t="n"/>
      <c r="VOK100" s="60" t="n"/>
      <c r="VOL100" s="60" t="n"/>
      <c r="VOM100" s="60" t="n"/>
      <c r="VON100" s="60" t="n"/>
      <c r="VOO100" s="60" t="n"/>
      <c r="VOP100" s="60" t="n"/>
      <c r="VOQ100" s="60" t="n"/>
      <c r="VOR100" s="60" t="n"/>
      <c r="VOS100" s="60" t="n"/>
      <c r="VOT100" s="60" t="n"/>
      <c r="VOU100" s="60" t="n"/>
      <c r="VOV100" s="60" t="n"/>
      <c r="VOW100" s="60" t="n"/>
      <c r="VOX100" s="60" t="n"/>
      <c r="VOY100" s="60" t="n"/>
      <c r="VOZ100" s="60" t="n"/>
      <c r="VPA100" s="60" t="n"/>
      <c r="VPB100" s="60" t="n"/>
      <c r="VPC100" s="60" t="n"/>
      <c r="VPD100" s="60" t="n"/>
      <c r="VPE100" s="60" t="n"/>
      <c r="VPF100" s="60" t="n"/>
      <c r="VPG100" s="60" t="n"/>
      <c r="VPH100" s="60" t="n"/>
      <c r="VPI100" s="60" t="n"/>
      <c r="VPJ100" s="60" t="n"/>
      <c r="VPK100" s="60" t="n"/>
      <c r="VPL100" s="60" t="n"/>
      <c r="VPM100" s="60" t="n"/>
      <c r="VPN100" s="60" t="n"/>
      <c r="VPO100" s="60" t="n"/>
      <c r="VPP100" s="60" t="n"/>
      <c r="VPQ100" s="60" t="n"/>
      <c r="VPR100" s="60" t="n"/>
      <c r="VPS100" s="60" t="n"/>
      <c r="VPT100" s="60" t="n"/>
      <c r="VPU100" s="60" t="n"/>
      <c r="VPV100" s="60" t="n"/>
      <c r="VPW100" s="60" t="n"/>
      <c r="VPX100" s="60" t="n"/>
      <c r="VPY100" s="60" t="n"/>
      <c r="VPZ100" s="60" t="n"/>
      <c r="VQA100" s="60" t="n"/>
      <c r="VQB100" s="60" t="n"/>
      <c r="VQC100" s="60" t="n"/>
      <c r="VQD100" s="60" t="n"/>
      <c r="VQE100" s="60" t="n"/>
      <c r="VQF100" s="60" t="n"/>
      <c r="VQG100" s="60" t="n"/>
      <c r="VQH100" s="60" t="n"/>
      <c r="VQI100" s="60" t="n"/>
      <c r="VQJ100" s="60" t="n"/>
      <c r="VQK100" s="60" t="n"/>
      <c r="VQL100" s="60" t="n"/>
      <c r="VQM100" s="60" t="n"/>
      <c r="VQN100" s="60" t="n"/>
      <c r="VQO100" s="60" t="n"/>
      <c r="VQP100" s="60" t="n"/>
      <c r="VQQ100" s="60" t="n"/>
      <c r="VQR100" s="60" t="n"/>
      <c r="VQS100" s="60" t="n"/>
      <c r="VQT100" s="60" t="n"/>
      <c r="VQU100" s="60" t="n"/>
      <c r="VQV100" s="60" t="n"/>
      <c r="VQW100" s="60" t="n"/>
      <c r="VQX100" s="60" t="n"/>
      <c r="VQY100" s="60" t="n"/>
      <c r="VQZ100" s="60" t="n"/>
      <c r="VRA100" s="60" t="n"/>
      <c r="VRB100" s="60" t="n"/>
      <c r="VRC100" s="60" t="n"/>
      <c r="VRD100" s="60" t="n"/>
      <c r="VRE100" s="60" t="n"/>
      <c r="VRF100" s="60" t="n"/>
      <c r="VRG100" s="60" t="n"/>
      <c r="VRH100" s="60" t="n"/>
      <c r="VRI100" s="60" t="n"/>
      <c r="VRJ100" s="60" t="n"/>
      <c r="VRK100" s="60" t="n"/>
      <c r="VRL100" s="60" t="n"/>
      <c r="VRM100" s="60" t="n"/>
      <c r="VRN100" s="60" t="n"/>
      <c r="VRO100" s="60" t="n"/>
      <c r="VRP100" s="60" t="n"/>
      <c r="VRQ100" s="60" t="n"/>
      <c r="VRR100" s="60" t="n"/>
      <c r="VRS100" s="60" t="n"/>
      <c r="VRT100" s="60" t="n"/>
      <c r="VRU100" s="60" t="n"/>
      <c r="VRV100" s="60" t="n"/>
      <c r="VRW100" s="60" t="n"/>
      <c r="VRX100" s="60" t="n"/>
      <c r="VRY100" s="60" t="n"/>
      <c r="VRZ100" s="60" t="n"/>
      <c r="VSA100" s="60" t="n"/>
      <c r="VSB100" s="60" t="n"/>
      <c r="VSC100" s="60" t="n"/>
      <c r="VSD100" s="60" t="n"/>
      <c r="VSE100" s="60" t="n"/>
      <c r="VSF100" s="60" t="n"/>
      <c r="VSG100" s="60" t="n"/>
      <c r="VSH100" s="60" t="n"/>
      <c r="VSI100" s="60" t="n"/>
      <c r="VSJ100" s="60" t="n"/>
      <c r="VSK100" s="60" t="n"/>
      <c r="VSL100" s="60" t="n"/>
      <c r="VSM100" s="60" t="n"/>
      <c r="VSN100" s="60" t="n"/>
      <c r="VSO100" s="60" t="n"/>
      <c r="VSP100" s="60" t="n"/>
      <c r="VSQ100" s="60" t="n"/>
      <c r="VSR100" s="60" t="n"/>
      <c r="VSS100" s="60" t="n"/>
      <c r="VST100" s="60" t="n"/>
      <c r="VSU100" s="60" t="n"/>
      <c r="VSV100" s="60" t="n"/>
      <c r="VSW100" s="60" t="n"/>
      <c r="VSX100" s="60" t="n"/>
      <c r="VSY100" s="60" t="n"/>
      <c r="VSZ100" s="60" t="n"/>
      <c r="VTA100" s="60" t="n"/>
      <c r="VTB100" s="60" t="n"/>
      <c r="VTC100" s="60" t="n"/>
      <c r="VTD100" s="60" t="n"/>
      <c r="VTE100" s="60" t="n"/>
      <c r="VTF100" s="60" t="n"/>
      <c r="VTG100" s="60" t="n"/>
      <c r="VTH100" s="60" t="n"/>
      <c r="VTI100" s="60" t="n"/>
      <c r="VTJ100" s="60" t="n"/>
      <c r="VTK100" s="60" t="n"/>
      <c r="VTL100" s="60" t="n"/>
      <c r="VTM100" s="60" t="n"/>
      <c r="VTN100" s="60" t="n"/>
      <c r="VTO100" s="60" t="n"/>
      <c r="VTP100" s="60" t="n"/>
      <c r="VTQ100" s="60" t="n"/>
      <c r="VTR100" s="60" t="n"/>
      <c r="VTS100" s="60" t="n"/>
      <c r="VTT100" s="60" t="n"/>
      <c r="VTU100" s="60" t="n"/>
      <c r="VTV100" s="60" t="n"/>
      <c r="VTW100" s="60" t="n"/>
      <c r="VTX100" s="60" t="n"/>
      <c r="VTY100" s="60" t="n"/>
      <c r="VTZ100" s="60" t="n"/>
      <c r="VUA100" s="60" t="n"/>
      <c r="VUB100" s="60" t="n"/>
      <c r="VUC100" s="60" t="n"/>
      <c r="VUD100" s="60" t="n"/>
      <c r="VUE100" s="60" t="n"/>
      <c r="VUF100" s="60" t="n"/>
      <c r="VUG100" s="60" t="n"/>
      <c r="VUH100" s="60" t="n"/>
      <c r="VUI100" s="60" t="n"/>
      <c r="VUJ100" s="60" t="n"/>
      <c r="VUK100" s="60" t="n"/>
      <c r="VUL100" s="60" t="n"/>
      <c r="VUM100" s="60" t="n"/>
      <c r="VUN100" s="60" t="n"/>
      <c r="VUO100" s="60" t="n"/>
      <c r="VUP100" s="60" t="n"/>
      <c r="VUQ100" s="60" t="n"/>
      <c r="VUR100" s="60" t="n"/>
      <c r="VUS100" s="60" t="n"/>
      <c r="VUT100" s="60" t="n"/>
      <c r="VUU100" s="60" t="n"/>
      <c r="VUV100" s="60" t="n"/>
      <c r="VUW100" s="60" t="n"/>
      <c r="VUX100" s="60" t="n"/>
      <c r="VUY100" s="60" t="n"/>
      <c r="VUZ100" s="60" t="n"/>
      <c r="VVA100" s="60" t="n"/>
      <c r="VVB100" s="60" t="n"/>
      <c r="VVC100" s="60" t="n"/>
      <c r="VVD100" s="60" t="n"/>
      <c r="VVE100" s="60" t="n"/>
      <c r="VVF100" s="60" t="n"/>
      <c r="VVG100" s="60" t="n"/>
      <c r="VVH100" s="60" t="n"/>
      <c r="VVI100" s="60" t="n"/>
      <c r="VVJ100" s="60" t="n"/>
      <c r="VVK100" s="60" t="n"/>
      <c r="VVL100" s="60" t="n"/>
      <c r="VVM100" s="60" t="n"/>
      <c r="VVN100" s="60" t="n"/>
      <c r="VVO100" s="60" t="n"/>
      <c r="VVP100" s="60" t="n"/>
      <c r="VVQ100" s="60" t="n"/>
      <c r="VVR100" s="60" t="n"/>
      <c r="VVS100" s="60" t="n"/>
      <c r="VVT100" s="60" t="n"/>
      <c r="VVU100" s="60" t="n"/>
      <c r="VVV100" s="60" t="n"/>
      <c r="VVW100" s="60" t="n"/>
      <c r="VVX100" s="60" t="n"/>
      <c r="VVY100" s="60" t="n"/>
      <c r="VVZ100" s="60" t="n"/>
      <c r="VWA100" s="60" t="n"/>
      <c r="VWB100" s="60" t="n"/>
      <c r="VWC100" s="60" t="n"/>
      <c r="VWD100" s="60" t="n"/>
      <c r="VWE100" s="60" t="n"/>
      <c r="VWF100" s="60" t="n"/>
      <c r="VWG100" s="60" t="n"/>
      <c r="VWH100" s="60" t="n"/>
      <c r="VWI100" s="60" t="n"/>
      <c r="VWJ100" s="60" t="n"/>
      <c r="VWK100" s="60" t="n"/>
      <c r="VWL100" s="60" t="n"/>
      <c r="VWM100" s="60" t="n"/>
      <c r="VWN100" s="60" t="n"/>
      <c r="VWO100" s="60" t="n"/>
      <c r="VWP100" s="60" t="n"/>
      <c r="VWQ100" s="60" t="n"/>
      <c r="VWR100" s="60" t="n"/>
      <c r="VWS100" s="60" t="n"/>
      <c r="VWT100" s="60" t="n"/>
      <c r="VWU100" s="60" t="n"/>
      <c r="VWV100" s="60" t="n"/>
      <c r="VWW100" s="60" t="n"/>
      <c r="VWX100" s="60" t="n"/>
      <c r="VWY100" s="60" t="n"/>
      <c r="VWZ100" s="60" t="n"/>
      <c r="VXA100" s="60" t="n"/>
      <c r="VXB100" s="60" t="n"/>
      <c r="VXC100" s="60" t="n"/>
      <c r="VXD100" s="60" t="n"/>
      <c r="VXE100" s="60" t="n"/>
      <c r="VXF100" s="60" t="n"/>
      <c r="VXG100" s="60" t="n"/>
      <c r="VXH100" s="60" t="n"/>
      <c r="VXI100" s="60" t="n"/>
      <c r="VXJ100" s="60" t="n"/>
      <c r="VXK100" s="60" t="n"/>
      <c r="VXL100" s="60" t="n"/>
      <c r="VXM100" s="60" t="n"/>
      <c r="VXN100" s="60" t="n"/>
      <c r="VXO100" s="60" t="n"/>
      <c r="VXP100" s="60" t="n"/>
      <c r="VXQ100" s="60" t="n"/>
      <c r="VXR100" s="60" t="n"/>
      <c r="VXS100" s="60" t="n"/>
      <c r="VXT100" s="60" t="n"/>
      <c r="VXU100" s="60" t="n"/>
      <c r="VXV100" s="60" t="n"/>
      <c r="VXW100" s="60" t="n"/>
      <c r="VXX100" s="60" t="n"/>
      <c r="VXY100" s="60" t="n"/>
      <c r="VXZ100" s="60" t="n"/>
      <c r="VYA100" s="60" t="n"/>
      <c r="VYB100" s="60" t="n"/>
      <c r="VYC100" s="60" t="n"/>
      <c r="VYD100" s="60" t="n"/>
      <c r="VYE100" s="60" t="n"/>
      <c r="VYF100" s="60" t="n"/>
      <c r="VYG100" s="60" t="n"/>
      <c r="VYH100" s="60" t="n"/>
      <c r="VYI100" s="60" t="n"/>
      <c r="VYJ100" s="60" t="n"/>
      <c r="VYK100" s="60" t="n"/>
      <c r="VYL100" s="60" t="n"/>
      <c r="VYM100" s="60" t="n"/>
      <c r="VYN100" s="60" t="n"/>
      <c r="VYO100" s="60" t="n"/>
      <c r="VYP100" s="60" t="n"/>
      <c r="VYQ100" s="60" t="n"/>
      <c r="VYR100" s="60" t="n"/>
      <c r="VYS100" s="60" t="n"/>
      <c r="VYT100" s="60" t="n"/>
      <c r="VYU100" s="60" t="n"/>
      <c r="VYV100" s="60" t="n"/>
      <c r="VYW100" s="60" t="n"/>
      <c r="VYX100" s="60" t="n"/>
      <c r="VYY100" s="60" t="n"/>
      <c r="VYZ100" s="60" t="n"/>
      <c r="VZA100" s="60" t="n"/>
      <c r="VZB100" s="60" t="n"/>
      <c r="VZC100" s="60" t="n"/>
      <c r="VZD100" s="60" t="n"/>
      <c r="VZE100" s="60" t="n"/>
      <c r="VZF100" s="60" t="n"/>
      <c r="VZG100" s="60" t="n"/>
      <c r="VZH100" s="60" t="n"/>
      <c r="VZI100" s="60" t="n"/>
      <c r="VZJ100" s="60" t="n"/>
      <c r="VZK100" s="60" t="n"/>
      <c r="VZL100" s="60" t="n"/>
      <c r="VZM100" s="60" t="n"/>
      <c r="VZN100" s="60" t="n"/>
      <c r="VZO100" s="60" t="n"/>
      <c r="VZP100" s="60" t="n"/>
      <c r="VZQ100" s="60" t="n"/>
      <c r="VZR100" s="60" t="n"/>
      <c r="VZS100" s="60" t="n"/>
      <c r="VZT100" s="60" t="n"/>
      <c r="VZU100" s="60" t="n"/>
      <c r="VZV100" s="60" t="n"/>
      <c r="VZW100" s="60" t="n"/>
      <c r="VZX100" s="60" t="n"/>
      <c r="VZY100" s="60" t="n"/>
      <c r="VZZ100" s="60" t="n"/>
      <c r="WAA100" s="60" t="n"/>
      <c r="WAB100" s="60" t="n"/>
      <c r="WAC100" s="60" t="n"/>
      <c r="WAD100" s="60" t="n"/>
      <c r="WAE100" s="60" t="n"/>
      <c r="WAF100" s="60" t="n"/>
      <c r="WAG100" s="60" t="n"/>
      <c r="WAH100" s="60" t="n"/>
      <c r="WAI100" s="60" t="n"/>
      <c r="WAJ100" s="60" t="n"/>
      <c r="WAK100" s="60" t="n"/>
      <c r="WAL100" s="60" t="n"/>
      <c r="WAM100" s="60" t="n"/>
      <c r="WAN100" s="60" t="n"/>
      <c r="WAO100" s="60" t="n"/>
      <c r="WAP100" s="60" t="n"/>
      <c r="WAQ100" s="60" t="n"/>
      <c r="WAR100" s="60" t="n"/>
      <c r="WAS100" s="60" t="n"/>
      <c r="WAT100" s="60" t="n"/>
      <c r="WAU100" s="60" t="n"/>
      <c r="WAV100" s="60" t="n"/>
      <c r="WAW100" s="60" t="n"/>
      <c r="WAX100" s="60" t="n"/>
      <c r="WAY100" s="60" t="n"/>
      <c r="WAZ100" s="60" t="n"/>
      <c r="WBA100" s="60" t="n"/>
      <c r="WBB100" s="60" t="n"/>
      <c r="WBC100" s="60" t="n"/>
      <c r="WBD100" s="60" t="n"/>
      <c r="WBE100" s="60" t="n"/>
      <c r="WBF100" s="60" t="n"/>
      <c r="WBG100" s="60" t="n"/>
      <c r="WBH100" s="60" t="n"/>
      <c r="WBI100" s="60" t="n"/>
      <c r="WBJ100" s="60" t="n"/>
      <c r="WBK100" s="60" t="n"/>
      <c r="WBL100" s="60" t="n"/>
      <c r="WBM100" s="60" t="n"/>
      <c r="WBN100" s="60" t="n"/>
      <c r="WBO100" s="60" t="n"/>
      <c r="WBP100" s="60" t="n"/>
      <c r="WBQ100" s="60" t="n"/>
      <c r="WBR100" s="60" t="n"/>
      <c r="WBS100" s="60" t="n"/>
      <c r="WBT100" s="60" t="n"/>
      <c r="WBU100" s="60" t="n"/>
      <c r="WBV100" s="60" t="n"/>
      <c r="WBW100" s="60" t="n"/>
      <c r="WBX100" s="60" t="n"/>
      <c r="WBY100" s="60" t="n"/>
      <c r="WBZ100" s="60" t="n"/>
      <c r="WCA100" s="60" t="n"/>
      <c r="WCB100" s="60" t="n"/>
      <c r="WCC100" s="60" t="n"/>
      <c r="WCD100" s="60" t="n"/>
      <c r="WCE100" s="60" t="n"/>
      <c r="WCF100" s="60" t="n"/>
      <c r="WCG100" s="60" t="n"/>
      <c r="WCH100" s="60" t="n"/>
      <c r="WCI100" s="60" t="n"/>
      <c r="WCJ100" s="60" t="n"/>
      <c r="WCK100" s="60" t="n"/>
      <c r="WCL100" s="60" t="n"/>
      <c r="WCM100" s="60" t="n"/>
      <c r="WCN100" s="60" t="n"/>
      <c r="WCO100" s="60" t="n"/>
      <c r="WCP100" s="60" t="n"/>
      <c r="WCQ100" s="60" t="n"/>
      <c r="WCR100" s="60" t="n"/>
      <c r="WCS100" s="60" t="n"/>
      <c r="WCT100" s="60" t="n"/>
      <c r="WCU100" s="60" t="n"/>
      <c r="WCV100" s="60" t="n"/>
      <c r="WCW100" s="60" t="n"/>
      <c r="WCX100" s="60" t="n"/>
      <c r="WCY100" s="60" t="n"/>
      <c r="WCZ100" s="60" t="n"/>
      <c r="WDA100" s="60" t="n"/>
      <c r="WDB100" s="60" t="n"/>
      <c r="WDC100" s="60" t="n"/>
      <c r="WDD100" s="60" t="n"/>
      <c r="WDE100" s="60" t="n"/>
      <c r="WDF100" s="60" t="n"/>
      <c r="WDG100" s="60" t="n"/>
      <c r="WDH100" s="60" t="n"/>
      <c r="WDI100" s="60" t="n"/>
      <c r="WDJ100" s="60" t="n"/>
      <c r="WDK100" s="60" t="n"/>
      <c r="WDL100" s="60" t="n"/>
      <c r="WDM100" s="60" t="n"/>
      <c r="WDN100" s="60" t="n"/>
      <c r="WDO100" s="60" t="n"/>
      <c r="WDP100" s="60" t="n"/>
      <c r="WDQ100" s="60" t="n"/>
      <c r="WDR100" s="60" t="n"/>
      <c r="WDS100" s="60" t="n"/>
      <c r="WDT100" s="60" t="n"/>
      <c r="WDU100" s="60" t="n"/>
      <c r="WDV100" s="60" t="n"/>
      <c r="WDW100" s="60" t="n"/>
      <c r="WDX100" s="60" t="n"/>
      <c r="WDY100" s="60" t="n"/>
      <c r="WDZ100" s="60" t="n"/>
      <c r="WEA100" s="60" t="n"/>
      <c r="WEB100" s="60" t="n"/>
      <c r="WEC100" s="60" t="n"/>
      <c r="WED100" s="60" t="n"/>
      <c r="WEE100" s="60" t="n"/>
      <c r="WEF100" s="60" t="n"/>
      <c r="WEG100" s="60" t="n"/>
      <c r="WEH100" s="60" t="n"/>
      <c r="WEI100" s="60" t="n"/>
      <c r="WEJ100" s="60" t="n"/>
      <c r="WEK100" s="60" t="n"/>
      <c r="WEL100" s="60" t="n"/>
      <c r="WEM100" s="60" t="n"/>
      <c r="WEN100" s="60" t="n"/>
      <c r="WEO100" s="60" t="n"/>
      <c r="WEP100" s="60" t="n"/>
      <c r="WEQ100" s="60" t="n"/>
      <c r="WER100" s="60" t="n"/>
      <c r="WES100" s="60" t="n"/>
      <c r="WET100" s="60" t="n"/>
      <c r="WEU100" s="60" t="n"/>
      <c r="WEV100" s="60" t="n"/>
      <c r="WEW100" s="60" t="n"/>
      <c r="WEX100" s="60" t="n"/>
      <c r="WEY100" s="60" t="n"/>
      <c r="WEZ100" s="60" t="n"/>
      <c r="WFA100" s="60" t="n"/>
      <c r="WFB100" s="60" t="n"/>
      <c r="WFC100" s="60" t="n"/>
      <c r="WFD100" s="60" t="n"/>
      <c r="WFE100" s="60" t="n"/>
      <c r="WFF100" s="60" t="n"/>
      <c r="WFG100" s="60" t="n"/>
      <c r="WFH100" s="60" t="n"/>
      <c r="WFI100" s="60" t="n"/>
      <c r="WFJ100" s="60" t="n"/>
      <c r="WFK100" s="60" t="n"/>
      <c r="WFL100" s="60" t="n"/>
      <c r="WFM100" s="60" t="n"/>
      <c r="WFN100" s="60" t="n"/>
      <c r="WFO100" s="60" t="n"/>
      <c r="WFP100" s="60" t="n"/>
      <c r="WFQ100" s="60" t="n"/>
      <c r="WFR100" s="60" t="n"/>
      <c r="WFS100" s="60" t="n"/>
      <c r="WFT100" s="60" t="n"/>
      <c r="WFU100" s="60" t="n"/>
      <c r="WFV100" s="60" t="n"/>
      <c r="WFW100" s="60" t="n"/>
      <c r="WFX100" s="60" t="n"/>
      <c r="WFY100" s="60" t="n"/>
      <c r="WFZ100" s="60" t="n"/>
      <c r="WGA100" s="60" t="n"/>
      <c r="WGB100" s="60" t="n"/>
      <c r="WGC100" s="60" t="n"/>
      <c r="WGD100" s="60" t="n"/>
      <c r="WGE100" s="60" t="n"/>
      <c r="WGF100" s="60" t="n"/>
      <c r="WGG100" s="60" t="n"/>
      <c r="WGH100" s="60" t="n"/>
      <c r="WGI100" s="60" t="n"/>
      <c r="WGJ100" s="60" t="n"/>
      <c r="WGK100" s="60" t="n"/>
      <c r="WGL100" s="60" t="n"/>
      <c r="WGM100" s="60" t="n"/>
      <c r="WGN100" s="60" t="n"/>
      <c r="WGO100" s="60" t="n"/>
      <c r="WGP100" s="60" t="n"/>
      <c r="WGQ100" s="60" t="n"/>
      <c r="WGR100" s="60" t="n"/>
      <c r="WGS100" s="60" t="n"/>
      <c r="WGT100" s="60" t="n"/>
      <c r="WGU100" s="60" t="n"/>
      <c r="WGV100" s="60" t="n"/>
      <c r="WGW100" s="60" t="n"/>
      <c r="WGX100" s="60" t="n"/>
      <c r="WGY100" s="60" t="n"/>
      <c r="WGZ100" s="60" t="n"/>
      <c r="WHA100" s="60" t="n"/>
      <c r="WHB100" s="60" t="n"/>
      <c r="WHC100" s="60" t="n"/>
      <c r="WHD100" s="60" t="n"/>
      <c r="WHE100" s="60" t="n"/>
      <c r="WHF100" s="60" t="n"/>
      <c r="WHG100" s="60" t="n"/>
      <c r="WHH100" s="60" t="n"/>
      <c r="WHI100" s="60" t="n"/>
      <c r="WHJ100" s="60" t="n"/>
      <c r="WHK100" s="60" t="n"/>
      <c r="WHL100" s="60" t="n"/>
      <c r="WHM100" s="60" t="n"/>
      <c r="WHN100" s="60" t="n"/>
      <c r="WHO100" s="60" t="n"/>
      <c r="WHP100" s="60" t="n"/>
      <c r="WHQ100" s="60" t="n"/>
      <c r="WHR100" s="60" t="n"/>
      <c r="WHS100" s="60" t="n"/>
      <c r="WHT100" s="60" t="n"/>
      <c r="WHU100" s="60" t="n"/>
      <c r="WHV100" s="60" t="n"/>
      <c r="WHW100" s="60" t="n"/>
      <c r="WHX100" s="60" t="n"/>
      <c r="WHY100" s="60" t="n"/>
      <c r="WHZ100" s="60" t="n"/>
      <c r="WIA100" s="60" t="n"/>
      <c r="WIB100" s="60" t="n"/>
      <c r="WIC100" s="60" t="n"/>
      <c r="WID100" s="60" t="n"/>
      <c r="WIE100" s="60" t="n"/>
      <c r="WIF100" s="60" t="n"/>
      <c r="WIG100" s="60" t="n"/>
      <c r="WIH100" s="60" t="n"/>
      <c r="WII100" s="60" t="n"/>
      <c r="WIJ100" s="60" t="n"/>
      <c r="WIK100" s="60" t="n"/>
      <c r="WIL100" s="60" t="n"/>
      <c r="WIM100" s="60" t="n"/>
      <c r="WIN100" s="60" t="n"/>
      <c r="WIO100" s="60" t="n"/>
      <c r="WIP100" s="60" t="n"/>
      <c r="WIQ100" s="60" t="n"/>
      <c r="WIR100" s="60" t="n"/>
      <c r="WIS100" s="60" t="n"/>
      <c r="WIT100" s="60" t="n"/>
      <c r="WIU100" s="60" t="n"/>
      <c r="WIV100" s="60" t="n"/>
      <c r="WIW100" s="60" t="n"/>
      <c r="WIX100" s="60" t="n"/>
      <c r="WIY100" s="60" t="n"/>
      <c r="WIZ100" s="60" t="n"/>
      <c r="WJA100" s="60" t="n"/>
      <c r="WJB100" s="60" t="n"/>
      <c r="WJC100" s="60" t="n"/>
      <c r="WJD100" s="60" t="n"/>
      <c r="WJE100" s="60" t="n"/>
      <c r="WJF100" s="60" t="n"/>
      <c r="WJG100" s="60" t="n"/>
      <c r="WJH100" s="60" t="n"/>
      <c r="WJI100" s="60" t="n"/>
      <c r="WJJ100" s="60" t="n"/>
      <c r="WJK100" s="60" t="n"/>
      <c r="WJL100" s="60" t="n"/>
      <c r="WJM100" s="60" t="n"/>
      <c r="WJN100" s="60" t="n"/>
      <c r="WJO100" s="60" t="n"/>
      <c r="WJP100" s="60" t="n"/>
      <c r="WJQ100" s="60" t="n"/>
      <c r="WJR100" s="60" t="n"/>
      <c r="WJS100" s="60" t="n"/>
      <c r="WJT100" s="60" t="n"/>
      <c r="WJU100" s="60" t="n"/>
      <c r="WJV100" s="60" t="n"/>
      <c r="WJW100" s="60" t="n"/>
      <c r="WJX100" s="60" t="n"/>
      <c r="WJY100" s="60" t="n"/>
      <c r="WJZ100" s="60" t="n"/>
      <c r="WKA100" s="60" t="n"/>
      <c r="WKB100" s="60" t="n"/>
      <c r="WKC100" s="60" t="n"/>
      <c r="WKD100" s="60" t="n"/>
      <c r="WKE100" s="60" t="n"/>
      <c r="WKF100" s="60" t="n"/>
      <c r="WKG100" s="60" t="n"/>
      <c r="WKH100" s="60" t="n"/>
      <c r="WKI100" s="60" t="n"/>
      <c r="WKJ100" s="60" t="n"/>
      <c r="WKK100" s="60" t="n"/>
      <c r="WKL100" s="60" t="n"/>
      <c r="WKM100" s="60" t="n"/>
      <c r="WKN100" s="60" t="n"/>
      <c r="WKO100" s="60" t="n"/>
      <c r="WKP100" s="60" t="n"/>
      <c r="WKQ100" s="60" t="n"/>
      <c r="WKR100" s="60" t="n"/>
      <c r="WKS100" s="60" t="n"/>
      <c r="WKT100" s="60" t="n"/>
      <c r="WKU100" s="60" t="n"/>
      <c r="WKV100" s="60" t="n"/>
      <c r="WKW100" s="60" t="n"/>
      <c r="WKX100" s="60" t="n"/>
      <c r="WKY100" s="60" t="n"/>
      <c r="WKZ100" s="60" t="n"/>
      <c r="WLA100" s="60" t="n"/>
      <c r="WLB100" s="60" t="n"/>
      <c r="WLC100" s="60" t="n"/>
      <c r="WLD100" s="60" t="n"/>
      <c r="WLE100" s="60" t="n"/>
      <c r="WLF100" s="60" t="n"/>
      <c r="WLG100" s="60" t="n"/>
      <c r="WLH100" s="60" t="n"/>
      <c r="WLI100" s="60" t="n"/>
      <c r="WLJ100" s="60" t="n"/>
      <c r="WLK100" s="60" t="n"/>
      <c r="WLL100" s="60" t="n"/>
      <c r="WLM100" s="60" t="n"/>
      <c r="WLN100" s="60" t="n"/>
      <c r="WLO100" s="60" t="n"/>
      <c r="WLP100" s="60" t="n"/>
      <c r="WLQ100" s="60" t="n"/>
      <c r="WLR100" s="60" t="n"/>
      <c r="WLS100" s="60" t="n"/>
      <c r="WLT100" s="60" t="n"/>
      <c r="WLU100" s="60" t="n"/>
      <c r="WLV100" s="60" t="n"/>
      <c r="WLW100" s="60" t="n"/>
      <c r="WLX100" s="60" t="n"/>
      <c r="WLY100" s="60" t="n"/>
      <c r="WLZ100" s="60" t="n"/>
      <c r="WMA100" s="60" t="n"/>
      <c r="WMB100" s="60" t="n"/>
      <c r="WMC100" s="60" t="n"/>
      <c r="WMD100" s="60" t="n"/>
      <c r="WME100" s="60" t="n"/>
      <c r="WMF100" s="60" t="n"/>
      <c r="WMG100" s="60" t="n"/>
      <c r="WMH100" s="60" t="n"/>
      <c r="WMI100" s="60" t="n"/>
      <c r="WMJ100" s="60" t="n"/>
      <c r="WMK100" s="60" t="n"/>
      <c r="WML100" s="60" t="n"/>
      <c r="WMM100" s="60" t="n"/>
      <c r="WMN100" s="60" t="n"/>
      <c r="WMO100" s="60" t="n"/>
      <c r="WMP100" s="60" t="n"/>
      <c r="WMQ100" s="60" t="n"/>
      <c r="WMR100" s="60" t="n"/>
      <c r="WMS100" s="60" t="n"/>
      <c r="WMT100" s="60" t="n"/>
      <c r="WMU100" s="60" t="n"/>
      <c r="WMV100" s="60" t="n"/>
      <c r="WMW100" s="60" t="n"/>
      <c r="WMX100" s="60" t="n"/>
      <c r="WMY100" s="60" t="n"/>
      <c r="WMZ100" s="60" t="n"/>
      <c r="WNA100" s="60" t="n"/>
      <c r="WNB100" s="60" t="n"/>
      <c r="WNC100" s="60" t="n"/>
      <c r="WND100" s="60" t="n"/>
      <c r="WNE100" s="60" t="n"/>
      <c r="WNF100" s="60" t="n"/>
      <c r="WNG100" s="60" t="n"/>
      <c r="WNH100" s="60" t="n"/>
      <c r="WNI100" s="60" t="n"/>
      <c r="WNJ100" s="60" t="n"/>
      <c r="WNK100" s="60" t="n"/>
      <c r="WNL100" s="60" t="n"/>
      <c r="WNM100" s="60" t="n"/>
      <c r="WNN100" s="60" t="n"/>
      <c r="WNO100" s="60" t="n"/>
      <c r="WNP100" s="60" t="n"/>
      <c r="WNQ100" s="60" t="n"/>
      <c r="WNR100" s="60" t="n"/>
      <c r="WNS100" s="60" t="n"/>
      <c r="WNT100" s="60" t="n"/>
      <c r="WNU100" s="60" t="n"/>
      <c r="WNV100" s="60" t="n"/>
      <c r="WNW100" s="60" t="n"/>
      <c r="WNX100" s="60" t="n"/>
      <c r="WNY100" s="60" t="n"/>
      <c r="WNZ100" s="60" t="n"/>
      <c r="WOA100" s="60" t="n"/>
      <c r="WOB100" s="60" t="n"/>
      <c r="WOC100" s="60" t="n"/>
      <c r="WOD100" s="60" t="n"/>
      <c r="WOE100" s="60" t="n"/>
      <c r="WOF100" s="60" t="n"/>
      <c r="WOG100" s="60" t="n"/>
      <c r="WOH100" s="60" t="n"/>
      <c r="WOI100" s="60" t="n"/>
      <c r="WOJ100" s="60" t="n"/>
      <c r="WOK100" s="60" t="n"/>
      <c r="WOL100" s="60" t="n"/>
      <c r="WOM100" s="60" t="n"/>
      <c r="WON100" s="60" t="n"/>
      <c r="WOO100" s="60" t="n"/>
      <c r="WOP100" s="60" t="n"/>
      <c r="WOQ100" s="60" t="n"/>
      <c r="WOR100" s="60" t="n"/>
      <c r="WOS100" s="60" t="n"/>
      <c r="WOT100" s="60" t="n"/>
      <c r="WOU100" s="60" t="n"/>
      <c r="WOV100" s="60" t="n"/>
      <c r="WOW100" s="60" t="n"/>
      <c r="WOX100" s="60" t="n"/>
      <c r="WOY100" s="60" t="n"/>
      <c r="WOZ100" s="60" t="n"/>
      <c r="WPA100" s="60" t="n"/>
      <c r="WPB100" s="60" t="n"/>
      <c r="WPC100" s="60" t="n"/>
      <c r="WPD100" s="60" t="n"/>
      <c r="WPE100" s="60" t="n"/>
      <c r="WPF100" s="60" t="n"/>
      <c r="WPG100" s="60" t="n"/>
      <c r="WPH100" s="60" t="n"/>
      <c r="WPI100" s="60" t="n"/>
      <c r="WPJ100" s="60" t="n"/>
      <c r="WPK100" s="60" t="n"/>
      <c r="WPL100" s="60" t="n"/>
      <c r="WPM100" s="60" t="n"/>
      <c r="WPN100" s="60" t="n"/>
      <c r="WPO100" s="60" t="n"/>
      <c r="WPP100" s="60" t="n"/>
      <c r="WPQ100" s="60" t="n"/>
      <c r="WPR100" s="60" t="n"/>
      <c r="WPS100" s="60" t="n"/>
      <c r="WPT100" s="60" t="n"/>
      <c r="WPU100" s="60" t="n"/>
      <c r="WPV100" s="60" t="n"/>
      <c r="WPW100" s="60" t="n"/>
      <c r="WPX100" s="60" t="n"/>
      <c r="WPY100" s="60" t="n"/>
      <c r="WPZ100" s="60" t="n"/>
      <c r="WQA100" s="60" t="n"/>
      <c r="WQB100" s="60" t="n"/>
      <c r="WQC100" s="60" t="n"/>
      <c r="WQD100" s="60" t="n"/>
      <c r="WQE100" s="60" t="n"/>
      <c r="WQF100" s="60" t="n"/>
      <c r="WQG100" s="60" t="n"/>
      <c r="WQH100" s="60" t="n"/>
      <c r="WQI100" s="60" t="n"/>
      <c r="WQJ100" s="60" t="n"/>
      <c r="WQK100" s="60" t="n"/>
      <c r="WQL100" s="60" t="n"/>
      <c r="WQM100" s="60" t="n"/>
      <c r="WQN100" s="60" t="n"/>
      <c r="WQO100" s="60" t="n"/>
      <c r="WQP100" s="60" t="n"/>
      <c r="WQQ100" s="60" t="n"/>
      <c r="WQR100" s="60" t="n"/>
      <c r="WQS100" s="60" t="n"/>
      <c r="WQT100" s="60" t="n"/>
      <c r="WQU100" s="60" t="n"/>
      <c r="WQV100" s="60" t="n"/>
      <c r="WQW100" s="60" t="n"/>
      <c r="WQX100" s="60" t="n"/>
      <c r="WQY100" s="60" t="n"/>
      <c r="WQZ100" s="60" t="n"/>
      <c r="WRA100" s="60" t="n"/>
      <c r="WRB100" s="60" t="n"/>
      <c r="WRC100" s="60" t="n"/>
      <c r="WRD100" s="60" t="n"/>
      <c r="WRE100" s="60" t="n"/>
      <c r="WRF100" s="60" t="n"/>
      <c r="WRG100" s="60" t="n"/>
      <c r="WRH100" s="60" t="n"/>
      <c r="WRI100" s="60" t="n"/>
      <c r="WRJ100" s="60" t="n"/>
      <c r="WRK100" s="60" t="n"/>
      <c r="WRL100" s="60" t="n"/>
      <c r="WRM100" s="60" t="n"/>
      <c r="WRN100" s="60" t="n"/>
      <c r="WRO100" s="60" t="n"/>
      <c r="WRP100" s="60" t="n"/>
      <c r="WRQ100" s="60" t="n"/>
      <c r="WRR100" s="60" t="n"/>
      <c r="WRS100" s="60" t="n"/>
      <c r="WRT100" s="60" t="n"/>
      <c r="WRU100" s="60" t="n"/>
      <c r="WRV100" s="60" t="n"/>
      <c r="WRW100" s="60" t="n"/>
      <c r="WRX100" s="60" t="n"/>
      <c r="WRY100" s="60" t="n"/>
      <c r="WRZ100" s="60" t="n"/>
      <c r="WSA100" s="60" t="n"/>
      <c r="WSB100" s="60" t="n"/>
      <c r="WSC100" s="60" t="n"/>
      <c r="WSD100" s="60" t="n"/>
      <c r="WSE100" s="60" t="n"/>
      <c r="WSF100" s="60" t="n"/>
      <c r="WSG100" s="60" t="n"/>
      <c r="WSH100" s="60" t="n"/>
      <c r="WSI100" s="60" t="n"/>
      <c r="WSJ100" s="60" t="n"/>
      <c r="WSK100" s="60" t="n"/>
      <c r="WSL100" s="60" t="n"/>
      <c r="WSM100" s="60" t="n"/>
      <c r="WSN100" s="60" t="n"/>
      <c r="WSO100" s="60" t="n"/>
      <c r="WSP100" s="60" t="n"/>
      <c r="WSQ100" s="60" t="n"/>
      <c r="WSR100" s="60" t="n"/>
      <c r="WSS100" s="60" t="n"/>
      <c r="WST100" s="60" t="n"/>
      <c r="WSU100" s="60" t="n"/>
      <c r="WSV100" s="60" t="n"/>
      <c r="WSW100" s="60" t="n"/>
      <c r="WSX100" s="60" t="n"/>
      <c r="WSY100" s="60" t="n"/>
      <c r="WSZ100" s="60" t="n"/>
      <c r="WTA100" s="60" t="n"/>
      <c r="WTB100" s="60" t="n"/>
      <c r="WTC100" s="60" t="n"/>
      <c r="WTD100" s="60" t="n"/>
      <c r="WTE100" s="60" t="n"/>
      <c r="WTF100" s="60" t="n"/>
      <c r="WTG100" s="60" t="n"/>
      <c r="WTH100" s="60" t="n"/>
      <c r="WTI100" s="60" t="n"/>
      <c r="WTJ100" s="60" t="n"/>
      <c r="WTK100" s="60" t="n"/>
      <c r="WTL100" s="60" t="n"/>
      <c r="WTM100" s="60" t="n"/>
      <c r="WTN100" s="60" t="n"/>
      <c r="WTO100" s="60" t="n"/>
      <c r="WTP100" s="60" t="n"/>
      <c r="WTQ100" s="60" t="n"/>
      <c r="WTR100" s="60" t="n"/>
      <c r="WTS100" s="60" t="n"/>
      <c r="WTT100" s="60" t="n"/>
      <c r="WTU100" s="60" t="n"/>
      <c r="WTV100" s="60" t="n"/>
      <c r="WTW100" s="60" t="n"/>
      <c r="WTX100" s="60" t="n"/>
      <c r="WTY100" s="60" t="n"/>
      <c r="WTZ100" s="60" t="n"/>
      <c r="WUA100" s="60" t="n"/>
      <c r="WUB100" s="60" t="n"/>
      <c r="WUC100" s="60" t="n"/>
      <c r="WUD100" s="60" t="n"/>
      <c r="WUE100" s="60" t="n"/>
      <c r="WUF100" s="60" t="n"/>
      <c r="WUG100" s="60" t="n"/>
      <c r="WUH100" s="60" t="n"/>
      <c r="WUI100" s="60" t="n"/>
      <c r="WUJ100" s="60" t="n"/>
      <c r="WUK100" s="60" t="n"/>
      <c r="WUL100" s="60" t="n"/>
      <c r="WUM100" s="60" t="n"/>
      <c r="WUN100" s="60" t="n"/>
      <c r="WUO100" s="60" t="n"/>
      <c r="WUP100" s="60" t="n"/>
      <c r="WUQ100" s="60" t="n"/>
      <c r="WUR100" s="60" t="n"/>
      <c r="WUS100" s="60" t="n"/>
      <c r="WUT100" s="60" t="n"/>
      <c r="WUU100" s="60" t="n"/>
      <c r="WUV100" s="60" t="n"/>
      <c r="WUW100" s="60" t="n"/>
      <c r="WUX100" s="60" t="n"/>
      <c r="WUY100" s="60" t="n"/>
      <c r="WUZ100" s="60" t="n"/>
      <c r="WVA100" s="60" t="n"/>
      <c r="WVB100" s="60" t="n"/>
      <c r="WVC100" s="60" t="n"/>
      <c r="WVD100" s="60" t="n"/>
      <c r="WVE100" s="60" t="n"/>
      <c r="WVF100" s="60" t="n"/>
      <c r="WVG100" s="60" t="n"/>
      <c r="WVH100" s="60" t="n"/>
      <c r="WVI100" s="60" t="n"/>
      <c r="WVJ100" s="60" t="n"/>
      <c r="WVK100" s="60" t="n"/>
      <c r="WVL100" s="60" t="n"/>
      <c r="WVM100" s="60" t="n"/>
      <c r="WVN100" s="60" t="n"/>
      <c r="WVO100" s="60" t="n"/>
      <c r="WVP100" s="60" t="n"/>
      <c r="WVQ100" s="60" t="n"/>
      <c r="WVR100" s="60" t="n"/>
      <c r="WVS100" s="60" t="n"/>
      <c r="WVT100" s="60" t="n"/>
      <c r="WVU100" s="60" t="n"/>
      <c r="WVV100" s="60" t="n"/>
      <c r="WVW100" s="60" t="n"/>
      <c r="WVX100" s="60" t="n"/>
      <c r="WVY100" s="60" t="n"/>
      <c r="WVZ100" s="60" t="n"/>
      <c r="WWA100" s="60" t="n"/>
      <c r="WWB100" s="60" t="n"/>
      <c r="WWC100" s="60" t="n"/>
      <c r="WWD100" s="60" t="n"/>
      <c r="WWE100" s="60" t="n"/>
      <c r="WWF100" s="60" t="n"/>
      <c r="WWG100" s="60" t="n"/>
      <c r="WWH100" s="60" t="n"/>
      <c r="WWI100" s="60" t="n"/>
      <c r="WWJ100" s="60" t="n"/>
      <c r="WWK100" s="60" t="n"/>
      <c r="WWL100" s="60" t="n"/>
      <c r="WWM100" s="60" t="n"/>
      <c r="WWN100" s="60" t="n"/>
      <c r="WWO100" s="60" t="n"/>
      <c r="WWP100" s="60" t="n"/>
      <c r="WWQ100" s="60" t="n"/>
      <c r="WWR100" s="60" t="n"/>
      <c r="WWS100" s="60" t="n"/>
      <c r="WWT100" s="60" t="n"/>
      <c r="WWU100" s="60" t="n"/>
      <c r="WWV100" s="60" t="n"/>
      <c r="WWW100" s="60" t="n"/>
      <c r="WWX100" s="60" t="n"/>
      <c r="WWY100" s="60" t="n"/>
      <c r="WWZ100" s="60" t="n"/>
      <c r="WXA100" s="60" t="n"/>
      <c r="WXB100" s="60" t="n"/>
      <c r="WXC100" s="60" t="n"/>
      <c r="WXD100" s="60" t="n"/>
      <c r="WXE100" s="60" t="n"/>
      <c r="WXF100" s="60" t="n"/>
      <c r="WXG100" s="60" t="n"/>
      <c r="WXH100" s="60" t="n"/>
      <c r="WXI100" s="60" t="n"/>
      <c r="WXJ100" s="60" t="n"/>
      <c r="WXK100" s="60" t="n"/>
      <c r="WXL100" s="60" t="n"/>
      <c r="WXM100" s="60" t="n"/>
      <c r="WXN100" s="60" t="n"/>
      <c r="WXO100" s="60" t="n"/>
      <c r="WXP100" s="60" t="n"/>
      <c r="WXQ100" s="60" t="n"/>
      <c r="WXR100" s="60" t="n"/>
      <c r="WXS100" s="60" t="n"/>
      <c r="WXT100" s="60" t="n"/>
      <c r="WXU100" s="60" t="n"/>
      <c r="WXV100" s="60" t="n"/>
      <c r="WXW100" s="60" t="n"/>
      <c r="WXX100" s="60" t="n"/>
      <c r="WXY100" s="60" t="n"/>
      <c r="WXZ100" s="60" t="n"/>
      <c r="WYA100" s="60" t="n"/>
      <c r="WYB100" s="60" t="n"/>
      <c r="WYC100" s="60" t="n"/>
      <c r="WYD100" s="60" t="n"/>
      <c r="WYE100" s="60" t="n"/>
      <c r="WYF100" s="60" t="n"/>
      <c r="WYG100" s="60" t="n"/>
      <c r="WYH100" s="60" t="n"/>
      <c r="WYI100" s="60" t="n"/>
      <c r="WYJ100" s="60" t="n"/>
      <c r="WYK100" s="60" t="n"/>
      <c r="WYL100" s="60" t="n"/>
      <c r="WYM100" s="60" t="n"/>
      <c r="WYN100" s="60" t="n"/>
      <c r="WYO100" s="60" t="n"/>
      <c r="WYP100" s="60" t="n"/>
      <c r="WYQ100" s="60" t="n"/>
      <c r="WYR100" s="60" t="n"/>
      <c r="WYS100" s="60" t="n"/>
      <c r="WYT100" s="60" t="n"/>
      <c r="WYU100" s="60" t="n"/>
      <c r="WYV100" s="60" t="n"/>
      <c r="WYW100" s="60" t="n"/>
      <c r="WYX100" s="60" t="n"/>
      <c r="WYY100" s="60" t="n"/>
      <c r="WYZ100" s="60" t="n"/>
      <c r="WZA100" s="60" t="n"/>
      <c r="WZB100" s="60" t="n"/>
      <c r="WZC100" s="60" t="n"/>
      <c r="WZD100" s="60" t="n"/>
      <c r="WZE100" s="60" t="n"/>
      <c r="WZF100" s="60" t="n"/>
      <c r="WZG100" s="60" t="n"/>
      <c r="WZH100" s="60" t="n"/>
      <c r="WZI100" s="60" t="n"/>
      <c r="WZJ100" s="60" t="n"/>
      <c r="WZK100" s="60" t="n"/>
      <c r="WZL100" s="60" t="n"/>
      <c r="WZM100" s="60" t="n"/>
      <c r="WZN100" s="60" t="n"/>
      <c r="WZO100" s="60" t="n"/>
      <c r="WZP100" s="60" t="n"/>
      <c r="WZQ100" s="60" t="n"/>
      <c r="WZR100" s="60" t="n"/>
      <c r="WZS100" s="60" t="n"/>
      <c r="WZT100" s="60" t="n"/>
      <c r="WZU100" s="60" t="n"/>
      <c r="WZV100" s="60" t="n"/>
      <c r="WZW100" s="60" t="n"/>
      <c r="WZX100" s="60" t="n"/>
      <c r="WZY100" s="60" t="n"/>
      <c r="WZZ100" s="60" t="n"/>
      <c r="XAA100" s="60" t="n"/>
      <c r="XAB100" s="60" t="n"/>
      <c r="XAC100" s="60" t="n"/>
      <c r="XAD100" s="60" t="n"/>
      <c r="XAE100" s="60" t="n"/>
      <c r="XAF100" s="60" t="n"/>
      <c r="XAG100" s="60" t="n"/>
      <c r="XAH100" s="60" t="n"/>
      <c r="XAI100" s="60" t="n"/>
      <c r="XAJ100" s="60" t="n"/>
      <c r="XAK100" s="60" t="n"/>
      <c r="XAL100" s="60" t="n"/>
      <c r="XAM100" s="60" t="n"/>
      <c r="XAN100" s="60" t="n"/>
      <c r="XAO100" s="60" t="n"/>
      <c r="XAP100" s="60" t="n"/>
      <c r="XAQ100" s="60" t="n"/>
      <c r="XAR100" s="60" t="n"/>
      <c r="XAS100" s="60" t="n"/>
      <c r="XAT100" s="60" t="n"/>
      <c r="XAU100" s="60" t="n"/>
      <c r="XAV100" s="60" t="n"/>
      <c r="XAW100" s="60" t="n"/>
      <c r="XAX100" s="60" t="n"/>
      <c r="XAY100" s="60" t="n"/>
      <c r="XAZ100" s="60" t="n"/>
      <c r="XBA100" s="60" t="n"/>
      <c r="XBB100" s="60" t="n"/>
      <c r="XBC100" s="60" t="n"/>
      <c r="XBD100" s="60" t="n"/>
      <c r="XBE100" s="60" t="n"/>
      <c r="XBF100" s="60" t="n"/>
      <c r="XBG100" s="60" t="n"/>
      <c r="XBH100" s="60" t="n"/>
      <c r="XBI100" s="60" t="n"/>
      <c r="XBJ100" s="60" t="n"/>
      <c r="XBK100" s="60" t="n"/>
      <c r="XBL100" s="60" t="n"/>
      <c r="XBM100" s="60" t="n"/>
      <c r="XBN100" s="60" t="n"/>
      <c r="XBO100" s="60" t="n"/>
      <c r="XBP100" s="60" t="n"/>
      <c r="XBQ100" s="60" t="n"/>
      <c r="XBR100" s="60" t="n"/>
      <c r="XBS100" s="60" t="n"/>
      <c r="XBT100" s="60" t="n"/>
      <c r="XBU100" s="60" t="n"/>
      <c r="XBV100" s="60" t="n"/>
      <c r="XBW100" s="60" t="n"/>
      <c r="XBX100" s="60" t="n"/>
      <c r="XBY100" s="60" t="n"/>
      <c r="XBZ100" s="60" t="n"/>
      <c r="XCA100" s="60" t="n"/>
      <c r="XCB100" s="60" t="n"/>
      <c r="XCC100" s="60" t="n"/>
      <c r="XCD100" s="60" t="n"/>
      <c r="XCE100" s="60" t="n"/>
      <c r="XCF100" s="60" t="n"/>
      <c r="XCG100" s="60" t="n"/>
      <c r="XCH100" s="60" t="n"/>
      <c r="XCI100" s="60" t="n"/>
      <c r="XCJ100" s="60" t="n"/>
      <c r="XCK100" s="60" t="n"/>
      <c r="XCL100" s="60" t="n"/>
      <c r="XCM100" s="60" t="n"/>
      <c r="XCN100" s="60" t="n"/>
      <c r="XCO100" s="60" t="n"/>
      <c r="XCP100" s="60" t="n"/>
      <c r="XCQ100" s="60" t="n"/>
      <c r="XCR100" s="60" t="n"/>
      <c r="XCS100" s="60" t="n"/>
      <c r="XCT100" s="60" t="n"/>
      <c r="XCU100" s="60" t="n"/>
      <c r="XCV100" s="60" t="n"/>
      <c r="XCW100" s="60" t="n"/>
      <c r="XCX100" s="60" t="n"/>
      <c r="XCY100" s="60" t="n"/>
      <c r="XCZ100" s="60" t="n"/>
      <c r="XDA100" s="60" t="n"/>
      <c r="XDB100" s="60" t="n"/>
      <c r="XDC100" s="60" t="n"/>
      <c r="XDD100" s="60" t="n"/>
      <c r="XDE100" s="60" t="n"/>
      <c r="XDF100" s="60" t="n"/>
      <c r="XDG100" s="60" t="n"/>
      <c r="XDH100" s="60" t="n"/>
      <c r="XDI100" s="60" t="n"/>
      <c r="XDJ100" s="60" t="n"/>
      <c r="XDK100" s="60" t="n"/>
      <c r="XDL100" s="60" t="n"/>
      <c r="XDM100" s="60" t="n"/>
      <c r="XDN100" s="60" t="n"/>
      <c r="XDO100" s="60" t="n"/>
      <c r="XDP100" s="60" t="n"/>
      <c r="XDQ100" s="60" t="n"/>
      <c r="XDR100" s="60" t="n"/>
      <c r="XDS100" s="60" t="n"/>
      <c r="XDT100" s="60" t="n"/>
      <c r="XDU100" s="60" t="n"/>
      <c r="XDV100" s="60" t="n"/>
      <c r="XDW100" s="60" t="n"/>
      <c r="XDX100" s="60" t="n"/>
      <c r="XDY100" s="60" t="n"/>
      <c r="XDZ100" s="60" t="n"/>
      <c r="XEA100" s="60" t="n"/>
      <c r="XEB100" s="60" t="n"/>
      <c r="XEC100" s="60" t="n"/>
      <c r="XED100" s="60" t="n"/>
      <c r="XEE100" s="60" t="n"/>
      <c r="XEF100" s="60" t="n"/>
      <c r="XEG100" s="60" t="n"/>
      <c r="XEH100" s="60" t="n"/>
      <c r="XEI100" s="60" t="n"/>
      <c r="XEJ100" s="60" t="n"/>
      <c r="XEK100" s="60" t="n"/>
      <c r="XEL100" s="60" t="n"/>
      <c r="XEM100" s="60" t="n"/>
      <c r="XEN100" s="60" t="n"/>
      <c r="XEO100" s="60" t="n"/>
      <c r="XEP100" s="60" t="n"/>
      <c r="XEQ100" s="60" t="n"/>
      <c r="XER100" s="60" t="n"/>
      <c r="XES100" s="60" t="n"/>
      <c r="XET100" s="60" t="n"/>
      <c r="XEU100" s="60" t="n"/>
      <c r="XEV100" s="60" t="n"/>
      <c r="XEW100" s="60" t="n"/>
      <c r="XEX100" s="60" t="n"/>
      <c r="XEY100" s="60" t="n"/>
      <c r="XEZ100" s="60" t="n"/>
      <c r="XFA100" s="60" t="n"/>
      <c r="XFB100" s="60" t="n"/>
      <c r="XFC100" s="60" t="n"/>
      <c r="XFD100" s="60" t="n"/>
    </row>
    <row r="101" ht="20" customFormat="1" customHeight="1" s="1">
      <c r="A101" s="30" t="n">
        <v>99</v>
      </c>
      <c r="B101" s="37" t="inlineStr">
        <is>
          <t>山西</t>
        </is>
      </c>
      <c r="C101" s="37" t="inlineStr">
        <is>
          <t>太原万柏林</t>
        </is>
      </c>
      <c r="D101" s="37" t="inlineStr">
        <is>
          <t>宋末琴</t>
        </is>
      </c>
      <c r="E101" s="89" t="n"/>
      <c r="F101" s="27" t="inlineStr">
        <is>
          <t>2023/2024/2025</t>
        </is>
      </c>
      <c r="G101" s="27" t="inlineStr">
        <is>
          <t>7/9/10/9/11</t>
        </is>
      </c>
      <c r="H101" s="91">
        <f>101701+747+124+1399+72+2554</f>
        <v/>
      </c>
      <c r="I101" s="91">
        <f>1436+1149</f>
        <v/>
      </c>
      <c r="J101" s="91" t="n"/>
      <c r="K101" s="91">
        <f>+H101+I101+J101</f>
        <v/>
      </c>
      <c r="L101" s="91" t="n">
        <v>7</v>
      </c>
      <c r="M101" s="91" t="inlineStr"/>
      <c r="N101" s="91" t="n"/>
      <c r="O101" s="91" t="n"/>
      <c r="P101" s="91" t="n"/>
      <c r="Q101" s="91" t="n"/>
      <c r="R101" s="91" t="n"/>
      <c r="S101" s="91" t="n"/>
      <c r="T101" s="91" t="n"/>
      <c r="U101" s="91" t="n"/>
      <c r="V101" s="91" t="n"/>
      <c r="W101" s="91" t="n"/>
      <c r="X101" s="91" t="n"/>
      <c r="Y101" s="91" t="n"/>
      <c r="Z101" s="91" t="n"/>
      <c r="AA101" s="91" t="n"/>
      <c r="AB101" s="91" t="n"/>
      <c r="AC101" s="91" t="n"/>
      <c r="AD101" s="91" t="n"/>
      <c r="AE101" s="91" t="n"/>
      <c r="AF101" s="91" t="n"/>
      <c r="AG101" s="30" t="n"/>
      <c r="AH101" s="30" t="n"/>
      <c r="AI101" s="30" t="n"/>
      <c r="AJ101" s="30" t="n"/>
      <c r="AK101" s="30" t="n"/>
      <c r="AL101" s="30" t="n"/>
      <c r="AM101" s="91" t="n"/>
      <c r="AN101" s="91" t="n"/>
      <c r="AO101" s="91" t="n"/>
      <c r="AP101" s="91" t="n"/>
      <c r="AQ101" s="91" t="n"/>
      <c r="AR101" s="91" t="n"/>
      <c r="AS101" s="91" t="n"/>
      <c r="AT101" s="91" t="n"/>
      <c r="AU101" s="91" t="n"/>
      <c r="AV101" s="31" t="n"/>
      <c r="AW101" s="36" t="n"/>
      <c r="AX101" s="16" t="n"/>
      <c r="AY101" s="31" t="n"/>
      <c r="AZ101" s="92" t="n"/>
      <c r="BA101" s="91" t="n"/>
      <c r="BB101" s="91" t="n"/>
      <c r="BC101" s="91" t="n"/>
      <c r="BD101" s="91" t="n"/>
      <c r="BE101" s="91" t="n"/>
      <c r="BF101" s="91" t="n"/>
      <c r="BG101" s="91" t="n"/>
      <c r="BH101" s="91" t="n">
        <v>1280</v>
      </c>
      <c r="BI101" s="91" t="n"/>
      <c r="BJ101" s="91" t="n"/>
      <c r="BK101" s="91" t="n">
        <v>23094</v>
      </c>
      <c r="BL101" s="91" t="n">
        <v>35148</v>
      </c>
      <c r="BM101" s="91">
        <f>SUM(BA101:BL101)</f>
        <v/>
      </c>
      <c r="BN101" s="91" t="n">
        <v>188368</v>
      </c>
      <c r="BO101" s="91" t="n">
        <v>127346</v>
      </c>
      <c r="BP101" s="91" t="n">
        <v>6621</v>
      </c>
      <c r="BQ101" s="91" t="n">
        <v>18858</v>
      </c>
      <c r="BR101" s="91" t="n">
        <v>57111</v>
      </c>
      <c r="BS101" s="91" t="n">
        <v>29888</v>
      </c>
      <c r="BT101" s="91" t="n">
        <v>53960</v>
      </c>
      <c r="BU101" s="91" t="n">
        <v>15948.55</v>
      </c>
      <c r="BV101" s="91" t="n">
        <v>42226.62</v>
      </c>
      <c r="BW101" s="91" t="n">
        <v>20631.91</v>
      </c>
      <c r="BX101" s="91" t="n">
        <v>28061.15</v>
      </c>
      <c r="BY101" s="91" t="n">
        <v>33913.99</v>
      </c>
      <c r="BZ101" s="91">
        <f>SUM(BN101:BY101)</f>
        <v/>
      </c>
      <c r="CA101" s="91" t="n">
        <v>78767</v>
      </c>
      <c r="CB101" s="91" t="n">
        <v>79212.42</v>
      </c>
      <c r="CC101" s="91" t="n">
        <v>24414.05</v>
      </c>
      <c r="CD101" s="91" t="n">
        <v>809.23</v>
      </c>
      <c r="CE101" s="91" t="n">
        <v>4976.9</v>
      </c>
      <c r="CF101" s="91" t="n">
        <v>486.99</v>
      </c>
      <c r="CG101" s="91" t="n">
        <v>29633.73</v>
      </c>
      <c r="CH101" s="91" t="n">
        <v>152.36</v>
      </c>
      <c r="CI101" s="91" t="n"/>
      <c r="CJ101" s="91" t="n">
        <v>0</v>
      </c>
      <c r="CK101" s="91" t="n"/>
      <c r="CL101" s="91" t="n">
        <v>11484.3</v>
      </c>
      <c r="CM101" s="91">
        <f>SUM(CA101:CL101)</f>
        <v/>
      </c>
      <c r="CN101" s="91" t="n"/>
      <c r="CO101" s="91" t="n"/>
      <c r="CP101" s="91" t="n"/>
      <c r="CQ101" s="93" t="n"/>
      <c r="CR101" s="94" t="n"/>
      <c r="CS101" s="94" t="n"/>
      <c r="CT101" s="91" t="n"/>
      <c r="CU101" s="91" t="n"/>
      <c r="CV101" s="91" t="n"/>
      <c r="CW101" s="91" t="n"/>
      <c r="CX101" s="91" t="n"/>
      <c r="CY101" s="91" t="n"/>
      <c r="CZ101" s="91">
        <f>SUM(CN101:CY101)</f>
        <v/>
      </c>
      <c r="DA101" s="35" t="n"/>
    </row>
    <row r="102" ht="20" customFormat="1" customHeight="1" s="2">
      <c r="A102" s="30" t="n">
        <v>100</v>
      </c>
      <c r="B102" s="31" t="inlineStr">
        <is>
          <t>宁夏</t>
        </is>
      </c>
      <c r="C102" s="31" t="inlineStr">
        <is>
          <t>中宁</t>
        </is>
      </c>
      <c r="D102" s="31" t="inlineStr">
        <is>
          <t>童艳鹏</t>
        </is>
      </c>
      <c r="E102" s="89" t="n"/>
      <c r="F102" s="27" t="inlineStr">
        <is>
          <t>2023</t>
        </is>
      </c>
      <c r="G102" s="27" t="inlineStr">
        <is>
          <t>8/11</t>
        </is>
      </c>
      <c r="H102" s="91">
        <f>60683+96</f>
        <v/>
      </c>
      <c r="I102" s="91" t="n"/>
      <c r="J102" s="91" t="n"/>
      <c r="K102" s="91">
        <f>+H102+I102+J102</f>
        <v/>
      </c>
      <c r="L102" s="91" t="n"/>
      <c r="M102" s="91" t="inlineStr"/>
      <c r="N102" s="91" t="n"/>
      <c r="O102" s="91" t="n"/>
      <c r="P102" s="91" t="n"/>
      <c r="Q102" s="91" t="n"/>
      <c r="R102" s="91" t="n"/>
      <c r="S102" s="91" t="n"/>
      <c r="T102" s="91" t="n"/>
      <c r="U102" s="91" t="n"/>
      <c r="V102" s="91" t="n"/>
      <c r="W102" s="91" t="n"/>
      <c r="X102" s="91" t="n"/>
      <c r="Y102" s="91" t="n"/>
      <c r="Z102" s="91" t="n"/>
      <c r="AA102" s="91" t="n"/>
      <c r="AB102" s="91" t="n"/>
      <c r="AC102" s="91" t="n"/>
      <c r="AD102" s="91" t="n"/>
      <c r="AE102" s="91" t="n"/>
      <c r="AF102" s="91" t="n"/>
      <c r="AG102" s="30" t="n"/>
      <c r="AH102" s="30" t="n"/>
      <c r="AI102" s="30" t="n"/>
      <c r="AJ102" s="30" t="n"/>
      <c r="AK102" s="30" t="n"/>
      <c r="AL102" s="30" t="n"/>
      <c r="AM102" s="91" t="n"/>
      <c r="AN102" s="91" t="n"/>
      <c r="AO102" s="91" t="n"/>
      <c r="AP102" s="91" t="n"/>
      <c r="AQ102" s="91" t="n"/>
      <c r="AR102" s="91" t="n"/>
      <c r="AS102" s="91" t="n"/>
      <c r="AT102" s="91" t="n"/>
      <c r="AU102" s="91" t="n"/>
      <c r="AV102" s="31" t="n"/>
      <c r="AW102" s="36" t="n"/>
      <c r="AX102" s="16" t="n"/>
      <c r="AY102" s="31" t="n"/>
      <c r="AZ102" s="92" t="n"/>
      <c r="BA102" s="91" t="n"/>
      <c r="BB102" s="91" t="n"/>
      <c r="BC102" s="91" t="n"/>
      <c r="BD102" s="91" t="n"/>
      <c r="BE102" s="91" t="n"/>
      <c r="BF102" s="91" t="n"/>
      <c r="BG102" s="91" t="n"/>
      <c r="BH102" s="91" t="n"/>
      <c r="BI102" s="91" t="n"/>
      <c r="BJ102" s="91" t="n"/>
      <c r="BK102" s="91" t="n"/>
      <c r="BL102" s="91" t="n"/>
      <c r="BM102" s="91">
        <f>SUM(BA102:BL102)</f>
        <v/>
      </c>
      <c r="BN102" s="91" t="n">
        <v>23967</v>
      </c>
      <c r="BO102" s="91" t="n"/>
      <c r="BP102" s="91" t="n"/>
      <c r="BQ102" s="91" t="n"/>
      <c r="BR102" s="91" t="inlineStr"/>
      <c r="BS102" s="91" t="inlineStr"/>
      <c r="BT102" s="91" t="n"/>
      <c r="BU102" s="91" t="n"/>
      <c r="BV102" s="91" t="n">
        <v>6464</v>
      </c>
      <c r="BW102" s="91" t="inlineStr"/>
      <c r="BX102" s="91" t="inlineStr"/>
      <c r="BY102" s="91" t="n">
        <v>32768</v>
      </c>
      <c r="BZ102" s="91">
        <f>SUM(BN102:BY102)</f>
        <v/>
      </c>
      <c r="CA102" s="91" t="inlineStr"/>
      <c r="CB102" s="91" t="inlineStr"/>
      <c r="CC102" s="91" t="n">
        <v>425</v>
      </c>
      <c r="CD102" s="91" t="n"/>
      <c r="CE102" s="91" t="n"/>
      <c r="CF102" s="91" t="n"/>
      <c r="CG102" s="91" t="n"/>
      <c r="CH102" s="91" t="inlineStr"/>
      <c r="CI102" s="91" t="n"/>
      <c r="CJ102" s="91" t="inlineStr"/>
      <c r="CK102" s="91" t="n"/>
      <c r="CL102" s="91" t="inlineStr"/>
      <c r="CM102" s="91">
        <f>SUM(CA102:CL102)</f>
        <v/>
      </c>
      <c r="CN102" s="91" t="n"/>
      <c r="CO102" s="91" t="n"/>
      <c r="CP102" s="91" t="n"/>
      <c r="CQ102" s="93" t="n"/>
      <c r="CR102" s="94" t="n"/>
      <c r="CS102" s="94" t="n"/>
      <c r="CT102" s="91" t="n"/>
      <c r="CU102" s="91" t="n"/>
      <c r="CV102" s="91" t="n"/>
      <c r="CW102" s="91" t="n"/>
      <c r="CX102" s="91" t="n"/>
      <c r="CY102" s="91" t="n"/>
      <c r="CZ102" s="91">
        <f>SUM(CN102:CY102)</f>
        <v/>
      </c>
      <c r="DA102" s="35" t="n"/>
    </row>
    <row r="103" ht="20" customFormat="1" customHeight="1" s="2">
      <c r="A103" s="30" t="n">
        <v>101</v>
      </c>
      <c r="B103" s="31" t="inlineStr">
        <is>
          <t>陕西</t>
        </is>
      </c>
      <c r="C103" s="31" t="inlineStr">
        <is>
          <t>商洛</t>
        </is>
      </c>
      <c r="D103" s="31" t="inlineStr">
        <is>
          <t>寇力</t>
        </is>
      </c>
      <c r="E103" s="89" t="n"/>
      <c r="F103" s="27" t="inlineStr">
        <is>
          <t>2023</t>
        </is>
      </c>
      <c r="G103" s="27" t="inlineStr">
        <is>
          <t>9</t>
        </is>
      </c>
      <c r="H103" s="91">
        <f>134964+3068</f>
        <v/>
      </c>
      <c r="I103" s="91" t="n"/>
      <c r="J103" s="91" t="n"/>
      <c r="K103" s="91">
        <f>+H103+I103+J103</f>
        <v/>
      </c>
      <c r="L103" s="91" t="n">
        <v>7</v>
      </c>
      <c r="M103" s="91" t="inlineStr"/>
      <c r="N103" s="91" t="n"/>
      <c r="O103" s="91" t="n"/>
      <c r="P103" s="91" t="n"/>
      <c r="Q103" s="91" t="n"/>
      <c r="R103" s="91" t="n"/>
      <c r="S103" s="91" t="n"/>
      <c r="T103" s="91" t="n"/>
      <c r="U103" s="91" t="n"/>
      <c r="V103" s="91" t="n"/>
      <c r="W103" s="91" t="n"/>
      <c r="X103" s="91" t="n"/>
      <c r="Y103" s="91" t="n"/>
      <c r="Z103" s="91" t="n"/>
      <c r="AA103" s="91" t="n"/>
      <c r="AB103" s="91" t="n"/>
      <c r="AC103" s="91" t="n"/>
      <c r="AD103" s="91" t="n"/>
      <c r="AE103" s="91" t="n"/>
      <c r="AF103" s="91" t="n"/>
      <c r="AG103" s="30" t="n"/>
      <c r="AH103" s="30" t="n"/>
      <c r="AI103" s="30" t="n"/>
      <c r="AJ103" s="30" t="n"/>
      <c r="AK103" s="30" t="n"/>
      <c r="AL103" s="30" t="n"/>
      <c r="AM103" s="91" t="n"/>
      <c r="AN103" s="91" t="n"/>
      <c r="AO103" s="91" t="n"/>
      <c r="AP103" s="91" t="n"/>
      <c r="AQ103" s="91" t="n"/>
      <c r="AR103" s="91" t="n"/>
      <c r="AS103" s="91" t="n"/>
      <c r="AT103" s="91" t="n"/>
      <c r="AU103" s="91" t="n"/>
      <c r="AV103" s="31" t="n"/>
      <c r="AW103" s="36" t="n"/>
      <c r="AX103" s="16" t="n"/>
      <c r="AY103" s="31" t="n"/>
      <c r="AZ103" s="92" t="n"/>
      <c r="BA103" s="91" t="n"/>
      <c r="BB103" s="91" t="n"/>
      <c r="BC103" s="91" t="n"/>
      <c r="BD103" s="91" t="n"/>
      <c r="BE103" s="91" t="n"/>
      <c r="BF103" s="91" t="n"/>
      <c r="BG103" s="91" t="n"/>
      <c r="BH103" s="91" t="n"/>
      <c r="BI103" s="91" t="n"/>
      <c r="BJ103" s="91" t="n"/>
      <c r="BK103" s="91" t="n"/>
      <c r="BL103" s="91" t="n"/>
      <c r="BM103" s="91">
        <f>SUM(BA103:BL103)</f>
        <v/>
      </c>
      <c r="BN103" s="91" t="n"/>
      <c r="BO103" s="91" t="n">
        <v>9402</v>
      </c>
      <c r="BP103" s="91" t="n">
        <v>118690</v>
      </c>
      <c r="BQ103" s="91" t="n">
        <v>71639</v>
      </c>
      <c r="BR103" s="91" t="n">
        <v>61173</v>
      </c>
      <c r="BS103" s="91" t="n">
        <v>134214</v>
      </c>
      <c r="BT103" s="91" t="n">
        <v>2307</v>
      </c>
      <c r="BU103" s="91" t="n">
        <v>1312</v>
      </c>
      <c r="BV103" s="91" t="n">
        <v>35244.58</v>
      </c>
      <c r="BW103" s="91" t="n">
        <v>50</v>
      </c>
      <c r="BX103" s="91" t="n">
        <v>27</v>
      </c>
      <c r="BY103" s="91" t="n"/>
      <c r="BZ103" s="91">
        <f>SUM(BN103:BY103)</f>
        <v/>
      </c>
      <c r="CA103" s="91" t="inlineStr"/>
      <c r="CB103" s="91" t="n">
        <v>4794</v>
      </c>
      <c r="CC103" s="91" t="inlineStr"/>
      <c r="CD103" s="91" t="n">
        <v>284.37</v>
      </c>
      <c r="CE103" s="91" t="n"/>
      <c r="CF103" s="91" t="n"/>
      <c r="CG103" s="91" t="n">
        <v>15002.31</v>
      </c>
      <c r="CH103" s="91" t="n">
        <v>239.1</v>
      </c>
      <c r="CI103" s="91" t="n">
        <v>2116</v>
      </c>
      <c r="CJ103" s="91" t="n">
        <v>7993.77</v>
      </c>
      <c r="CK103" s="91" t="n"/>
      <c r="CL103" s="91" t="inlineStr"/>
      <c r="CM103" s="91">
        <f>SUM(CA103:CL103)</f>
        <v/>
      </c>
      <c r="CN103" s="91" t="n"/>
      <c r="CO103" s="91" t="n"/>
      <c r="CP103" s="91" t="n"/>
      <c r="CQ103" s="93" t="n"/>
      <c r="CR103" s="94" t="n"/>
      <c r="CS103" s="94" t="n"/>
      <c r="CT103" s="91" t="n"/>
      <c r="CU103" s="91" t="n"/>
      <c r="CV103" s="91" t="n"/>
      <c r="CW103" s="91" t="n"/>
      <c r="CX103" s="91" t="n"/>
      <c r="CY103" s="91" t="n"/>
      <c r="CZ103" s="91">
        <f>SUM(CN103:CY103)</f>
        <v/>
      </c>
      <c r="DA103" s="35" t="n"/>
    </row>
    <row r="104" ht="20" customFormat="1" customHeight="1" s="2">
      <c r="A104" s="30" t="n">
        <v>102</v>
      </c>
      <c r="B104" s="31" t="inlineStr">
        <is>
          <t>陕西</t>
        </is>
      </c>
      <c r="C104" s="31" t="inlineStr">
        <is>
          <t>安康</t>
        </is>
      </c>
      <c r="D104" s="31" t="inlineStr">
        <is>
          <t>袁云红</t>
        </is>
      </c>
      <c r="E104" s="89" t="n"/>
      <c r="F104" s="27" t="inlineStr">
        <is>
          <t>2023</t>
        </is>
      </c>
      <c r="G104" s="27" t="inlineStr">
        <is>
          <t>9</t>
        </is>
      </c>
      <c r="H104" s="91" t="n">
        <v>5162</v>
      </c>
      <c r="I104" s="91" t="n"/>
      <c r="J104" s="91" t="n"/>
      <c r="K104" s="91">
        <f>+H104+I104+J104</f>
        <v/>
      </c>
      <c r="L104" s="91" t="n"/>
      <c r="M104" s="91" t="inlineStr"/>
      <c r="N104" s="91" t="n"/>
      <c r="O104" s="91" t="n"/>
      <c r="P104" s="91" t="n"/>
      <c r="Q104" s="91" t="n"/>
      <c r="R104" s="91" t="n"/>
      <c r="S104" s="91" t="n"/>
      <c r="T104" s="91" t="n"/>
      <c r="U104" s="91" t="n"/>
      <c r="V104" s="91" t="n"/>
      <c r="W104" s="91" t="n"/>
      <c r="X104" s="91" t="n"/>
      <c r="Y104" s="91" t="n"/>
      <c r="Z104" s="91" t="n"/>
      <c r="AA104" s="91" t="n"/>
      <c r="AB104" s="91" t="n"/>
      <c r="AC104" s="91" t="n"/>
      <c r="AD104" s="91" t="n"/>
      <c r="AE104" s="91" t="n"/>
      <c r="AF104" s="91" t="n"/>
      <c r="AG104" s="30" t="n"/>
      <c r="AH104" s="30" t="n"/>
      <c r="AI104" s="30" t="n"/>
      <c r="AJ104" s="30" t="n"/>
      <c r="AK104" s="30" t="n"/>
      <c r="AL104" s="30" t="n"/>
      <c r="AM104" s="91" t="n"/>
      <c r="AN104" s="91" t="n"/>
      <c r="AO104" s="91" t="n"/>
      <c r="AP104" s="91" t="n"/>
      <c r="AQ104" s="91" t="n"/>
      <c r="AR104" s="91" t="n"/>
      <c r="AS104" s="91" t="n"/>
      <c r="AT104" s="91" t="n"/>
      <c r="AU104" s="91" t="n"/>
      <c r="AV104" s="31" t="n"/>
      <c r="AW104" s="36" t="n"/>
      <c r="AX104" s="16" t="n"/>
      <c r="AY104" s="31" t="n"/>
      <c r="AZ104" s="92" t="n"/>
      <c r="BA104" s="91" t="n"/>
      <c r="BB104" s="91" t="n"/>
      <c r="BC104" s="91" t="n"/>
      <c r="BD104" s="91" t="n"/>
      <c r="BE104" s="91" t="n"/>
      <c r="BF104" s="91" t="n"/>
      <c r="BG104" s="91" t="n"/>
      <c r="BH104" s="91" t="n"/>
      <c r="BI104" s="91" t="n"/>
      <c r="BJ104" s="91" t="n">
        <v>4093</v>
      </c>
      <c r="BK104" s="91" t="n">
        <v>53476</v>
      </c>
      <c r="BL104" s="91" t="n">
        <v>1209</v>
      </c>
      <c r="BM104" s="91">
        <f>SUM(BA104:BL104)</f>
        <v/>
      </c>
      <c r="BN104" s="91" t="n"/>
      <c r="BO104" s="91" t="n">
        <v>31931</v>
      </c>
      <c r="BP104" s="91" t="n">
        <v>3918</v>
      </c>
      <c r="BQ104" s="91" t="n">
        <v>1823</v>
      </c>
      <c r="BR104" s="91" t="inlineStr"/>
      <c r="BS104" s="91" t="inlineStr"/>
      <c r="BT104" s="91" t="n"/>
      <c r="BU104" s="91" t="n"/>
      <c r="BV104" s="91" t="inlineStr"/>
      <c r="BW104" s="91" t="n">
        <v>54106</v>
      </c>
      <c r="BX104" s="91" t="inlineStr"/>
      <c r="BY104" s="91" t="n"/>
      <c r="BZ104" s="91">
        <f>SUM(BN104:BY104)</f>
        <v/>
      </c>
      <c r="CA104" s="91" t="inlineStr"/>
      <c r="CB104" s="91" t="inlineStr"/>
      <c r="CC104" s="91" t="inlineStr"/>
      <c r="CD104" s="91" t="n"/>
      <c r="CE104" s="91" t="n"/>
      <c r="CF104" s="91" t="n"/>
      <c r="CG104" s="91" t="n"/>
      <c r="CH104" s="91" t="inlineStr"/>
      <c r="CI104" s="91" t="n"/>
      <c r="CJ104" s="91" t="inlineStr"/>
      <c r="CK104" s="91" t="n"/>
      <c r="CL104" s="91" t="inlineStr"/>
      <c r="CM104" s="91">
        <f>SUM(CA104:CL104)</f>
        <v/>
      </c>
      <c r="CN104" s="91" t="n"/>
      <c r="CO104" s="91" t="n"/>
      <c r="CP104" s="91" t="n"/>
      <c r="CQ104" s="93" t="n"/>
      <c r="CR104" s="94" t="n"/>
      <c r="CS104" s="94" t="n"/>
      <c r="CT104" s="91" t="n"/>
      <c r="CU104" s="91" t="n"/>
      <c r="CV104" s="91" t="n"/>
      <c r="CW104" s="91" t="n"/>
      <c r="CX104" s="91" t="n"/>
      <c r="CY104" s="91" t="n"/>
      <c r="CZ104" s="91">
        <f>SUM(CN104:CY104)</f>
        <v/>
      </c>
      <c r="DA104" s="35" t="n"/>
    </row>
    <row r="105" ht="20" customFormat="1" customHeight="1" s="2">
      <c r="A105" s="30" t="n">
        <v>103</v>
      </c>
      <c r="B105" s="31" t="inlineStr">
        <is>
          <t>贵州</t>
        </is>
      </c>
      <c r="C105" s="31" t="inlineStr">
        <is>
          <t>遵义</t>
        </is>
      </c>
      <c r="D105" s="31" t="inlineStr">
        <is>
          <t>浩紫燕</t>
        </is>
      </c>
      <c r="E105" s="89" t="n"/>
      <c r="F105" s="27" t="inlineStr">
        <is>
          <t>2023/2024/2025</t>
        </is>
      </c>
      <c r="G105" s="27" t="inlineStr">
        <is>
          <t>11/12/3/2/3/6/10</t>
        </is>
      </c>
      <c r="H105" s="91">
        <f>68654+6182+258+48+309+6057.2</f>
        <v/>
      </c>
      <c r="I105" s="91">
        <f>4302+1004</f>
        <v/>
      </c>
      <c r="J105" s="91" t="n"/>
      <c r="K105" s="91">
        <f>+H105+I105+J105</f>
        <v/>
      </c>
      <c r="L105" s="91" t="n">
        <v>7</v>
      </c>
      <c r="M105" s="91" t="inlineStr"/>
      <c r="N105" s="91" t="n"/>
      <c r="O105" s="91" t="n"/>
      <c r="P105" s="91" t="n"/>
      <c r="Q105" s="91" t="n"/>
      <c r="R105" s="91" t="n"/>
      <c r="S105" s="91" t="n"/>
      <c r="T105" s="91" t="n"/>
      <c r="U105" s="91" t="n"/>
      <c r="V105" s="91" t="n"/>
      <c r="W105" s="91" t="n"/>
      <c r="X105" s="91" t="n"/>
      <c r="Y105" s="91" t="n"/>
      <c r="Z105" s="91" t="n"/>
      <c r="AA105" s="91" t="n"/>
      <c r="AB105" s="91" t="n"/>
      <c r="AC105" s="91" t="n"/>
      <c r="AD105" s="91" t="n"/>
      <c r="AE105" s="91" t="n"/>
      <c r="AF105" s="91" t="n"/>
      <c r="AG105" s="30" t="n"/>
      <c r="AH105" s="30" t="n"/>
      <c r="AI105" s="30" t="n"/>
      <c r="AJ105" s="30" t="n"/>
      <c r="AK105" s="30" t="n"/>
      <c r="AL105" s="30" t="n"/>
      <c r="AM105" s="91" t="n"/>
      <c r="AN105" s="91" t="n"/>
      <c r="AO105" s="91" t="n"/>
      <c r="AP105" s="91" t="n"/>
      <c r="AQ105" s="91" t="n"/>
      <c r="AR105" s="91" t="n"/>
      <c r="AS105" s="91" t="n"/>
      <c r="AT105" s="91" t="n"/>
      <c r="AU105" s="91" t="n"/>
      <c r="AV105" s="31" t="n"/>
      <c r="AW105" s="36" t="n"/>
      <c r="AX105" s="16" t="n"/>
      <c r="AY105" s="31" t="n"/>
      <c r="AZ105" s="92" t="n"/>
      <c r="BA105" s="91" t="n"/>
      <c r="BB105" s="91" t="n"/>
      <c r="BC105" s="91" t="n"/>
      <c r="BD105" s="91" t="n"/>
      <c r="BE105" s="91" t="n"/>
      <c r="BF105" s="91" t="n"/>
      <c r="BG105" s="91" t="n"/>
      <c r="BH105" s="91" t="n"/>
      <c r="BI105" s="91" t="n"/>
      <c r="BJ105" s="91" t="n"/>
      <c r="BK105" s="91" t="n"/>
      <c r="BL105" s="91" t="n"/>
      <c r="BM105" s="91">
        <f>SUM(BA105:BL105)</f>
        <v/>
      </c>
      <c r="BN105" s="91" t="n"/>
      <c r="BO105" s="91" t="n"/>
      <c r="BP105" s="91" t="n"/>
      <c r="BQ105" s="91" t="n"/>
      <c r="BR105" s="91" t="inlineStr"/>
      <c r="BS105" s="91" t="n">
        <v>27900</v>
      </c>
      <c r="BT105" s="91" t="n"/>
      <c r="BU105" s="91" t="n"/>
      <c r="BV105" s="91" t="n">
        <v>150</v>
      </c>
      <c r="BW105" s="91" t="n">
        <v>75137.52</v>
      </c>
      <c r="BX105" s="91" t="n">
        <v>24093.33</v>
      </c>
      <c r="BY105" s="91" t="n">
        <v>300.89</v>
      </c>
      <c r="BZ105" s="91">
        <f>SUM(BN105:BY105)</f>
        <v/>
      </c>
      <c r="CA105" s="91" t="n">
        <v>561</v>
      </c>
      <c r="CB105" s="91">
        <f>52182.98+1954</f>
        <v/>
      </c>
      <c r="CC105" s="91" t="n">
        <v>573.73</v>
      </c>
      <c r="CD105" s="91" t="n">
        <v>3312.34</v>
      </c>
      <c r="CE105" s="91" t="n">
        <v>97</v>
      </c>
      <c r="CF105" s="91" t="n">
        <v>4813.32</v>
      </c>
      <c r="CG105" s="91" t="n">
        <v>2536.97</v>
      </c>
      <c r="CH105" s="91" t="n">
        <v>2190</v>
      </c>
      <c r="CI105" s="91" t="n"/>
      <c r="CJ105" s="91" t="n">
        <v>0</v>
      </c>
      <c r="CK105" s="91" t="n"/>
      <c r="CL105" s="91" t="n">
        <v>3582</v>
      </c>
      <c r="CM105" s="91">
        <f>SUM(CA105:CL105)</f>
        <v/>
      </c>
      <c r="CN105" s="91" t="n"/>
      <c r="CO105" s="91" t="n"/>
      <c r="CP105" s="91" t="n"/>
      <c r="CQ105" s="93" t="n"/>
      <c r="CR105" s="94" t="n"/>
      <c r="CS105" s="94" t="n"/>
      <c r="CT105" s="91" t="n"/>
      <c r="CU105" s="91" t="n"/>
      <c r="CV105" s="91" t="n"/>
      <c r="CW105" s="91" t="n"/>
      <c r="CX105" s="91" t="n"/>
      <c r="CY105" s="91" t="n"/>
      <c r="CZ105" s="91">
        <f>SUM(CN105:CY105)</f>
        <v/>
      </c>
      <c r="DA105" s="35" t="n"/>
    </row>
    <row r="106" ht="20" customFormat="1" customHeight="1" s="1">
      <c r="A106" s="30" t="n">
        <v>104</v>
      </c>
      <c r="B106" s="31" t="inlineStr">
        <is>
          <t>陕西</t>
        </is>
      </c>
      <c r="C106" s="31" t="inlineStr">
        <is>
          <t>西安周至</t>
        </is>
      </c>
      <c r="D106" s="31" t="inlineStr">
        <is>
          <t>刘建峰</t>
        </is>
      </c>
      <c r="E106" s="89" t="n"/>
      <c r="F106" s="27" t="inlineStr">
        <is>
          <t>2023/2024/2026</t>
        </is>
      </c>
      <c r="G106" s="27" t="inlineStr">
        <is>
          <t>12/12</t>
        </is>
      </c>
      <c r="H106" s="91">
        <f>92605+507+1883+7632</f>
        <v/>
      </c>
      <c r="I106" s="91" t="n">
        <v>11043</v>
      </c>
      <c r="J106" s="91" t="n">
        <v>19964</v>
      </c>
      <c r="K106" s="91">
        <f>+H106+I106+J106</f>
        <v/>
      </c>
      <c r="L106" s="91" t="n">
        <v>7</v>
      </c>
      <c r="M106" s="91" t="inlineStr"/>
      <c r="N106" s="91" t="n"/>
      <c r="O106" s="91" t="n"/>
      <c r="P106" s="91" t="n"/>
      <c r="Q106" s="91" t="n"/>
      <c r="R106" s="91" t="n"/>
      <c r="S106" s="91" t="n"/>
      <c r="T106" s="91" t="n"/>
      <c r="U106" s="91" t="n"/>
      <c r="V106" s="91" t="n"/>
      <c r="W106" s="91" t="n"/>
      <c r="X106" s="91" t="n"/>
      <c r="Y106" s="91" t="n"/>
      <c r="Z106" s="91" t="n"/>
      <c r="AA106" s="91" t="n"/>
      <c r="AB106" s="91" t="n"/>
      <c r="AC106" s="91" t="n"/>
      <c r="AD106" s="91" t="n"/>
      <c r="AE106" s="91" t="n"/>
      <c r="AF106" s="91" t="n"/>
      <c r="AG106" s="30" t="n"/>
      <c r="AH106" s="30" t="n"/>
      <c r="AI106" s="30" t="n"/>
      <c r="AJ106" s="30" t="n"/>
      <c r="AK106" s="30" t="n"/>
      <c r="AL106" s="30" t="n"/>
      <c r="AM106" s="91" t="n"/>
      <c r="AN106" s="91" t="n"/>
      <c r="AO106" s="91" t="n"/>
      <c r="AP106" s="91" t="n"/>
      <c r="AQ106" s="91" t="n"/>
      <c r="AR106" s="91" t="n"/>
      <c r="AS106" s="91" t="n"/>
      <c r="AT106" s="91" t="n"/>
      <c r="AU106" s="91" t="n"/>
      <c r="AV106" s="31" t="n"/>
      <c r="AW106" s="36" t="n"/>
      <c r="AX106" s="16" t="n"/>
      <c r="AY106" s="31" t="n"/>
      <c r="AZ106" s="92" t="n"/>
      <c r="BA106" s="91" t="n"/>
      <c r="BB106" s="91" t="n"/>
      <c r="BC106" s="91" t="n"/>
      <c r="BD106" s="91" t="n"/>
      <c r="BE106" s="91" t="n"/>
      <c r="BF106" s="91" t="n"/>
      <c r="BG106" s="91" t="n"/>
      <c r="BH106" s="91" t="n"/>
      <c r="BI106" s="91" t="n"/>
      <c r="BJ106" s="91" t="n"/>
      <c r="BK106" s="91" t="n"/>
      <c r="BL106" s="91" t="n"/>
      <c r="BM106" s="91">
        <f>SUM(BA106:BL106)</f>
        <v/>
      </c>
      <c r="BN106" s="91" t="n"/>
      <c r="BO106" s="91" t="n"/>
      <c r="BP106" s="91" t="n">
        <v>36666</v>
      </c>
      <c r="BQ106" s="91" t="n">
        <v>63770</v>
      </c>
      <c r="BR106" s="91" t="n">
        <v>144465</v>
      </c>
      <c r="BS106" s="91" t="n">
        <v>66026</v>
      </c>
      <c r="BT106" s="91">
        <f>124950+15938</f>
        <v/>
      </c>
      <c r="BU106" s="91" t="n">
        <v>203962.82</v>
      </c>
      <c r="BV106" s="91" t="n">
        <v>81143.99000000001</v>
      </c>
      <c r="BW106" s="91" t="n">
        <v>113566.6</v>
      </c>
      <c r="BX106" s="91" t="n">
        <v>54645.24</v>
      </c>
      <c r="BY106" s="91" t="n">
        <v>162057.52</v>
      </c>
      <c r="BZ106" s="91">
        <f>SUM(BN106:BY106)</f>
        <v/>
      </c>
      <c r="CA106" s="91" t="n">
        <v>450</v>
      </c>
      <c r="CB106" s="91">
        <f>1057.01+166</f>
        <v/>
      </c>
      <c r="CC106" s="91" t="n">
        <v>243848.42</v>
      </c>
      <c r="CD106" s="91" t="n">
        <v>151695.43</v>
      </c>
      <c r="CE106" s="91" t="n">
        <v>103717.52</v>
      </c>
      <c r="CF106" s="91" t="n">
        <v>50578.48</v>
      </c>
      <c r="CG106" s="91" t="n">
        <v>154447.2</v>
      </c>
      <c r="CH106" s="91" t="n">
        <v>52323.76</v>
      </c>
      <c r="CI106" s="91" t="n">
        <v>37671.26</v>
      </c>
      <c r="CJ106" s="91" t="n">
        <v>45119.46</v>
      </c>
      <c r="CK106" s="91" t="n">
        <v>37646.45</v>
      </c>
      <c r="CL106" s="91" t="n">
        <v>13723.21</v>
      </c>
      <c r="CM106" s="91">
        <f>SUM(CA106:CL106)</f>
        <v/>
      </c>
      <c r="CN106" s="91" t="n"/>
      <c r="CO106" s="91" t="n"/>
      <c r="CP106" s="91" t="n"/>
      <c r="CQ106" s="93" t="n"/>
      <c r="CR106" s="94" t="n"/>
      <c r="CS106" s="94" t="n"/>
      <c r="CT106" s="91" t="n"/>
      <c r="CU106" s="91" t="n"/>
      <c r="CV106" s="91" t="n"/>
      <c r="CW106" s="91" t="n"/>
      <c r="CX106" s="91" t="n"/>
      <c r="CY106" s="91" t="n"/>
      <c r="CZ106" s="91">
        <f>SUM(CN106:CY106)</f>
        <v/>
      </c>
      <c r="DA106" s="35" t="n"/>
    </row>
    <row r="107" ht="20" customFormat="1" customHeight="1" s="2">
      <c r="A107" s="30" t="n">
        <v>105</v>
      </c>
      <c r="B107" s="31" t="inlineStr">
        <is>
          <t>甘肃</t>
        </is>
      </c>
      <c r="C107" s="31" t="inlineStr">
        <is>
          <t>陇南成县</t>
        </is>
      </c>
      <c r="D107" s="31" t="inlineStr">
        <is>
          <t>马斌星</t>
        </is>
      </c>
      <c r="E107" s="89" t="n"/>
      <c r="F107" s="27" t="inlineStr">
        <is>
          <t>2023</t>
        </is>
      </c>
      <c r="G107" s="27" t="inlineStr">
        <is>
          <t>12</t>
        </is>
      </c>
      <c r="H107" s="91" t="n">
        <v>71944</v>
      </c>
      <c r="I107" s="91" t="n">
        <v>1545</v>
      </c>
      <c r="J107" s="91" t="n">
        <v>4297</v>
      </c>
      <c r="K107" s="91">
        <f>+H107+I107+J107</f>
        <v/>
      </c>
      <c r="L107" s="91" t="n">
        <v>7</v>
      </c>
      <c r="M107" s="91" t="inlineStr"/>
      <c r="N107" s="91" t="n"/>
      <c r="O107" s="91" t="n"/>
      <c r="P107" s="91" t="n"/>
      <c r="Q107" s="91" t="n"/>
      <c r="R107" s="91" t="n"/>
      <c r="S107" s="91" t="n"/>
      <c r="T107" s="91" t="n"/>
      <c r="U107" s="91" t="n"/>
      <c r="V107" s="91" t="n"/>
      <c r="W107" s="91" t="n"/>
      <c r="X107" s="91" t="n"/>
      <c r="Y107" s="91" t="n"/>
      <c r="Z107" s="91" t="n"/>
      <c r="AA107" s="91" t="n"/>
      <c r="AB107" s="91" t="n"/>
      <c r="AC107" s="91" t="n"/>
      <c r="AD107" s="91" t="n"/>
      <c r="AE107" s="91" t="n"/>
      <c r="AF107" s="91" t="n"/>
      <c r="AG107" s="30" t="n"/>
      <c r="AH107" s="30" t="n"/>
      <c r="AI107" s="30" t="n"/>
      <c r="AJ107" s="30" t="n"/>
      <c r="AK107" s="30" t="n"/>
      <c r="AL107" s="30" t="n"/>
      <c r="AM107" s="91" t="n"/>
      <c r="AN107" s="91" t="n"/>
      <c r="AO107" s="91" t="n"/>
      <c r="AP107" s="91" t="n"/>
      <c r="AQ107" s="91" t="n"/>
      <c r="AR107" s="91" t="n"/>
      <c r="AS107" s="91" t="n"/>
      <c r="AT107" s="91" t="n"/>
      <c r="AU107" s="91" t="n"/>
      <c r="AV107" s="31" t="n"/>
      <c r="AW107" s="36" t="n"/>
      <c r="AX107" s="16" t="n"/>
      <c r="AY107" s="31" t="n"/>
      <c r="AZ107" s="92" t="n"/>
      <c r="BA107" s="91" t="n"/>
      <c r="BB107" s="91" t="n"/>
      <c r="BC107" s="91" t="n"/>
      <c r="BD107" s="91" t="n"/>
      <c r="BE107" s="91" t="n"/>
      <c r="BF107" s="91" t="n"/>
      <c r="BG107" s="91" t="n"/>
      <c r="BH107" s="91" t="n"/>
      <c r="BI107" s="91" t="n"/>
      <c r="BJ107" s="91" t="n"/>
      <c r="BK107" s="91" t="n"/>
      <c r="BL107" s="91" t="n"/>
      <c r="BM107" s="91">
        <f>SUM(BA107:BL107)</f>
        <v/>
      </c>
      <c r="BN107" s="91" t="n"/>
      <c r="BO107" s="91" t="n"/>
      <c r="BP107" s="91" t="n"/>
      <c r="BQ107" s="91" t="n"/>
      <c r="BR107" s="91" t="inlineStr"/>
      <c r="BS107" s="91" t="n">
        <v>26521</v>
      </c>
      <c r="BT107" s="91">
        <f>48989+11555</f>
        <v/>
      </c>
      <c r="BU107" s="91" t="n">
        <v>2097</v>
      </c>
      <c r="BV107" s="91" t="n">
        <v>7551</v>
      </c>
      <c r="BW107" s="91" t="n">
        <v>1426</v>
      </c>
      <c r="BX107" s="91" t="n">
        <v>749</v>
      </c>
      <c r="BY107" s="91" t="n"/>
      <c r="BZ107" s="91">
        <f>SUM(BN107:BY107)</f>
        <v/>
      </c>
      <c r="CA107" s="91" t="inlineStr"/>
      <c r="CB107" s="91" t="inlineStr"/>
      <c r="CC107" s="91" t="n">
        <v>2866</v>
      </c>
      <c r="CD107" s="91" t="n"/>
      <c r="CE107" s="91" t="n">
        <v>4203</v>
      </c>
      <c r="CF107" s="91" t="n"/>
      <c r="CG107" s="91" t="n"/>
      <c r="CH107" s="91" t="inlineStr"/>
      <c r="CI107" s="91" t="n"/>
      <c r="CJ107" s="91" t="n">
        <v>31636</v>
      </c>
      <c r="CK107" s="91" t="n">
        <v>2054</v>
      </c>
      <c r="CL107" s="91" t="n">
        <v>135299</v>
      </c>
      <c r="CM107" s="91">
        <f>SUM(CA107:CL107)</f>
        <v/>
      </c>
      <c r="CN107" s="91" t="n"/>
      <c r="CO107" s="91" t="n"/>
      <c r="CP107" s="91" t="n"/>
      <c r="CQ107" s="93" t="n"/>
      <c r="CR107" s="94" t="n"/>
      <c r="CS107" s="94" t="n"/>
      <c r="CT107" s="91" t="n"/>
      <c r="CU107" s="91" t="n"/>
      <c r="CV107" s="91" t="n"/>
      <c r="CW107" s="91" t="n"/>
      <c r="CX107" s="91" t="n"/>
      <c r="CY107" s="91" t="n"/>
      <c r="CZ107" s="91">
        <f>SUM(CN107:CY107)</f>
        <v/>
      </c>
      <c r="DA107" s="35" t="n"/>
    </row>
    <row r="108" ht="20" customFormat="1" customHeight="1" s="2">
      <c r="A108" s="30" t="n">
        <v>106</v>
      </c>
      <c r="B108" s="31" t="inlineStr">
        <is>
          <t>四川</t>
        </is>
      </c>
      <c r="C108" s="31" t="inlineStr">
        <is>
          <t>雅安荥经</t>
        </is>
      </c>
      <c r="D108" s="31" t="inlineStr">
        <is>
          <t>张华</t>
        </is>
      </c>
      <c r="E108" s="89" t="n"/>
      <c r="F108" s="27" t="inlineStr">
        <is>
          <t>2023/2024</t>
        </is>
      </c>
      <c r="G108" s="27" t="inlineStr">
        <is>
          <t>12/3/3</t>
        </is>
      </c>
      <c r="H108" s="91">
        <f>78735+1015</f>
        <v/>
      </c>
      <c r="I108" s="91" t="n"/>
      <c r="J108" s="91" t="n">
        <v>4125</v>
      </c>
      <c r="K108" s="91">
        <f>+H108+I108+J108</f>
        <v/>
      </c>
      <c r="L108" s="91" t="n">
        <v>7</v>
      </c>
      <c r="M108" s="91" t="inlineStr"/>
      <c r="N108" s="91" t="n"/>
      <c r="O108" s="91" t="n"/>
      <c r="P108" s="91" t="n"/>
      <c r="Q108" s="91" t="n"/>
      <c r="R108" s="91" t="n"/>
      <c r="S108" s="91" t="n"/>
      <c r="T108" s="91" t="n"/>
      <c r="U108" s="91" t="n"/>
      <c r="V108" s="91" t="n"/>
      <c r="W108" s="91" t="n"/>
      <c r="X108" s="91" t="n"/>
      <c r="Y108" s="91" t="n"/>
      <c r="Z108" s="91" t="n"/>
      <c r="AA108" s="91" t="n"/>
      <c r="AB108" s="91" t="n"/>
      <c r="AC108" s="91" t="n"/>
      <c r="AD108" s="91" t="n"/>
      <c r="AE108" s="91" t="n"/>
      <c r="AF108" s="91" t="n"/>
      <c r="AG108" s="30" t="n"/>
      <c r="AH108" s="30" t="n"/>
      <c r="AI108" s="30" t="n"/>
      <c r="AJ108" s="30" t="n"/>
      <c r="AK108" s="30" t="n"/>
      <c r="AL108" s="30" t="n"/>
      <c r="AM108" s="91" t="n"/>
      <c r="AN108" s="91" t="n"/>
      <c r="AO108" s="91" t="n"/>
      <c r="AP108" s="91" t="n"/>
      <c r="AQ108" s="91" t="n"/>
      <c r="AR108" s="91" t="n"/>
      <c r="AS108" s="91" t="n"/>
      <c r="AT108" s="91" t="n"/>
      <c r="AU108" s="91" t="n"/>
      <c r="AV108" s="31" t="n"/>
      <c r="AW108" s="36" t="n"/>
      <c r="AX108" s="16" t="n"/>
      <c r="AY108" s="31" t="n"/>
      <c r="AZ108" s="92" t="n"/>
      <c r="BA108" s="91" t="n"/>
      <c r="BB108" s="91" t="n"/>
      <c r="BC108" s="91" t="n"/>
      <c r="BD108" s="91" t="n"/>
      <c r="BE108" s="91" t="n"/>
      <c r="BF108" s="91" t="n"/>
      <c r="BG108" s="91" t="n"/>
      <c r="BH108" s="91" t="n"/>
      <c r="BI108" s="91" t="n"/>
      <c r="BJ108" s="91" t="n"/>
      <c r="BK108" s="91" t="n"/>
      <c r="BL108" s="91" t="n"/>
      <c r="BM108" s="91">
        <f>SUM(BA108:BL108)</f>
        <v/>
      </c>
      <c r="BN108" s="91" t="n"/>
      <c r="BO108" s="91" t="n"/>
      <c r="BP108" s="91" t="n"/>
      <c r="BQ108" s="91" t="n"/>
      <c r="BR108" s="91" t="n">
        <v>1284</v>
      </c>
      <c r="BS108" s="91" t="inlineStr"/>
      <c r="BT108" s="91" t="n">
        <v>2367</v>
      </c>
      <c r="BU108" s="91" t="n"/>
      <c r="BV108" s="91" t="inlineStr"/>
      <c r="BW108" s="91" t="n">
        <v>40350</v>
      </c>
      <c r="BX108" s="91" t="inlineStr"/>
      <c r="BY108" s="91" t="n"/>
      <c r="BZ108" s="91">
        <f>SUM(BN108:BY108)</f>
        <v/>
      </c>
      <c r="CA108" s="91" t="inlineStr"/>
      <c r="CB108" s="91" t="inlineStr"/>
      <c r="CC108" s="91" t="n">
        <v>2697</v>
      </c>
      <c r="CD108" s="91" t="n">
        <v>9122</v>
      </c>
      <c r="CE108" s="91" t="n"/>
      <c r="CF108" s="91" t="n"/>
      <c r="CG108" s="91" t="n">
        <v>9406</v>
      </c>
      <c r="CH108" s="91" t="n">
        <v>3552</v>
      </c>
      <c r="CI108" s="91" t="n">
        <v>1888</v>
      </c>
      <c r="CJ108" s="91" t="n">
        <v>4156</v>
      </c>
      <c r="CK108" s="91" t="n">
        <v>1134</v>
      </c>
      <c r="CL108" s="91" t="inlineStr"/>
      <c r="CM108" s="91">
        <f>SUM(CA108:CL108)</f>
        <v/>
      </c>
      <c r="CN108" s="91" t="n"/>
      <c r="CO108" s="91" t="n"/>
      <c r="CP108" s="91" t="n"/>
      <c r="CQ108" s="93" t="n"/>
      <c r="CR108" s="94" t="n"/>
      <c r="CS108" s="94" t="n"/>
      <c r="CT108" s="91" t="n"/>
      <c r="CU108" s="91" t="n"/>
      <c r="CV108" s="91" t="n"/>
      <c r="CW108" s="91" t="n"/>
      <c r="CX108" s="91" t="n"/>
      <c r="CY108" s="91" t="n"/>
      <c r="CZ108" s="91">
        <f>SUM(CN108:CY108)</f>
        <v/>
      </c>
      <c r="DA108" s="35" t="n"/>
    </row>
    <row r="109" ht="20" customFormat="1" customHeight="1" s="2">
      <c r="A109" s="30" t="n">
        <v>107</v>
      </c>
      <c r="B109" s="31" t="inlineStr">
        <is>
          <t>重庆</t>
        </is>
      </c>
      <c r="C109" s="31" t="inlineStr">
        <is>
          <t>蔡家</t>
        </is>
      </c>
      <c r="D109" s="31" t="inlineStr">
        <is>
          <t>黄东</t>
        </is>
      </c>
      <c r="E109" s="89" t="n"/>
      <c r="F109" s="27" t="inlineStr">
        <is>
          <t>2024</t>
        </is>
      </c>
      <c r="G109" s="27" t="inlineStr">
        <is>
          <t>1/3/3/4</t>
        </is>
      </c>
      <c r="H109" s="91">
        <f>86531+2461+1249</f>
        <v/>
      </c>
      <c r="I109" s="91" t="n">
        <v>11131</v>
      </c>
      <c r="J109" s="91" t="n"/>
      <c r="K109" s="91">
        <f>+H109+I109+J109</f>
        <v/>
      </c>
      <c r="L109" s="91" t="n">
        <v>7</v>
      </c>
      <c r="M109" s="91" t="inlineStr"/>
      <c r="N109" s="91" t="n"/>
      <c r="O109" s="91" t="n"/>
      <c r="P109" s="91" t="n"/>
      <c r="Q109" s="91" t="n"/>
      <c r="R109" s="91" t="n"/>
      <c r="S109" s="91" t="n"/>
      <c r="T109" s="91" t="n"/>
      <c r="U109" s="91" t="n"/>
      <c r="V109" s="91" t="n"/>
      <c r="W109" s="91" t="n"/>
      <c r="X109" s="91" t="n"/>
      <c r="Y109" s="91" t="n"/>
      <c r="Z109" s="91" t="n"/>
      <c r="AA109" s="91" t="n"/>
      <c r="AB109" s="91" t="n"/>
      <c r="AC109" s="91" t="n"/>
      <c r="AD109" s="91" t="n"/>
      <c r="AE109" s="91" t="n"/>
      <c r="AF109" s="91" t="n"/>
      <c r="AG109" s="30" t="n"/>
      <c r="AH109" s="30" t="n"/>
      <c r="AI109" s="30" t="n"/>
      <c r="AJ109" s="30" t="n"/>
      <c r="AK109" s="30" t="n"/>
      <c r="AL109" s="30" t="n"/>
      <c r="AM109" s="91" t="n"/>
      <c r="AN109" s="91" t="n"/>
      <c r="AO109" s="91" t="n"/>
      <c r="AP109" s="91" t="n"/>
      <c r="AQ109" s="91" t="n"/>
      <c r="AR109" s="91" t="n"/>
      <c r="AS109" s="91" t="n"/>
      <c r="AT109" s="91" t="n"/>
      <c r="AU109" s="91" t="n"/>
      <c r="AV109" s="31" t="n"/>
      <c r="AW109" s="36" t="n"/>
      <c r="AX109" s="16" t="n"/>
      <c r="AY109" s="31" t="n"/>
      <c r="AZ109" s="92" t="n"/>
      <c r="BA109" s="91" t="n"/>
      <c r="BB109" s="91" t="n"/>
      <c r="BC109" s="91" t="n"/>
      <c r="BD109" s="91" t="n"/>
      <c r="BE109" s="91" t="n"/>
      <c r="BF109" s="91" t="n"/>
      <c r="BG109" s="91" t="n"/>
      <c r="BH109" s="91" t="n"/>
      <c r="BI109" s="91" t="n"/>
      <c r="BJ109" s="91" t="n"/>
      <c r="BK109" s="91" t="n"/>
      <c r="BL109" s="91" t="n"/>
      <c r="BM109" s="91">
        <f>SUM(BA109:BL109)</f>
        <v/>
      </c>
      <c r="BN109" s="91" t="n"/>
      <c r="BO109" s="91" t="n"/>
      <c r="BP109" s="91" t="n">
        <v>78411</v>
      </c>
      <c r="BQ109" s="91" t="n">
        <v>20444</v>
      </c>
      <c r="BR109" s="91" t="n">
        <v>12316</v>
      </c>
      <c r="BS109" s="91" t="n">
        <v>1934</v>
      </c>
      <c r="BT109" s="91" t="n">
        <v>113</v>
      </c>
      <c r="BU109" s="91" t="n">
        <v>2501</v>
      </c>
      <c r="BV109" s="91" t="n">
        <v>199</v>
      </c>
      <c r="BW109" s="91" t="inlineStr"/>
      <c r="BX109" s="91" t="inlineStr"/>
      <c r="BY109" s="91" t="n"/>
      <c r="BZ109" s="91">
        <f>SUM(BN109:BY109)</f>
        <v/>
      </c>
      <c r="CA109" s="91" t="inlineStr"/>
      <c r="CB109" s="91" t="inlineStr"/>
      <c r="CC109" s="91" t="inlineStr"/>
      <c r="CD109" s="91" t="n"/>
      <c r="CE109" s="91" t="n"/>
      <c r="CF109" s="91" t="n"/>
      <c r="CG109" s="91" t="n"/>
      <c r="CH109" s="91" t="n">
        <v>22149</v>
      </c>
      <c r="CI109" s="91" t="n">
        <v>61995</v>
      </c>
      <c r="CJ109" s="91" t="inlineStr"/>
      <c r="CK109" s="91" t="n"/>
      <c r="CL109" s="91" t="inlineStr"/>
      <c r="CM109" s="91">
        <f>SUM(CA109:CL109)</f>
        <v/>
      </c>
      <c r="CN109" s="91" t="n"/>
      <c r="CO109" s="91" t="n"/>
      <c r="CP109" s="91" t="n"/>
      <c r="CQ109" s="93" t="n"/>
      <c r="CR109" s="94" t="n"/>
      <c r="CS109" s="94" t="n"/>
      <c r="CT109" s="91" t="n"/>
      <c r="CU109" s="91" t="n"/>
      <c r="CV109" s="91" t="n"/>
      <c r="CW109" s="91" t="n"/>
      <c r="CX109" s="91" t="n"/>
      <c r="CY109" s="91" t="n"/>
      <c r="CZ109" s="91">
        <f>SUM(CN109:CY109)</f>
        <v/>
      </c>
      <c r="DA109" s="35" t="n"/>
    </row>
    <row r="110" ht="20" customFormat="1" customHeight="1" s="2">
      <c r="A110" s="30" t="n">
        <v>108</v>
      </c>
      <c r="B110" s="31" t="inlineStr">
        <is>
          <t>山西</t>
        </is>
      </c>
      <c r="C110" s="31" t="inlineStr">
        <is>
          <t>陵川</t>
        </is>
      </c>
      <c r="D110" s="31" t="inlineStr">
        <is>
          <t>王立俊</t>
        </is>
      </c>
      <c r="E110" s="89" t="n"/>
      <c r="F110" s="27" t="inlineStr">
        <is>
          <t>2024</t>
        </is>
      </c>
      <c r="G110" s="27" t="inlineStr">
        <is>
          <t>1</t>
        </is>
      </c>
      <c r="H110" s="91" t="n">
        <v>31999</v>
      </c>
      <c r="I110" s="91" t="n"/>
      <c r="J110" s="91" t="n"/>
      <c r="K110" s="91">
        <f>+H110+I110+J110</f>
        <v/>
      </c>
      <c r="L110" s="91" t="n">
        <v>8</v>
      </c>
      <c r="M110" s="91" t="inlineStr"/>
      <c r="N110" s="91" t="n"/>
      <c r="O110" s="91" t="n"/>
      <c r="P110" s="91" t="n"/>
      <c r="Q110" s="91" t="n"/>
      <c r="R110" s="91" t="n"/>
      <c r="S110" s="91" t="n"/>
      <c r="T110" s="91" t="n"/>
      <c r="U110" s="91" t="n"/>
      <c r="V110" s="91" t="n"/>
      <c r="W110" s="91" t="n"/>
      <c r="X110" s="91" t="n"/>
      <c r="Y110" s="91" t="n"/>
      <c r="Z110" s="91" t="n"/>
      <c r="AA110" s="91" t="n"/>
      <c r="AB110" s="91" t="n"/>
      <c r="AC110" s="91" t="n"/>
      <c r="AD110" s="91" t="n"/>
      <c r="AE110" s="91" t="n"/>
      <c r="AF110" s="91" t="n"/>
      <c r="AG110" s="30" t="n"/>
      <c r="AH110" s="30" t="n"/>
      <c r="AI110" s="30" t="n"/>
      <c r="AJ110" s="30" t="n"/>
      <c r="AK110" s="30" t="n"/>
      <c r="AL110" s="30" t="n"/>
      <c r="AM110" s="91" t="n"/>
      <c r="AN110" s="91" t="n"/>
      <c r="AO110" s="91" t="n"/>
      <c r="AP110" s="91" t="n"/>
      <c r="AQ110" s="91" t="n"/>
      <c r="AR110" s="91" t="n"/>
      <c r="AS110" s="91" t="n"/>
      <c r="AT110" s="91" t="n"/>
      <c r="AU110" s="91" t="n"/>
      <c r="AV110" s="31" t="n"/>
      <c r="AW110" s="36" t="n"/>
      <c r="AX110" s="16" t="n"/>
      <c r="AY110" s="31" t="n"/>
      <c r="AZ110" s="92" t="n"/>
      <c r="BA110" s="91" t="n"/>
      <c r="BB110" s="91" t="n"/>
      <c r="BC110" s="91" t="n"/>
      <c r="BD110" s="91" t="n"/>
      <c r="BE110" s="91" t="n"/>
      <c r="BF110" s="91" t="n"/>
      <c r="BG110" s="91" t="n"/>
      <c r="BH110" s="91" t="n"/>
      <c r="BI110" s="91" t="n"/>
      <c r="BJ110" s="91" t="n"/>
      <c r="BK110" s="91" t="n"/>
      <c r="BL110" s="91" t="n"/>
      <c r="BM110" s="91">
        <f>SUM(BA110:BL110)</f>
        <v/>
      </c>
      <c r="BN110" s="91" t="n"/>
      <c r="BO110" s="91" t="n"/>
      <c r="BP110" s="91" t="n"/>
      <c r="BQ110" s="91" t="n"/>
      <c r="BR110" s="91" t="inlineStr"/>
      <c r="BS110" s="91" t="inlineStr"/>
      <c r="BT110" s="91" t="n"/>
      <c r="BU110" s="91" t="n"/>
      <c r="BV110" s="91" t="inlineStr"/>
      <c r="BW110" s="91" t="inlineStr"/>
      <c r="BX110" s="91" t="inlineStr"/>
      <c r="BY110" s="91" t="n"/>
      <c r="BZ110" s="91">
        <f>SUM(BN110:BY110)</f>
        <v/>
      </c>
      <c r="CA110" s="91" t="inlineStr"/>
      <c r="CB110" s="91" t="inlineStr"/>
      <c r="CC110" s="91" t="inlineStr"/>
      <c r="CD110" s="91" t="n"/>
      <c r="CE110" s="91" t="n"/>
      <c r="CF110" s="91" t="n"/>
      <c r="CG110" s="91" t="n"/>
      <c r="CH110" s="91" t="inlineStr"/>
      <c r="CI110" s="91" t="n"/>
      <c r="CJ110" s="91" t="inlineStr"/>
      <c r="CK110" s="91" t="n"/>
      <c r="CL110" s="91" t="inlineStr"/>
      <c r="CM110" s="91">
        <f>SUM(CA110:CL110)</f>
        <v/>
      </c>
      <c r="CN110" s="91" t="n"/>
      <c r="CO110" s="91" t="n"/>
      <c r="CP110" s="91" t="n"/>
      <c r="CQ110" s="93" t="n"/>
      <c r="CR110" s="94" t="n"/>
      <c r="CS110" s="94" t="n"/>
      <c r="CT110" s="91" t="n"/>
      <c r="CU110" s="91" t="n"/>
      <c r="CV110" s="91" t="n"/>
      <c r="CW110" s="91" t="n"/>
      <c r="CX110" s="91" t="n"/>
      <c r="CY110" s="91" t="n"/>
      <c r="CZ110" s="91">
        <f>SUM(CN110:CY110)</f>
        <v/>
      </c>
      <c r="DA110" s="35" t="n"/>
    </row>
    <row r="111" ht="20" customFormat="1" customHeight="1" s="2">
      <c r="A111" s="30" t="n">
        <v>109</v>
      </c>
      <c r="B111" s="31" t="inlineStr">
        <is>
          <t>云南</t>
        </is>
      </c>
      <c r="C111" s="31" t="inlineStr">
        <is>
          <t>曲靖</t>
        </is>
      </c>
      <c r="D111" s="31" t="inlineStr">
        <is>
          <t>谢其勇</t>
        </is>
      </c>
      <c r="E111" s="89" t="n"/>
      <c r="F111" s="27" t="inlineStr">
        <is>
          <t>2024</t>
        </is>
      </c>
      <c r="G111" s="27" t="inlineStr">
        <is>
          <t>6</t>
        </is>
      </c>
      <c r="H111" s="91" t="n">
        <v>276</v>
      </c>
      <c r="I111" s="91" t="n"/>
      <c r="J111" s="91" t="n"/>
      <c r="K111" s="91">
        <f>+H111+I111+J111</f>
        <v/>
      </c>
      <c r="L111" s="91" t="n">
        <v>7</v>
      </c>
      <c r="M111" s="91" t="inlineStr"/>
      <c r="N111" s="91" t="n"/>
      <c r="O111" s="91" t="n"/>
      <c r="P111" s="91" t="n"/>
      <c r="Q111" s="91" t="n"/>
      <c r="R111" s="91" t="n"/>
      <c r="S111" s="91" t="n"/>
      <c r="T111" s="91" t="n"/>
      <c r="U111" s="91" t="n"/>
      <c r="V111" s="91" t="n"/>
      <c r="W111" s="91" t="n"/>
      <c r="X111" s="91" t="n"/>
      <c r="Y111" s="91" t="n"/>
      <c r="Z111" s="91" t="n"/>
      <c r="AA111" s="91" t="n"/>
      <c r="AB111" s="91" t="n"/>
      <c r="AC111" s="91" t="n"/>
      <c r="AD111" s="91" t="n"/>
      <c r="AE111" s="91" t="n"/>
      <c r="AF111" s="91" t="n"/>
      <c r="AG111" s="30" t="n"/>
      <c r="AH111" s="30" t="n"/>
      <c r="AI111" s="30" t="n"/>
      <c r="AJ111" s="30" t="n"/>
      <c r="AK111" s="30" t="n"/>
      <c r="AL111" s="30" t="n"/>
      <c r="AM111" s="91" t="n"/>
      <c r="AN111" s="91" t="n"/>
      <c r="AO111" s="91" t="n"/>
      <c r="AP111" s="91" t="n"/>
      <c r="AQ111" s="91" t="n"/>
      <c r="AR111" s="91" t="n"/>
      <c r="AS111" s="91" t="n"/>
      <c r="AT111" s="91" t="n"/>
      <c r="AU111" s="91" t="n"/>
      <c r="AV111" s="31" t="n"/>
      <c r="AW111" s="36" t="n"/>
      <c r="AX111" s="16" t="n"/>
      <c r="AY111" s="31" t="n"/>
      <c r="AZ111" s="92" t="n"/>
      <c r="BA111" s="91" t="n"/>
      <c r="BB111" s="91" t="n"/>
      <c r="BC111" s="91" t="n"/>
      <c r="BD111" s="91" t="n"/>
      <c r="BE111" s="91" t="n"/>
      <c r="BF111" s="91" t="n"/>
      <c r="BG111" s="91" t="n"/>
      <c r="BH111" s="91" t="n"/>
      <c r="BI111" s="91" t="n"/>
      <c r="BJ111" s="91" t="n"/>
      <c r="BK111" s="91" t="n"/>
      <c r="BL111" s="91" t="n"/>
      <c r="BM111" s="91" t="n"/>
      <c r="BN111" s="91" t="n"/>
      <c r="BO111" s="91" t="n"/>
      <c r="BP111" s="91" t="n"/>
      <c r="BQ111" s="91" t="n"/>
      <c r="BR111" s="91" t="n"/>
      <c r="BS111" s="91" t="inlineStr"/>
      <c r="BT111" s="91" t="n"/>
      <c r="BU111" s="91" t="n">
        <v>5368</v>
      </c>
      <c r="BV111" s="91" t="n">
        <v>145</v>
      </c>
      <c r="BW111" s="91" t="inlineStr"/>
      <c r="BX111" s="91" t="inlineStr"/>
      <c r="BY111" s="91" t="n"/>
      <c r="BZ111" s="91">
        <f>SUM(BN111:BY111)</f>
        <v/>
      </c>
      <c r="CA111" s="91" t="inlineStr"/>
      <c r="CB111" s="91" t="inlineStr"/>
      <c r="CC111" s="91" t="inlineStr"/>
      <c r="CD111" s="91" t="n"/>
      <c r="CE111" s="91" t="n"/>
      <c r="CF111" s="91" t="n"/>
      <c r="CG111" s="91" t="n"/>
      <c r="CH111" s="91" t="inlineStr"/>
      <c r="CI111" s="91" t="n"/>
      <c r="CJ111" s="91" t="inlineStr"/>
      <c r="CK111" s="91" t="n"/>
      <c r="CL111" s="91" t="inlineStr"/>
      <c r="CM111" s="91">
        <f>SUM(CA111:CL111)</f>
        <v/>
      </c>
      <c r="CN111" s="91" t="n"/>
      <c r="CO111" s="91" t="n"/>
      <c r="CP111" s="91" t="n"/>
      <c r="CQ111" s="93" t="n"/>
      <c r="CR111" s="94" t="n"/>
      <c r="CS111" s="94" t="n"/>
      <c r="CT111" s="91" t="n"/>
      <c r="CU111" s="91" t="n"/>
      <c r="CV111" s="91" t="n"/>
      <c r="CW111" s="91" t="n"/>
      <c r="CX111" s="91" t="n"/>
      <c r="CY111" s="91" t="n"/>
      <c r="CZ111" s="91">
        <f>SUM(CN111:CY111)</f>
        <v/>
      </c>
      <c r="DA111" s="35" t="n"/>
    </row>
    <row r="112" ht="20" customFormat="1" customHeight="1" s="2">
      <c r="A112" s="30" t="n">
        <v>110</v>
      </c>
      <c r="B112" s="61" t="inlineStr">
        <is>
          <t>甘肃</t>
        </is>
      </c>
      <c r="C112" s="61" t="inlineStr">
        <is>
          <t>岷县</t>
        </is>
      </c>
      <c r="D112" s="61" t="inlineStr">
        <is>
          <t>沈亚洲</t>
        </is>
      </c>
      <c r="E112" s="89" t="n"/>
      <c r="F112" s="27" t="inlineStr">
        <is>
          <t>2021/2025</t>
        </is>
      </c>
      <c r="G112" s="27" t="inlineStr">
        <is>
          <t>9/2</t>
        </is>
      </c>
      <c r="H112" s="91">
        <f>88604+231</f>
        <v/>
      </c>
      <c r="I112" s="91" t="n"/>
      <c r="J112" s="91" t="n"/>
      <c r="K112" s="91">
        <f>+H112+I112+J112</f>
        <v/>
      </c>
      <c r="L112" s="91" t="n">
        <v>5</v>
      </c>
      <c r="M112" s="91" t="inlineStr"/>
      <c r="N112" s="91" t="n"/>
      <c r="O112" s="91" t="n"/>
      <c r="P112" s="91" t="n"/>
      <c r="Q112" s="91" t="n"/>
      <c r="R112" s="91" t="n"/>
      <c r="S112" s="91" t="n"/>
      <c r="T112" s="91" t="n"/>
      <c r="U112" s="91" t="n"/>
      <c r="V112" s="91" t="n"/>
      <c r="W112" s="91" t="n"/>
      <c r="X112" s="91" t="n"/>
      <c r="Y112" s="91" t="n"/>
      <c r="Z112" s="91" t="n"/>
      <c r="AA112" s="91" t="n"/>
      <c r="AB112" s="91" t="n"/>
      <c r="AC112" s="91" t="n"/>
      <c r="AD112" s="91" t="n"/>
      <c r="AE112" s="91" t="n"/>
      <c r="AF112" s="91" t="n"/>
      <c r="AG112" s="30" t="n"/>
      <c r="AH112" s="30" t="n"/>
      <c r="AI112" s="30" t="n"/>
      <c r="AJ112" s="30" t="n"/>
      <c r="AK112" s="30" t="n"/>
      <c r="AL112" s="30" t="n"/>
      <c r="AM112" s="91" t="n"/>
      <c r="AN112" s="91" t="n"/>
      <c r="AO112" s="91" t="n"/>
      <c r="AP112" s="91" t="n"/>
      <c r="AQ112" s="91" t="n"/>
      <c r="AR112" s="91" t="n"/>
      <c r="AS112" s="91" t="n"/>
      <c r="AT112" s="91" t="n"/>
      <c r="AU112" s="91" t="n"/>
      <c r="AV112" s="31" t="n"/>
      <c r="AW112" s="36" t="n"/>
      <c r="AX112" s="16" t="n"/>
      <c r="AY112" s="31" t="n"/>
      <c r="AZ112" s="92" t="n"/>
      <c r="BA112" s="91" t="n"/>
      <c r="BB112" s="91" t="n"/>
      <c r="BC112" s="91" t="n"/>
      <c r="BD112" s="91" t="n"/>
      <c r="BE112" s="91" t="n"/>
      <c r="BF112" s="91" t="n"/>
      <c r="BG112" s="91" t="n"/>
      <c r="BH112" s="91" t="n"/>
      <c r="BI112" s="91" t="n"/>
      <c r="BJ112" s="91" t="n"/>
      <c r="BK112" s="91" t="n"/>
      <c r="BL112" s="91" t="n"/>
      <c r="BM112" s="91" t="n"/>
      <c r="BN112" s="91" t="n"/>
      <c r="BO112" s="91" t="n"/>
      <c r="BP112" s="91" t="n"/>
      <c r="BQ112" s="91">
        <f>20680+7715</f>
        <v/>
      </c>
      <c r="BR112" s="91" t="n">
        <v>11922</v>
      </c>
      <c r="BS112" s="91" t="n">
        <v>64212</v>
      </c>
      <c r="BT112" s="91" t="n">
        <v>80</v>
      </c>
      <c r="BU112" s="91" t="n">
        <v>45046.91</v>
      </c>
      <c r="BV112" s="91" t="n">
        <v>4700</v>
      </c>
      <c r="BW112" s="91" t="inlineStr"/>
      <c r="BX112" s="91" t="n">
        <v>1348.09</v>
      </c>
      <c r="BY112" s="91" t="n"/>
      <c r="BZ112" s="91">
        <f>SUM(BN112:BY112)</f>
        <v/>
      </c>
      <c r="CA112" s="91" t="inlineStr"/>
      <c r="CB112" s="91" t="inlineStr"/>
      <c r="CC112" s="91" t="inlineStr"/>
      <c r="CD112" s="91" t="n"/>
      <c r="CE112" s="91" t="n"/>
      <c r="CF112" s="91" t="n"/>
      <c r="CG112" s="91" t="n"/>
      <c r="CH112" s="91" t="inlineStr"/>
      <c r="CI112" s="91" t="n"/>
      <c r="CJ112" s="91" t="inlineStr"/>
      <c r="CK112" s="91" t="n"/>
      <c r="CL112" s="91" t="inlineStr"/>
      <c r="CM112" s="91">
        <f>SUM(CA112:CL112)</f>
        <v/>
      </c>
      <c r="CN112" s="91" t="n"/>
      <c r="CO112" s="91" t="n"/>
      <c r="CP112" s="91" t="n"/>
      <c r="CQ112" s="93" t="n"/>
      <c r="CR112" s="94" t="n"/>
      <c r="CS112" s="94" t="n"/>
      <c r="CT112" s="91" t="n"/>
      <c r="CU112" s="91" t="n"/>
      <c r="CV112" s="91" t="n"/>
      <c r="CW112" s="91" t="n"/>
      <c r="CX112" s="91" t="n"/>
      <c r="CY112" s="91" t="n"/>
      <c r="CZ112" s="91">
        <f>SUM(CN112:CY112)</f>
        <v/>
      </c>
      <c r="DA112" s="35" t="n"/>
    </row>
    <row r="113" ht="20" customFormat="1" customHeight="1" s="2">
      <c r="A113" s="30" t="n">
        <v>111</v>
      </c>
      <c r="B113" s="31" t="inlineStr">
        <is>
          <t>新疆</t>
        </is>
      </c>
      <c r="C113" s="31" t="inlineStr">
        <is>
          <t>博乐</t>
        </is>
      </c>
      <c r="D113" s="31" t="inlineStr">
        <is>
          <t>杨开敏</t>
        </is>
      </c>
      <c r="E113" s="89" t="n"/>
      <c r="F113" s="27" t="inlineStr">
        <is>
          <t>2021/2024</t>
        </is>
      </c>
      <c r="G113" s="27" t="inlineStr">
        <is>
          <t>5/7</t>
        </is>
      </c>
      <c r="H113" s="91">
        <f>166434+5604</f>
        <v/>
      </c>
      <c r="I113" s="91" t="n"/>
      <c r="J113" s="91" t="n"/>
      <c r="K113" s="91">
        <f>+H113+I113+J113</f>
        <v/>
      </c>
      <c r="L113" s="91" t="n">
        <v>5</v>
      </c>
      <c r="M113" s="91" t="inlineStr"/>
      <c r="N113" s="91" t="n"/>
      <c r="O113" s="91" t="n"/>
      <c r="P113" s="91" t="n"/>
      <c r="Q113" s="91" t="n"/>
      <c r="R113" s="91" t="n"/>
      <c r="S113" s="91" t="n"/>
      <c r="T113" s="91" t="n"/>
      <c r="U113" s="91" t="n"/>
      <c r="V113" s="91" t="n"/>
      <c r="W113" s="91" t="n"/>
      <c r="X113" s="91" t="n"/>
      <c r="Y113" s="91" t="n"/>
      <c r="Z113" s="91" t="n"/>
      <c r="AA113" s="91" t="n"/>
      <c r="AB113" s="91" t="n"/>
      <c r="AC113" s="91" t="n"/>
      <c r="AD113" s="91" t="n"/>
      <c r="AE113" s="91" t="n"/>
      <c r="AF113" s="91" t="n"/>
      <c r="AG113" s="30" t="n"/>
      <c r="AH113" s="30" t="n"/>
      <c r="AI113" s="30" t="n"/>
      <c r="AJ113" s="30" t="n"/>
      <c r="AK113" s="30" t="n"/>
      <c r="AL113" s="30" t="n"/>
      <c r="AM113" s="91" t="n"/>
      <c r="AN113" s="91" t="n"/>
      <c r="AO113" s="91" t="n"/>
      <c r="AP113" s="91" t="n"/>
      <c r="AQ113" s="91" t="n"/>
      <c r="AR113" s="91" t="n"/>
      <c r="AS113" s="91" t="n"/>
      <c r="AT113" s="91" t="n"/>
      <c r="AU113" s="91" t="n"/>
      <c r="AV113" s="31" t="n"/>
      <c r="AW113" s="36" t="n"/>
      <c r="AX113" s="16" t="n"/>
      <c r="AY113" s="31" t="n"/>
      <c r="AZ113" s="92" t="n"/>
      <c r="BA113" s="91" t="n"/>
      <c r="BB113" s="91" t="n"/>
      <c r="BC113" s="91" t="n"/>
      <c r="BD113" s="91" t="n"/>
      <c r="BE113" s="91" t="n"/>
      <c r="BF113" s="91" t="n"/>
      <c r="BG113" s="91" t="n"/>
      <c r="BH113" s="91" t="n"/>
      <c r="BI113" s="91" t="n"/>
      <c r="BJ113" s="91" t="n"/>
      <c r="BK113" s="91" t="n"/>
      <c r="BL113" s="91" t="n"/>
      <c r="BM113" s="91" t="n"/>
      <c r="BN113" s="91" t="n"/>
      <c r="BO113" s="91" t="n"/>
      <c r="BP113" s="91" t="n"/>
      <c r="BQ113" s="91" t="n">
        <v>106</v>
      </c>
      <c r="BR113" s="91" t="n">
        <v>13986</v>
      </c>
      <c r="BS113" s="91">
        <f>14547+5630</f>
        <v/>
      </c>
      <c r="BT113" s="91" t="n">
        <v>18565</v>
      </c>
      <c r="BU113" s="91" t="n">
        <v>37983</v>
      </c>
      <c r="BV113" s="91" t="n">
        <v>11819</v>
      </c>
      <c r="BW113" s="91" t="n">
        <v>37946</v>
      </c>
      <c r="BX113" s="91" t="n">
        <v>278</v>
      </c>
      <c r="BY113" s="91" t="n"/>
      <c r="BZ113" s="91">
        <f>SUM(BN113:BY113)</f>
        <v/>
      </c>
      <c r="CA113" s="91" t="inlineStr"/>
      <c r="CB113" s="91" t="inlineStr"/>
      <c r="CC113" s="91" t="inlineStr"/>
      <c r="CD113" s="91" t="n"/>
      <c r="CE113" s="91" t="n"/>
      <c r="CF113" s="91" t="n"/>
      <c r="CG113" s="91" t="n"/>
      <c r="CH113" s="91" t="inlineStr"/>
      <c r="CI113" s="91" t="n"/>
      <c r="CJ113" s="91" t="n">
        <v>23836</v>
      </c>
      <c r="CK113" s="91" t="n"/>
      <c r="CL113" s="91" t="n">
        <v>670</v>
      </c>
      <c r="CM113" s="91">
        <f>SUM(CA113:CL113)</f>
        <v/>
      </c>
      <c r="CN113" s="91" t="n"/>
      <c r="CO113" s="91" t="n"/>
      <c r="CP113" s="91" t="n"/>
      <c r="CQ113" s="93" t="n"/>
      <c r="CR113" s="94" t="n"/>
      <c r="CS113" s="94" t="n"/>
      <c r="CT113" s="91" t="n"/>
      <c r="CU113" s="91" t="n"/>
      <c r="CV113" s="91" t="n"/>
      <c r="CW113" s="91" t="n"/>
      <c r="CX113" s="91" t="n"/>
      <c r="CY113" s="91" t="n"/>
      <c r="CZ113" s="91">
        <f>SUM(CN113:CY113)</f>
        <v/>
      </c>
      <c r="DA113" s="35" t="n"/>
    </row>
    <row r="114" ht="20" customFormat="1" customHeight="1" s="2">
      <c r="A114" s="30" t="n">
        <v>112</v>
      </c>
      <c r="B114" s="61" t="inlineStr">
        <is>
          <t>天津</t>
        </is>
      </c>
      <c r="C114" s="61" t="inlineStr">
        <is>
          <t>滨海新区</t>
        </is>
      </c>
      <c r="D114" s="61" t="inlineStr">
        <is>
          <t>武常浩</t>
        </is>
      </c>
      <c r="E114" s="89" t="n"/>
      <c r="F114" s="27" t="inlineStr">
        <is>
          <t>2022</t>
        </is>
      </c>
      <c r="G114" s="27" t="inlineStr">
        <is>
          <t>4</t>
        </is>
      </c>
      <c r="H114" s="91" t="n">
        <v>96440</v>
      </c>
      <c r="I114" s="91" t="n"/>
      <c r="J114" s="91" t="n"/>
      <c r="K114" s="91">
        <f>+H114+I114+J114</f>
        <v/>
      </c>
      <c r="L114" s="91" t="n">
        <v>6</v>
      </c>
      <c r="M114" s="91" t="inlineStr"/>
      <c r="N114" s="91" t="n"/>
      <c r="O114" s="91" t="n"/>
      <c r="P114" s="91" t="n"/>
      <c r="Q114" s="91" t="n"/>
      <c r="R114" s="91" t="n"/>
      <c r="S114" s="91" t="n"/>
      <c r="T114" s="91" t="n"/>
      <c r="U114" s="91" t="n"/>
      <c r="V114" s="91" t="n"/>
      <c r="W114" s="91" t="n"/>
      <c r="X114" s="91" t="n"/>
      <c r="Y114" s="91" t="n"/>
      <c r="Z114" s="91" t="n"/>
      <c r="AA114" s="91" t="n"/>
      <c r="AB114" s="91" t="n"/>
      <c r="AC114" s="91" t="n"/>
      <c r="AD114" s="91" t="n"/>
      <c r="AE114" s="91" t="n"/>
      <c r="AF114" s="91" t="n"/>
      <c r="AG114" s="30" t="n"/>
      <c r="AH114" s="30" t="n"/>
      <c r="AI114" s="30" t="n"/>
      <c r="AJ114" s="30" t="n"/>
      <c r="AK114" s="30" t="n"/>
      <c r="AL114" s="30" t="n"/>
      <c r="AM114" s="91" t="n"/>
      <c r="AN114" s="91" t="n"/>
      <c r="AO114" s="91" t="n"/>
      <c r="AP114" s="91" t="n"/>
      <c r="AQ114" s="91" t="n"/>
      <c r="AR114" s="91" t="n"/>
      <c r="AS114" s="91" t="n"/>
      <c r="AT114" s="91" t="n"/>
      <c r="AU114" s="91" t="n"/>
      <c r="AV114" s="31" t="n"/>
      <c r="AW114" s="36" t="n"/>
      <c r="AX114" s="16" t="n"/>
      <c r="AY114" s="31" t="n"/>
      <c r="AZ114" s="92" t="n"/>
      <c r="BA114" s="91" t="n"/>
      <c r="BB114" s="91" t="n"/>
      <c r="BC114" s="91" t="n"/>
      <c r="BD114" s="91" t="n"/>
      <c r="BE114" s="91" t="n"/>
      <c r="BF114" s="91" t="n"/>
      <c r="BG114" s="91" t="n"/>
      <c r="BH114" s="91" t="n"/>
      <c r="BI114" s="91" t="n"/>
      <c r="BJ114" s="91" t="n"/>
      <c r="BK114" s="91" t="n"/>
      <c r="BL114" s="91" t="n"/>
      <c r="BM114" s="91" t="n"/>
      <c r="BN114" s="91" t="n"/>
      <c r="BO114" s="91" t="n"/>
      <c r="BP114" s="91" t="n"/>
      <c r="BQ114" s="91" t="n">
        <v>383</v>
      </c>
      <c r="BR114" s="91">
        <f>23378+5968</f>
        <v/>
      </c>
      <c r="BS114" s="91" t="n">
        <v>5192</v>
      </c>
      <c r="BT114" s="91" t="n">
        <v>4717</v>
      </c>
      <c r="BU114" s="91" t="n">
        <v>15732</v>
      </c>
      <c r="BV114" s="91" t="inlineStr"/>
      <c r="BW114" s="91" t="inlineStr"/>
      <c r="BX114" s="91" t="n">
        <v>4017</v>
      </c>
      <c r="BY114" s="91" t="n">
        <v>3322</v>
      </c>
      <c r="BZ114" s="91">
        <f>SUM(BN114:BY114)</f>
        <v/>
      </c>
      <c r="CA114" s="91" t="inlineStr"/>
      <c r="CB114" s="91" t="inlineStr"/>
      <c r="CC114" s="91" t="n">
        <v>18289</v>
      </c>
      <c r="CD114" s="91" t="n"/>
      <c r="CE114" s="91" t="n">
        <v>13824</v>
      </c>
      <c r="CF114" s="91" t="n"/>
      <c r="CG114" s="91" t="n"/>
      <c r="CH114" s="91" t="n">
        <v>633</v>
      </c>
      <c r="CI114" s="91" t="n"/>
      <c r="CJ114" s="91" t="inlineStr"/>
      <c r="CK114" s="91" t="n"/>
      <c r="CL114" s="91" t="inlineStr"/>
      <c r="CM114" s="91">
        <f>SUM(CA114:CL114)</f>
        <v/>
      </c>
      <c r="CN114" s="91" t="n"/>
      <c r="CO114" s="91" t="n"/>
      <c r="CP114" s="91" t="n"/>
      <c r="CQ114" s="93" t="n"/>
      <c r="CR114" s="94" t="n"/>
      <c r="CS114" s="94" t="n"/>
      <c r="CT114" s="91" t="n"/>
      <c r="CU114" s="91" t="n"/>
      <c r="CV114" s="91" t="n"/>
      <c r="CW114" s="91" t="n"/>
      <c r="CX114" s="91" t="n"/>
      <c r="CY114" s="91" t="n"/>
      <c r="CZ114" s="91">
        <f>SUM(CN114:CY114)</f>
        <v/>
      </c>
      <c r="DA114" s="35" t="n"/>
    </row>
    <row r="115" ht="20" customFormat="1" customHeight="1" s="2">
      <c r="A115" s="30" t="n">
        <v>113</v>
      </c>
      <c r="B115" s="61" t="inlineStr">
        <is>
          <t>甘肃</t>
        </is>
      </c>
      <c r="C115" s="61" t="inlineStr">
        <is>
          <t>酒泉</t>
        </is>
      </c>
      <c r="D115" s="61" t="inlineStr">
        <is>
          <t>吴永奇</t>
        </is>
      </c>
      <c r="E115" s="89" t="n"/>
      <c r="F115" s="27" t="inlineStr">
        <is>
          <t>2022/2024/2025</t>
        </is>
      </c>
      <c r="G115" s="27" t="inlineStr">
        <is>
          <t>10/12/3/9</t>
        </is>
      </c>
      <c r="H115" s="91">
        <f>94012+430+126+14707</f>
        <v/>
      </c>
      <c r="I115" s="91" t="n"/>
      <c r="J115" s="91" t="n"/>
      <c r="K115" s="91">
        <f>+H115+I115+J115</f>
        <v/>
      </c>
      <c r="L115" s="91" t="n">
        <v>6</v>
      </c>
      <c r="M115" s="91" t="inlineStr"/>
      <c r="N115" s="91" t="n"/>
      <c r="O115" s="91" t="n"/>
      <c r="P115" s="91" t="n"/>
      <c r="Q115" s="91" t="n"/>
      <c r="R115" s="91" t="n"/>
      <c r="S115" s="91" t="n"/>
      <c r="T115" s="91" t="n"/>
      <c r="U115" s="91" t="n"/>
      <c r="V115" s="91" t="n"/>
      <c r="W115" s="91" t="n"/>
      <c r="X115" s="91" t="n"/>
      <c r="Y115" s="91" t="n"/>
      <c r="Z115" s="91" t="n"/>
      <c r="AA115" s="91" t="n"/>
      <c r="AB115" s="91" t="n"/>
      <c r="AC115" s="91" t="n"/>
      <c r="AD115" s="91" t="n"/>
      <c r="AE115" s="91" t="n"/>
      <c r="AF115" s="91" t="n"/>
      <c r="AG115" s="30" t="n"/>
      <c r="AH115" s="30" t="n"/>
      <c r="AI115" s="30" t="n"/>
      <c r="AJ115" s="30" t="n"/>
      <c r="AK115" s="30" t="n"/>
      <c r="AL115" s="30" t="n"/>
      <c r="AM115" s="91" t="n"/>
      <c r="AN115" s="91" t="n"/>
      <c r="AO115" s="91" t="n"/>
      <c r="AP115" s="91" t="n"/>
      <c r="AQ115" s="91" t="n"/>
      <c r="AR115" s="91" t="n"/>
      <c r="AS115" s="91" t="n"/>
      <c r="AT115" s="91" t="n"/>
      <c r="AU115" s="91" t="n"/>
      <c r="AV115" s="31" t="n"/>
      <c r="AW115" s="36" t="n"/>
      <c r="AX115" s="16" t="n"/>
      <c r="AY115" s="31" t="n"/>
      <c r="AZ115" s="92" t="n"/>
      <c r="BA115" s="91" t="n"/>
      <c r="BB115" s="91" t="n"/>
      <c r="BC115" s="91" t="n"/>
      <c r="BD115" s="91" t="n"/>
      <c r="BE115" s="91" t="n"/>
      <c r="BF115" s="91" t="n"/>
      <c r="BG115" s="91" t="n"/>
      <c r="BH115" s="91" t="n"/>
      <c r="BI115" s="91" t="n"/>
      <c r="BJ115" s="91" t="n"/>
      <c r="BK115" s="91" t="n"/>
      <c r="BL115" s="91" t="n"/>
      <c r="BM115" s="91" t="n"/>
      <c r="BN115" s="91" t="n"/>
      <c r="BO115" s="91" t="n"/>
      <c r="BP115" s="91" t="n"/>
      <c r="BQ115" s="91" t="n"/>
      <c r="BR115" s="91" t="n"/>
      <c r="BS115" s="91">
        <f>5716+9085</f>
        <v/>
      </c>
      <c r="BT115" s="91" t="n">
        <v>40923</v>
      </c>
      <c r="BU115" s="91" t="n"/>
      <c r="BV115" s="91" t="n">
        <v>43957</v>
      </c>
      <c r="BW115" s="91" t="n">
        <v>48648</v>
      </c>
      <c r="BX115" s="91" t="n">
        <v>42227</v>
      </c>
      <c r="BY115" s="91" t="n">
        <v>158732</v>
      </c>
      <c r="BZ115" s="91">
        <f>SUM(BN115:BY115)</f>
        <v/>
      </c>
      <c r="CA115" s="91" t="n">
        <v>897</v>
      </c>
      <c r="CB115" s="91">
        <f>917+180</f>
        <v/>
      </c>
      <c r="CC115" s="91" t="n">
        <v>328</v>
      </c>
      <c r="CD115" s="91" t="n">
        <v>4071</v>
      </c>
      <c r="CE115" s="91" t="n">
        <v>34922</v>
      </c>
      <c r="CF115" s="91" t="n">
        <v>3311</v>
      </c>
      <c r="CG115" s="91" t="n">
        <v>4090</v>
      </c>
      <c r="CH115" s="91" t="n">
        <v>6789</v>
      </c>
      <c r="CI115" s="91" t="n">
        <v>53646</v>
      </c>
      <c r="CJ115" s="91" t="n">
        <v>24375</v>
      </c>
      <c r="CK115" s="91" t="n"/>
      <c r="CL115" s="91" t="n">
        <v>855</v>
      </c>
      <c r="CM115" s="91">
        <f>SUM(CA115:CL115)</f>
        <v/>
      </c>
      <c r="CN115" s="91" t="n"/>
      <c r="CO115" s="91" t="n"/>
      <c r="CP115" s="91" t="n"/>
      <c r="CQ115" s="93" t="n"/>
      <c r="CR115" s="94" t="n"/>
      <c r="CS115" s="94" t="n"/>
      <c r="CT115" s="91" t="n"/>
      <c r="CU115" s="91" t="n"/>
      <c r="CV115" s="91" t="n"/>
      <c r="CW115" s="91" t="n"/>
      <c r="CX115" s="91" t="n"/>
      <c r="CY115" s="91" t="n"/>
      <c r="CZ115" s="91">
        <f>SUM(CN115:CY115)</f>
        <v/>
      </c>
      <c r="DA115" s="35" t="n"/>
    </row>
    <row r="116" ht="20" customFormat="1" customHeight="1" s="2">
      <c r="A116" s="30" t="n">
        <v>114</v>
      </c>
      <c r="B116" s="31" t="inlineStr">
        <is>
          <t>山东</t>
        </is>
      </c>
      <c r="C116" s="31" t="inlineStr">
        <is>
          <t>济南天桥区</t>
        </is>
      </c>
      <c r="D116" s="31" t="inlineStr">
        <is>
          <t>施卫清</t>
        </is>
      </c>
      <c r="E116" s="89" t="n"/>
      <c r="F116" s="27" t="inlineStr">
        <is>
          <t>2024</t>
        </is>
      </c>
      <c r="G116" s="27" t="inlineStr">
        <is>
          <t>3/4</t>
        </is>
      </c>
      <c r="H116" s="91">
        <f>126144+10952</f>
        <v/>
      </c>
      <c r="I116" s="91" t="n">
        <v>4167</v>
      </c>
      <c r="J116" s="91" t="n"/>
      <c r="K116" s="91">
        <f>+H116+I116+J116</f>
        <v/>
      </c>
      <c r="L116" s="91" t="n">
        <v>7</v>
      </c>
      <c r="M116" s="91" t="inlineStr"/>
      <c r="N116" s="91" t="n"/>
      <c r="O116" s="91" t="n"/>
      <c r="P116" s="91" t="n"/>
      <c r="Q116" s="91" t="n"/>
      <c r="R116" s="91" t="n"/>
      <c r="S116" s="91" t="n"/>
      <c r="T116" s="91" t="n"/>
      <c r="U116" s="91" t="n"/>
      <c r="V116" s="91" t="n"/>
      <c r="W116" s="91" t="n"/>
      <c r="X116" s="91" t="n"/>
      <c r="Y116" s="91" t="n"/>
      <c r="Z116" s="91" t="n"/>
      <c r="AA116" s="91" t="n"/>
      <c r="AB116" s="91" t="n"/>
      <c r="AC116" s="91" t="n"/>
      <c r="AD116" s="91" t="n"/>
      <c r="AE116" s="91" t="n"/>
      <c r="AF116" s="91" t="n"/>
      <c r="AG116" s="30" t="n"/>
      <c r="AH116" s="30" t="n"/>
      <c r="AI116" s="30" t="n"/>
      <c r="AJ116" s="30" t="n"/>
      <c r="AK116" s="30" t="n"/>
      <c r="AL116" s="30" t="n"/>
      <c r="AM116" s="91" t="n"/>
      <c r="AN116" s="91" t="n"/>
      <c r="AO116" s="91" t="n"/>
      <c r="AP116" s="91" t="n"/>
      <c r="AQ116" s="91" t="n"/>
      <c r="AR116" s="91" t="n"/>
      <c r="AS116" s="91" t="n"/>
      <c r="AT116" s="91" t="n"/>
      <c r="AU116" s="91" t="n"/>
      <c r="AV116" s="31" t="n"/>
      <c r="AW116" s="36" t="n"/>
      <c r="AX116" s="16" t="n"/>
      <c r="AY116" s="31" t="n"/>
      <c r="AZ116" s="92" t="n"/>
      <c r="BA116" s="91" t="n"/>
      <c r="BB116" s="91" t="n"/>
      <c r="BC116" s="91" t="n"/>
      <c r="BD116" s="91" t="n"/>
      <c r="BE116" s="91" t="n"/>
      <c r="BF116" s="91" t="n"/>
      <c r="BG116" s="91" t="n"/>
      <c r="BH116" s="91" t="n"/>
      <c r="BI116" s="91" t="n"/>
      <c r="BJ116" s="91" t="n"/>
      <c r="BK116" s="91" t="n"/>
      <c r="BL116" s="91" t="n"/>
      <c r="BM116" s="91">
        <f>SUM(BA116:BL116)</f>
        <v/>
      </c>
      <c r="BN116" s="91" t="n"/>
      <c r="BO116" s="91" t="n"/>
      <c r="BP116" s="91" t="n">
        <v>17</v>
      </c>
      <c r="BQ116" s="91" t="n"/>
      <c r="BR116" s="91" t="inlineStr"/>
      <c r="BS116" s="91" t="inlineStr"/>
      <c r="BT116" s="91" t="n">
        <v>101605</v>
      </c>
      <c r="BU116" s="91" t="n"/>
      <c r="BV116" s="91" t="inlineStr"/>
      <c r="BW116" s="91" t="inlineStr"/>
      <c r="BX116" s="91" t="inlineStr"/>
      <c r="BY116" s="91" t="n"/>
      <c r="BZ116" s="91">
        <f>SUM(BN116:BY116)</f>
        <v/>
      </c>
      <c r="CA116" s="91" t="inlineStr"/>
      <c r="CB116" s="91" t="inlineStr"/>
      <c r="CC116" s="91" t="inlineStr"/>
      <c r="CD116" s="91" t="n"/>
      <c r="CE116" s="91" t="n"/>
      <c r="CF116" s="91" t="n"/>
      <c r="CG116" s="91" t="n"/>
      <c r="CH116" s="91" t="inlineStr"/>
      <c r="CI116" s="91" t="n"/>
      <c r="CJ116" s="91" t="inlineStr"/>
      <c r="CK116" s="91" t="n"/>
      <c r="CL116" s="91" t="inlineStr"/>
      <c r="CM116" s="91">
        <f>SUM(CA116:CL116)</f>
        <v/>
      </c>
      <c r="CN116" s="91" t="n"/>
      <c r="CO116" s="91" t="n"/>
      <c r="CP116" s="91" t="n"/>
      <c r="CQ116" s="93" t="n"/>
      <c r="CR116" s="94" t="n"/>
      <c r="CS116" s="94" t="n"/>
      <c r="CT116" s="91" t="n"/>
      <c r="CU116" s="91" t="n"/>
      <c r="CV116" s="91" t="n"/>
      <c r="CW116" s="91" t="n"/>
      <c r="CX116" s="91" t="n"/>
      <c r="CY116" s="91" t="n"/>
      <c r="CZ116" s="91">
        <f>SUM(CN116:CY116)</f>
        <v/>
      </c>
      <c r="DA116" s="35" t="n"/>
    </row>
    <row r="117" ht="20" customFormat="1" customHeight="1" s="2">
      <c r="A117" s="30" t="n">
        <v>115</v>
      </c>
      <c r="B117" s="31" t="inlineStr">
        <is>
          <t>云南</t>
        </is>
      </c>
      <c r="C117" s="31" t="inlineStr">
        <is>
          <t>临沧临翔区</t>
        </is>
      </c>
      <c r="D117" s="31" t="inlineStr">
        <is>
          <t>蒋兴红</t>
        </is>
      </c>
      <c r="E117" s="89" t="n"/>
      <c r="F117" s="27" t="inlineStr">
        <is>
          <t>2024</t>
        </is>
      </c>
      <c r="G117" s="27" t="inlineStr">
        <is>
          <t>3/4/5</t>
        </is>
      </c>
      <c r="H117" s="91">
        <f>123482+12145+170+149</f>
        <v/>
      </c>
      <c r="I117" s="91" t="n">
        <v>37995</v>
      </c>
      <c r="J117" s="91" t="n">
        <v>3534</v>
      </c>
      <c r="K117" s="91">
        <f>+H117+I117+J117</f>
        <v/>
      </c>
      <c r="L117" s="91" t="n">
        <v>7</v>
      </c>
      <c r="M117" s="91" t="inlineStr"/>
      <c r="N117" s="91" t="n"/>
      <c r="O117" s="91" t="n"/>
      <c r="P117" s="91" t="n"/>
      <c r="Q117" s="91" t="n"/>
      <c r="R117" s="91" t="n"/>
      <c r="S117" s="91" t="n"/>
      <c r="T117" s="91" t="n"/>
      <c r="U117" s="91" t="n"/>
      <c r="V117" s="91" t="n"/>
      <c r="W117" s="91" t="n"/>
      <c r="X117" s="91" t="n"/>
      <c r="Y117" s="91" t="n"/>
      <c r="Z117" s="91" t="n"/>
      <c r="AA117" s="91" t="n"/>
      <c r="AB117" s="91" t="n"/>
      <c r="AC117" s="91" t="n"/>
      <c r="AD117" s="91" t="n"/>
      <c r="AE117" s="91" t="n"/>
      <c r="AF117" s="91" t="n"/>
      <c r="AG117" s="30" t="n"/>
      <c r="AH117" s="30" t="n"/>
      <c r="AI117" s="30" t="n"/>
      <c r="AJ117" s="30" t="n"/>
      <c r="AK117" s="30" t="n"/>
      <c r="AL117" s="30" t="n"/>
      <c r="AM117" s="91" t="n"/>
      <c r="AN117" s="91" t="n"/>
      <c r="AO117" s="91" t="n"/>
      <c r="AP117" s="91" t="n"/>
      <c r="AQ117" s="91" t="n"/>
      <c r="AR117" s="91" t="n"/>
      <c r="AS117" s="91" t="n"/>
      <c r="AT117" s="91" t="n"/>
      <c r="AU117" s="91" t="n"/>
      <c r="AV117" s="31" t="n"/>
      <c r="AW117" s="36" t="n"/>
      <c r="AX117" s="16" t="n"/>
      <c r="AY117" s="31" t="n"/>
      <c r="AZ117" s="92" t="n"/>
      <c r="BA117" s="91" t="n"/>
      <c r="BB117" s="91" t="n"/>
      <c r="BC117" s="91" t="n"/>
      <c r="BD117" s="91" t="n"/>
      <c r="BE117" s="91" t="n"/>
      <c r="BF117" s="91" t="n"/>
      <c r="BG117" s="91" t="n"/>
      <c r="BH117" s="91" t="n"/>
      <c r="BI117" s="91" t="n"/>
      <c r="BJ117" s="91" t="n"/>
      <c r="BK117" s="91" t="n"/>
      <c r="BL117" s="91" t="n"/>
      <c r="BM117" s="91">
        <f>SUM(BA117:BL117)</f>
        <v/>
      </c>
      <c r="BN117" s="91" t="n"/>
      <c r="BO117" s="91" t="n"/>
      <c r="BP117" s="91" t="n"/>
      <c r="BQ117" s="91" t="n"/>
      <c r="BR117" s="91" t="inlineStr"/>
      <c r="BS117" s="91" t="inlineStr"/>
      <c r="BT117" s="91" t="n">
        <v>59702</v>
      </c>
      <c r="BU117" s="91" t="n">
        <v>115310.7</v>
      </c>
      <c r="BV117" s="91" t="n">
        <v>6146.7</v>
      </c>
      <c r="BW117" s="91" t="n">
        <v>785.3</v>
      </c>
      <c r="BX117" s="91" t="n">
        <v>13089.04</v>
      </c>
      <c r="BY117" s="91" t="n">
        <v>6516</v>
      </c>
      <c r="BZ117" s="91">
        <f>SUM(BN117:BY117)</f>
        <v/>
      </c>
      <c r="CA117" s="91" t="n">
        <v>518</v>
      </c>
      <c r="CB117" s="91" t="n">
        <v>3584</v>
      </c>
      <c r="CC117" s="91" t="n">
        <v>11369.59</v>
      </c>
      <c r="CD117" s="91" t="n">
        <v>18457.91</v>
      </c>
      <c r="CE117" s="91" t="n"/>
      <c r="CF117" s="91" t="n">
        <v>2539</v>
      </c>
      <c r="CG117" s="91" t="n"/>
      <c r="CH117" s="91" t="n">
        <v>142608.15</v>
      </c>
      <c r="CI117" s="91" t="n">
        <v>284.92</v>
      </c>
      <c r="CJ117" s="91" t="n">
        <v>379</v>
      </c>
      <c r="CK117" s="91" t="n">
        <v>33.98</v>
      </c>
      <c r="CL117" s="91" t="n">
        <v>4173.33</v>
      </c>
      <c r="CM117" s="91">
        <f>SUM(CA117:CL117)</f>
        <v/>
      </c>
      <c r="CN117" s="91" t="n"/>
      <c r="CO117" s="91" t="n"/>
      <c r="CP117" s="91" t="n"/>
      <c r="CQ117" s="93" t="n"/>
      <c r="CR117" s="94" t="n"/>
      <c r="CS117" s="94" t="n"/>
      <c r="CT117" s="91" t="n"/>
      <c r="CU117" s="91" t="n"/>
      <c r="CV117" s="91" t="n"/>
      <c r="CW117" s="91" t="n"/>
      <c r="CX117" s="91" t="n"/>
      <c r="CY117" s="91" t="n"/>
      <c r="CZ117" s="91">
        <f>SUM(CN117:CY117)</f>
        <v/>
      </c>
      <c r="DA117" s="35" t="n"/>
    </row>
    <row r="118" ht="20" customFormat="1" customHeight="1" s="2">
      <c r="A118" s="30" t="n">
        <v>116</v>
      </c>
      <c r="B118" s="31" t="inlineStr">
        <is>
          <t>陕西</t>
        </is>
      </c>
      <c r="C118" s="31" t="inlineStr">
        <is>
          <t>吴起</t>
        </is>
      </c>
      <c r="D118" s="31" t="inlineStr">
        <is>
          <t>王建</t>
        </is>
      </c>
      <c r="E118" s="89" t="n"/>
      <c r="F118" s="27" t="inlineStr">
        <is>
          <t>2024/2025</t>
        </is>
      </c>
      <c r="G118" s="27" t="inlineStr">
        <is>
          <t>3/4/11/2</t>
        </is>
      </c>
      <c r="H118" s="91">
        <f>85320+2167+72+1031+648</f>
        <v/>
      </c>
      <c r="I118" s="91" t="n"/>
      <c r="J118" s="91" t="n">
        <v>2013</v>
      </c>
      <c r="K118" s="91">
        <f>+H118+I118+J118</f>
        <v/>
      </c>
      <c r="L118" s="91" t="n">
        <v>7</v>
      </c>
      <c r="M118" s="91" t="inlineStr"/>
      <c r="N118" s="91" t="n"/>
      <c r="O118" s="91" t="n"/>
      <c r="P118" s="91" t="n"/>
      <c r="Q118" s="91" t="n"/>
      <c r="R118" s="91" t="n"/>
      <c r="S118" s="91" t="n"/>
      <c r="T118" s="91" t="n"/>
      <c r="U118" s="91" t="n"/>
      <c r="V118" s="91" t="n"/>
      <c r="W118" s="91" t="n"/>
      <c r="X118" s="91" t="n"/>
      <c r="Y118" s="91" t="n"/>
      <c r="Z118" s="91" t="n"/>
      <c r="AA118" s="91" t="n"/>
      <c r="AB118" s="91" t="n"/>
      <c r="AC118" s="91" t="n"/>
      <c r="AD118" s="91" t="n"/>
      <c r="AE118" s="91" t="n"/>
      <c r="AF118" s="91" t="n"/>
      <c r="AG118" s="30" t="n"/>
      <c r="AH118" s="30" t="n"/>
      <c r="AI118" s="30" t="n"/>
      <c r="AJ118" s="30" t="n"/>
      <c r="AK118" s="30" t="n"/>
      <c r="AL118" s="30" t="n"/>
      <c r="AM118" s="91" t="n"/>
      <c r="AN118" s="91" t="n"/>
      <c r="AO118" s="91" t="n"/>
      <c r="AP118" s="91" t="n"/>
      <c r="AQ118" s="91" t="n"/>
      <c r="AR118" s="91" t="n"/>
      <c r="AS118" s="91" t="n"/>
      <c r="AT118" s="91" t="n"/>
      <c r="AU118" s="91" t="n"/>
      <c r="AV118" s="31" t="n"/>
      <c r="AW118" s="36" t="n"/>
      <c r="AX118" s="16" t="n"/>
      <c r="AY118" s="31" t="n"/>
      <c r="AZ118" s="92" t="n"/>
      <c r="BA118" s="91" t="n"/>
      <c r="BB118" s="91" t="n"/>
      <c r="BC118" s="91" t="n"/>
      <c r="BD118" s="91" t="n"/>
      <c r="BE118" s="91" t="n"/>
      <c r="BF118" s="91" t="n"/>
      <c r="BG118" s="91" t="n"/>
      <c r="BH118" s="91" t="n"/>
      <c r="BI118" s="91" t="n"/>
      <c r="BJ118" s="91" t="n"/>
      <c r="BK118" s="91" t="n"/>
      <c r="BL118" s="91" t="n"/>
      <c r="BM118" s="91" t="n"/>
      <c r="BN118" s="91" t="n"/>
      <c r="BO118" s="91" t="n"/>
      <c r="BP118" s="91" t="n">
        <v>3405</v>
      </c>
      <c r="BQ118" s="91" t="n"/>
      <c r="BR118" s="91" t="inlineStr"/>
      <c r="BS118" s="91" t="inlineStr"/>
      <c r="BT118" s="91" t="n">
        <v>115731</v>
      </c>
      <c r="BU118" s="91" t="n">
        <v>2541</v>
      </c>
      <c r="BV118" s="91" t="n">
        <v>223749.08</v>
      </c>
      <c r="BW118" s="91" t="n">
        <v>222068.39</v>
      </c>
      <c r="BX118" s="91" t="n">
        <v>130413.34</v>
      </c>
      <c r="BY118" s="91" t="n">
        <v>104049.27</v>
      </c>
      <c r="BZ118" s="91">
        <f>SUM(BN118:BY118)</f>
        <v/>
      </c>
      <c r="CA118" s="91" t="n">
        <v>1083</v>
      </c>
      <c r="CB118" s="91">
        <f>1635.01+535</f>
        <v/>
      </c>
      <c r="CC118" s="91" t="n">
        <v>50814</v>
      </c>
      <c r="CD118" s="91" t="n">
        <v>103031.66</v>
      </c>
      <c r="CE118" s="91" t="n"/>
      <c r="CF118" s="91" t="n">
        <v>147933.34</v>
      </c>
      <c r="CG118" s="91" t="n">
        <v>69915.94</v>
      </c>
      <c r="CH118" s="91" t="n">
        <v>116887.54</v>
      </c>
      <c r="CI118" s="91" t="n">
        <v>74378.88</v>
      </c>
      <c r="CJ118" s="91" t="n">
        <v>21093.49</v>
      </c>
      <c r="CK118" s="91" t="n">
        <v>70462.03999999999</v>
      </c>
      <c r="CL118" s="91" t="n">
        <v>42666.72</v>
      </c>
      <c r="CM118" s="91">
        <f>SUM(CA118:CL118)</f>
        <v/>
      </c>
      <c r="CN118" s="91" t="n"/>
      <c r="CO118" s="91" t="n"/>
      <c r="CP118" s="91" t="n"/>
      <c r="CQ118" s="93" t="n"/>
      <c r="CR118" s="94" t="n"/>
      <c r="CS118" s="94" t="n"/>
      <c r="CT118" s="91" t="n"/>
      <c r="CU118" s="91" t="n"/>
      <c r="CV118" s="91" t="n"/>
      <c r="CW118" s="91" t="n"/>
      <c r="CX118" s="91" t="n"/>
      <c r="CY118" s="91" t="n"/>
      <c r="CZ118" s="91">
        <f>SUM(CN118:CY118)</f>
        <v/>
      </c>
      <c r="DA118" s="35" t="n"/>
    </row>
    <row r="119" ht="20" customFormat="1" customHeight="1" s="2">
      <c r="A119" s="30" t="n">
        <v>117</v>
      </c>
      <c r="B119" s="31" t="inlineStr">
        <is>
          <t>四川</t>
        </is>
      </c>
      <c r="C119" s="31" t="inlineStr">
        <is>
          <t>古蔺</t>
        </is>
      </c>
      <c r="D119" s="31" t="inlineStr">
        <is>
          <t>张俊</t>
        </is>
      </c>
      <c r="E119" s="89" t="n"/>
      <c r="F119" s="27" t="inlineStr">
        <is>
          <t>2024</t>
        </is>
      </c>
      <c r="G119" s="27" t="inlineStr">
        <is>
          <t>4/5</t>
        </is>
      </c>
      <c r="H119" s="91">
        <f>79883+3274+426</f>
        <v/>
      </c>
      <c r="I119" s="91" t="n">
        <v>706</v>
      </c>
      <c r="J119" s="91" t="n">
        <v>8189</v>
      </c>
      <c r="K119" s="91">
        <f>+H119+I119+J119</f>
        <v/>
      </c>
      <c r="L119" s="91" t="n">
        <v>7</v>
      </c>
      <c r="M119" s="91" t="inlineStr"/>
      <c r="N119" s="91" t="n"/>
      <c r="O119" s="91" t="n"/>
      <c r="P119" s="91" t="n"/>
      <c r="Q119" s="91" t="n"/>
      <c r="R119" s="91" t="n"/>
      <c r="S119" s="91" t="n"/>
      <c r="T119" s="91" t="n"/>
      <c r="U119" s="91" t="n"/>
      <c r="V119" s="91" t="n"/>
      <c r="W119" s="91" t="n"/>
      <c r="X119" s="91" t="n"/>
      <c r="Y119" s="91" t="n"/>
      <c r="Z119" s="91" t="n"/>
      <c r="AA119" s="91" t="n"/>
      <c r="AB119" s="91" t="n"/>
      <c r="AC119" s="91" t="n"/>
      <c r="AD119" s="91" t="n"/>
      <c r="AE119" s="91" t="n"/>
      <c r="AF119" s="91" t="n"/>
      <c r="AG119" s="30" t="n"/>
      <c r="AH119" s="30" t="n"/>
      <c r="AI119" s="30" t="n"/>
      <c r="AJ119" s="30" t="n"/>
      <c r="AK119" s="30" t="n"/>
      <c r="AL119" s="30" t="n"/>
      <c r="AM119" s="91" t="n"/>
      <c r="AN119" s="91" t="n"/>
      <c r="AO119" s="91" t="n"/>
      <c r="AP119" s="91" t="n"/>
      <c r="AQ119" s="91" t="n"/>
      <c r="AR119" s="91" t="n"/>
      <c r="AS119" s="91" t="n"/>
      <c r="AT119" s="91" t="n"/>
      <c r="AU119" s="91" t="n"/>
      <c r="AV119" s="31" t="n"/>
      <c r="AW119" s="36" t="n"/>
      <c r="AX119" s="16" t="n"/>
      <c r="AY119" s="31" t="n"/>
      <c r="AZ119" s="92" t="n"/>
      <c r="BA119" s="91" t="n"/>
      <c r="BB119" s="91" t="n"/>
      <c r="BC119" s="91" t="n"/>
      <c r="BD119" s="91" t="n"/>
      <c r="BE119" s="91" t="n"/>
      <c r="BF119" s="91" t="n"/>
      <c r="BG119" s="91" t="n"/>
      <c r="BH119" s="91" t="n"/>
      <c r="BI119" s="91" t="n"/>
      <c r="BJ119" s="91" t="n"/>
      <c r="BK119" s="91" t="n"/>
      <c r="BL119" s="91" t="n"/>
      <c r="BM119" s="91" t="n"/>
      <c r="BN119" s="91" t="n"/>
      <c r="BO119" s="91" t="n"/>
      <c r="BP119" s="91" t="n"/>
      <c r="BQ119" s="91" t="n"/>
      <c r="BR119" s="91" t="inlineStr"/>
      <c r="BS119" s="91" t="inlineStr"/>
      <c r="BT119" s="91" t="n">
        <v>25869</v>
      </c>
      <c r="BU119" s="91" t="n">
        <v>12630</v>
      </c>
      <c r="BV119" s="91" t="n">
        <v>51649.02</v>
      </c>
      <c r="BW119" s="91" t="n">
        <v>29665.21</v>
      </c>
      <c r="BX119" s="91" t="n">
        <v>14017.1</v>
      </c>
      <c r="BY119" s="91" t="n"/>
      <c r="BZ119" s="91">
        <f>SUM(BN119:BY119)</f>
        <v/>
      </c>
      <c r="CA119" s="91" t="inlineStr"/>
      <c r="CB119" s="91" t="n">
        <v>3796</v>
      </c>
      <c r="CC119" s="91" t="n">
        <v>25859.1</v>
      </c>
      <c r="CD119" s="91" t="n">
        <v>5707.38</v>
      </c>
      <c r="CE119" s="91" t="n">
        <v>43844.48</v>
      </c>
      <c r="CF119" s="91" t="n">
        <v>105619.45</v>
      </c>
      <c r="CG119" s="91" t="n">
        <v>37351.41</v>
      </c>
      <c r="CH119" s="91" t="n">
        <v>7750.65</v>
      </c>
      <c r="CI119" s="91" t="n">
        <v>179.78</v>
      </c>
      <c r="CJ119" s="91" t="n">
        <v>34</v>
      </c>
      <c r="CK119" s="91" t="n">
        <v>2885</v>
      </c>
      <c r="CL119" s="91" t="n">
        <v>19324.36</v>
      </c>
      <c r="CM119" s="91">
        <f>SUM(CA119:CL119)</f>
        <v/>
      </c>
      <c r="CN119" s="91" t="n"/>
      <c r="CO119" s="91" t="n"/>
      <c r="CP119" s="91" t="n"/>
      <c r="CQ119" s="93" t="n"/>
      <c r="CR119" s="94" t="n"/>
      <c r="CS119" s="94" t="n"/>
      <c r="CT119" s="91" t="n"/>
      <c r="CU119" s="91" t="n"/>
      <c r="CV119" s="91" t="n"/>
      <c r="CW119" s="91" t="n"/>
      <c r="CX119" s="91" t="n"/>
      <c r="CY119" s="91" t="n"/>
      <c r="CZ119" s="91">
        <f>SUM(CN119:CY119)</f>
        <v/>
      </c>
      <c r="DA119" s="35" t="n"/>
    </row>
    <row r="120" ht="20" customFormat="1" customHeight="1" s="2">
      <c r="A120" s="30" t="n">
        <v>118</v>
      </c>
      <c r="B120" s="31" t="inlineStr">
        <is>
          <t>云南</t>
        </is>
      </c>
      <c r="C120" s="31" t="inlineStr">
        <is>
          <t>昆明盘龙</t>
        </is>
      </c>
      <c r="D120" s="31" t="inlineStr">
        <is>
          <t>杨惠凤</t>
        </is>
      </c>
      <c r="E120" s="89" t="n"/>
      <c r="F120" s="27" t="inlineStr">
        <is>
          <t>2024</t>
        </is>
      </c>
      <c r="G120" s="27" t="inlineStr">
        <is>
          <t>4/5/9</t>
        </is>
      </c>
      <c r="H120" s="91">
        <f>132100+2639+11904</f>
        <v/>
      </c>
      <c r="I120" s="91" t="n"/>
      <c r="J120" s="91" t="n">
        <v>5019</v>
      </c>
      <c r="K120" s="91">
        <f>+H120+I120+J120</f>
        <v/>
      </c>
      <c r="L120" s="91" t="n">
        <v>7</v>
      </c>
      <c r="M120" s="91" t="inlineStr"/>
      <c r="N120" s="91" t="n"/>
      <c r="O120" s="91" t="n"/>
      <c r="P120" s="91" t="n"/>
      <c r="Q120" s="91" t="n"/>
      <c r="R120" s="91" t="n"/>
      <c r="S120" s="91" t="n"/>
      <c r="T120" s="91" t="n"/>
      <c r="U120" s="91" t="n"/>
      <c r="V120" s="91" t="n"/>
      <c r="W120" s="91" t="n"/>
      <c r="X120" s="91" t="n"/>
      <c r="Y120" s="91" t="n"/>
      <c r="Z120" s="91" t="n"/>
      <c r="AA120" s="91" t="n"/>
      <c r="AB120" s="91" t="n"/>
      <c r="AC120" s="91" t="n"/>
      <c r="AD120" s="91" t="n"/>
      <c r="AE120" s="91" t="n"/>
      <c r="AF120" s="91" t="n"/>
      <c r="AG120" s="30" t="n"/>
      <c r="AH120" s="30" t="n"/>
      <c r="AI120" s="30" t="n"/>
      <c r="AJ120" s="30" t="n"/>
      <c r="AK120" s="30" t="n"/>
      <c r="AL120" s="30" t="n"/>
      <c r="AM120" s="91" t="n"/>
      <c r="AN120" s="91" t="n"/>
      <c r="AO120" s="91" t="n"/>
      <c r="AP120" s="91" t="n"/>
      <c r="AQ120" s="91" t="n"/>
      <c r="AR120" s="91" t="n"/>
      <c r="AS120" s="91" t="n"/>
      <c r="AT120" s="91" t="n"/>
      <c r="AU120" s="91" t="n"/>
      <c r="AV120" s="31" t="n"/>
      <c r="AW120" s="36" t="n"/>
      <c r="AX120" s="16" t="n"/>
      <c r="AY120" s="31" t="n"/>
      <c r="AZ120" s="92" t="n"/>
      <c r="BA120" s="91" t="n"/>
      <c r="BB120" s="91" t="n"/>
      <c r="BC120" s="91" t="n"/>
      <c r="BD120" s="91" t="n"/>
      <c r="BE120" s="91" t="n"/>
      <c r="BF120" s="91" t="n"/>
      <c r="BG120" s="91" t="n"/>
      <c r="BH120" s="91" t="n"/>
      <c r="BI120" s="91" t="n"/>
      <c r="BJ120" s="91" t="n"/>
      <c r="BK120" s="91" t="n"/>
      <c r="BL120" s="91" t="n"/>
      <c r="BM120" s="91" t="n"/>
      <c r="BN120" s="91" t="n"/>
      <c r="BO120" s="91" t="n"/>
      <c r="BP120" s="91" t="n"/>
      <c r="BQ120" s="91" t="n"/>
      <c r="BR120" s="91" t="n">
        <v>124479</v>
      </c>
      <c r="BS120" s="91" t="n">
        <v>1766</v>
      </c>
      <c r="BT120" s="91">
        <f>77981+29594.3</f>
        <v/>
      </c>
      <c r="BU120" s="91" t="n">
        <v>25873.19</v>
      </c>
      <c r="BV120" s="91" t="n">
        <v>42456.75</v>
      </c>
      <c r="BW120" s="91" t="n">
        <v>11981.19</v>
      </c>
      <c r="BX120" s="91" t="n">
        <v>56079.66</v>
      </c>
      <c r="BY120" s="91" t="n">
        <v>144917.04</v>
      </c>
      <c r="BZ120" s="91">
        <f>SUM(BN120:BY120)</f>
        <v/>
      </c>
      <c r="CA120" s="91" t="n">
        <v>53586</v>
      </c>
      <c r="CB120" s="91">
        <f>59338.71+1792</f>
        <v/>
      </c>
      <c r="CC120" s="91" t="n">
        <v>3960</v>
      </c>
      <c r="CD120" s="91" t="n">
        <v>20414.9</v>
      </c>
      <c r="CE120" s="91" t="n">
        <v>11602.54</v>
      </c>
      <c r="CF120" s="91" t="n">
        <v>8305.42</v>
      </c>
      <c r="CG120" s="91" t="n">
        <v>28312</v>
      </c>
      <c r="CH120" s="91" t="n">
        <v>151068.04</v>
      </c>
      <c r="CI120" s="91" t="n">
        <v>166085.64</v>
      </c>
      <c r="CJ120" s="91" t="n">
        <v>20668.14</v>
      </c>
      <c r="CK120" s="91" t="n">
        <v>83133.85000000001</v>
      </c>
      <c r="CL120" s="91" t="n">
        <v>1739</v>
      </c>
      <c r="CM120" s="91">
        <f>SUM(CA120:CL120)</f>
        <v/>
      </c>
      <c r="CN120" s="91" t="n"/>
      <c r="CO120" s="91" t="n"/>
      <c r="CP120" s="91" t="n"/>
      <c r="CQ120" s="93" t="n"/>
      <c r="CR120" s="94" t="n"/>
      <c r="CS120" s="94" t="n"/>
      <c r="CT120" s="91" t="n"/>
      <c r="CU120" s="91" t="n"/>
      <c r="CV120" s="91" t="n"/>
      <c r="CW120" s="91" t="n"/>
      <c r="CX120" s="91" t="n"/>
      <c r="CY120" s="91" t="n"/>
      <c r="CZ120" s="91">
        <f>SUM(CN120:CY120)</f>
        <v/>
      </c>
      <c r="DA120" s="35" t="n"/>
    </row>
    <row r="121" ht="20" customFormat="1" customHeight="1" s="2">
      <c r="A121" s="30" t="n">
        <v>119</v>
      </c>
      <c r="B121" s="31" t="inlineStr">
        <is>
          <t>西藏</t>
        </is>
      </c>
      <c r="C121" s="31" t="inlineStr">
        <is>
          <t>拉萨</t>
        </is>
      </c>
      <c r="D121" s="31" t="inlineStr">
        <is>
          <t>马培兵</t>
        </is>
      </c>
      <c r="E121" s="89" t="n"/>
      <c r="F121" s="27" t="inlineStr">
        <is>
          <t>2024</t>
        </is>
      </c>
      <c r="G121" s="27" t="inlineStr">
        <is>
          <t>4/5</t>
        </is>
      </c>
      <c r="H121" s="91">
        <f>224194+1230+2236</f>
        <v/>
      </c>
      <c r="I121" s="91" t="n"/>
      <c r="J121" s="91" t="n">
        <v>8489</v>
      </c>
      <c r="K121" s="91">
        <f>+H121+I121+J121</f>
        <v/>
      </c>
      <c r="L121" s="91" t="n">
        <v>7</v>
      </c>
      <c r="M121" s="91" t="inlineStr"/>
      <c r="N121" s="91" t="n"/>
      <c r="O121" s="91" t="n"/>
      <c r="P121" s="91" t="n"/>
      <c r="Q121" s="91" t="n"/>
      <c r="R121" s="91" t="n"/>
      <c r="S121" s="91" t="n"/>
      <c r="T121" s="91" t="n"/>
      <c r="U121" s="91" t="n"/>
      <c r="V121" s="91" t="n"/>
      <c r="W121" s="91" t="n"/>
      <c r="X121" s="91" t="n"/>
      <c r="Y121" s="91" t="n"/>
      <c r="Z121" s="91" t="n"/>
      <c r="AA121" s="91" t="n"/>
      <c r="AB121" s="91" t="n"/>
      <c r="AC121" s="91" t="n"/>
      <c r="AD121" s="91" t="n"/>
      <c r="AE121" s="91" t="n"/>
      <c r="AF121" s="91" t="n"/>
      <c r="AG121" s="30" t="n"/>
      <c r="AH121" s="30" t="n"/>
      <c r="AI121" s="30" t="n"/>
      <c r="AJ121" s="30" t="n"/>
      <c r="AK121" s="30" t="n"/>
      <c r="AL121" s="30" t="n"/>
      <c r="AM121" s="91" t="n"/>
      <c r="AN121" s="91" t="n"/>
      <c r="AO121" s="91" t="n"/>
      <c r="AP121" s="91" t="n"/>
      <c r="AQ121" s="91" t="n"/>
      <c r="AR121" s="91" t="n"/>
      <c r="AS121" s="91" t="n"/>
      <c r="AT121" s="91" t="n"/>
      <c r="AU121" s="91" t="n"/>
      <c r="AV121" s="31" t="n"/>
      <c r="AW121" s="36" t="n"/>
      <c r="AX121" s="16" t="n"/>
      <c r="AY121" s="31" t="n"/>
      <c r="AZ121" s="92" t="n"/>
      <c r="BA121" s="91" t="n"/>
      <c r="BB121" s="91" t="n"/>
      <c r="BC121" s="91" t="n"/>
      <c r="BD121" s="91" t="n"/>
      <c r="BE121" s="91" t="n"/>
      <c r="BF121" s="91" t="n"/>
      <c r="BG121" s="91" t="n"/>
      <c r="BH121" s="91" t="n"/>
      <c r="BI121" s="91" t="n"/>
      <c r="BJ121" s="91" t="n"/>
      <c r="BK121" s="91" t="n"/>
      <c r="BL121" s="91" t="n"/>
      <c r="BM121" s="91" t="n"/>
      <c r="BN121" s="91" t="n"/>
      <c r="BO121" s="91" t="n"/>
      <c r="BP121" s="91" t="n"/>
      <c r="BQ121" s="91" t="n"/>
      <c r="BR121" s="91" t="inlineStr"/>
      <c r="BS121" s="91" t="inlineStr"/>
      <c r="BT121" s="91" t="n">
        <v>29076</v>
      </c>
      <c r="BU121" s="91" t="n"/>
      <c r="BV121" s="91" t="inlineStr"/>
      <c r="BW121" s="91" t="inlineStr"/>
      <c r="BX121" s="91" t="inlineStr"/>
      <c r="BY121" s="91" t="n"/>
      <c r="BZ121" s="91">
        <f>SUM(BN121:BY121)</f>
        <v/>
      </c>
      <c r="CA121" s="91" t="inlineStr"/>
      <c r="CB121" s="91" t="inlineStr"/>
      <c r="CC121" s="91" t="inlineStr"/>
      <c r="CD121" s="91" t="n"/>
      <c r="CE121" s="91" t="n"/>
      <c r="CF121" s="91" t="n"/>
      <c r="CG121" s="91" t="n"/>
      <c r="CH121" s="91" t="inlineStr"/>
      <c r="CI121" s="91" t="n"/>
      <c r="CJ121" s="91" t="inlineStr"/>
      <c r="CK121" s="91" t="n"/>
      <c r="CL121" s="91" t="inlineStr"/>
      <c r="CM121" s="91">
        <f>SUM(CA121:CL121)</f>
        <v/>
      </c>
      <c r="CN121" s="91" t="n"/>
      <c r="CO121" s="91" t="n"/>
      <c r="CP121" s="91" t="n"/>
      <c r="CQ121" s="93" t="n"/>
      <c r="CR121" s="94" t="n"/>
      <c r="CS121" s="94" t="n"/>
      <c r="CT121" s="91" t="n"/>
      <c r="CU121" s="91" t="n"/>
      <c r="CV121" s="91" t="n"/>
      <c r="CW121" s="91" t="n"/>
      <c r="CX121" s="91" t="n"/>
      <c r="CY121" s="91" t="n"/>
      <c r="CZ121" s="91">
        <f>SUM(CN121:CY121)</f>
        <v/>
      </c>
      <c r="DA121" s="35" t="n"/>
    </row>
    <row r="122" ht="20" customFormat="1" customHeight="1" s="2">
      <c r="A122" s="30" t="n">
        <v>120</v>
      </c>
      <c r="B122" s="31" t="inlineStr">
        <is>
          <t>福建省</t>
        </is>
      </c>
      <c r="C122" s="31" t="inlineStr">
        <is>
          <t>莆田市</t>
        </is>
      </c>
      <c r="D122" s="31" t="inlineStr">
        <is>
          <t>林梅娇</t>
        </is>
      </c>
      <c r="E122" s="89" t="n"/>
      <c r="F122" s="27" t="inlineStr">
        <is>
          <t>2024</t>
        </is>
      </c>
      <c r="G122" s="27" t="inlineStr">
        <is>
          <t>5</t>
        </is>
      </c>
      <c r="H122" s="91">
        <f>85752+4098</f>
        <v/>
      </c>
      <c r="I122" s="91" t="n"/>
      <c r="J122" s="91" t="n">
        <v>8106</v>
      </c>
      <c r="K122" s="91">
        <f>+H122+I122+J122</f>
        <v/>
      </c>
      <c r="L122" s="91" t="n">
        <v>7</v>
      </c>
      <c r="M122" s="91" t="inlineStr"/>
      <c r="N122" s="91" t="n"/>
      <c r="O122" s="91" t="n"/>
      <c r="P122" s="91" t="n"/>
      <c r="Q122" s="91" t="n"/>
      <c r="R122" s="91" t="n"/>
      <c r="S122" s="91" t="n"/>
      <c r="T122" s="91" t="n"/>
      <c r="U122" s="91" t="n"/>
      <c r="V122" s="91" t="n"/>
      <c r="W122" s="91" t="n"/>
      <c r="X122" s="91" t="n"/>
      <c r="Y122" s="91" t="n"/>
      <c r="Z122" s="91" t="n"/>
      <c r="AA122" s="91" t="n"/>
      <c r="AB122" s="91" t="n"/>
      <c r="AC122" s="91" t="n"/>
      <c r="AD122" s="91" t="n"/>
      <c r="AE122" s="91" t="n"/>
      <c r="AF122" s="91" t="n"/>
      <c r="AG122" s="30" t="n"/>
      <c r="AH122" s="30" t="n"/>
      <c r="AI122" s="30" t="n"/>
      <c r="AJ122" s="30" t="n"/>
      <c r="AK122" s="30" t="n"/>
      <c r="AL122" s="30" t="n"/>
      <c r="AM122" s="91" t="n"/>
      <c r="AN122" s="91" t="n"/>
      <c r="AO122" s="91" t="n"/>
      <c r="AP122" s="91" t="n"/>
      <c r="AQ122" s="91" t="n"/>
      <c r="AR122" s="91" t="n"/>
      <c r="AS122" s="91" t="n"/>
      <c r="AT122" s="91" t="n"/>
      <c r="AU122" s="91" t="n"/>
      <c r="AV122" s="31" t="n"/>
      <c r="AW122" s="36" t="n"/>
      <c r="AX122" s="16" t="n"/>
      <c r="AY122" s="31" t="n"/>
      <c r="AZ122" s="92" t="n"/>
      <c r="BA122" s="91" t="n"/>
      <c r="BB122" s="91" t="n"/>
      <c r="BC122" s="91" t="n"/>
      <c r="BD122" s="91" t="n"/>
      <c r="BE122" s="91" t="n"/>
      <c r="BF122" s="91" t="n"/>
      <c r="BG122" s="91" t="n"/>
      <c r="BH122" s="91" t="n"/>
      <c r="BI122" s="91" t="n"/>
      <c r="BJ122" s="91" t="n"/>
      <c r="BK122" s="91" t="n"/>
      <c r="BL122" s="91" t="n"/>
      <c r="BM122" s="91" t="n"/>
      <c r="BN122" s="91" t="n"/>
      <c r="BO122" s="91" t="n"/>
      <c r="BP122" s="91" t="n"/>
      <c r="BQ122" s="91" t="n"/>
      <c r="BR122" s="91" t="n"/>
      <c r="BS122" s="91" t="inlineStr"/>
      <c r="BT122" s="91" t="n"/>
      <c r="BU122" s="91" t="n"/>
      <c r="BV122" s="91" t="inlineStr"/>
      <c r="BW122" s="91" t="inlineStr"/>
      <c r="BX122" s="91" t="inlineStr"/>
      <c r="BY122" s="91" t="n"/>
      <c r="BZ122" s="91">
        <f>SUM(BN122:BY122)</f>
        <v/>
      </c>
      <c r="CA122" s="91" t="inlineStr"/>
      <c r="CB122" s="91" t="inlineStr"/>
      <c r="CC122" s="91" t="inlineStr"/>
      <c r="CD122" s="91" t="n"/>
      <c r="CE122" s="91" t="n"/>
      <c r="CF122" s="91" t="n"/>
      <c r="CG122" s="91" t="n"/>
      <c r="CH122" s="91" t="inlineStr"/>
      <c r="CI122" s="91" t="n"/>
      <c r="CJ122" s="91" t="inlineStr"/>
      <c r="CK122" s="91" t="n"/>
      <c r="CL122" s="91" t="inlineStr"/>
      <c r="CM122" s="91">
        <f>SUM(CA122:CL122)</f>
        <v/>
      </c>
      <c r="CN122" s="91" t="n"/>
      <c r="CO122" s="91" t="n"/>
      <c r="CP122" s="91" t="n"/>
      <c r="CQ122" s="93" t="n"/>
      <c r="CR122" s="94" t="n"/>
      <c r="CS122" s="94" t="n"/>
      <c r="CT122" s="91" t="n"/>
      <c r="CU122" s="91" t="n"/>
      <c r="CV122" s="91" t="n"/>
      <c r="CW122" s="91" t="n"/>
      <c r="CX122" s="91" t="n"/>
      <c r="CY122" s="91" t="n"/>
      <c r="CZ122" s="91">
        <f>SUM(CN122:CY122)</f>
        <v/>
      </c>
      <c r="DA122" s="35" t="n"/>
    </row>
    <row r="123" ht="20" customFormat="1" customHeight="1" s="2">
      <c r="A123" s="30" t="n">
        <v>121</v>
      </c>
      <c r="B123" s="31" t="inlineStr">
        <is>
          <t>云南</t>
        </is>
      </c>
      <c r="C123" s="31" t="inlineStr">
        <is>
          <t>玉溪</t>
        </is>
      </c>
      <c r="D123" s="31" t="inlineStr">
        <is>
          <t>宋俊橙</t>
        </is>
      </c>
      <c r="E123" s="89" t="n"/>
      <c r="F123" s="27" t="inlineStr">
        <is>
          <t>2024</t>
        </is>
      </c>
      <c r="G123" s="27" t="inlineStr">
        <is>
          <t>5</t>
        </is>
      </c>
      <c r="H123" s="91">
        <f>39475+3183+806</f>
        <v/>
      </c>
      <c r="I123" s="91" t="n"/>
      <c r="J123" s="91" t="n"/>
      <c r="K123" s="91">
        <f>+H123+I123+J123</f>
        <v/>
      </c>
      <c r="L123" s="91" t="n">
        <v>7</v>
      </c>
      <c r="M123" s="91" t="inlineStr"/>
      <c r="N123" s="91" t="n"/>
      <c r="O123" s="91" t="n"/>
      <c r="P123" s="91" t="n"/>
      <c r="Q123" s="91" t="n"/>
      <c r="R123" s="91" t="n"/>
      <c r="S123" s="91" t="n"/>
      <c r="T123" s="91" t="n"/>
      <c r="U123" s="91" t="n"/>
      <c r="V123" s="91" t="n"/>
      <c r="W123" s="91" t="n"/>
      <c r="X123" s="91" t="n"/>
      <c r="Y123" s="91" t="n"/>
      <c r="Z123" s="91" t="n"/>
      <c r="AA123" s="91" t="n"/>
      <c r="AB123" s="91" t="n"/>
      <c r="AC123" s="91" t="n"/>
      <c r="AD123" s="91" t="n"/>
      <c r="AE123" s="91" t="n"/>
      <c r="AF123" s="91" t="n"/>
      <c r="AG123" s="30" t="n"/>
      <c r="AH123" s="30" t="n"/>
      <c r="AI123" s="30" t="n"/>
      <c r="AJ123" s="30" t="n"/>
      <c r="AK123" s="30" t="n"/>
      <c r="AL123" s="30" t="n"/>
      <c r="AM123" s="91" t="n"/>
      <c r="AN123" s="91" t="n"/>
      <c r="AO123" s="91" t="n"/>
      <c r="AP123" s="91" t="n"/>
      <c r="AQ123" s="91" t="n"/>
      <c r="AR123" s="91" t="n"/>
      <c r="AS123" s="91" t="n"/>
      <c r="AT123" s="91" t="n"/>
      <c r="AU123" s="91" t="n"/>
      <c r="AV123" s="31" t="n"/>
      <c r="AW123" s="36" t="n"/>
      <c r="AX123" s="16" t="n"/>
      <c r="AY123" s="31" t="n"/>
      <c r="AZ123" s="92" t="n"/>
      <c r="BA123" s="91" t="n"/>
      <c r="BB123" s="91" t="n"/>
      <c r="BC123" s="91" t="n"/>
      <c r="BD123" s="91" t="n"/>
      <c r="BE123" s="91" t="n"/>
      <c r="BF123" s="91" t="n"/>
      <c r="BG123" s="91" t="n"/>
      <c r="BH123" s="91" t="n"/>
      <c r="BI123" s="91" t="n"/>
      <c r="BJ123" s="91" t="n"/>
      <c r="BK123" s="91" t="n"/>
      <c r="BL123" s="91" t="n"/>
      <c r="BM123" s="91" t="n"/>
      <c r="BN123" s="91" t="n"/>
      <c r="BO123" s="91" t="n"/>
      <c r="BP123" s="91" t="n"/>
      <c r="BQ123" s="91" t="n"/>
      <c r="BR123" s="91" t="n"/>
      <c r="BS123" s="91" t="inlineStr"/>
      <c r="BT123" s="91" t="n">
        <v>53481</v>
      </c>
      <c r="BU123" s="91" t="n">
        <v>3376</v>
      </c>
      <c r="BV123" s="91" t="n">
        <v>3302</v>
      </c>
      <c r="BW123" s="91" t="n">
        <v>48741</v>
      </c>
      <c r="BX123" s="91" t="n">
        <v>1338</v>
      </c>
      <c r="BY123" s="91" t="n">
        <v>728</v>
      </c>
      <c r="BZ123" s="91">
        <f>SUM(BN123:BY123)</f>
        <v/>
      </c>
      <c r="CA123" s="91" t="inlineStr"/>
      <c r="CB123" s="91" t="inlineStr"/>
      <c r="CC123" s="91" t="n">
        <v>1775</v>
      </c>
      <c r="CD123" s="91" t="n">
        <v>282</v>
      </c>
      <c r="CE123" s="91" t="n">
        <v>3882</v>
      </c>
      <c r="CF123" s="91" t="n">
        <v>5552</v>
      </c>
      <c r="CG123" s="91" t="n"/>
      <c r="CH123" s="91" t="n">
        <v>4673</v>
      </c>
      <c r="CI123" s="91" t="n"/>
      <c r="CJ123" s="91" t="n">
        <v>1644</v>
      </c>
      <c r="CK123" s="91" t="n"/>
      <c r="CL123" s="91" t="inlineStr"/>
      <c r="CM123" s="91">
        <f>SUM(CA123:CL123)</f>
        <v/>
      </c>
      <c r="CN123" s="91" t="n"/>
      <c r="CO123" s="91" t="n"/>
      <c r="CP123" s="91" t="n"/>
      <c r="CQ123" s="93" t="n"/>
      <c r="CR123" s="94" t="n"/>
      <c r="CS123" s="94" t="n"/>
      <c r="CT123" s="91" t="n"/>
      <c r="CU123" s="91" t="n"/>
      <c r="CV123" s="91" t="n"/>
      <c r="CW123" s="91" t="n"/>
      <c r="CX123" s="91" t="n"/>
      <c r="CY123" s="91" t="n"/>
      <c r="CZ123" s="91">
        <f>SUM(CN123:CY123)</f>
        <v/>
      </c>
      <c r="DA123" s="35" t="n"/>
    </row>
    <row r="124" ht="20" customFormat="1" customHeight="1" s="2">
      <c r="A124" s="30" t="n">
        <v>122</v>
      </c>
      <c r="B124" s="31" t="inlineStr">
        <is>
          <t>四川</t>
        </is>
      </c>
      <c r="C124" s="31" t="inlineStr">
        <is>
          <t>南充南部</t>
        </is>
      </c>
      <c r="D124" s="31" t="inlineStr">
        <is>
          <t>胥席均</t>
        </is>
      </c>
      <c r="E124" s="89" t="n"/>
      <c r="F124" s="27" t="inlineStr">
        <is>
          <t>2024/2025</t>
        </is>
      </c>
      <c r="G124" s="27" t="inlineStr">
        <is>
          <t>5/7/9/10/3</t>
        </is>
      </c>
      <c r="H124" s="91">
        <f>133807+66389+1096+17510+13619+3707</f>
        <v/>
      </c>
      <c r="I124" s="91" t="n"/>
      <c r="J124" s="91" t="n"/>
      <c r="K124" s="91">
        <f>+H124+I124+J124</f>
        <v/>
      </c>
      <c r="L124" s="91" t="n">
        <v>7</v>
      </c>
      <c r="M124" s="91" t="inlineStr"/>
      <c r="N124" s="91" t="n"/>
      <c r="O124" s="91" t="n"/>
      <c r="P124" s="91" t="n"/>
      <c r="Q124" s="91" t="n"/>
      <c r="R124" s="91" t="n"/>
      <c r="S124" s="91" t="n"/>
      <c r="T124" s="91" t="n"/>
      <c r="U124" s="91" t="n"/>
      <c r="V124" s="91" t="n"/>
      <c r="W124" s="91" t="n"/>
      <c r="X124" s="91" t="n"/>
      <c r="Y124" s="91" t="n"/>
      <c r="Z124" s="91" t="n"/>
      <c r="AA124" s="91" t="n"/>
      <c r="AB124" s="91" t="n"/>
      <c r="AC124" s="91" t="n"/>
      <c r="AD124" s="91" t="n"/>
      <c r="AE124" s="91" t="n"/>
      <c r="AF124" s="91" t="n"/>
      <c r="AG124" s="30" t="n"/>
      <c r="AH124" s="30" t="n"/>
      <c r="AI124" s="30" t="n"/>
      <c r="AJ124" s="30" t="n"/>
      <c r="AK124" s="30" t="n"/>
      <c r="AL124" s="30" t="n"/>
      <c r="AM124" s="91" t="n"/>
      <c r="AN124" s="91" t="n"/>
      <c r="AO124" s="91" t="n"/>
      <c r="AP124" s="91" t="n"/>
      <c r="AQ124" s="91" t="n"/>
      <c r="AR124" s="91" t="n"/>
      <c r="AS124" s="91" t="n"/>
      <c r="AT124" s="91" t="n"/>
      <c r="AU124" s="91" t="n"/>
      <c r="AV124" s="31" t="n"/>
      <c r="AW124" s="36" t="n"/>
      <c r="AX124" s="16" t="n"/>
      <c r="AY124" s="31" t="n"/>
      <c r="AZ124" s="92" t="n"/>
      <c r="BA124" s="91" t="n"/>
      <c r="BB124" s="83" t="n"/>
      <c r="BC124" s="91" t="n"/>
      <c r="BD124" s="91" t="n"/>
      <c r="BE124" s="91" t="n"/>
      <c r="BF124" s="91" t="n"/>
      <c r="BG124" s="91" t="n"/>
      <c r="BH124" s="91" t="n"/>
      <c r="BI124" s="91" t="n"/>
      <c r="BJ124" s="91" t="n"/>
      <c r="BK124" s="91" t="n"/>
      <c r="BL124" s="91" t="n"/>
      <c r="BM124" s="91" t="n"/>
      <c r="BN124" s="91" t="n"/>
      <c r="BO124" s="91" t="n"/>
      <c r="BP124" s="91" t="n"/>
      <c r="BQ124" s="91" t="n"/>
      <c r="BR124" s="91" t="n"/>
      <c r="BS124" s="91" t="inlineStr"/>
      <c r="BT124" s="91" t="n"/>
      <c r="BU124" s="91" t="n"/>
      <c r="BV124" s="91" t="inlineStr"/>
      <c r="BW124" s="91" t="inlineStr"/>
      <c r="BX124" s="91" t="inlineStr"/>
      <c r="BY124" s="91" t="n"/>
      <c r="BZ124" s="91">
        <f>SUM(BN124:BY124)</f>
        <v/>
      </c>
      <c r="CA124" s="91" t="inlineStr"/>
      <c r="CB124" s="91" t="n">
        <v>2137</v>
      </c>
      <c r="CC124" s="91" t="inlineStr"/>
      <c r="CD124" s="91" t="n"/>
      <c r="CE124" s="91" t="n">
        <v>2217</v>
      </c>
      <c r="CF124" s="91" t="n"/>
      <c r="CG124" s="91" t="n">
        <v>9191</v>
      </c>
      <c r="CH124" s="91" t="n">
        <v>2372</v>
      </c>
      <c r="CI124" s="91" t="n">
        <v>46460</v>
      </c>
      <c r="CJ124" s="91" t="n">
        <v>206</v>
      </c>
      <c r="CK124" s="91" t="n">
        <v>26861</v>
      </c>
      <c r="CL124" s="91" t="n">
        <v>2145</v>
      </c>
      <c r="CM124" s="91">
        <f>SUM(CA124:CL124)</f>
        <v/>
      </c>
      <c r="CN124" s="91" t="n"/>
      <c r="CO124" s="91" t="n"/>
      <c r="CP124" s="91" t="n"/>
      <c r="CQ124" s="93" t="n"/>
      <c r="CR124" s="94" t="n"/>
      <c r="CS124" s="94" t="n"/>
      <c r="CT124" s="91" t="n"/>
      <c r="CU124" s="91" t="n"/>
      <c r="CV124" s="91" t="n"/>
      <c r="CW124" s="91" t="n"/>
      <c r="CX124" s="91" t="n"/>
      <c r="CY124" s="91" t="n"/>
      <c r="CZ124" s="91">
        <f>SUM(CN124:CY124)</f>
        <v/>
      </c>
      <c r="DA124" s="35" t="n"/>
    </row>
    <row r="125" ht="20" customFormat="1" customHeight="1" s="2">
      <c r="A125" s="30" t="n">
        <v>123</v>
      </c>
      <c r="B125" s="31" t="inlineStr">
        <is>
          <t>甘肃</t>
        </is>
      </c>
      <c r="C125" s="31" t="inlineStr">
        <is>
          <t>张家川</t>
        </is>
      </c>
      <c r="D125" s="31" t="inlineStr">
        <is>
          <t>刘志华</t>
        </is>
      </c>
      <c r="E125" s="89" t="n"/>
      <c r="F125" s="27" t="inlineStr">
        <is>
          <t>2024</t>
        </is>
      </c>
      <c r="G125" s="27" t="inlineStr">
        <is>
          <t>6/9</t>
        </is>
      </c>
      <c r="H125" s="91">
        <f>72968+2241</f>
        <v/>
      </c>
      <c r="I125" s="91" t="n"/>
      <c r="J125" s="91" t="n"/>
      <c r="K125" s="91">
        <f>+H125+I125+J125</f>
        <v/>
      </c>
      <c r="L125" s="91" t="n">
        <v>7</v>
      </c>
      <c r="M125" s="91" t="inlineStr"/>
      <c r="N125" s="91" t="n"/>
      <c r="O125" s="91" t="n"/>
      <c r="P125" s="91" t="n"/>
      <c r="Q125" s="91" t="n"/>
      <c r="R125" s="91" t="n"/>
      <c r="S125" s="91" t="n"/>
      <c r="T125" s="91" t="n"/>
      <c r="U125" s="91" t="n"/>
      <c r="V125" s="91" t="n"/>
      <c r="W125" s="91" t="n"/>
      <c r="X125" s="91" t="n"/>
      <c r="Y125" s="91" t="n"/>
      <c r="Z125" s="91" t="n"/>
      <c r="AA125" s="91" t="n"/>
      <c r="AB125" s="91" t="n"/>
      <c r="AC125" s="91" t="n"/>
      <c r="AD125" s="91" t="n"/>
      <c r="AE125" s="91" t="n"/>
      <c r="AF125" s="91" t="n"/>
      <c r="AG125" s="30" t="n"/>
      <c r="AH125" s="30" t="n"/>
      <c r="AI125" s="30" t="n"/>
      <c r="AJ125" s="30" t="n"/>
      <c r="AK125" s="30" t="n"/>
      <c r="AL125" s="30" t="n"/>
      <c r="AM125" s="91" t="n"/>
      <c r="AN125" s="91" t="n"/>
      <c r="AO125" s="91" t="n"/>
      <c r="AP125" s="91" t="n"/>
      <c r="AQ125" s="91" t="n"/>
      <c r="AR125" s="91" t="n"/>
      <c r="AS125" s="91" t="n"/>
      <c r="AT125" s="91" t="n"/>
      <c r="AU125" s="91" t="n"/>
      <c r="AV125" s="31" t="n"/>
      <c r="AW125" s="36" t="n"/>
      <c r="AX125" s="16" t="n"/>
      <c r="AY125" s="31" t="n"/>
      <c r="AZ125" s="92" t="n"/>
      <c r="BA125" s="91" t="n"/>
      <c r="BB125" s="91" t="n"/>
      <c r="BC125" s="91" t="n"/>
      <c r="BD125" s="91" t="n"/>
      <c r="BE125" s="91" t="n"/>
      <c r="BF125" s="91" t="n"/>
      <c r="BG125" s="91" t="n"/>
      <c r="BH125" s="91" t="n"/>
      <c r="BI125" s="91" t="n"/>
      <c r="BJ125" s="91" t="n"/>
      <c r="BK125" s="91" t="n"/>
      <c r="BL125" s="91" t="n"/>
      <c r="BM125" s="91" t="n"/>
      <c r="BN125" s="91" t="n"/>
      <c r="BO125" s="91" t="n"/>
      <c r="BP125" s="91" t="n"/>
      <c r="BQ125" s="91" t="n"/>
      <c r="BR125" s="91" t="n"/>
      <c r="BS125" s="91" t="inlineStr"/>
      <c r="BT125" s="91" t="n">
        <v>2921</v>
      </c>
      <c r="BU125" s="91" t="n">
        <v>7948</v>
      </c>
      <c r="BV125" s="91" t="n">
        <v>4079</v>
      </c>
      <c r="BW125" s="91" t="inlineStr"/>
      <c r="BX125" s="91" t="inlineStr"/>
      <c r="BY125" s="91" t="n"/>
      <c r="BZ125" s="91">
        <f>SUM(BN125:BY125)</f>
        <v/>
      </c>
      <c r="CA125" s="91" t="inlineStr"/>
      <c r="CB125" s="91" t="inlineStr"/>
      <c r="CC125" s="91" t="inlineStr"/>
      <c r="CD125" s="91" t="n"/>
      <c r="CE125" s="91" t="n"/>
      <c r="CF125" s="91" t="n"/>
      <c r="CG125" s="91" t="n"/>
      <c r="CH125" s="91" t="inlineStr"/>
      <c r="CI125" s="91" t="n"/>
      <c r="CJ125" s="91" t="inlineStr"/>
      <c r="CK125" s="91" t="n"/>
      <c r="CL125" s="91" t="inlineStr"/>
      <c r="CM125" s="91">
        <f>SUM(CA125:CL125)</f>
        <v/>
      </c>
      <c r="CN125" s="91" t="n"/>
      <c r="CO125" s="91" t="n"/>
      <c r="CP125" s="91" t="n"/>
      <c r="CQ125" s="93" t="n"/>
      <c r="CR125" s="94" t="n"/>
      <c r="CS125" s="94" t="n"/>
      <c r="CT125" s="91" t="n"/>
      <c r="CU125" s="91" t="n"/>
      <c r="CV125" s="91" t="n"/>
      <c r="CW125" s="91" t="n"/>
      <c r="CX125" s="91" t="n"/>
      <c r="CY125" s="91" t="n"/>
      <c r="CZ125" s="91">
        <f>SUM(CN125:CY125)</f>
        <v/>
      </c>
      <c r="DA125" s="35" t="n"/>
    </row>
    <row r="126" ht="20" customFormat="1" customHeight="1" s="2">
      <c r="A126" s="30" t="n">
        <v>124</v>
      </c>
      <c r="B126" s="31" t="inlineStr">
        <is>
          <t>湖南</t>
        </is>
      </c>
      <c r="C126" s="31" t="inlineStr">
        <is>
          <t>邵阳</t>
        </is>
      </c>
      <c r="D126" s="31" t="inlineStr">
        <is>
          <t>石怀英</t>
        </is>
      </c>
      <c r="E126" s="89" t="n"/>
      <c r="F126" s="27" t="inlineStr">
        <is>
          <t>2024/2025</t>
        </is>
      </c>
      <c r="G126" s="27" t="inlineStr">
        <is>
          <t>6/3</t>
        </is>
      </c>
      <c r="H126" s="91">
        <f>34410+100</f>
        <v/>
      </c>
      <c r="I126" s="91" t="n"/>
      <c r="J126" s="91" t="n"/>
      <c r="K126" s="91">
        <f>+H126+I126+J126</f>
        <v/>
      </c>
      <c r="L126" s="91" t="n">
        <v>7</v>
      </c>
      <c r="M126" s="91" t="inlineStr"/>
      <c r="N126" s="91" t="n"/>
      <c r="O126" s="91" t="n"/>
      <c r="P126" s="91" t="n"/>
      <c r="Q126" s="91" t="n"/>
      <c r="R126" s="91" t="n"/>
      <c r="S126" s="91" t="n"/>
      <c r="T126" s="91" t="n"/>
      <c r="U126" s="91" t="n"/>
      <c r="V126" s="91" t="n"/>
      <c r="W126" s="91" t="n"/>
      <c r="X126" s="91" t="n"/>
      <c r="Y126" s="91" t="n"/>
      <c r="Z126" s="91" t="n"/>
      <c r="AA126" s="91" t="n"/>
      <c r="AB126" s="91" t="n"/>
      <c r="AC126" s="91" t="n"/>
      <c r="AD126" s="91" t="n"/>
      <c r="AE126" s="91" t="n"/>
      <c r="AF126" s="91" t="n"/>
      <c r="AG126" s="30" t="n"/>
      <c r="AH126" s="30" t="n"/>
      <c r="AI126" s="30" t="n"/>
      <c r="AJ126" s="30" t="n"/>
      <c r="AK126" s="30" t="n"/>
      <c r="AL126" s="30" t="n"/>
      <c r="AM126" s="91" t="n"/>
      <c r="AN126" s="91" t="n"/>
      <c r="AO126" s="91" t="n"/>
      <c r="AP126" s="91" t="n"/>
      <c r="AQ126" s="91" t="n"/>
      <c r="AR126" s="91" t="n"/>
      <c r="AS126" s="91" t="n"/>
      <c r="AT126" s="91" t="n"/>
      <c r="AU126" s="91" t="n"/>
      <c r="AV126" s="31" t="n"/>
      <c r="AW126" s="36" t="n"/>
      <c r="AX126" s="16" t="n"/>
      <c r="AY126" s="31" t="n"/>
      <c r="AZ126" s="92" t="n"/>
      <c r="BA126" s="91" t="n"/>
      <c r="BB126" s="91" t="n"/>
      <c r="BC126" s="91" t="n"/>
      <c r="BD126" s="91" t="n"/>
      <c r="BE126" s="91" t="n"/>
      <c r="BF126" s="91" t="n"/>
      <c r="BG126" s="91" t="n"/>
      <c r="BH126" s="91" t="n"/>
      <c r="BI126" s="91" t="n"/>
      <c r="BJ126" s="91" t="n"/>
      <c r="BK126" s="91" t="n"/>
      <c r="BL126" s="91" t="n"/>
      <c r="BM126" s="91" t="n"/>
      <c r="BN126" s="91" t="n"/>
      <c r="BO126" s="91" t="n"/>
      <c r="BP126" s="91" t="n"/>
      <c r="BQ126" s="91" t="n"/>
      <c r="BR126" s="91" t="n"/>
      <c r="BS126" s="91" t="n">
        <v>1248</v>
      </c>
      <c r="BT126" s="91" t="n"/>
      <c r="BU126" s="91" t="n">
        <v>756</v>
      </c>
      <c r="BV126" s="91" t="n">
        <v>27641.29</v>
      </c>
      <c r="BW126" s="91" t="inlineStr"/>
      <c r="BX126" s="91" t="n">
        <v>33592.21</v>
      </c>
      <c r="BY126" s="91" t="n">
        <v>151064.65</v>
      </c>
      <c r="BZ126" s="91">
        <f>SUM(BN126:BY126)</f>
        <v/>
      </c>
      <c r="CA126" s="91" t="n">
        <v>807</v>
      </c>
      <c r="CB126" s="91">
        <f>505+2419</f>
        <v/>
      </c>
      <c r="CC126" s="91" t="n">
        <v>23855</v>
      </c>
      <c r="CD126" s="91" t="n">
        <v>1055</v>
      </c>
      <c r="CE126" s="91" t="n">
        <v>19937</v>
      </c>
      <c r="CF126" s="91" t="n"/>
      <c r="CG126" s="91" t="n">
        <v>141</v>
      </c>
      <c r="CH126" s="91" t="inlineStr"/>
      <c r="CI126" s="91" t="n">
        <v>108</v>
      </c>
      <c r="CJ126" s="91" t="inlineStr"/>
      <c r="CK126" s="91" t="n"/>
      <c r="CL126" s="91" t="inlineStr"/>
      <c r="CM126" s="91">
        <f>SUM(CA126:CL126)</f>
        <v/>
      </c>
      <c r="CN126" s="91" t="n"/>
      <c r="CO126" s="91" t="n"/>
      <c r="CP126" s="91" t="n"/>
      <c r="CQ126" s="93" t="n"/>
      <c r="CR126" s="94" t="n"/>
      <c r="CS126" s="94" t="n"/>
      <c r="CT126" s="91" t="n"/>
      <c r="CU126" s="91" t="n"/>
      <c r="CV126" s="91" t="n"/>
      <c r="CW126" s="91" t="n"/>
      <c r="CX126" s="91" t="n"/>
      <c r="CY126" s="91" t="n"/>
      <c r="CZ126" s="91">
        <f>SUM(CN126:CY126)</f>
        <v/>
      </c>
      <c r="DA126" s="35" t="n"/>
    </row>
    <row r="127" ht="20" customFormat="1" customHeight="1" s="2">
      <c r="A127" s="30" t="n">
        <v>125</v>
      </c>
      <c r="B127" s="31" t="inlineStr">
        <is>
          <t>内蒙古</t>
        </is>
      </c>
      <c r="C127" s="31" t="inlineStr">
        <is>
          <t>通辽</t>
        </is>
      </c>
      <c r="D127" s="31" t="inlineStr">
        <is>
          <t>李艳洁</t>
        </is>
      </c>
      <c r="E127" s="89" t="n"/>
      <c r="F127" s="27" t="inlineStr">
        <is>
          <t>2024</t>
        </is>
      </c>
      <c r="G127" s="27" t="inlineStr">
        <is>
          <t>6</t>
        </is>
      </c>
      <c r="H127" s="91" t="n">
        <v>97005</v>
      </c>
      <c r="I127" s="91" t="n"/>
      <c r="J127" s="91" t="n"/>
      <c r="K127" s="91">
        <f>+H127+I127+J127</f>
        <v/>
      </c>
      <c r="L127" s="91" t="n">
        <v>7</v>
      </c>
      <c r="M127" s="91" t="inlineStr"/>
      <c r="N127" s="91" t="n"/>
      <c r="O127" s="91" t="n"/>
      <c r="P127" s="91" t="n"/>
      <c r="Q127" s="91" t="n"/>
      <c r="R127" s="91" t="n"/>
      <c r="S127" s="91" t="n"/>
      <c r="T127" s="91" t="n"/>
      <c r="U127" s="91" t="n"/>
      <c r="V127" s="91" t="n"/>
      <c r="W127" s="91" t="n"/>
      <c r="X127" s="91" t="n"/>
      <c r="Y127" s="91" t="n"/>
      <c r="Z127" s="91" t="n"/>
      <c r="AA127" s="91" t="n"/>
      <c r="AB127" s="91" t="n"/>
      <c r="AC127" s="91" t="n"/>
      <c r="AD127" s="91" t="n"/>
      <c r="AE127" s="91" t="n"/>
      <c r="AF127" s="91" t="n"/>
      <c r="AG127" s="30" t="n"/>
      <c r="AH127" s="30" t="n"/>
      <c r="AI127" s="30" t="n"/>
      <c r="AJ127" s="30" t="n"/>
      <c r="AK127" s="30" t="n"/>
      <c r="AL127" s="30" t="n"/>
      <c r="AM127" s="91" t="n"/>
      <c r="AN127" s="91" t="n"/>
      <c r="AO127" s="91" t="n"/>
      <c r="AP127" s="91" t="n"/>
      <c r="AQ127" s="91" t="n"/>
      <c r="AR127" s="91" t="n"/>
      <c r="AS127" s="91" t="n"/>
      <c r="AT127" s="91" t="n"/>
      <c r="AU127" s="91" t="n"/>
      <c r="AV127" s="31" t="n"/>
      <c r="AW127" s="36" t="n"/>
      <c r="AX127" s="16" t="n"/>
      <c r="AY127" s="31" t="n"/>
      <c r="AZ127" s="92" t="n"/>
      <c r="BA127" s="91" t="n"/>
      <c r="BB127" s="91" t="n"/>
      <c r="BC127" s="91" t="n"/>
      <c r="BD127" s="91" t="n"/>
      <c r="BE127" s="91" t="n"/>
      <c r="BF127" s="91" t="n"/>
      <c r="BG127" s="91" t="n"/>
      <c r="BH127" s="91" t="n"/>
      <c r="BI127" s="91" t="n"/>
      <c r="BJ127" s="91" t="n"/>
      <c r="BK127" s="91" t="n"/>
      <c r="BL127" s="91" t="n"/>
      <c r="BM127" s="91" t="n"/>
      <c r="BN127" s="91" t="n"/>
      <c r="BO127" s="91" t="n"/>
      <c r="BP127" s="91" t="n"/>
      <c r="BQ127" s="91" t="n"/>
      <c r="BR127" s="91" t="n"/>
      <c r="BS127" s="91" t="inlineStr"/>
      <c r="BT127" s="91" t="n"/>
      <c r="BU127" s="91" t="n"/>
      <c r="BV127" s="91" t="inlineStr"/>
      <c r="BW127" s="91" t="inlineStr"/>
      <c r="BX127" s="91" t="n">
        <v>23538</v>
      </c>
      <c r="BY127" s="91" t="n">
        <v>4449</v>
      </c>
      <c r="BZ127" s="91">
        <f>SUM(BN127:BY127)</f>
        <v/>
      </c>
      <c r="CA127" s="91" t="inlineStr"/>
      <c r="CB127" s="91" t="inlineStr"/>
      <c r="CC127" s="91" t="inlineStr"/>
      <c r="CD127" s="91" t="n"/>
      <c r="CE127" s="91" t="n"/>
      <c r="CF127" s="91" t="n">
        <v>18497</v>
      </c>
      <c r="CG127" s="91" t="n"/>
      <c r="CH127" s="91" t="inlineStr"/>
      <c r="CI127" s="91" t="n">
        <v>132810</v>
      </c>
      <c r="CJ127" s="91" t="inlineStr"/>
      <c r="CK127" s="91" t="n">
        <v>21752</v>
      </c>
      <c r="CL127" s="91" t="inlineStr"/>
      <c r="CM127" s="91">
        <f>SUM(CA127:CL127)</f>
        <v/>
      </c>
      <c r="CN127" s="91" t="n"/>
      <c r="CO127" s="91" t="n"/>
      <c r="CP127" s="91" t="n"/>
      <c r="CQ127" s="93" t="n"/>
      <c r="CR127" s="94" t="n"/>
      <c r="CS127" s="94" t="n"/>
      <c r="CT127" s="91" t="n"/>
      <c r="CU127" s="91" t="n"/>
      <c r="CV127" s="91" t="n"/>
      <c r="CW127" s="91" t="n"/>
      <c r="CX127" s="91" t="n"/>
      <c r="CY127" s="91" t="n"/>
      <c r="CZ127" s="91">
        <f>SUM(CN127:CY127)</f>
        <v/>
      </c>
      <c r="DA127" s="35" t="n"/>
    </row>
    <row r="128" ht="20" customFormat="1" customHeight="1" s="2">
      <c r="A128" s="30" t="n">
        <v>126</v>
      </c>
      <c r="B128" s="31" t="inlineStr">
        <is>
          <t>宁夏</t>
        </is>
      </c>
      <c r="C128" s="31" t="inlineStr">
        <is>
          <t>海原</t>
        </is>
      </c>
      <c r="D128" s="31" t="inlineStr">
        <is>
          <t>邱鑫</t>
        </is>
      </c>
      <c r="E128" s="89" t="n"/>
      <c r="F128" s="27" t="inlineStr">
        <is>
          <t>2024/2025</t>
        </is>
      </c>
      <c r="G128" s="27" t="inlineStr">
        <is>
          <t>6/7/2</t>
        </is>
      </c>
      <c r="H128" s="91">
        <f>94132+1563+462+126</f>
        <v/>
      </c>
      <c r="I128" s="91" t="n"/>
      <c r="J128" s="91" t="n"/>
      <c r="K128" s="91">
        <f>+H128+I128+J128</f>
        <v/>
      </c>
      <c r="L128" s="91" t="n">
        <v>7</v>
      </c>
      <c r="M128" s="91" t="inlineStr"/>
      <c r="N128" s="91" t="n"/>
      <c r="O128" s="91" t="n"/>
      <c r="P128" s="91" t="n"/>
      <c r="Q128" s="91" t="n"/>
      <c r="R128" s="91" t="n"/>
      <c r="S128" s="91" t="n"/>
      <c r="T128" s="91" t="n"/>
      <c r="U128" s="91" t="n"/>
      <c r="V128" s="91" t="n"/>
      <c r="W128" s="91" t="n"/>
      <c r="X128" s="91" t="n"/>
      <c r="Y128" s="91" t="n"/>
      <c r="Z128" s="91" t="n"/>
      <c r="AA128" s="91" t="n"/>
      <c r="AB128" s="91" t="n"/>
      <c r="AC128" s="91" t="n"/>
      <c r="AD128" s="91" t="n"/>
      <c r="AE128" s="91" t="n"/>
      <c r="AF128" s="91" t="n"/>
      <c r="AG128" s="30" t="n"/>
      <c r="AH128" s="30" t="n"/>
      <c r="AI128" s="30" t="n"/>
      <c r="AJ128" s="30" t="n"/>
      <c r="AK128" s="30" t="n"/>
      <c r="AL128" s="30" t="n"/>
      <c r="AM128" s="91" t="n"/>
      <c r="AN128" s="91" t="n"/>
      <c r="AO128" s="91" t="n"/>
      <c r="AP128" s="91" t="n"/>
      <c r="AQ128" s="91" t="n"/>
      <c r="AR128" s="91" t="n"/>
      <c r="AS128" s="91" t="n"/>
      <c r="AT128" s="91" t="n"/>
      <c r="AU128" s="91" t="n"/>
      <c r="AV128" s="31" t="n"/>
      <c r="AW128" s="36" t="n"/>
      <c r="AX128" s="16" t="n"/>
      <c r="AY128" s="31" t="n"/>
      <c r="AZ128" s="92" t="n"/>
      <c r="BA128" s="91" t="n"/>
      <c r="BB128" s="91" t="n"/>
      <c r="BC128" s="91" t="n"/>
      <c r="BD128" s="91" t="n"/>
      <c r="BE128" s="91" t="n"/>
      <c r="BF128" s="91" t="n"/>
      <c r="BG128" s="91" t="n"/>
      <c r="BH128" s="91" t="n"/>
      <c r="BI128" s="91" t="n"/>
      <c r="BJ128" s="91" t="n"/>
      <c r="BK128" s="91" t="n"/>
      <c r="BL128" s="91" t="n"/>
      <c r="BM128" s="91" t="n"/>
      <c r="BN128" s="91" t="n"/>
      <c r="BO128" s="91" t="n"/>
      <c r="BP128" s="91" t="n"/>
      <c r="BQ128" s="91" t="n"/>
      <c r="BR128" s="91" t="n"/>
      <c r="BS128" s="91" t="n">
        <v>67614</v>
      </c>
      <c r="BT128" s="91" t="n">
        <v>397</v>
      </c>
      <c r="BU128" s="91" t="n">
        <v>814</v>
      </c>
      <c r="BV128" s="91" t="n">
        <v>72247</v>
      </c>
      <c r="BW128" s="91" t="n">
        <v>11807</v>
      </c>
      <c r="BX128" s="91" t="n">
        <v>1036</v>
      </c>
      <c r="BY128" s="91" t="n">
        <v>2558</v>
      </c>
      <c r="BZ128" s="91">
        <f>SUM(BN128:BY128)</f>
        <v/>
      </c>
      <c r="CA128" s="91" t="n">
        <v>37940</v>
      </c>
      <c r="CB128" s="91" t="n">
        <v>1320</v>
      </c>
      <c r="CC128" s="91" t="n">
        <v>47860</v>
      </c>
      <c r="CD128" s="91" t="n">
        <v>6204</v>
      </c>
      <c r="CE128" s="91" t="n">
        <v>6663</v>
      </c>
      <c r="CF128" s="91" t="n">
        <v>3496</v>
      </c>
      <c r="CG128" s="91" t="n"/>
      <c r="CH128" s="91" t="n">
        <v>675</v>
      </c>
      <c r="CI128" s="91" t="n">
        <v>10779</v>
      </c>
      <c r="CJ128" s="91" t="inlineStr"/>
      <c r="CK128" s="91" t="n">
        <v>4007</v>
      </c>
      <c r="CL128" s="91" t="n">
        <v>51</v>
      </c>
      <c r="CM128" s="91">
        <f>SUM(CA128:CL128)</f>
        <v/>
      </c>
      <c r="CN128" s="91" t="n"/>
      <c r="CO128" s="91" t="n"/>
      <c r="CP128" s="91" t="n"/>
      <c r="CQ128" s="93" t="n"/>
      <c r="CR128" s="94" t="n"/>
      <c r="CS128" s="94" t="n"/>
      <c r="CT128" s="91" t="n"/>
      <c r="CU128" s="91" t="n"/>
      <c r="CV128" s="91" t="n"/>
      <c r="CW128" s="91" t="n"/>
      <c r="CX128" s="91" t="n"/>
      <c r="CY128" s="91" t="n"/>
      <c r="CZ128" s="91">
        <f>SUM(CN128:CY128)</f>
        <v/>
      </c>
      <c r="DA128" s="35" t="n"/>
    </row>
    <row r="129" ht="20" customFormat="1" customHeight="1" s="1">
      <c r="A129" s="30" t="n">
        <v>127</v>
      </c>
      <c r="B129" s="31" t="inlineStr">
        <is>
          <t>重庆</t>
        </is>
      </c>
      <c r="C129" s="31" t="inlineStr">
        <is>
          <t>梁平</t>
        </is>
      </c>
      <c r="D129" s="31" t="inlineStr">
        <is>
          <t>高真炀</t>
        </is>
      </c>
      <c r="E129" s="89" t="n"/>
      <c r="F129" s="27" t="inlineStr">
        <is>
          <t>2022/2025</t>
        </is>
      </c>
      <c r="G129" s="27" t="inlineStr">
        <is>
          <t>4/2/3</t>
        </is>
      </c>
      <c r="H129" s="91">
        <f>169852+12+252+3909</f>
        <v/>
      </c>
      <c r="I129" s="91" t="n"/>
      <c r="J129" s="91" t="n"/>
      <c r="K129" s="91">
        <f>+H129+I129+J129</f>
        <v/>
      </c>
      <c r="L129" s="91" t="n">
        <v>6</v>
      </c>
      <c r="M129" s="91" t="inlineStr"/>
      <c r="N129" s="91" t="n"/>
      <c r="O129" s="91" t="n"/>
      <c r="P129" s="91" t="n"/>
      <c r="Q129" s="91" t="n"/>
      <c r="R129" s="91" t="n"/>
      <c r="S129" s="91" t="n"/>
      <c r="T129" s="91" t="n"/>
      <c r="U129" s="91" t="n"/>
      <c r="V129" s="91" t="n"/>
      <c r="W129" s="91" t="n"/>
      <c r="X129" s="91" t="n"/>
      <c r="Y129" s="91" t="n"/>
      <c r="Z129" s="91" t="n"/>
      <c r="AA129" s="91" t="n"/>
      <c r="AB129" s="91" t="n"/>
      <c r="AC129" s="91" t="n"/>
      <c r="AD129" s="91" t="n"/>
      <c r="AE129" s="91" t="n"/>
      <c r="AF129" s="91" t="n"/>
      <c r="AG129" s="30" t="n"/>
      <c r="AH129" s="30" t="n"/>
      <c r="AI129" s="30" t="n"/>
      <c r="AJ129" s="30" t="n"/>
      <c r="AK129" s="30" t="n"/>
      <c r="AL129" s="30" t="n"/>
      <c r="AM129" s="91" t="n"/>
      <c r="AN129" s="91" t="n"/>
      <c r="AO129" s="91" t="n"/>
      <c r="AP129" s="91" t="n"/>
      <c r="AQ129" s="91" t="n"/>
      <c r="AR129" s="91" t="n"/>
      <c r="AS129" s="91" t="n"/>
      <c r="AT129" s="91" t="n"/>
      <c r="AU129" s="91" t="n"/>
      <c r="AV129" s="31" t="n"/>
      <c r="AW129" s="36" t="n"/>
      <c r="AX129" s="16" t="n"/>
      <c r="AY129" s="31" t="n"/>
      <c r="AZ129" s="92" t="n"/>
      <c r="BA129" s="91" t="n"/>
      <c r="BB129" s="91" t="n"/>
      <c r="BC129" s="91" t="n"/>
      <c r="BD129" s="91" t="n"/>
      <c r="BE129" s="91" t="n"/>
      <c r="BF129" s="91" t="n"/>
      <c r="BG129" s="91" t="n"/>
      <c r="BH129" s="91" t="n"/>
      <c r="BI129" s="91" t="n"/>
      <c r="BJ129" s="91" t="n"/>
      <c r="BK129" s="91" t="n"/>
      <c r="BL129" s="91" t="n"/>
      <c r="BM129" s="91" t="n"/>
      <c r="BN129" s="91">
        <f>570+3580</f>
        <v/>
      </c>
      <c r="BO129" s="91" t="n">
        <v>2076</v>
      </c>
      <c r="BP129" s="91" t="n">
        <v>3365</v>
      </c>
      <c r="BQ129" s="91" t="n">
        <v>12525</v>
      </c>
      <c r="BR129" s="91">
        <f>41158+10266</f>
        <v/>
      </c>
      <c r="BS129" s="91">
        <f>50671+3892</f>
        <v/>
      </c>
      <c r="BT129" s="91">
        <f>10874+26972.18</f>
        <v/>
      </c>
      <c r="BU129" s="91" t="n">
        <v>18080.19</v>
      </c>
      <c r="BV129" s="91" t="n">
        <v>1376.96</v>
      </c>
      <c r="BW129" s="91" t="n">
        <v>1996</v>
      </c>
      <c r="BX129" s="91" t="n">
        <v>28120.95</v>
      </c>
      <c r="BY129" s="91" t="n">
        <v>1135.72</v>
      </c>
      <c r="BZ129" s="91">
        <f>SUM(BN129:BY129)</f>
        <v/>
      </c>
      <c r="CA129" s="91" t="n">
        <v>22850</v>
      </c>
      <c r="CB129" s="91" t="n">
        <v>1189</v>
      </c>
      <c r="CC129" s="91" t="n">
        <v>521.26</v>
      </c>
      <c r="CD129" s="91" t="n">
        <v>2741</v>
      </c>
      <c r="CE129" s="91" t="n">
        <v>1590</v>
      </c>
      <c r="CF129" s="91" t="n"/>
      <c r="CG129" s="91" t="n">
        <v>2336</v>
      </c>
      <c r="CH129" s="91" t="n">
        <v>23976.52</v>
      </c>
      <c r="CI129" s="91" t="n">
        <v>2004</v>
      </c>
      <c r="CJ129" s="91" t="n">
        <v>4470.21</v>
      </c>
      <c r="CK129" s="91" t="n"/>
      <c r="CL129" s="91" t="n">
        <v>1736</v>
      </c>
      <c r="CM129" s="91">
        <f>SUM(CA129:CL129)</f>
        <v/>
      </c>
      <c r="CN129" s="91" t="n"/>
      <c r="CO129" s="91" t="n"/>
      <c r="CP129" s="91" t="n"/>
      <c r="CQ129" s="93" t="n"/>
      <c r="CR129" s="94" t="n"/>
      <c r="CS129" s="94" t="n"/>
      <c r="CT129" s="91" t="n"/>
      <c r="CU129" s="91" t="n"/>
      <c r="CV129" s="91" t="n"/>
      <c r="CW129" s="91" t="n"/>
      <c r="CX129" s="91" t="n"/>
      <c r="CY129" s="91" t="n"/>
      <c r="CZ129" s="91">
        <f>SUM(CN129:CY129)</f>
        <v/>
      </c>
      <c r="DA129" s="35" t="n"/>
    </row>
    <row r="130" ht="20" customFormat="1" customHeight="1" s="1">
      <c r="A130" s="30" t="n">
        <v>128</v>
      </c>
      <c r="B130" s="31" t="inlineStr">
        <is>
          <t>重庆</t>
        </is>
      </c>
      <c r="C130" s="31" t="inlineStr">
        <is>
          <t>綦江</t>
        </is>
      </c>
      <c r="D130" s="31" t="inlineStr">
        <is>
          <t>孙汉洪</t>
        </is>
      </c>
      <c r="E130" s="89" t="n"/>
      <c r="F130" s="27" t="inlineStr">
        <is>
          <t>2023</t>
        </is>
      </c>
      <c r="G130" s="27" t="inlineStr">
        <is>
          <t>2</t>
        </is>
      </c>
      <c r="H130" s="105" t="n">
        <v>11479</v>
      </c>
      <c r="I130" s="91" t="n"/>
      <c r="J130" s="91" t="n"/>
      <c r="K130" s="91">
        <f>+H130+I130+J130</f>
        <v/>
      </c>
      <c r="L130" s="91" t="n">
        <v>8.5</v>
      </c>
      <c r="M130" s="91" t="inlineStr"/>
      <c r="N130" s="91" t="n"/>
      <c r="O130" s="91" t="n"/>
      <c r="P130" s="91" t="n"/>
      <c r="Q130" s="91" t="n"/>
      <c r="R130" s="91" t="n"/>
      <c r="S130" s="91" t="n"/>
      <c r="T130" s="91" t="n"/>
      <c r="U130" s="91" t="n"/>
      <c r="V130" s="91" t="n"/>
      <c r="W130" s="91" t="n"/>
      <c r="X130" s="91" t="n"/>
      <c r="Y130" s="91" t="n"/>
      <c r="Z130" s="91" t="n"/>
      <c r="AA130" s="91" t="n"/>
      <c r="AB130" s="91" t="n"/>
      <c r="AC130" s="91" t="n"/>
      <c r="AD130" s="91" t="n"/>
      <c r="AE130" s="91" t="n"/>
      <c r="AF130" s="91" t="n"/>
      <c r="AG130" s="30" t="n"/>
      <c r="AH130" s="30" t="n"/>
      <c r="AI130" s="30" t="n"/>
      <c r="AJ130" s="30" t="n"/>
      <c r="AK130" s="30" t="n"/>
      <c r="AL130" s="30" t="n"/>
      <c r="AM130" s="91" t="n"/>
      <c r="AN130" s="91" t="n"/>
      <c r="AO130" s="91" t="n"/>
      <c r="AP130" s="91" t="n"/>
      <c r="AQ130" s="91" t="n"/>
      <c r="AR130" s="91" t="n"/>
      <c r="AS130" s="91" t="n"/>
      <c r="AT130" s="91" t="n"/>
      <c r="AU130" s="91" t="n"/>
      <c r="AV130" s="31" t="n"/>
      <c r="AW130" s="36" t="n"/>
      <c r="AX130" s="16" t="n"/>
      <c r="AY130" s="31" t="n"/>
      <c r="AZ130" s="92" t="n"/>
      <c r="BA130" s="91" t="n"/>
      <c r="BB130" s="91" t="n">
        <v>24688</v>
      </c>
      <c r="BC130" s="91" t="n">
        <v>2709</v>
      </c>
      <c r="BD130" s="91" t="n">
        <v>30514</v>
      </c>
      <c r="BE130" s="91" t="n">
        <v>6829</v>
      </c>
      <c r="BF130" s="91" t="n"/>
      <c r="BG130" s="91" t="n"/>
      <c r="BH130" s="91" t="n"/>
      <c r="BI130" s="91" t="n"/>
      <c r="BJ130" s="91" t="n"/>
      <c r="BK130" s="91" t="n"/>
      <c r="BL130" s="91" t="n"/>
      <c r="BM130" s="91" t="n"/>
      <c r="BN130" s="91" t="n"/>
      <c r="BO130" s="91" t="n"/>
      <c r="BP130" s="91">
        <f>119520+216</f>
        <v/>
      </c>
      <c r="BQ130" s="91" t="n">
        <v>25655</v>
      </c>
      <c r="BR130" s="91" t="n">
        <v>458</v>
      </c>
      <c r="BS130" s="91" t="n">
        <v>632</v>
      </c>
      <c r="BT130" s="91" t="n"/>
      <c r="BU130" s="91" t="n"/>
      <c r="BV130" s="91" t="inlineStr"/>
      <c r="BW130" s="91" t="n">
        <v>12398</v>
      </c>
      <c r="BX130" s="91" t="n">
        <v>13775</v>
      </c>
      <c r="BY130" s="91" t="n"/>
      <c r="BZ130" s="91">
        <f>SUM(BN130:BY130)</f>
        <v/>
      </c>
      <c r="CA130" s="91" t="inlineStr"/>
      <c r="CB130" s="91" t="inlineStr"/>
      <c r="CC130" s="91" t="inlineStr"/>
      <c r="CD130" s="91" t="n"/>
      <c r="CE130" s="91" t="n"/>
      <c r="CF130" s="91" t="n"/>
      <c r="CG130" s="91" t="n"/>
      <c r="CH130" s="91" t="inlineStr"/>
      <c r="CI130" s="91" t="n"/>
      <c r="CJ130" s="91" t="inlineStr"/>
      <c r="CK130" s="91" t="n"/>
      <c r="CL130" s="91" t="inlineStr"/>
      <c r="CM130" s="91">
        <f>SUM(CA130:CL130)</f>
        <v/>
      </c>
      <c r="CN130" s="91" t="n"/>
      <c r="CO130" s="91" t="n"/>
      <c r="CP130" s="91" t="n"/>
      <c r="CQ130" s="93" t="n"/>
      <c r="CR130" s="94" t="n"/>
      <c r="CS130" s="94" t="n"/>
      <c r="CT130" s="91" t="n"/>
      <c r="CU130" s="91" t="n"/>
      <c r="CV130" s="91" t="n"/>
      <c r="CW130" s="91" t="n"/>
      <c r="CX130" s="91" t="n"/>
      <c r="CY130" s="91" t="n"/>
      <c r="CZ130" s="91">
        <f>SUM(CN130:CY130)</f>
        <v/>
      </c>
      <c r="DA130" s="35" t="n"/>
    </row>
    <row r="131" ht="20" customFormat="1" customHeight="1" s="1">
      <c r="A131" s="30" t="n">
        <v>129</v>
      </c>
      <c r="B131" s="61" t="inlineStr">
        <is>
          <t>河北</t>
        </is>
      </c>
      <c r="C131" s="61" t="inlineStr">
        <is>
          <t>枣强</t>
        </is>
      </c>
      <c r="D131" s="61" t="inlineStr">
        <is>
          <t>许长振</t>
        </is>
      </c>
      <c r="E131" s="89" t="n"/>
      <c r="F131" s="27" t="inlineStr">
        <is>
          <t>2022</t>
        </is>
      </c>
      <c r="G131" s="27" t="inlineStr">
        <is>
          <t>1</t>
        </is>
      </c>
      <c r="H131" s="105" t="n">
        <v>97597</v>
      </c>
      <c r="I131" s="91" t="n"/>
      <c r="J131" s="91" t="n"/>
      <c r="K131" s="91">
        <f>+H131+I131+J131</f>
        <v/>
      </c>
      <c r="L131" s="91" t="n">
        <v>5</v>
      </c>
      <c r="M131" s="91" t="inlineStr"/>
      <c r="N131" s="91" t="n"/>
      <c r="O131" s="91" t="n"/>
      <c r="P131" s="91" t="n"/>
      <c r="Q131" s="91" t="n"/>
      <c r="R131" s="91" t="n"/>
      <c r="S131" s="91" t="n"/>
      <c r="T131" s="91" t="n"/>
      <c r="U131" s="91" t="n"/>
      <c r="V131" s="91" t="n"/>
      <c r="W131" s="91" t="n"/>
      <c r="X131" s="91" t="n"/>
      <c r="Y131" s="91" t="n"/>
      <c r="Z131" s="91" t="n"/>
      <c r="AA131" s="91" t="n"/>
      <c r="AB131" s="91" t="n"/>
      <c r="AC131" s="91" t="n"/>
      <c r="AD131" s="91" t="n"/>
      <c r="AE131" s="91" t="n"/>
      <c r="AF131" s="91" t="n"/>
      <c r="AG131" s="30" t="n"/>
      <c r="AH131" s="30" t="n"/>
      <c r="AI131" s="30" t="n"/>
      <c r="AJ131" s="30" t="n"/>
      <c r="AK131" s="30" t="n"/>
      <c r="AL131" s="30" t="n"/>
      <c r="AM131" s="91" t="n"/>
      <c r="AN131" s="91" t="n"/>
      <c r="AO131" s="91" t="n"/>
      <c r="AP131" s="91" t="n"/>
      <c r="AQ131" s="91" t="n"/>
      <c r="AR131" s="91" t="n"/>
      <c r="AS131" s="91" t="n"/>
      <c r="AT131" s="91" t="n"/>
      <c r="AU131" s="91" t="n"/>
      <c r="AV131" s="31" t="n"/>
      <c r="AW131" s="36" t="n"/>
      <c r="AX131" s="16" t="n"/>
      <c r="AY131" s="31" t="n"/>
      <c r="AZ131" s="92" t="n"/>
      <c r="BA131" s="91" t="n"/>
      <c r="BB131" s="91" t="n"/>
      <c r="BC131" s="91" t="n"/>
      <c r="BD131" s="91" t="n"/>
      <c r="BE131" s="91" t="n"/>
      <c r="BF131" s="91" t="n"/>
      <c r="BG131" s="91" t="n"/>
      <c r="BH131" s="91" t="n"/>
      <c r="BI131" s="91" t="n"/>
      <c r="BJ131" s="91" t="n"/>
      <c r="BK131" s="91" t="n"/>
      <c r="BL131" s="91" t="n"/>
      <c r="BM131" s="91" t="n"/>
      <c r="BN131" s="91" t="n"/>
      <c r="BO131" s="91" t="n"/>
      <c r="BP131" s="91" t="n"/>
      <c r="BQ131" s="91" t="n"/>
      <c r="BR131" s="91" t="n">
        <v>19275</v>
      </c>
      <c r="BS131" s="91" t="n"/>
      <c r="BT131" s="91" t="n"/>
      <c r="BU131" s="91" t="n"/>
      <c r="BV131" s="91" t="n">
        <v>31673.19</v>
      </c>
      <c r="BW131" s="91" t="n">
        <v>120</v>
      </c>
      <c r="BX131" s="91" t="inlineStr"/>
      <c r="BY131" s="91" t="n">
        <v>86902</v>
      </c>
      <c r="BZ131" s="91">
        <f>SUM(BN131:BY131)</f>
        <v/>
      </c>
      <c r="CA131" s="91" t="n">
        <v>29958</v>
      </c>
      <c r="CB131" s="91">
        <f>29534.73+184</f>
        <v/>
      </c>
      <c r="CC131" s="91" t="inlineStr"/>
      <c r="CD131" s="91" t="n"/>
      <c r="CE131" s="91" t="n"/>
      <c r="CF131" s="91" t="n">
        <v>6194.64</v>
      </c>
      <c r="CG131" s="91" t="n">
        <v>22636.05</v>
      </c>
      <c r="CH131" s="91" t="n">
        <v>86131</v>
      </c>
      <c r="CI131" s="91" t="n">
        <v>22259.2</v>
      </c>
      <c r="CJ131" s="91" t="n">
        <v>435</v>
      </c>
      <c r="CK131" s="91" t="n"/>
      <c r="CL131" s="91" t="inlineStr"/>
      <c r="CM131" s="91">
        <f>SUM(CA131:CL131)</f>
        <v/>
      </c>
      <c r="CN131" s="91" t="n"/>
      <c r="CO131" s="91" t="n"/>
      <c r="CP131" s="91" t="n"/>
      <c r="CQ131" s="93" t="n"/>
      <c r="CR131" s="94" t="n"/>
      <c r="CS131" s="94" t="n"/>
      <c r="CT131" s="91" t="n"/>
      <c r="CU131" s="91" t="n"/>
      <c r="CV131" s="91" t="n"/>
      <c r="CW131" s="91" t="n"/>
      <c r="CX131" s="91" t="n"/>
      <c r="CY131" s="91" t="n"/>
      <c r="CZ131" s="91">
        <f>SUM(CN131:CY131)</f>
        <v/>
      </c>
      <c r="DA131" s="35" t="n"/>
    </row>
    <row r="132" ht="20" customFormat="1" customHeight="1" s="1">
      <c r="A132" s="30" t="n">
        <v>130</v>
      </c>
      <c r="B132" s="31" t="inlineStr">
        <is>
          <t>贵州</t>
        </is>
      </c>
      <c r="C132" s="31" t="inlineStr">
        <is>
          <t>铜仁</t>
        </is>
      </c>
      <c r="D132" s="31" t="inlineStr">
        <is>
          <t>罗新华</t>
        </is>
      </c>
      <c r="E132" s="89" t="n"/>
      <c r="F132" s="27" t="inlineStr">
        <is>
          <t>2023</t>
        </is>
      </c>
      <c r="G132" s="27" t="inlineStr">
        <is>
          <t>5</t>
        </is>
      </c>
      <c r="H132" s="105" t="n">
        <v>70580</v>
      </c>
      <c r="I132" s="91" t="n"/>
      <c r="J132" s="91" t="n"/>
      <c r="K132" s="91">
        <f>+H132+I132+J132</f>
        <v/>
      </c>
      <c r="L132" s="91" t="n"/>
      <c r="M132" s="91" t="inlineStr"/>
      <c r="N132" s="91" t="n"/>
      <c r="O132" s="91" t="n"/>
      <c r="P132" s="91" t="n"/>
      <c r="Q132" s="91" t="n"/>
      <c r="R132" s="91" t="n"/>
      <c r="S132" s="91" t="n"/>
      <c r="T132" s="91" t="n"/>
      <c r="U132" s="91" t="n"/>
      <c r="V132" s="91" t="n"/>
      <c r="W132" s="91" t="n"/>
      <c r="X132" s="91" t="n"/>
      <c r="Y132" s="91" t="n"/>
      <c r="Z132" s="91" t="n"/>
      <c r="AA132" s="91" t="n"/>
      <c r="AB132" s="91" t="n"/>
      <c r="AC132" s="91" t="n"/>
      <c r="AD132" s="91" t="n"/>
      <c r="AE132" s="91" t="n"/>
      <c r="AF132" s="91" t="n"/>
      <c r="AG132" s="30" t="n"/>
      <c r="AH132" s="30" t="n"/>
      <c r="AI132" s="30" t="n"/>
      <c r="AJ132" s="30" t="n"/>
      <c r="AK132" s="30" t="n"/>
      <c r="AL132" s="30" t="n"/>
      <c r="AM132" s="91" t="n"/>
      <c r="AN132" s="91" t="n"/>
      <c r="AO132" s="91" t="n"/>
      <c r="AP132" s="91" t="n"/>
      <c r="AQ132" s="91" t="n"/>
      <c r="AR132" s="91" t="n"/>
      <c r="AS132" s="91" t="n"/>
      <c r="AT132" s="91" t="n"/>
      <c r="AU132" s="91" t="n"/>
      <c r="AV132" s="31" t="n"/>
      <c r="AW132" s="36" t="n"/>
      <c r="AX132" s="16" t="n"/>
      <c r="AY132" s="31" t="n"/>
      <c r="AZ132" s="92" t="n"/>
      <c r="BA132" s="91" t="n"/>
      <c r="BB132" s="91" t="n"/>
      <c r="BC132" s="91" t="n"/>
      <c r="BD132" s="91" t="n"/>
      <c r="BE132" s="91" t="n"/>
      <c r="BF132" s="91" t="n"/>
      <c r="BG132" s="91" t="n"/>
      <c r="BH132" s="91" t="n"/>
      <c r="BI132" s="91" t="n"/>
      <c r="BJ132" s="91" t="n"/>
      <c r="BK132" s="91" t="n"/>
      <c r="BL132" s="91" t="n"/>
      <c r="BM132" s="91" t="n"/>
      <c r="BN132" s="91" t="n"/>
      <c r="BO132" s="91" t="n"/>
      <c r="BP132" s="91" t="n"/>
      <c r="BQ132" s="91" t="n"/>
      <c r="BR132" s="91" t="n">
        <v>17925</v>
      </c>
      <c r="BS132" s="91" t="n">
        <v>26267</v>
      </c>
      <c r="BT132" s="91" t="n"/>
      <c r="BU132" s="91" t="n"/>
      <c r="BV132" s="91" t="inlineStr"/>
      <c r="BW132" s="91" t="inlineStr"/>
      <c r="BX132" s="91" t="inlineStr"/>
      <c r="BY132" s="91" t="n"/>
      <c r="BZ132" s="91">
        <f>SUM(BN132:BY132)</f>
        <v/>
      </c>
      <c r="CA132" s="91" t="inlineStr"/>
      <c r="CB132" s="91" t="inlineStr"/>
      <c r="CC132" s="91" t="inlineStr"/>
      <c r="CD132" s="91" t="n"/>
      <c r="CE132" s="91" t="n"/>
      <c r="CF132" s="91" t="n"/>
      <c r="CG132" s="91" t="n"/>
      <c r="CH132" s="91" t="inlineStr"/>
      <c r="CI132" s="91" t="n"/>
      <c r="CJ132" s="91" t="inlineStr"/>
      <c r="CK132" s="91" t="n"/>
      <c r="CL132" s="91" t="inlineStr"/>
      <c r="CM132" s="91">
        <f>SUM(CA132:CL132)</f>
        <v/>
      </c>
      <c r="CN132" s="91" t="n"/>
      <c r="CO132" s="91" t="n"/>
      <c r="CP132" s="91" t="n"/>
      <c r="CQ132" s="93" t="n"/>
      <c r="CR132" s="94" t="n"/>
      <c r="CS132" s="94" t="n"/>
      <c r="CT132" s="91" t="n"/>
      <c r="CU132" s="91" t="n"/>
      <c r="CV132" s="91" t="n"/>
      <c r="CW132" s="91" t="n"/>
      <c r="CX132" s="91" t="n"/>
      <c r="CY132" s="91" t="n"/>
      <c r="CZ132" s="91">
        <f>SUM(CN132:CY132)</f>
        <v/>
      </c>
      <c r="DA132" s="35" t="n"/>
    </row>
    <row r="133" ht="20" customFormat="1" customHeight="1" s="1">
      <c r="A133" s="30" t="n">
        <v>131</v>
      </c>
      <c r="B133" s="61" t="inlineStr">
        <is>
          <t>四川</t>
        </is>
      </c>
      <c r="C133" s="61" t="inlineStr">
        <is>
          <t>泸州</t>
        </is>
      </c>
      <c r="D133" s="61" t="inlineStr">
        <is>
          <t>刘建</t>
        </is>
      </c>
      <c r="E133" s="89" t="n"/>
      <c r="F133" s="27" t="inlineStr">
        <is>
          <t>2021</t>
        </is>
      </c>
      <c r="G133" s="27" t="inlineStr">
        <is>
          <t>3</t>
        </is>
      </c>
      <c r="H133" s="105" t="n">
        <v>100860</v>
      </c>
      <c r="I133" s="91" t="n"/>
      <c r="J133" s="91" t="n"/>
      <c r="K133" s="91">
        <f>+H133+I133+J133</f>
        <v/>
      </c>
      <c r="L133" s="91" t="n">
        <v>5</v>
      </c>
      <c r="M133" s="91" t="inlineStr"/>
      <c r="N133" s="91" t="n"/>
      <c r="O133" s="91" t="n"/>
      <c r="P133" s="91" t="n"/>
      <c r="Q133" s="91" t="n"/>
      <c r="R133" s="91" t="n"/>
      <c r="S133" s="91" t="n"/>
      <c r="T133" s="91" t="n"/>
      <c r="U133" s="91" t="n"/>
      <c r="V133" s="91" t="n"/>
      <c r="W133" s="91" t="n"/>
      <c r="X133" s="91" t="n"/>
      <c r="Y133" s="91" t="n"/>
      <c r="Z133" s="91" t="n"/>
      <c r="AA133" s="91" t="n"/>
      <c r="AB133" s="91" t="n"/>
      <c r="AC133" s="91" t="n"/>
      <c r="AD133" s="91" t="n"/>
      <c r="AE133" s="91" t="n"/>
      <c r="AF133" s="91" t="n"/>
      <c r="AG133" s="30" t="n"/>
      <c r="AH133" s="30" t="n"/>
      <c r="AI133" s="30" t="n"/>
      <c r="AJ133" s="30" t="n"/>
      <c r="AK133" s="30" t="n"/>
      <c r="AL133" s="30" t="n"/>
      <c r="AM133" s="91" t="n"/>
      <c r="AN133" s="91" t="n"/>
      <c r="AO133" s="91" t="n"/>
      <c r="AP133" s="91" t="n"/>
      <c r="AQ133" s="91" t="n"/>
      <c r="AR133" s="91" t="n"/>
      <c r="AS133" s="91" t="n"/>
      <c r="AT133" s="91" t="n"/>
      <c r="AU133" s="91" t="n"/>
      <c r="AV133" s="31" t="n"/>
      <c r="AW133" s="36" t="n"/>
      <c r="AX133" s="16" t="n"/>
      <c r="AY133" s="31" t="n"/>
      <c r="AZ133" s="92" t="n"/>
      <c r="BA133" s="91" t="n"/>
      <c r="BB133" s="91" t="n"/>
      <c r="BC133" s="91" t="n"/>
      <c r="BD133" s="91" t="n"/>
      <c r="BE133" s="91" t="n"/>
      <c r="BF133" s="91" t="n"/>
      <c r="BG133" s="91" t="n"/>
      <c r="BH133" s="91" t="n"/>
      <c r="BI133" s="91" t="n"/>
      <c r="BJ133" s="91" t="n"/>
      <c r="BK133" s="91" t="n"/>
      <c r="BL133" s="91" t="n"/>
      <c r="BM133" s="91" t="n"/>
      <c r="BN133" s="91" t="n"/>
      <c r="BO133" s="91" t="n"/>
      <c r="BP133" s="91" t="n"/>
      <c r="BQ133" s="91" t="n">
        <v>30962</v>
      </c>
      <c r="BR133" s="91" t="n">
        <v>350</v>
      </c>
      <c r="BS133" s="91" t="n">
        <v>90</v>
      </c>
      <c r="BT133" s="91" t="n"/>
      <c r="BU133" s="91" t="n"/>
      <c r="BV133" s="91" t="inlineStr"/>
      <c r="BW133" s="91" t="inlineStr"/>
      <c r="BX133" s="91" t="inlineStr"/>
      <c r="BY133" s="91" t="n"/>
      <c r="BZ133" s="91">
        <f>SUM(BN133:BY133)</f>
        <v/>
      </c>
      <c r="CA133" s="91" t="inlineStr"/>
      <c r="CB133" s="91" t="inlineStr"/>
      <c r="CC133" s="91" t="inlineStr"/>
      <c r="CD133" s="91" t="n"/>
      <c r="CE133" s="91" t="n"/>
      <c r="CF133" s="91" t="n"/>
      <c r="CG133" s="91" t="n"/>
      <c r="CH133" s="91" t="inlineStr"/>
      <c r="CI133" s="91" t="n"/>
      <c r="CJ133" s="91" t="inlineStr"/>
      <c r="CK133" s="91" t="n"/>
      <c r="CL133" s="91" t="inlineStr"/>
      <c r="CM133" s="91">
        <f>SUM(CA133:CL133)</f>
        <v/>
      </c>
      <c r="CN133" s="91" t="n"/>
      <c r="CO133" s="91" t="n"/>
      <c r="CP133" s="91" t="n"/>
      <c r="CQ133" s="93" t="n"/>
      <c r="CR133" s="94" t="n"/>
      <c r="CS133" s="94" t="n"/>
      <c r="CT133" s="91" t="n"/>
      <c r="CU133" s="91" t="n"/>
      <c r="CV133" s="91" t="n"/>
      <c r="CW133" s="91" t="n"/>
      <c r="CX133" s="91" t="n"/>
      <c r="CY133" s="91" t="n"/>
      <c r="CZ133" s="91">
        <f>SUM(CN133:CY133)</f>
        <v/>
      </c>
      <c r="DA133" s="35" t="n"/>
    </row>
    <row r="134" ht="20" customFormat="1" customHeight="1" s="1">
      <c r="A134" s="30" t="n">
        <v>132</v>
      </c>
      <c r="B134" s="31" t="inlineStr">
        <is>
          <t>湖南</t>
        </is>
      </c>
      <c r="C134" s="31" t="inlineStr">
        <is>
          <t>长沙</t>
        </is>
      </c>
      <c r="D134" s="31" t="inlineStr">
        <is>
          <t>金琳</t>
        </is>
      </c>
      <c r="E134" s="89" t="n"/>
      <c r="F134" s="27" t="inlineStr">
        <is>
          <t>2021/2024</t>
        </is>
      </c>
      <c r="G134" s="27" t="inlineStr">
        <is>
          <t>4/8</t>
        </is>
      </c>
      <c r="H134" s="105">
        <f>58582+4720</f>
        <v/>
      </c>
      <c r="I134" s="91" t="n"/>
      <c r="J134" s="91" t="n"/>
      <c r="K134" s="91">
        <f>+H134+I134+J134</f>
        <v/>
      </c>
      <c r="L134" s="91" t="n">
        <v>5</v>
      </c>
      <c r="M134" s="91" t="inlineStr"/>
      <c r="N134" s="91" t="n"/>
      <c r="O134" s="91" t="n"/>
      <c r="P134" s="91" t="n"/>
      <c r="Q134" s="91" t="n"/>
      <c r="R134" s="91" t="n"/>
      <c r="S134" s="91" t="n"/>
      <c r="T134" s="91" t="n"/>
      <c r="U134" s="91" t="n"/>
      <c r="V134" s="91" t="n"/>
      <c r="W134" s="91" t="n"/>
      <c r="X134" s="91" t="n"/>
      <c r="Y134" s="91" t="n"/>
      <c r="Z134" s="91" t="n"/>
      <c r="AA134" s="91" t="n"/>
      <c r="AB134" s="91" t="n"/>
      <c r="AC134" s="91" t="n"/>
      <c r="AD134" s="91" t="n"/>
      <c r="AE134" s="91" t="n"/>
      <c r="AF134" s="91" t="n"/>
      <c r="AG134" s="30" t="n"/>
      <c r="AH134" s="30" t="n"/>
      <c r="AI134" s="30" t="n"/>
      <c r="AJ134" s="30" t="n"/>
      <c r="AK134" s="30" t="n"/>
      <c r="AL134" s="30" t="n"/>
      <c r="AM134" s="91" t="n"/>
      <c r="AN134" s="91" t="n"/>
      <c r="AO134" s="91" t="n"/>
      <c r="AP134" s="91" t="n"/>
      <c r="AQ134" s="91" t="n"/>
      <c r="AR134" s="91" t="n"/>
      <c r="AS134" s="91" t="n"/>
      <c r="AT134" s="91" t="n"/>
      <c r="AU134" s="91" t="n"/>
      <c r="AV134" s="31" t="n"/>
      <c r="AW134" s="36" t="n"/>
      <c r="AX134" s="16" t="n"/>
      <c r="AY134" s="31" t="n"/>
      <c r="AZ134" s="92" t="n"/>
      <c r="BA134" s="91" t="n"/>
      <c r="BB134" s="91" t="n"/>
      <c r="BC134" s="91" t="n"/>
      <c r="BD134" s="91" t="n"/>
      <c r="BE134" s="91" t="n"/>
      <c r="BF134" s="91" t="n"/>
      <c r="BG134" s="91" t="n"/>
      <c r="BH134" s="91" t="n"/>
      <c r="BI134" s="91" t="n"/>
      <c r="BJ134" s="91" t="n"/>
      <c r="BK134" s="91" t="n"/>
      <c r="BL134" s="91" t="n"/>
      <c r="BM134" s="91" t="n"/>
      <c r="BN134" s="91" t="n">
        <v>10614</v>
      </c>
      <c r="BO134" s="91" t="n"/>
      <c r="BP134" s="91" t="n">
        <v>14276</v>
      </c>
      <c r="BQ134" s="91" t="n">
        <v>1094</v>
      </c>
      <c r="BR134" s="91" t="n">
        <v>4624</v>
      </c>
      <c r="BS134" s="91" t="n"/>
      <c r="BT134" s="91" t="n"/>
      <c r="BU134" s="91" t="n"/>
      <c r="BV134" s="91" t="n">
        <v>78950</v>
      </c>
      <c r="BW134" s="91" t="n">
        <v>38091</v>
      </c>
      <c r="BX134" s="91" t="n">
        <v>540</v>
      </c>
      <c r="BY134" s="91" t="n">
        <v>16313</v>
      </c>
      <c r="BZ134" s="91">
        <f>SUM(BN134:BY134)</f>
        <v/>
      </c>
      <c r="CA134" s="91" t="inlineStr"/>
      <c r="CB134" s="91" t="n">
        <v>6193</v>
      </c>
      <c r="CC134" s="91" t="n">
        <v>1305</v>
      </c>
      <c r="CD134" s="91" t="n">
        <v>9639</v>
      </c>
      <c r="CE134" s="91" t="n">
        <v>3884</v>
      </c>
      <c r="CF134" s="91" t="n"/>
      <c r="CG134" s="91" t="n"/>
      <c r="CH134" s="91" t="inlineStr"/>
      <c r="CI134" s="91" t="n"/>
      <c r="CJ134" s="91" t="inlineStr"/>
      <c r="CK134" s="91" t="n">
        <v>77459</v>
      </c>
      <c r="CL134" s="91" t="n">
        <v>2448</v>
      </c>
      <c r="CM134" s="91">
        <f>SUM(CA134:CL134)</f>
        <v/>
      </c>
      <c r="CN134" s="91" t="n"/>
      <c r="CO134" s="91" t="n"/>
      <c r="CP134" s="91" t="n"/>
      <c r="CQ134" s="93" t="n"/>
      <c r="CR134" s="94" t="n"/>
      <c r="CS134" s="94" t="n"/>
      <c r="CT134" s="91" t="n"/>
      <c r="CU134" s="91" t="n"/>
      <c r="CV134" s="91" t="n"/>
      <c r="CW134" s="91" t="n"/>
      <c r="CX134" s="91" t="n"/>
      <c r="CY134" s="91" t="n"/>
      <c r="CZ134" s="91">
        <f>SUM(CN134:CY134)</f>
        <v/>
      </c>
      <c r="DA134" s="35" t="n"/>
    </row>
    <row r="135" ht="20" customFormat="1" customHeight="1" s="1">
      <c r="A135" s="30" t="n">
        <v>133</v>
      </c>
      <c r="B135" s="31" t="inlineStr">
        <is>
          <t>山东</t>
        </is>
      </c>
      <c r="C135" s="31" t="inlineStr">
        <is>
          <t>德州齐河</t>
        </is>
      </c>
      <c r="D135" s="31" t="inlineStr">
        <is>
          <t>孟庆元</t>
        </is>
      </c>
      <c r="E135" s="89" t="n"/>
      <c r="F135" s="27" t="inlineStr">
        <is>
          <t>2021</t>
        </is>
      </c>
      <c r="G135" s="27" t="inlineStr">
        <is>
          <t>8</t>
        </is>
      </c>
      <c r="H135" s="105" t="n">
        <v>92163</v>
      </c>
      <c r="I135" s="91" t="n"/>
      <c r="J135" s="91" t="n"/>
      <c r="K135" s="91">
        <f>+H135+I135+J135</f>
        <v/>
      </c>
      <c r="L135" s="91" t="n">
        <v>5</v>
      </c>
      <c r="M135" s="91" t="inlineStr"/>
      <c r="N135" s="91" t="n"/>
      <c r="O135" s="91" t="n"/>
      <c r="P135" s="91" t="n"/>
      <c r="Q135" s="91" t="n"/>
      <c r="R135" s="91" t="n"/>
      <c r="S135" s="91" t="n"/>
      <c r="T135" s="91" t="n"/>
      <c r="U135" s="91" t="n"/>
      <c r="V135" s="91" t="n"/>
      <c r="W135" s="91" t="n"/>
      <c r="X135" s="91" t="n"/>
      <c r="Y135" s="91" t="n"/>
      <c r="Z135" s="91" t="n"/>
      <c r="AA135" s="91" t="n"/>
      <c r="AB135" s="91" t="n"/>
      <c r="AC135" s="91" t="n"/>
      <c r="AD135" s="91" t="n"/>
      <c r="AE135" s="91" t="n"/>
      <c r="AF135" s="91" t="n"/>
      <c r="AG135" s="30" t="n"/>
      <c r="AH135" s="30" t="n"/>
      <c r="AI135" s="30" t="n"/>
      <c r="AJ135" s="30" t="n"/>
      <c r="AK135" s="30" t="n"/>
      <c r="AL135" s="30" t="n"/>
      <c r="AM135" s="91" t="n"/>
      <c r="AN135" s="91" t="n"/>
      <c r="AO135" s="91" t="n"/>
      <c r="AP135" s="91" t="n"/>
      <c r="AQ135" s="91" t="n"/>
      <c r="AR135" s="91" t="n"/>
      <c r="AS135" s="91" t="n"/>
      <c r="AT135" s="91" t="n"/>
      <c r="AU135" s="91" t="n"/>
      <c r="AV135" s="31" t="n"/>
      <c r="AW135" s="36" t="n"/>
      <c r="AX135" s="16" t="n"/>
      <c r="AY135" s="31" t="n"/>
      <c r="AZ135" s="92" t="n"/>
      <c r="BA135" s="91" t="n"/>
      <c r="BB135" s="91" t="n"/>
      <c r="BC135" s="91" t="n"/>
      <c r="BD135" s="91" t="n"/>
      <c r="BE135" s="91" t="n"/>
      <c r="BF135" s="91" t="n"/>
      <c r="BG135" s="91" t="n"/>
      <c r="BH135" s="91" t="n"/>
      <c r="BI135" s="91" t="n"/>
      <c r="BJ135" s="91" t="n"/>
      <c r="BK135" s="91" t="n"/>
      <c r="BL135" s="91" t="n"/>
      <c r="BM135" s="91" t="n"/>
      <c r="BN135" s="91" t="n"/>
      <c r="BO135" s="91" t="n"/>
      <c r="BP135" s="91" t="n">
        <v>24918</v>
      </c>
      <c r="BQ135" s="91" t="n">
        <v>342</v>
      </c>
      <c r="BR135" s="91" t="n"/>
      <c r="BS135" s="91" t="n"/>
      <c r="BT135" s="91" t="n"/>
      <c r="BU135" s="91" t="n"/>
      <c r="BV135" s="91" t="inlineStr"/>
      <c r="BW135" s="91" t="inlineStr"/>
      <c r="BX135" s="91" t="inlineStr"/>
      <c r="BY135" s="91" t="n"/>
      <c r="BZ135" s="91">
        <f>SUM(BN135:BY135)</f>
        <v/>
      </c>
      <c r="CA135" s="91" t="inlineStr"/>
      <c r="CB135" s="91" t="inlineStr"/>
      <c r="CC135" s="91" t="inlineStr"/>
      <c r="CD135" s="91" t="n"/>
      <c r="CE135" s="91" t="n"/>
      <c r="CF135" s="91" t="n"/>
      <c r="CG135" s="91" t="n"/>
      <c r="CH135" s="91" t="inlineStr"/>
      <c r="CI135" s="91" t="n"/>
      <c r="CJ135" s="91" t="inlineStr"/>
      <c r="CK135" s="91" t="n"/>
      <c r="CL135" s="91" t="inlineStr"/>
      <c r="CM135" s="91">
        <f>SUM(CA135:CL135)</f>
        <v/>
      </c>
      <c r="CN135" s="91" t="n"/>
      <c r="CO135" s="91" t="n"/>
      <c r="CP135" s="91" t="n"/>
      <c r="CQ135" s="93" t="n"/>
      <c r="CR135" s="94" t="n"/>
      <c r="CS135" s="94" t="n"/>
      <c r="CT135" s="91" t="n"/>
      <c r="CU135" s="91" t="n"/>
      <c r="CV135" s="91" t="n"/>
      <c r="CW135" s="91" t="n"/>
      <c r="CX135" s="91" t="n"/>
      <c r="CY135" s="91" t="n"/>
      <c r="CZ135" s="91">
        <f>SUM(CN135:CY135)</f>
        <v/>
      </c>
      <c r="DA135" s="35" t="n"/>
    </row>
    <row r="136" ht="20" customFormat="1" customHeight="1" s="1">
      <c r="A136" s="30" t="n">
        <v>134</v>
      </c>
      <c r="B136" s="31" t="inlineStr">
        <is>
          <t>云南</t>
        </is>
      </c>
      <c r="C136" s="31" t="inlineStr">
        <is>
          <t>嵩明</t>
        </is>
      </c>
      <c r="D136" s="31" t="inlineStr">
        <is>
          <t>黄志祥</t>
        </is>
      </c>
      <c r="E136" s="89" t="n"/>
      <c r="F136" s="27" t="inlineStr">
        <is>
          <t>2021</t>
        </is>
      </c>
      <c r="G136" s="27" t="inlineStr">
        <is>
          <t>7</t>
        </is>
      </c>
      <c r="H136" s="105" t="n">
        <v>98967</v>
      </c>
      <c r="I136" s="91" t="n"/>
      <c r="J136" s="91" t="n"/>
      <c r="K136" s="91">
        <f>+H136+I136+J136</f>
        <v/>
      </c>
      <c r="L136" s="91" t="n">
        <v>5</v>
      </c>
      <c r="M136" s="91" t="inlineStr"/>
      <c r="N136" s="91" t="n"/>
      <c r="O136" s="91" t="n"/>
      <c r="P136" s="91" t="n"/>
      <c r="Q136" s="91" t="n"/>
      <c r="R136" s="91" t="n"/>
      <c r="S136" s="91" t="n"/>
      <c r="T136" s="91" t="n"/>
      <c r="U136" s="91" t="n"/>
      <c r="V136" s="91" t="n"/>
      <c r="W136" s="91" t="n"/>
      <c r="X136" s="91" t="n"/>
      <c r="Y136" s="91" t="n"/>
      <c r="Z136" s="91" t="n"/>
      <c r="AA136" s="91" t="n"/>
      <c r="AB136" s="91" t="n"/>
      <c r="AC136" s="91" t="n"/>
      <c r="AD136" s="91" t="n"/>
      <c r="AE136" s="91" t="n"/>
      <c r="AF136" s="91" t="n"/>
      <c r="AG136" s="30" t="n"/>
      <c r="AH136" s="30" t="n"/>
      <c r="AI136" s="30" t="n"/>
      <c r="AJ136" s="30" t="n"/>
      <c r="AK136" s="30" t="n"/>
      <c r="AL136" s="30" t="n"/>
      <c r="AM136" s="91" t="n"/>
      <c r="AN136" s="91" t="n"/>
      <c r="AO136" s="91" t="n"/>
      <c r="AP136" s="91" t="n"/>
      <c r="AQ136" s="91" t="n"/>
      <c r="AR136" s="91" t="n"/>
      <c r="AS136" s="91" t="n"/>
      <c r="AT136" s="91" t="n"/>
      <c r="AU136" s="91" t="n"/>
      <c r="AV136" s="31" t="n"/>
      <c r="AW136" s="36" t="n"/>
      <c r="AX136" s="16" t="n"/>
      <c r="AY136" s="31" t="n"/>
      <c r="AZ136" s="92" t="n"/>
      <c r="BA136" s="91" t="n"/>
      <c r="BB136" s="91" t="n"/>
      <c r="BC136" s="91" t="n"/>
      <c r="BD136" s="91" t="n"/>
      <c r="BE136" s="91" t="n"/>
      <c r="BF136" s="91" t="n"/>
      <c r="BG136" s="91" t="n"/>
      <c r="BH136" s="91" t="n"/>
      <c r="BI136" s="91" t="n"/>
      <c r="BJ136" s="91" t="n"/>
      <c r="BK136" s="91" t="n"/>
      <c r="BL136" s="91" t="n"/>
      <c r="BM136" s="91" t="n"/>
      <c r="BN136" s="91" t="n"/>
      <c r="BO136" s="91" t="n"/>
      <c r="BP136" s="91" t="n"/>
      <c r="BQ136" s="91" t="n"/>
      <c r="BR136" s="91" t="n">
        <v>19155</v>
      </c>
      <c r="BS136" s="91" t="n"/>
      <c r="BT136" s="91" t="n"/>
      <c r="BU136" s="91" t="n"/>
      <c r="BV136" s="91" t="n">
        <v>41281</v>
      </c>
      <c r="BW136" s="91" t="inlineStr"/>
      <c r="BX136" s="91" t="n">
        <v>13500</v>
      </c>
      <c r="BY136" s="91" t="n">
        <v>1590</v>
      </c>
      <c r="BZ136" s="91">
        <f>SUM(BN136:BY136)</f>
        <v/>
      </c>
      <c r="CA136" s="91" t="inlineStr"/>
      <c r="CB136" s="91" t="inlineStr"/>
      <c r="CC136" s="91" t="n">
        <v>79</v>
      </c>
      <c r="CD136" s="91" t="n"/>
      <c r="CE136" s="91" t="n"/>
      <c r="CF136" s="91" t="n"/>
      <c r="CG136" s="91" t="n"/>
      <c r="CH136" s="91" t="inlineStr"/>
      <c r="CI136" s="91" t="n"/>
      <c r="CJ136" s="91" t="inlineStr"/>
      <c r="CK136" s="91" t="n"/>
      <c r="CL136" s="91" t="inlineStr"/>
      <c r="CM136" s="91">
        <f>SUM(CA136:CL136)</f>
        <v/>
      </c>
      <c r="CN136" s="91" t="n"/>
      <c r="CO136" s="91" t="n"/>
      <c r="CP136" s="91" t="n"/>
      <c r="CQ136" s="93" t="n"/>
      <c r="CR136" s="94" t="n"/>
      <c r="CS136" s="94" t="n"/>
      <c r="CT136" s="91" t="n"/>
      <c r="CU136" s="91" t="n"/>
      <c r="CV136" s="91" t="n"/>
      <c r="CW136" s="91" t="n"/>
      <c r="CX136" s="91" t="n"/>
      <c r="CY136" s="91" t="n"/>
      <c r="CZ136" s="91">
        <f>SUM(CN136:CY136)</f>
        <v/>
      </c>
      <c r="DA136" s="35" t="n"/>
    </row>
    <row r="137" ht="20" customFormat="1" customHeight="1" s="1">
      <c r="A137" s="30" t="n">
        <v>135</v>
      </c>
      <c r="B137" s="61" t="inlineStr">
        <is>
          <t>贵州</t>
        </is>
      </c>
      <c r="C137" s="61" t="inlineStr">
        <is>
          <t>兴义</t>
        </is>
      </c>
      <c r="D137" s="61" t="inlineStr">
        <is>
          <t>黄来叶</t>
        </is>
      </c>
      <c r="E137" s="89" t="n"/>
      <c r="F137" s="27" t="inlineStr">
        <is>
          <t>2023</t>
        </is>
      </c>
      <c r="G137" s="27" t="inlineStr">
        <is>
          <t>6</t>
        </is>
      </c>
      <c r="H137" s="105" t="n">
        <v>126386</v>
      </c>
      <c r="I137" s="91" t="n"/>
      <c r="J137" s="91" t="n"/>
      <c r="K137" s="91">
        <f>+H137+I137+J137</f>
        <v/>
      </c>
      <c r="L137" s="91" t="n">
        <v>6</v>
      </c>
      <c r="M137" s="91" t="inlineStr"/>
      <c r="N137" s="91" t="n"/>
      <c r="O137" s="91" t="n"/>
      <c r="P137" s="91" t="n"/>
      <c r="Q137" s="91" t="n"/>
      <c r="R137" s="91" t="n"/>
      <c r="S137" s="91" t="n"/>
      <c r="T137" s="91" t="n"/>
      <c r="U137" s="91" t="n"/>
      <c r="V137" s="91" t="n"/>
      <c r="W137" s="91" t="n"/>
      <c r="X137" s="91" t="n"/>
      <c r="Y137" s="91" t="n"/>
      <c r="Z137" s="91" t="n"/>
      <c r="AA137" s="91" t="n"/>
      <c r="AB137" s="91" t="n"/>
      <c r="AC137" s="91" t="n"/>
      <c r="AD137" s="91" t="n"/>
      <c r="AE137" s="91" t="n"/>
      <c r="AF137" s="91" t="n"/>
      <c r="AG137" s="30" t="n"/>
      <c r="AH137" s="30" t="n"/>
      <c r="AI137" s="30" t="n"/>
      <c r="AJ137" s="30" t="n"/>
      <c r="AK137" s="30" t="n"/>
      <c r="AL137" s="30" t="n"/>
      <c r="AM137" s="91" t="n"/>
      <c r="AN137" s="91" t="n"/>
      <c r="AO137" s="91" t="n"/>
      <c r="AP137" s="91" t="n"/>
      <c r="AQ137" s="91" t="n"/>
      <c r="AR137" s="91" t="n"/>
      <c r="AS137" s="91" t="n"/>
      <c r="AT137" s="91" t="n"/>
      <c r="AU137" s="91" t="n"/>
      <c r="AV137" s="31" t="n"/>
      <c r="AW137" s="36" t="n"/>
      <c r="AX137" s="16" t="n"/>
      <c r="AY137" s="31" t="n"/>
      <c r="AZ137" s="92" t="n"/>
      <c r="BA137" s="91" t="n"/>
      <c r="BB137" s="91" t="n"/>
      <c r="BC137" s="91" t="n"/>
      <c r="BD137" s="91" t="n">
        <v>1781</v>
      </c>
      <c r="BE137" s="91" t="n">
        <v>1568</v>
      </c>
      <c r="BF137" s="91" t="n"/>
      <c r="BG137" s="91" t="n"/>
      <c r="BH137" s="91" t="n"/>
      <c r="BI137" s="91" t="n"/>
      <c r="BJ137" s="91" t="n"/>
      <c r="BK137" s="91" t="n"/>
      <c r="BL137" s="91" t="n"/>
      <c r="BM137" s="91" t="n"/>
      <c r="BN137" s="91" t="n">
        <v>3683</v>
      </c>
      <c r="BO137" s="91" t="n"/>
      <c r="BP137" s="91" t="n">
        <v>6443</v>
      </c>
      <c r="BQ137" s="91" t="n">
        <v>4573</v>
      </c>
      <c r="BR137" s="91" t="n"/>
      <c r="BS137" s="91" t="n">
        <v>200</v>
      </c>
      <c r="BT137" s="91" t="n">
        <v>3021</v>
      </c>
      <c r="BU137" s="91" t="n">
        <v>1535</v>
      </c>
      <c r="BV137" s="91" t="inlineStr"/>
      <c r="BW137" s="91" t="n">
        <v>3661</v>
      </c>
      <c r="BX137" s="91" t="inlineStr"/>
      <c r="BY137" s="91" t="n"/>
      <c r="BZ137" s="91">
        <f>SUM(BN137:BY137)</f>
        <v/>
      </c>
      <c r="CA137" s="91" t="inlineStr"/>
      <c r="CB137" s="91" t="inlineStr"/>
      <c r="CC137" s="91" t="inlineStr"/>
      <c r="CD137" s="91" t="n"/>
      <c r="CE137" s="91" t="n"/>
      <c r="CF137" s="91" t="n"/>
      <c r="CG137" s="91" t="n"/>
      <c r="CH137" s="91" t="inlineStr"/>
      <c r="CI137" s="91" t="n"/>
      <c r="CJ137" s="91" t="inlineStr"/>
      <c r="CK137" s="91" t="n"/>
      <c r="CL137" s="91" t="inlineStr"/>
      <c r="CM137" s="91">
        <f>SUM(CA137:CL137)</f>
        <v/>
      </c>
      <c r="CN137" s="91" t="n"/>
      <c r="CO137" s="91" t="n"/>
      <c r="CP137" s="91" t="n"/>
      <c r="CQ137" s="93" t="n"/>
      <c r="CR137" s="94" t="n"/>
      <c r="CS137" s="94" t="n"/>
      <c r="CT137" s="91" t="n"/>
      <c r="CU137" s="91" t="n"/>
      <c r="CV137" s="91" t="n"/>
      <c r="CW137" s="91" t="n"/>
      <c r="CX137" s="91" t="n"/>
      <c r="CY137" s="91" t="n"/>
      <c r="CZ137" s="91">
        <f>SUM(CN137:CY137)</f>
        <v/>
      </c>
      <c r="DA137" s="35" t="n"/>
    </row>
    <row r="138" ht="20" customFormat="1" customHeight="1" s="1">
      <c r="A138" s="30" t="n">
        <v>136</v>
      </c>
      <c r="B138" s="31" t="inlineStr">
        <is>
          <t>甘肃</t>
        </is>
      </c>
      <c r="C138" s="31" t="inlineStr">
        <is>
          <t>白银</t>
        </is>
      </c>
      <c r="D138" s="31" t="inlineStr">
        <is>
          <t>李景花</t>
        </is>
      </c>
      <c r="E138" s="89" t="n"/>
      <c r="F138" s="27" t="inlineStr">
        <is>
          <t>2020</t>
        </is>
      </c>
      <c r="G138" s="27" t="inlineStr">
        <is>
          <t>1</t>
        </is>
      </c>
      <c r="H138" s="105" t="n">
        <v>121397</v>
      </c>
      <c r="I138" s="91" t="n"/>
      <c r="J138" s="91" t="n"/>
      <c r="K138" s="91">
        <f>+H138+I138+J138</f>
        <v/>
      </c>
      <c r="L138" s="91" t="n">
        <v>5</v>
      </c>
      <c r="M138" s="91" t="inlineStr"/>
      <c r="N138" s="91" t="n"/>
      <c r="O138" s="91" t="n"/>
      <c r="P138" s="91" t="n"/>
      <c r="Q138" s="91" t="n"/>
      <c r="R138" s="91" t="n"/>
      <c r="S138" s="91" t="n"/>
      <c r="T138" s="91" t="n"/>
      <c r="U138" s="91" t="n"/>
      <c r="V138" s="91" t="n"/>
      <c r="W138" s="91" t="n"/>
      <c r="X138" s="91" t="n"/>
      <c r="Y138" s="91" t="n"/>
      <c r="Z138" s="91" t="n"/>
      <c r="AA138" s="91" t="n"/>
      <c r="AB138" s="91" t="n"/>
      <c r="AC138" s="91" t="n"/>
      <c r="AD138" s="91" t="n"/>
      <c r="AE138" s="91" t="n"/>
      <c r="AF138" s="91" t="n"/>
      <c r="AG138" s="30" t="n"/>
      <c r="AH138" s="30" t="n"/>
      <c r="AI138" s="30" t="n"/>
      <c r="AJ138" s="30" t="n"/>
      <c r="AK138" s="30" t="n"/>
      <c r="AL138" s="30" t="n"/>
      <c r="AM138" s="91" t="n"/>
      <c r="AN138" s="91" t="n"/>
      <c r="AO138" s="91" t="n"/>
      <c r="AP138" s="91" t="n"/>
      <c r="AQ138" s="91" t="n"/>
      <c r="AR138" s="91" t="n"/>
      <c r="AS138" s="91" t="n"/>
      <c r="AT138" s="91" t="n"/>
      <c r="AU138" s="91" t="n"/>
      <c r="AV138" s="31" t="n"/>
      <c r="AW138" s="36" t="n"/>
      <c r="AX138" s="16" t="n"/>
      <c r="AY138" s="31" t="n"/>
      <c r="AZ138" s="92" t="n"/>
      <c r="BA138" s="91" t="n"/>
      <c r="BB138" s="91" t="n"/>
      <c r="BC138" s="91" t="n"/>
      <c r="BD138" s="91" t="n"/>
      <c r="BE138" s="91" t="n"/>
      <c r="BF138" s="91" t="n"/>
      <c r="BG138" s="91" t="n"/>
      <c r="BH138" s="91" t="n"/>
      <c r="BI138" s="91" t="n"/>
      <c r="BJ138" s="91" t="n"/>
      <c r="BK138" s="91" t="n"/>
      <c r="BL138" s="91" t="n"/>
      <c r="BM138" s="91" t="n"/>
      <c r="BN138" s="91">
        <f>57+803</f>
        <v/>
      </c>
      <c r="BO138" s="91" t="n"/>
      <c r="BP138" s="91" t="n">
        <v>278</v>
      </c>
      <c r="BQ138" s="91" t="n">
        <v>6020</v>
      </c>
      <c r="BR138" s="91" t="n">
        <v>5548</v>
      </c>
      <c r="BS138" s="91" t="n">
        <v>9789</v>
      </c>
      <c r="BT138" s="91" t="n"/>
      <c r="BU138" s="91" t="n">
        <v>6664</v>
      </c>
      <c r="BV138" s="91" t="inlineStr"/>
      <c r="BW138" s="91" t="inlineStr"/>
      <c r="BX138" s="91" t="n">
        <v>16629.91</v>
      </c>
      <c r="BY138" s="91" t="n"/>
      <c r="BZ138" s="91">
        <f>SUM(BN138:BY138)</f>
        <v/>
      </c>
      <c r="CA138" s="91" t="n">
        <v>531</v>
      </c>
      <c r="CB138" s="91" t="inlineStr"/>
      <c r="CC138" s="91" t="n">
        <v>3697.71</v>
      </c>
      <c r="CD138" s="91" t="n">
        <v>101.16</v>
      </c>
      <c r="CE138" s="91" t="n"/>
      <c r="CF138" s="91" t="n"/>
      <c r="CG138" s="91" t="n"/>
      <c r="CH138" s="91" t="inlineStr"/>
      <c r="CI138" s="91" t="n"/>
      <c r="CJ138" s="91" t="inlineStr"/>
      <c r="CK138" s="91" t="n"/>
      <c r="CL138" s="91" t="inlineStr"/>
      <c r="CM138" s="91">
        <f>SUM(CA138:CL138)</f>
        <v/>
      </c>
      <c r="CN138" s="91" t="n"/>
      <c r="CO138" s="91" t="n"/>
      <c r="CP138" s="91" t="n"/>
      <c r="CQ138" s="93" t="n"/>
      <c r="CR138" s="94" t="n"/>
      <c r="CS138" s="94" t="n"/>
      <c r="CT138" s="91" t="n"/>
      <c r="CU138" s="91" t="n"/>
      <c r="CV138" s="91" t="n"/>
      <c r="CW138" s="91" t="n"/>
      <c r="CX138" s="91" t="n"/>
      <c r="CY138" s="91" t="n"/>
      <c r="CZ138" s="91">
        <f>SUM(CN138:CY138)</f>
        <v/>
      </c>
      <c r="DA138" s="35" t="n"/>
    </row>
    <row r="139" ht="20" customFormat="1" customHeight="1" s="1">
      <c r="A139" s="30" t="n">
        <v>137</v>
      </c>
      <c r="B139" s="31" t="inlineStr">
        <is>
          <t>山西</t>
        </is>
      </c>
      <c r="C139" s="31" t="inlineStr">
        <is>
          <t>洪洞</t>
        </is>
      </c>
      <c r="D139" s="31" t="inlineStr">
        <is>
          <t>田英杰</t>
        </is>
      </c>
      <c r="E139" s="89" t="n"/>
      <c r="F139" s="27" t="inlineStr">
        <is>
          <t>2020</t>
        </is>
      </c>
      <c r="G139" s="27" t="inlineStr">
        <is>
          <t>1</t>
        </is>
      </c>
      <c r="H139" s="105" t="n">
        <v>101271</v>
      </c>
      <c r="I139" s="91" t="n"/>
      <c r="J139" s="91" t="n"/>
      <c r="K139" s="91">
        <f>+H139+I139+J139</f>
        <v/>
      </c>
      <c r="L139" s="91" t="n">
        <v>5</v>
      </c>
      <c r="M139" s="91" t="inlineStr"/>
      <c r="N139" s="91" t="n"/>
      <c r="O139" s="91" t="n"/>
      <c r="P139" s="91" t="n"/>
      <c r="Q139" s="91" t="n"/>
      <c r="R139" s="91" t="n"/>
      <c r="S139" s="91" t="n"/>
      <c r="T139" s="91" t="n"/>
      <c r="U139" s="91" t="n"/>
      <c r="V139" s="91" t="n"/>
      <c r="W139" s="91" t="n"/>
      <c r="X139" s="91" t="n"/>
      <c r="Y139" s="91" t="n"/>
      <c r="Z139" s="91" t="n"/>
      <c r="AA139" s="91" t="n"/>
      <c r="AB139" s="91" t="n"/>
      <c r="AC139" s="91" t="n"/>
      <c r="AD139" s="91" t="n"/>
      <c r="AE139" s="91" t="n"/>
      <c r="AF139" s="91" t="n"/>
      <c r="AG139" s="30" t="n"/>
      <c r="AH139" s="30" t="n"/>
      <c r="AI139" s="30" t="n"/>
      <c r="AJ139" s="30" t="n"/>
      <c r="AK139" s="30" t="n"/>
      <c r="AL139" s="30" t="n"/>
      <c r="AM139" s="91" t="n"/>
      <c r="AN139" s="91" t="n"/>
      <c r="AO139" s="91" t="n"/>
      <c r="AP139" s="91" t="n"/>
      <c r="AQ139" s="91" t="n"/>
      <c r="AR139" s="91" t="n"/>
      <c r="AS139" s="91" t="n"/>
      <c r="AT139" s="91" t="n"/>
      <c r="AU139" s="91" t="n"/>
      <c r="AV139" s="31" t="n"/>
      <c r="AW139" s="36" t="n"/>
      <c r="AX139" s="16" t="n"/>
      <c r="AY139" s="31" t="n"/>
      <c r="AZ139" s="92" t="n"/>
      <c r="BA139" s="91" t="n"/>
      <c r="BB139" s="91" t="n"/>
      <c r="BC139" s="91" t="n"/>
      <c r="BD139" s="91" t="n"/>
      <c r="BE139" s="91" t="n"/>
      <c r="BF139" s="91" t="n"/>
      <c r="BG139" s="91" t="n"/>
      <c r="BH139" s="91" t="n"/>
      <c r="BI139" s="91" t="n"/>
      <c r="BJ139" s="91" t="n"/>
      <c r="BK139" s="91" t="n"/>
      <c r="BL139" s="91" t="n"/>
      <c r="BM139" s="91" t="n"/>
      <c r="BN139" s="91" t="n"/>
      <c r="BO139" s="91" t="n"/>
      <c r="BP139" s="91" t="n">
        <v>10243</v>
      </c>
      <c r="BQ139" s="91" t="n"/>
      <c r="BR139" s="91" t="n">
        <v>31</v>
      </c>
      <c r="BS139" s="91" t="n">
        <v>285</v>
      </c>
      <c r="BT139" s="91" t="n"/>
      <c r="BU139" s="91" t="n"/>
      <c r="BV139" s="91" t="inlineStr"/>
      <c r="BW139" s="91" t="inlineStr"/>
      <c r="BX139" s="91" t="n">
        <v>25504</v>
      </c>
      <c r="BY139" s="91" t="n">
        <v>45839</v>
      </c>
      <c r="BZ139" s="91">
        <f>SUM(BN139:BY139)</f>
        <v/>
      </c>
      <c r="CA139" s="91" t="n">
        <v>171</v>
      </c>
      <c r="CB139" s="91" t="inlineStr"/>
      <c r="CC139" s="91" t="inlineStr"/>
      <c r="CD139" s="91" t="n"/>
      <c r="CE139" s="91" t="n"/>
      <c r="CF139" s="91" t="n"/>
      <c r="CG139" s="91" t="n"/>
      <c r="CH139" s="91" t="inlineStr"/>
      <c r="CI139" s="91" t="n"/>
      <c r="CJ139" s="91" t="inlineStr"/>
      <c r="CK139" s="91" t="n"/>
      <c r="CL139" s="91" t="inlineStr"/>
      <c r="CM139" s="91">
        <f>SUM(CA139:CL139)</f>
        <v/>
      </c>
      <c r="CN139" s="91" t="n"/>
      <c r="CO139" s="91" t="n"/>
      <c r="CP139" s="91" t="n"/>
      <c r="CQ139" s="93" t="n"/>
      <c r="CR139" s="94" t="n"/>
      <c r="CS139" s="94" t="n"/>
      <c r="CT139" s="91" t="n"/>
      <c r="CU139" s="91" t="n"/>
      <c r="CV139" s="91" t="n"/>
      <c r="CW139" s="91" t="n"/>
      <c r="CX139" s="91" t="n"/>
      <c r="CY139" s="91" t="n"/>
      <c r="CZ139" s="91">
        <f>SUM(CN139:CY139)</f>
        <v/>
      </c>
      <c r="DA139" s="35" t="n"/>
    </row>
    <row r="140" ht="20" customFormat="1" customHeight="1" s="1">
      <c r="A140" s="30" t="n">
        <v>138</v>
      </c>
      <c r="B140" s="31" t="inlineStr">
        <is>
          <t>山西</t>
        </is>
      </c>
      <c r="C140" s="31" t="inlineStr">
        <is>
          <t>运城</t>
        </is>
      </c>
      <c r="D140" s="31" t="inlineStr">
        <is>
          <t>耿会娜</t>
        </is>
      </c>
      <c r="E140" s="89" t="n"/>
      <c r="F140" s="27" t="inlineStr">
        <is>
          <t>2021</t>
        </is>
      </c>
      <c r="G140" s="27" t="inlineStr">
        <is>
          <t>8</t>
        </is>
      </c>
      <c r="H140" s="105" t="n">
        <v>89882</v>
      </c>
      <c r="I140" s="91" t="n"/>
      <c r="J140" s="91" t="n"/>
      <c r="K140" s="91">
        <f>+H140+I140+J140</f>
        <v/>
      </c>
      <c r="L140" s="91" t="n">
        <v>5</v>
      </c>
      <c r="M140" s="91" t="inlineStr"/>
      <c r="N140" s="91" t="n"/>
      <c r="O140" s="91" t="n"/>
      <c r="P140" s="91" t="n"/>
      <c r="Q140" s="91" t="n"/>
      <c r="R140" s="91" t="n"/>
      <c r="S140" s="91" t="n"/>
      <c r="T140" s="91" t="n"/>
      <c r="U140" s="91" t="n"/>
      <c r="V140" s="91" t="n"/>
      <c r="W140" s="91" t="n"/>
      <c r="X140" s="91" t="n"/>
      <c r="Y140" s="91" t="n"/>
      <c r="Z140" s="91" t="n"/>
      <c r="AA140" s="91" t="n"/>
      <c r="AB140" s="91" t="n"/>
      <c r="AC140" s="91" t="n"/>
      <c r="AD140" s="91" t="n"/>
      <c r="AE140" s="91" t="n"/>
      <c r="AF140" s="91" t="n"/>
      <c r="AG140" s="30" t="n"/>
      <c r="AH140" s="30" t="n"/>
      <c r="AI140" s="30" t="n"/>
      <c r="AJ140" s="30" t="n"/>
      <c r="AK140" s="30" t="n"/>
      <c r="AL140" s="30" t="n"/>
      <c r="AM140" s="91" t="n"/>
      <c r="AN140" s="91" t="n"/>
      <c r="AO140" s="91" t="n"/>
      <c r="AP140" s="91" t="n"/>
      <c r="AQ140" s="91" t="n"/>
      <c r="AR140" s="91" t="n"/>
      <c r="AS140" s="91" t="n"/>
      <c r="AT140" s="91" t="n"/>
      <c r="AU140" s="91" t="n"/>
      <c r="AV140" s="31" t="n"/>
      <c r="AW140" s="36" t="n"/>
      <c r="AX140" s="16" t="n"/>
      <c r="AY140" s="31" t="n"/>
      <c r="AZ140" s="92" t="n"/>
      <c r="BA140" s="91" t="n"/>
      <c r="BB140" s="91" t="n"/>
      <c r="BC140" s="91" t="n"/>
      <c r="BD140" s="91" t="n"/>
      <c r="BE140" s="91" t="n"/>
      <c r="BF140" s="91" t="n"/>
      <c r="BG140" s="91" t="n"/>
      <c r="BH140" s="91" t="n"/>
      <c r="BI140" s="91" t="n"/>
      <c r="BJ140" s="91" t="n"/>
      <c r="BK140" s="91" t="n"/>
      <c r="BL140" s="91" t="n"/>
      <c r="BM140" s="91" t="n"/>
      <c r="BN140" s="91" t="n">
        <v>151</v>
      </c>
      <c r="BO140" s="91" t="n">
        <v>144</v>
      </c>
      <c r="BP140" s="91" t="n"/>
      <c r="BQ140" s="91" t="n">
        <v>114</v>
      </c>
      <c r="BR140" s="91" t="n">
        <v>4090</v>
      </c>
      <c r="BS140" s="91" t="n"/>
      <c r="BT140" s="91" t="n">
        <v>42</v>
      </c>
      <c r="BU140" s="91" t="n"/>
      <c r="BV140" s="91" t="inlineStr"/>
      <c r="BW140" s="91" t="inlineStr"/>
      <c r="BX140" s="91" t="inlineStr"/>
      <c r="BY140" s="91" t="n"/>
      <c r="BZ140" s="91">
        <f>SUM(BN140:BY140)</f>
        <v/>
      </c>
      <c r="CA140" s="91" t="inlineStr"/>
      <c r="CB140" s="91" t="inlineStr"/>
      <c r="CC140" s="91" t="inlineStr"/>
      <c r="CD140" s="91" t="n"/>
      <c r="CE140" s="91" t="n"/>
      <c r="CF140" s="91" t="n"/>
      <c r="CG140" s="91" t="n"/>
      <c r="CH140" s="91" t="inlineStr"/>
      <c r="CI140" s="91" t="n"/>
      <c r="CJ140" s="91" t="inlineStr"/>
      <c r="CK140" s="91" t="n"/>
      <c r="CL140" s="91" t="inlineStr"/>
      <c r="CM140" s="91">
        <f>SUM(CA140:CL140)</f>
        <v/>
      </c>
      <c r="CN140" s="91" t="n"/>
      <c r="CO140" s="91" t="n"/>
      <c r="CP140" s="91" t="n"/>
      <c r="CQ140" s="93" t="n"/>
      <c r="CR140" s="94" t="n"/>
      <c r="CS140" s="94" t="n"/>
      <c r="CT140" s="91" t="n"/>
      <c r="CU140" s="91" t="n"/>
      <c r="CV140" s="91" t="n"/>
      <c r="CW140" s="91" t="n"/>
      <c r="CX140" s="91" t="n"/>
      <c r="CY140" s="91" t="n"/>
      <c r="CZ140" s="91">
        <f>SUM(CN140:CY140)</f>
        <v/>
      </c>
      <c r="DA140" s="35" t="n"/>
    </row>
    <row r="141" ht="20" customFormat="1" customHeight="1" s="1">
      <c r="A141" s="30" t="n">
        <v>139</v>
      </c>
      <c r="B141" s="61" t="inlineStr">
        <is>
          <t>新疆</t>
        </is>
      </c>
      <c r="C141" s="61" t="inlineStr">
        <is>
          <t>哈密</t>
        </is>
      </c>
      <c r="D141" s="61" t="inlineStr">
        <is>
          <t>吕发建</t>
        </is>
      </c>
      <c r="E141" s="89" t="n"/>
      <c r="F141" s="27" t="inlineStr">
        <is>
          <t>2022</t>
        </is>
      </c>
      <c r="G141" s="27" t="inlineStr">
        <is>
          <t>5</t>
        </is>
      </c>
      <c r="H141" s="105" t="n">
        <v>106785</v>
      </c>
      <c r="I141" s="91" t="n"/>
      <c r="J141" s="91" t="n"/>
      <c r="K141" s="91">
        <f>+H141+I141+J141</f>
        <v/>
      </c>
      <c r="L141" s="91" t="n">
        <v>6</v>
      </c>
      <c r="M141" s="91" t="inlineStr"/>
      <c r="N141" s="91" t="n"/>
      <c r="O141" s="91" t="n"/>
      <c r="P141" s="91" t="n"/>
      <c r="Q141" s="91" t="n"/>
      <c r="R141" s="91" t="n"/>
      <c r="S141" s="91" t="n"/>
      <c r="T141" s="91" t="n"/>
      <c r="U141" s="91" t="n"/>
      <c r="V141" s="91" t="n"/>
      <c r="W141" s="91" t="n"/>
      <c r="X141" s="91" t="n"/>
      <c r="Y141" s="91" t="n"/>
      <c r="Z141" s="91" t="n"/>
      <c r="AA141" s="91" t="n"/>
      <c r="AB141" s="91" t="n"/>
      <c r="AC141" s="91" t="n"/>
      <c r="AD141" s="91" t="n"/>
      <c r="AE141" s="91" t="n"/>
      <c r="AF141" s="91" t="n"/>
      <c r="AG141" s="30" t="n"/>
      <c r="AH141" s="30" t="n"/>
      <c r="AI141" s="30" t="n"/>
      <c r="AJ141" s="30" t="n"/>
      <c r="AK141" s="30" t="n"/>
      <c r="AL141" s="30" t="n"/>
      <c r="AM141" s="91" t="n"/>
      <c r="AN141" s="91" t="n"/>
      <c r="AO141" s="91" t="n"/>
      <c r="AP141" s="91" t="n"/>
      <c r="AQ141" s="91" t="n"/>
      <c r="AR141" s="91" t="n"/>
      <c r="AS141" s="91" t="n"/>
      <c r="AT141" s="91" t="n"/>
      <c r="AU141" s="91" t="n"/>
      <c r="AV141" s="31" t="n"/>
      <c r="AW141" s="36" t="n"/>
      <c r="AX141" s="16" t="n"/>
      <c r="AY141" s="31" t="n"/>
      <c r="AZ141" s="92" t="n"/>
      <c r="BA141" s="91" t="n"/>
      <c r="BB141" s="91" t="n"/>
      <c r="BC141" s="91" t="n"/>
      <c r="BD141" s="91" t="n"/>
      <c r="BE141" s="91" t="n"/>
      <c r="BF141" s="91" t="n"/>
      <c r="BG141" s="91" t="n"/>
      <c r="BH141" s="91" t="n"/>
      <c r="BI141" s="91" t="n"/>
      <c r="BJ141" s="91" t="n"/>
      <c r="BK141" s="91" t="n"/>
      <c r="BL141" s="91" t="n"/>
      <c r="BM141" s="91" t="n"/>
      <c r="BN141" s="91" t="n"/>
      <c r="BO141" s="91" t="n"/>
      <c r="BP141" s="91" t="n"/>
      <c r="BQ141" s="91" t="n">
        <v>276</v>
      </c>
      <c r="BR141" s="91" t="n"/>
      <c r="BS141" s="91" t="n"/>
      <c r="BT141" s="91" t="n">
        <v>17305</v>
      </c>
      <c r="BU141" s="91" t="n"/>
      <c r="BV141" s="91" t="n">
        <v>29900.52</v>
      </c>
      <c r="BW141" s="91" t="n">
        <v>392</v>
      </c>
      <c r="BX141" s="91" t="inlineStr"/>
      <c r="BY141" s="91" t="n">
        <v>359</v>
      </c>
      <c r="BZ141" s="91">
        <f>SUM(BN141:BY141)</f>
        <v/>
      </c>
      <c r="CA141" s="91" t="inlineStr"/>
      <c r="CB141" s="91" t="inlineStr"/>
      <c r="CC141" s="91" t="inlineStr"/>
      <c r="CD141" s="91" t="n"/>
      <c r="CE141" s="91" t="n"/>
      <c r="CF141" s="91" t="n"/>
      <c r="CG141" s="91" t="n"/>
      <c r="CH141" s="91" t="inlineStr"/>
      <c r="CI141" s="91" t="n"/>
      <c r="CJ141" s="91" t="inlineStr"/>
      <c r="CK141" s="91" t="n"/>
      <c r="CL141" s="91" t="inlineStr"/>
      <c r="CM141" s="91">
        <f>SUM(CA141:CL141)</f>
        <v/>
      </c>
      <c r="CN141" s="91" t="n"/>
      <c r="CO141" s="91" t="n"/>
      <c r="CP141" s="91" t="n"/>
      <c r="CQ141" s="93" t="n"/>
      <c r="CR141" s="94" t="n"/>
      <c r="CS141" s="94" t="n"/>
      <c r="CT141" s="91" t="n"/>
      <c r="CU141" s="91" t="n"/>
      <c r="CV141" s="91" t="n"/>
      <c r="CW141" s="91" t="n"/>
      <c r="CX141" s="91" t="n"/>
      <c r="CY141" s="91" t="n"/>
      <c r="CZ141" s="91">
        <f>SUM(CN141:CY141)</f>
        <v/>
      </c>
      <c r="DA141" s="35" t="n"/>
    </row>
    <row r="142" ht="20" customFormat="1" customHeight="1" s="1">
      <c r="A142" s="30" t="n">
        <v>140</v>
      </c>
      <c r="B142" s="31" t="inlineStr">
        <is>
          <t>云南</t>
        </is>
      </c>
      <c r="C142" s="31" t="inlineStr">
        <is>
          <t>藤冲</t>
        </is>
      </c>
      <c r="D142" s="31" t="inlineStr">
        <is>
          <t>李正清</t>
        </is>
      </c>
      <c r="E142" s="89" t="n"/>
      <c r="F142" s="27" t="inlineStr">
        <is>
          <t>2022</t>
        </is>
      </c>
      <c r="G142" s="27" t="inlineStr">
        <is>
          <t>5</t>
        </is>
      </c>
      <c r="H142" s="105" t="n">
        <v>100454</v>
      </c>
      <c r="I142" s="91" t="n"/>
      <c r="J142" s="91" t="n"/>
      <c r="K142" s="91">
        <f>+H142+I142+J142</f>
        <v/>
      </c>
      <c r="L142" s="91" t="n">
        <v>6</v>
      </c>
      <c r="M142" s="91" t="inlineStr"/>
      <c r="N142" s="91" t="n"/>
      <c r="O142" s="91" t="n"/>
      <c r="P142" s="91" t="n"/>
      <c r="Q142" s="91" t="n"/>
      <c r="R142" s="91" t="n"/>
      <c r="S142" s="91" t="n"/>
      <c r="T142" s="91" t="n"/>
      <c r="U142" s="91" t="n"/>
      <c r="V142" s="91" t="n"/>
      <c r="W142" s="91" t="n"/>
      <c r="X142" s="91" t="n"/>
      <c r="Y142" s="91" t="n"/>
      <c r="Z142" s="91" t="n"/>
      <c r="AA142" s="91" t="n"/>
      <c r="AB142" s="91" t="n"/>
      <c r="AC142" s="91" t="n"/>
      <c r="AD142" s="91" t="n"/>
      <c r="AE142" s="91" t="n"/>
      <c r="AF142" s="91" t="n"/>
      <c r="AG142" s="30" t="n"/>
      <c r="AH142" s="30" t="n"/>
      <c r="AI142" s="30" t="n"/>
      <c r="AJ142" s="30" t="n"/>
      <c r="AK142" s="30" t="n"/>
      <c r="AL142" s="30" t="n"/>
      <c r="AM142" s="91" t="n"/>
      <c r="AN142" s="91" t="n"/>
      <c r="AO142" s="91" t="n"/>
      <c r="AP142" s="91" t="n"/>
      <c r="AQ142" s="91" t="n"/>
      <c r="AR142" s="91" t="n"/>
      <c r="AS142" s="91" t="n"/>
      <c r="AT142" s="91" t="n"/>
      <c r="AU142" s="91" t="n"/>
      <c r="AV142" s="31" t="n"/>
      <c r="AW142" s="36" t="n"/>
      <c r="AX142" s="16" t="n"/>
      <c r="AY142" s="31" t="n"/>
      <c r="AZ142" s="92" t="n"/>
      <c r="BA142" s="91" t="n"/>
      <c r="BB142" s="91" t="n"/>
      <c r="BC142" s="91" t="n"/>
      <c r="BD142" s="91" t="n"/>
      <c r="BE142" s="91" t="n"/>
      <c r="BF142" s="91" t="n"/>
      <c r="BG142" s="91" t="n"/>
      <c r="BH142" s="91" t="n"/>
      <c r="BI142" s="91" t="n"/>
      <c r="BJ142" s="91" t="n"/>
      <c r="BK142" s="91" t="n"/>
      <c r="BL142" s="91" t="n"/>
      <c r="BM142" s="91" t="n"/>
      <c r="BN142" s="91" t="n"/>
      <c r="BO142" s="91" t="n"/>
      <c r="BP142" s="91" t="n">
        <v>94</v>
      </c>
      <c r="BQ142" s="91" t="n"/>
      <c r="BR142" s="91" t="n"/>
      <c r="BS142" s="91" t="n"/>
      <c r="BT142" s="91" t="n">
        <v>16739</v>
      </c>
      <c r="BU142" s="91" t="n">
        <v>42.4</v>
      </c>
      <c r="BV142" s="91" t="inlineStr"/>
      <c r="BW142" s="91" t="inlineStr"/>
      <c r="BX142" s="91" t="inlineStr"/>
      <c r="BY142" s="91" t="n"/>
      <c r="BZ142" s="91">
        <f>SUM(BN142:BY142)</f>
        <v/>
      </c>
      <c r="CA142" s="91" t="inlineStr"/>
      <c r="CB142" s="91" t="inlineStr"/>
      <c r="CC142" s="91" t="inlineStr"/>
      <c r="CD142" s="91" t="n"/>
      <c r="CE142" s="91" t="n"/>
      <c r="CF142" s="91" t="n"/>
      <c r="CG142" s="91" t="n"/>
      <c r="CH142" s="91" t="inlineStr"/>
      <c r="CI142" s="91" t="n"/>
      <c r="CJ142" s="91" t="inlineStr"/>
      <c r="CK142" s="91" t="n"/>
      <c r="CL142" s="91" t="inlineStr"/>
      <c r="CM142" s="91">
        <f>SUM(CA142:CL142)</f>
        <v/>
      </c>
      <c r="CN142" s="91" t="n"/>
      <c r="CO142" s="91" t="n"/>
      <c r="CP142" s="91" t="n"/>
      <c r="CQ142" s="93" t="n"/>
      <c r="CR142" s="94" t="n"/>
      <c r="CS142" s="94" t="n"/>
      <c r="CT142" s="91" t="n"/>
      <c r="CU142" s="91" t="n"/>
      <c r="CV142" s="91" t="n"/>
      <c r="CW142" s="91" t="n"/>
      <c r="CX142" s="91" t="n"/>
      <c r="CY142" s="91" t="n"/>
      <c r="CZ142" s="91">
        <f>SUM(CN142:CY142)</f>
        <v/>
      </c>
      <c r="DA142" s="35" t="n"/>
    </row>
    <row r="143" ht="20" customFormat="1" customHeight="1" s="1">
      <c r="A143" s="30" t="n">
        <v>141</v>
      </c>
      <c r="B143" s="61" t="inlineStr">
        <is>
          <t>新疆</t>
        </is>
      </c>
      <c r="C143" s="61" t="inlineStr">
        <is>
          <t>阿克苏</t>
        </is>
      </c>
      <c r="D143" s="61" t="inlineStr">
        <is>
          <t>李玉琴</t>
        </is>
      </c>
      <c r="E143" s="89" t="n"/>
      <c r="F143" s="27" t="inlineStr">
        <is>
          <t>2021</t>
        </is>
      </c>
      <c r="G143" s="27" t="inlineStr">
        <is>
          <t>8</t>
        </is>
      </c>
      <c r="H143" s="105" t="n">
        <v>108922</v>
      </c>
      <c r="I143" s="91" t="n"/>
      <c r="J143" s="91" t="n"/>
      <c r="K143" s="91">
        <f>+H143+I143+J143</f>
        <v/>
      </c>
      <c r="L143" s="91" t="n">
        <v>5</v>
      </c>
      <c r="M143" s="91" t="inlineStr"/>
      <c r="N143" s="91" t="n"/>
      <c r="O143" s="91" t="n"/>
      <c r="P143" s="91" t="n"/>
      <c r="Q143" s="91" t="n"/>
      <c r="R143" s="91" t="n"/>
      <c r="S143" s="91" t="n"/>
      <c r="T143" s="91" t="n"/>
      <c r="U143" s="91" t="n"/>
      <c r="V143" s="91" t="n"/>
      <c r="W143" s="91" t="n"/>
      <c r="X143" s="91" t="n"/>
      <c r="Y143" s="91" t="n"/>
      <c r="Z143" s="91" t="n"/>
      <c r="AA143" s="91" t="n"/>
      <c r="AB143" s="91" t="n"/>
      <c r="AC143" s="91" t="n"/>
      <c r="AD143" s="91" t="n"/>
      <c r="AE143" s="91" t="n"/>
      <c r="AF143" s="91" t="n"/>
      <c r="AG143" s="30" t="n"/>
      <c r="AH143" s="30" t="n"/>
      <c r="AI143" s="30" t="n"/>
      <c r="AJ143" s="30" t="n"/>
      <c r="AK143" s="30" t="n"/>
      <c r="AL143" s="30" t="n"/>
      <c r="AM143" s="91" t="n"/>
      <c r="AN143" s="91" t="n"/>
      <c r="AO143" s="91" t="n"/>
      <c r="AP143" s="91" t="n"/>
      <c r="AQ143" s="91" t="n"/>
      <c r="AR143" s="91" t="n"/>
      <c r="AS143" s="91" t="n"/>
      <c r="AT143" s="91" t="n"/>
      <c r="AU143" s="91" t="n"/>
      <c r="AV143" s="31" t="n"/>
      <c r="AW143" s="36" t="n"/>
      <c r="AX143" s="16" t="n"/>
      <c r="AY143" s="31" t="n"/>
      <c r="AZ143" s="92" t="n"/>
      <c r="BA143" s="91" t="n"/>
      <c r="BB143" s="91" t="n"/>
      <c r="BC143" s="91" t="n"/>
      <c r="BD143" s="91" t="n"/>
      <c r="BE143" s="91" t="n"/>
      <c r="BF143" s="91" t="n"/>
      <c r="BG143" s="91" t="n"/>
      <c r="BH143" s="91" t="n"/>
      <c r="BI143" s="91" t="n"/>
      <c r="BJ143" s="91" t="n"/>
      <c r="BK143" s="91" t="n"/>
      <c r="BL143" s="91" t="n"/>
      <c r="BM143" s="91" t="n"/>
      <c r="BN143" s="91" t="n"/>
      <c r="BO143" s="91" t="n"/>
      <c r="BP143" s="91" t="n"/>
      <c r="BQ143" s="91" t="n"/>
      <c r="BR143" s="91" t="n">
        <v>79</v>
      </c>
      <c r="BS143" s="91" t="n"/>
      <c r="BT143" s="91" t="n"/>
      <c r="BU143" s="91" t="n">
        <v>21598.43</v>
      </c>
      <c r="BV143" s="91" t="inlineStr"/>
      <c r="BW143" s="91" t="n">
        <v>67.11</v>
      </c>
      <c r="BX143" s="91" t="n">
        <v>130</v>
      </c>
      <c r="BY143" s="91" t="n"/>
      <c r="BZ143" s="91">
        <f>SUM(BN143:BY143)</f>
        <v/>
      </c>
      <c r="CA143" s="91" t="inlineStr"/>
      <c r="CB143" s="91" t="inlineStr"/>
      <c r="CC143" s="91" t="inlineStr"/>
      <c r="CD143" s="91" t="n"/>
      <c r="CE143" s="91" t="n"/>
      <c r="CF143" s="91" t="n"/>
      <c r="CG143" s="91" t="n"/>
      <c r="CH143" s="91" t="inlineStr"/>
      <c r="CI143" s="91" t="n"/>
      <c r="CJ143" s="91" t="inlineStr"/>
      <c r="CK143" s="91" t="n"/>
      <c r="CL143" s="91" t="inlineStr"/>
      <c r="CM143" s="91">
        <f>SUM(CA143:CL143)</f>
        <v/>
      </c>
      <c r="CN143" s="91" t="n"/>
      <c r="CO143" s="91" t="n"/>
      <c r="CP143" s="91" t="n"/>
      <c r="CQ143" s="93" t="n"/>
      <c r="CR143" s="94" t="n"/>
      <c r="CS143" s="94" t="n"/>
      <c r="CT143" s="91" t="n"/>
      <c r="CU143" s="91" t="n"/>
      <c r="CV143" s="91" t="n"/>
      <c r="CW143" s="91" t="n"/>
      <c r="CX143" s="91" t="n"/>
      <c r="CY143" s="91" t="n"/>
      <c r="CZ143" s="91">
        <f>SUM(CN143:CY143)</f>
        <v/>
      </c>
      <c r="DA143" s="35" t="n"/>
    </row>
    <row r="144" ht="20" customFormat="1" customHeight="1" s="1">
      <c r="A144" s="30" t="n">
        <v>142</v>
      </c>
      <c r="B144" s="61" t="inlineStr">
        <is>
          <t>陕西</t>
        </is>
      </c>
      <c r="C144" s="61" t="inlineStr">
        <is>
          <t>合阳</t>
        </is>
      </c>
      <c r="D144" s="61" t="inlineStr">
        <is>
          <t>王帅</t>
        </is>
      </c>
      <c r="E144" s="89" t="n"/>
      <c r="F144" s="27" t="inlineStr">
        <is>
          <t>2023</t>
        </is>
      </c>
      <c r="G144" s="27" t="inlineStr">
        <is>
          <t>4</t>
        </is>
      </c>
      <c r="H144" s="105" t="n">
        <v>79795</v>
      </c>
      <c r="I144" s="91" t="n"/>
      <c r="J144" s="91" t="n"/>
      <c r="K144" s="91">
        <f>+H144+I144+J144</f>
        <v/>
      </c>
      <c r="L144" s="91" t="n">
        <v>7</v>
      </c>
      <c r="M144" s="91" t="inlineStr"/>
      <c r="N144" s="91" t="n"/>
      <c r="O144" s="91" t="n"/>
      <c r="P144" s="91" t="n"/>
      <c r="Q144" s="91" t="n"/>
      <c r="R144" s="91" t="n"/>
      <c r="S144" s="91" t="n"/>
      <c r="T144" s="91" t="n"/>
      <c r="U144" s="91" t="n"/>
      <c r="V144" s="91" t="n"/>
      <c r="W144" s="91" t="n"/>
      <c r="X144" s="91" t="n"/>
      <c r="Y144" s="91" t="n"/>
      <c r="Z144" s="91" t="n"/>
      <c r="AA144" s="91" t="n"/>
      <c r="AB144" s="91" t="n"/>
      <c r="AC144" s="91" t="n"/>
      <c r="AD144" s="91" t="n"/>
      <c r="AE144" s="91" t="n"/>
      <c r="AF144" s="91" t="n"/>
      <c r="AG144" s="30" t="n"/>
      <c r="AH144" s="30" t="n"/>
      <c r="AI144" s="30" t="n"/>
      <c r="AJ144" s="30" t="n"/>
      <c r="AK144" s="30" t="n"/>
      <c r="AL144" s="30" t="n"/>
      <c r="AM144" s="91" t="n"/>
      <c r="AN144" s="91" t="n"/>
      <c r="AO144" s="91" t="n"/>
      <c r="AP144" s="91" t="n"/>
      <c r="AQ144" s="91" t="n"/>
      <c r="AR144" s="91" t="n"/>
      <c r="AS144" s="91" t="n"/>
      <c r="AT144" s="91" t="n"/>
      <c r="AU144" s="91" t="n"/>
      <c r="AV144" s="31" t="n"/>
      <c r="AW144" s="36" t="n"/>
      <c r="AX144" s="16" t="n"/>
      <c r="AY144" s="31" t="n"/>
      <c r="AZ144" s="92" t="n"/>
      <c r="BA144" s="91" t="n"/>
      <c r="BB144" s="91" t="n"/>
      <c r="BC144" s="91" t="n"/>
      <c r="BD144" s="91" t="n"/>
      <c r="BE144" s="91" t="n"/>
      <c r="BF144" s="91" t="n"/>
      <c r="BG144" s="91" t="n"/>
      <c r="BH144" s="91" t="n"/>
      <c r="BI144" s="91" t="n"/>
      <c r="BJ144" s="91" t="n"/>
      <c r="BK144" s="91" t="n"/>
      <c r="BL144" s="91" t="n"/>
      <c r="BM144" s="91" t="n"/>
      <c r="BN144" s="91" t="n"/>
      <c r="BO144" s="91" t="n"/>
      <c r="BP144" s="91" t="n"/>
      <c r="BQ144" s="91" t="n"/>
      <c r="BR144" s="91" t="n"/>
      <c r="BS144" s="91" t="n"/>
      <c r="BT144" s="91" t="n"/>
      <c r="BU144" s="91" t="n"/>
      <c r="BV144" s="91" t="inlineStr"/>
      <c r="BW144" s="91" t="inlineStr"/>
      <c r="BX144" s="91" t="inlineStr"/>
      <c r="BY144" s="91" t="n"/>
      <c r="BZ144" s="91">
        <f>SUM(BN144:BY144)</f>
        <v/>
      </c>
      <c r="CA144" s="91" t="inlineStr"/>
      <c r="CB144" s="91" t="inlineStr"/>
      <c r="CC144" s="91" t="inlineStr"/>
      <c r="CD144" s="91" t="n"/>
      <c r="CE144" s="91" t="n"/>
      <c r="CF144" s="91" t="n"/>
      <c r="CG144" s="91" t="n"/>
      <c r="CH144" s="91" t="inlineStr"/>
      <c r="CI144" s="91" t="n"/>
      <c r="CJ144" s="91" t="inlineStr"/>
      <c r="CK144" s="91" t="n"/>
      <c r="CL144" s="91" t="inlineStr"/>
      <c r="CM144" s="91">
        <f>SUM(CA144:CL144)</f>
        <v/>
      </c>
      <c r="CN144" s="91" t="n"/>
      <c r="CO144" s="91" t="n"/>
      <c r="CP144" s="91" t="n"/>
      <c r="CQ144" s="93" t="n"/>
      <c r="CR144" s="94" t="n"/>
      <c r="CS144" s="94" t="n"/>
      <c r="CT144" s="91" t="n"/>
      <c r="CU144" s="91" t="n"/>
      <c r="CV144" s="91" t="n"/>
      <c r="CW144" s="91" t="n"/>
      <c r="CX144" s="91" t="n"/>
      <c r="CY144" s="91" t="n"/>
      <c r="CZ144" s="91">
        <f>SUM(CN144:CY144)</f>
        <v/>
      </c>
      <c r="DA144" s="35" t="n"/>
    </row>
    <row r="145" ht="20" customFormat="1" customHeight="1" s="1">
      <c r="A145" s="30" t="n">
        <v>143</v>
      </c>
      <c r="B145" s="31" t="inlineStr">
        <is>
          <t>江西</t>
        </is>
      </c>
      <c r="C145" s="31" t="inlineStr">
        <is>
          <t>芦溪</t>
        </is>
      </c>
      <c r="D145" s="31" t="inlineStr">
        <is>
          <t>何云</t>
        </is>
      </c>
      <c r="E145" s="89" t="n"/>
      <c r="F145" s="27" t="inlineStr">
        <is>
          <t>2021</t>
        </is>
      </c>
      <c r="G145" s="27" t="inlineStr">
        <is>
          <t>7</t>
        </is>
      </c>
      <c r="H145" s="105" t="n">
        <v>72768</v>
      </c>
      <c r="I145" s="91" t="n"/>
      <c r="J145" s="91" t="n"/>
      <c r="K145" s="91">
        <f>+H145+I145+J145</f>
        <v/>
      </c>
      <c r="L145" s="91" t="n">
        <v>5</v>
      </c>
      <c r="M145" s="91" t="inlineStr"/>
      <c r="N145" s="91" t="n"/>
      <c r="O145" s="91" t="n"/>
      <c r="P145" s="91" t="n"/>
      <c r="Q145" s="91" t="n"/>
      <c r="R145" s="91" t="n"/>
      <c r="S145" s="91" t="n"/>
      <c r="T145" s="91" t="n"/>
      <c r="U145" s="91" t="n"/>
      <c r="V145" s="91" t="n"/>
      <c r="W145" s="91" t="n"/>
      <c r="X145" s="91" t="n"/>
      <c r="Y145" s="91" t="n"/>
      <c r="Z145" s="91" t="n"/>
      <c r="AA145" s="91" t="n"/>
      <c r="AB145" s="91" t="n"/>
      <c r="AC145" s="91" t="n"/>
      <c r="AD145" s="91" t="n"/>
      <c r="AE145" s="91" t="n"/>
      <c r="AF145" s="91" t="n"/>
      <c r="AG145" s="30" t="n"/>
      <c r="AH145" s="30" t="n"/>
      <c r="AI145" s="30" t="n"/>
      <c r="AJ145" s="30" t="n"/>
      <c r="AK145" s="30" t="n"/>
      <c r="AL145" s="30" t="n"/>
      <c r="AM145" s="91" t="n"/>
      <c r="AN145" s="91" t="n"/>
      <c r="AO145" s="91" t="n"/>
      <c r="AP145" s="91" t="n"/>
      <c r="AQ145" s="91" t="n"/>
      <c r="AR145" s="91" t="n"/>
      <c r="AS145" s="91" t="n"/>
      <c r="AT145" s="91" t="n"/>
      <c r="AU145" s="91" t="n"/>
      <c r="AV145" s="31" t="n"/>
      <c r="AW145" s="36" t="n"/>
      <c r="AX145" s="16" t="n"/>
      <c r="AY145" s="31" t="n"/>
      <c r="AZ145" s="92" t="n"/>
      <c r="BA145" s="91" t="n"/>
      <c r="BB145" s="91" t="n"/>
      <c r="BC145" s="91" t="n"/>
      <c r="BD145" s="91" t="n"/>
      <c r="BE145" s="91" t="n"/>
      <c r="BF145" s="91" t="n"/>
      <c r="BG145" s="91" t="n"/>
      <c r="BH145" s="91" t="n"/>
      <c r="BI145" s="91" t="n"/>
      <c r="BJ145" s="91" t="n"/>
      <c r="BK145" s="91" t="n"/>
      <c r="BL145" s="91" t="n"/>
      <c r="BM145" s="91" t="n"/>
      <c r="BN145" s="91" t="n">
        <v>2195</v>
      </c>
      <c r="BO145" s="91" t="n"/>
      <c r="BP145" s="91" t="n">
        <v>59421</v>
      </c>
      <c r="BQ145" s="91" t="n">
        <v>245</v>
      </c>
      <c r="BR145" s="91" t="n"/>
      <c r="BS145" s="91" t="n"/>
      <c r="BT145" s="91" t="n"/>
      <c r="BU145" s="91" t="n"/>
      <c r="BV145" s="91" t="inlineStr"/>
      <c r="BW145" s="91" t="inlineStr"/>
      <c r="BX145" s="91" t="inlineStr"/>
      <c r="BY145" s="91" t="n"/>
      <c r="BZ145" s="91">
        <f>SUM(BN145:BY145)</f>
        <v/>
      </c>
      <c r="CA145" s="91" t="inlineStr"/>
      <c r="CB145" s="91" t="inlineStr"/>
      <c r="CC145" s="91" t="inlineStr"/>
      <c r="CD145" s="91" t="n"/>
      <c r="CE145" s="91" t="n"/>
      <c r="CF145" s="91" t="n"/>
      <c r="CG145" s="91" t="n"/>
      <c r="CH145" s="91" t="inlineStr"/>
      <c r="CI145" s="91" t="n"/>
      <c r="CJ145" s="91" t="inlineStr"/>
      <c r="CK145" s="91" t="n"/>
      <c r="CL145" s="91" t="inlineStr"/>
      <c r="CM145" s="91">
        <f>SUM(CA145:CL145)</f>
        <v/>
      </c>
      <c r="CN145" s="91" t="n"/>
      <c r="CO145" s="91" t="n"/>
      <c r="CP145" s="91" t="n"/>
      <c r="CQ145" s="93" t="n"/>
      <c r="CR145" s="94" t="n"/>
      <c r="CS145" s="94" t="n"/>
      <c r="CT145" s="91" t="n"/>
      <c r="CU145" s="91" t="n"/>
      <c r="CV145" s="91" t="n"/>
      <c r="CW145" s="91" t="n"/>
      <c r="CX145" s="91" t="n"/>
      <c r="CY145" s="91" t="n"/>
      <c r="CZ145" s="91">
        <f>SUM(CN145:CY145)</f>
        <v/>
      </c>
      <c r="DA145" s="35" t="n"/>
    </row>
    <row r="146" ht="20" customFormat="1" customHeight="1" s="1">
      <c r="A146" s="30" t="n">
        <v>144</v>
      </c>
      <c r="B146" s="31" t="inlineStr">
        <is>
          <t>云南</t>
        </is>
      </c>
      <c r="C146" s="31" t="inlineStr">
        <is>
          <t>保山</t>
        </is>
      </c>
      <c r="D146" s="31" t="inlineStr">
        <is>
          <t>刘湘</t>
        </is>
      </c>
      <c r="E146" s="89" t="n"/>
      <c r="F146" s="27" t="inlineStr">
        <is>
          <t>2024</t>
        </is>
      </c>
      <c r="G146" s="27" t="inlineStr">
        <is>
          <t>6</t>
        </is>
      </c>
      <c r="H146" s="105" t="n">
        <v>63321</v>
      </c>
      <c r="I146" s="91" t="n"/>
      <c r="J146" s="91" t="n"/>
      <c r="K146" s="91">
        <f>+H146+I146+J146</f>
        <v/>
      </c>
      <c r="L146" s="91" t="n">
        <v>7</v>
      </c>
      <c r="M146" s="91" t="inlineStr"/>
      <c r="N146" s="91" t="n"/>
      <c r="O146" s="91" t="n"/>
      <c r="P146" s="91" t="n"/>
      <c r="Q146" s="91" t="n"/>
      <c r="R146" s="91" t="n"/>
      <c r="S146" s="91" t="n"/>
      <c r="T146" s="91" t="n"/>
      <c r="U146" s="91" t="n"/>
      <c r="V146" s="91" t="n"/>
      <c r="W146" s="91" t="n"/>
      <c r="X146" s="91" t="n"/>
      <c r="Y146" s="91" t="n"/>
      <c r="Z146" s="91" t="n"/>
      <c r="AA146" s="91" t="n"/>
      <c r="AB146" s="91" t="n"/>
      <c r="AC146" s="91" t="n"/>
      <c r="AD146" s="91" t="n"/>
      <c r="AE146" s="91" t="n"/>
      <c r="AF146" s="91" t="n"/>
      <c r="AG146" s="30" t="n"/>
      <c r="AH146" s="30" t="n"/>
      <c r="AI146" s="30" t="n"/>
      <c r="AJ146" s="30" t="n"/>
      <c r="AK146" s="30" t="n"/>
      <c r="AL146" s="30" t="n"/>
      <c r="AM146" s="91" t="n"/>
      <c r="AN146" s="91" t="n"/>
      <c r="AO146" s="91" t="n"/>
      <c r="AP146" s="91" t="n"/>
      <c r="AQ146" s="91" t="n"/>
      <c r="AR146" s="91" t="n"/>
      <c r="AS146" s="91" t="n"/>
      <c r="AT146" s="91" t="n"/>
      <c r="AU146" s="91" t="n"/>
      <c r="AV146" s="31" t="n"/>
      <c r="AW146" s="36" t="n"/>
      <c r="AX146" s="16" t="n"/>
      <c r="AY146" s="31" t="n"/>
      <c r="AZ146" s="92" t="n"/>
      <c r="BA146" s="91" t="n"/>
      <c r="BB146" s="91" t="n"/>
      <c r="BC146" s="91" t="n"/>
      <c r="BD146" s="91" t="n"/>
      <c r="BE146" s="91" t="n"/>
      <c r="BF146" s="91" t="n"/>
      <c r="BG146" s="91" t="n"/>
      <c r="BH146" s="91" t="n"/>
      <c r="BI146" s="91" t="n"/>
      <c r="BJ146" s="91" t="n"/>
      <c r="BK146" s="91" t="n"/>
      <c r="BL146" s="91" t="n"/>
      <c r="BM146" s="91" t="n"/>
      <c r="BN146" s="91" t="n"/>
      <c r="BO146" s="91" t="n"/>
      <c r="BP146" s="91" t="n"/>
      <c r="BQ146" s="91" t="n"/>
      <c r="BR146" s="91" t="n"/>
      <c r="BS146" s="91" t="n"/>
      <c r="BT146" s="91" t="n"/>
      <c r="BU146" s="91" t="n"/>
      <c r="BV146" s="91" t="inlineStr"/>
      <c r="BW146" s="91" t="inlineStr"/>
      <c r="BX146" s="91" t="inlineStr"/>
      <c r="BY146" s="91" t="n"/>
      <c r="BZ146" s="91">
        <f>SUM(BN146:BY146)</f>
        <v/>
      </c>
      <c r="CA146" s="91" t="inlineStr"/>
      <c r="CB146" s="91" t="inlineStr"/>
      <c r="CC146" s="91" t="inlineStr"/>
      <c r="CD146" s="91" t="n"/>
      <c r="CE146" s="91" t="n"/>
      <c r="CF146" s="91" t="n"/>
      <c r="CG146" s="91" t="n"/>
      <c r="CH146" s="91" t="inlineStr"/>
      <c r="CI146" s="91" t="n"/>
      <c r="CJ146" s="91" t="inlineStr"/>
      <c r="CK146" s="91" t="n"/>
      <c r="CL146" s="91" t="inlineStr"/>
      <c r="CM146" s="91">
        <f>SUM(CA146:CL146)</f>
        <v/>
      </c>
      <c r="CN146" s="91" t="n"/>
      <c r="CO146" s="91" t="n"/>
      <c r="CP146" s="91" t="n"/>
      <c r="CQ146" s="93" t="n"/>
      <c r="CR146" s="94" t="n"/>
      <c r="CS146" s="94" t="n"/>
      <c r="CT146" s="91" t="n"/>
      <c r="CU146" s="91" t="n"/>
      <c r="CV146" s="91" t="n"/>
      <c r="CW146" s="91" t="n"/>
      <c r="CX146" s="91" t="n"/>
      <c r="CY146" s="91" t="n"/>
      <c r="CZ146" s="91">
        <f>SUM(CN146:CY146)</f>
        <v/>
      </c>
      <c r="DA146" s="35" t="n"/>
    </row>
    <row r="147" ht="20" customFormat="1" customHeight="1" s="1">
      <c r="A147" s="30" t="n">
        <v>145</v>
      </c>
      <c r="B147" s="31" t="inlineStr">
        <is>
          <t>山西</t>
        </is>
      </c>
      <c r="C147" s="31" t="inlineStr">
        <is>
          <t>太原尖草坪</t>
        </is>
      </c>
      <c r="D147" s="31" t="inlineStr">
        <is>
          <t>张姝媛</t>
        </is>
      </c>
      <c r="E147" s="89" t="n"/>
      <c r="F147" s="27" t="inlineStr">
        <is>
          <t>2024/2025/2026</t>
        </is>
      </c>
      <c r="G147" s="27" t="inlineStr">
        <is>
          <t>6/7/9/10/2/3/6/12</t>
        </is>
      </c>
      <c r="H147" s="105">
        <f>96544+9001+733+1414+15+126+1108</f>
        <v/>
      </c>
      <c r="I147" s="91">
        <f>29214+361+1414+1874+1108</f>
        <v/>
      </c>
      <c r="J147" s="91">
        <f>4755</f>
        <v/>
      </c>
      <c r="K147" s="91">
        <f>+H147+I147+J147</f>
        <v/>
      </c>
      <c r="L147" s="91" t="n">
        <v>7</v>
      </c>
      <c r="M147" s="91">
        <f>80904+22247+3574</f>
        <v/>
      </c>
      <c r="N147" s="91" t="n"/>
      <c r="O147" s="91" t="n"/>
      <c r="P147" s="91" t="n"/>
      <c r="Q147" s="91" t="n"/>
      <c r="R147" s="91" t="n"/>
      <c r="S147" s="91" t="n"/>
      <c r="T147" s="91" t="n"/>
      <c r="U147" s="91" t="n"/>
      <c r="V147" s="91" t="n"/>
      <c r="W147" s="91" t="n"/>
      <c r="X147" s="91" t="n"/>
      <c r="Y147" s="91" t="n"/>
      <c r="Z147" s="91" t="n"/>
      <c r="AA147" s="91" t="n"/>
      <c r="AB147" s="91" t="n"/>
      <c r="AC147" s="91" t="n"/>
      <c r="AD147" s="91" t="n"/>
      <c r="AE147" s="91" t="n"/>
      <c r="AF147" s="91" t="n"/>
      <c r="AG147" s="30" t="n"/>
      <c r="AH147" s="30" t="n"/>
      <c r="AI147" s="30" t="n"/>
      <c r="AJ147" s="30" t="n"/>
      <c r="AK147" s="30" t="n"/>
      <c r="AL147" s="30" t="n"/>
      <c r="AM147" s="91" t="n"/>
      <c r="AN147" s="91" t="n"/>
      <c r="AO147" s="91" t="n"/>
      <c r="AP147" s="91" t="n"/>
      <c r="AQ147" s="91" t="n"/>
      <c r="AR147" s="91" t="n"/>
      <c r="AS147" s="91" t="n"/>
      <c r="AT147" s="91" t="n"/>
      <c r="AU147" s="91" t="n"/>
      <c r="AV147" s="31" t="n"/>
      <c r="AW147" s="36" t="n"/>
      <c r="AX147" s="16" t="n"/>
      <c r="AY147" s="31" t="n"/>
      <c r="AZ147" s="92" t="n"/>
      <c r="BA147" s="91" t="n"/>
      <c r="BB147" s="91" t="n"/>
      <c r="BC147" s="91" t="n"/>
      <c r="BD147" s="91" t="n"/>
      <c r="BE147" s="91" t="n"/>
      <c r="BF147" s="91" t="n"/>
      <c r="BG147" s="91" t="n"/>
      <c r="BH147" s="91" t="n"/>
      <c r="BI147" s="91" t="n"/>
      <c r="BJ147" s="91" t="n"/>
      <c r="BK147" s="91" t="n"/>
      <c r="BL147" s="91" t="n"/>
      <c r="BM147" s="91" t="n"/>
      <c r="BN147" s="91" t="n"/>
      <c r="BO147" s="91" t="n"/>
      <c r="BP147" s="91" t="n"/>
      <c r="BQ147" s="91" t="n"/>
      <c r="BR147" s="91" t="n"/>
      <c r="BS147" s="91" t="n"/>
      <c r="BT147" s="91" t="n"/>
      <c r="BU147" s="91" t="n"/>
      <c r="BV147" s="91" t="n">
        <v>32539.41</v>
      </c>
      <c r="BW147" s="91" t="inlineStr"/>
      <c r="BX147" s="91" t="n">
        <v>1136.05</v>
      </c>
      <c r="BY147" s="91" t="n">
        <v>26088.72</v>
      </c>
      <c r="BZ147" s="91">
        <f>SUM(BN147:BY147)</f>
        <v/>
      </c>
      <c r="CA147" s="91" t="inlineStr"/>
      <c r="CB147" s="91" t="n">
        <v>705</v>
      </c>
      <c r="CC147" s="91" t="n">
        <v>851.4299999999999</v>
      </c>
      <c r="CD147" s="91" t="n">
        <v>44164.41</v>
      </c>
      <c r="CE147" s="91" t="n">
        <v>1339</v>
      </c>
      <c r="CF147" s="91" t="n">
        <v>114923.76</v>
      </c>
      <c r="CG147" s="91" t="n">
        <v>56020.57</v>
      </c>
      <c r="CH147" s="91" t="n">
        <v>51378.46</v>
      </c>
      <c r="CI147" s="91" t="n">
        <v>2255.22</v>
      </c>
      <c r="CJ147" s="91" t="n">
        <v>21485.22</v>
      </c>
      <c r="CK147" s="91" t="n">
        <v>3418</v>
      </c>
      <c r="CL147" s="91" t="n">
        <v>24612.96</v>
      </c>
      <c r="CM147" s="91">
        <f>SUM(CA147:CL147)</f>
        <v/>
      </c>
      <c r="CN147" s="91" t="n"/>
      <c r="CO147" s="91" t="n"/>
      <c r="CP147" s="91" t="n"/>
      <c r="CQ147" s="93" t="n"/>
      <c r="CR147" s="94" t="n"/>
      <c r="CS147" s="94" t="n"/>
      <c r="CT147" s="91" t="n"/>
      <c r="CU147" s="91" t="n"/>
      <c r="CV147" s="91" t="n"/>
      <c r="CW147" s="91" t="n"/>
      <c r="CX147" s="91" t="n"/>
      <c r="CY147" s="91" t="n"/>
      <c r="CZ147" s="91">
        <f>SUM(CN147:CY147)</f>
        <v/>
      </c>
      <c r="DA147" s="35" t="n"/>
    </row>
    <row r="148" ht="20" customFormat="1" customHeight="1" s="1">
      <c r="A148" s="30" t="n">
        <v>146</v>
      </c>
      <c r="B148" s="31" t="inlineStr">
        <is>
          <t>四川</t>
        </is>
      </c>
      <c r="C148" s="31" t="inlineStr">
        <is>
          <t>眉山</t>
        </is>
      </c>
      <c r="D148" s="31" t="inlineStr">
        <is>
          <t>周依媚</t>
        </is>
      </c>
      <c r="E148" s="89" t="n"/>
      <c r="F148" s="27" t="inlineStr">
        <is>
          <t>2024</t>
        </is>
      </c>
      <c r="G148" s="27" t="inlineStr">
        <is>
          <t>6/7/10/11</t>
        </is>
      </c>
      <c r="H148" s="105">
        <f>33255+59341+6126+766</f>
        <v/>
      </c>
      <c r="I148" s="91" t="n"/>
      <c r="J148" s="91" t="n">
        <v>1381</v>
      </c>
      <c r="K148" s="91">
        <f>+H148+I148+J148</f>
        <v/>
      </c>
      <c r="L148" s="91" t="n">
        <v>6</v>
      </c>
      <c r="M148" s="91" t="inlineStr"/>
      <c r="N148" s="91" t="n"/>
      <c r="O148" s="91" t="n"/>
      <c r="P148" s="91" t="n"/>
      <c r="Q148" s="91" t="n"/>
      <c r="R148" s="91" t="n"/>
      <c r="S148" s="91" t="n"/>
      <c r="T148" s="91" t="n"/>
      <c r="U148" s="91" t="n"/>
      <c r="V148" s="91" t="n"/>
      <c r="W148" s="91" t="n"/>
      <c r="X148" s="91" t="n"/>
      <c r="Y148" s="91" t="n"/>
      <c r="Z148" s="91" t="n"/>
      <c r="AA148" s="91" t="n"/>
      <c r="AB148" s="91" t="n"/>
      <c r="AC148" s="91" t="n"/>
      <c r="AD148" s="91" t="n"/>
      <c r="AE148" s="91" t="n"/>
      <c r="AF148" s="91" t="n"/>
      <c r="AG148" s="30" t="n"/>
      <c r="AH148" s="30" t="n"/>
      <c r="AI148" s="30" t="n"/>
      <c r="AJ148" s="30" t="n"/>
      <c r="AK148" s="30" t="n"/>
      <c r="AL148" s="30" t="n"/>
      <c r="AM148" s="91" t="n"/>
      <c r="AN148" s="91" t="n"/>
      <c r="AO148" s="91" t="n"/>
      <c r="AP148" s="91" t="n"/>
      <c r="AQ148" s="91" t="n"/>
      <c r="AR148" s="91" t="n"/>
      <c r="AS148" s="91" t="n"/>
      <c r="AT148" s="91" t="n"/>
      <c r="AU148" s="91" t="n"/>
      <c r="AV148" s="31" t="n"/>
      <c r="AW148" s="36" t="n"/>
      <c r="AX148" s="16" t="n"/>
      <c r="AY148" s="31" t="n"/>
      <c r="AZ148" s="92" t="n"/>
      <c r="BA148" s="91" t="n"/>
      <c r="BB148" s="91" t="n"/>
      <c r="BC148" s="91" t="n"/>
      <c r="BD148" s="91" t="n"/>
      <c r="BE148" s="91" t="n"/>
      <c r="BF148" s="91" t="n"/>
      <c r="BG148" s="91" t="n"/>
      <c r="BH148" s="91" t="n"/>
      <c r="BI148" s="91" t="n"/>
      <c r="BJ148" s="91" t="n"/>
      <c r="BK148" s="91" t="n"/>
      <c r="BL148" s="91" t="n"/>
      <c r="BM148" s="91" t="n"/>
      <c r="BN148" s="91" t="n"/>
      <c r="BO148" s="91" t="n"/>
      <c r="BP148" s="91" t="n"/>
      <c r="BQ148" s="91" t="n"/>
      <c r="BR148" s="91" t="n"/>
      <c r="BS148" s="91" t="n"/>
      <c r="BT148" s="91" t="n"/>
      <c r="BU148" s="91" t="n"/>
      <c r="BV148" s="91" t="inlineStr"/>
      <c r="BW148" s="91" t="inlineStr"/>
      <c r="BX148" s="91" t="inlineStr"/>
      <c r="BY148" s="91" t="n"/>
      <c r="BZ148" s="91">
        <f>SUM(BN148:BY148)</f>
        <v/>
      </c>
      <c r="CA148" s="91" t="inlineStr"/>
      <c r="CB148" s="91" t="inlineStr"/>
      <c r="CC148" s="91" t="inlineStr"/>
      <c r="CD148" s="91" t="n"/>
      <c r="CE148" s="91" t="n"/>
      <c r="CF148" s="91" t="n"/>
      <c r="CG148" s="91" t="n"/>
      <c r="CH148" s="91" t="inlineStr"/>
      <c r="CI148" s="91" t="n"/>
      <c r="CJ148" s="91" t="inlineStr"/>
      <c r="CK148" s="91" t="n"/>
      <c r="CL148" s="91" t="inlineStr"/>
      <c r="CM148" s="91">
        <f>SUM(CA148:CL148)</f>
        <v/>
      </c>
      <c r="CN148" s="91" t="n"/>
      <c r="CO148" s="91" t="n"/>
      <c r="CP148" s="91" t="n"/>
      <c r="CQ148" s="93" t="n"/>
      <c r="CR148" s="94" t="n"/>
      <c r="CS148" s="94" t="n"/>
      <c r="CT148" s="91" t="n"/>
      <c r="CU148" s="91" t="n"/>
      <c r="CV148" s="91" t="n"/>
      <c r="CW148" s="91" t="n"/>
      <c r="CX148" s="91" t="n"/>
      <c r="CY148" s="91" t="n"/>
      <c r="CZ148" s="91">
        <f>SUM(CN148:CY148)</f>
        <v/>
      </c>
      <c r="DA148" s="35" t="n"/>
    </row>
    <row r="149" ht="20" customFormat="1" customHeight="1" s="1">
      <c r="A149" s="30" t="n">
        <v>147</v>
      </c>
      <c r="B149" s="61" t="inlineStr">
        <is>
          <t>云南</t>
        </is>
      </c>
      <c r="C149" s="61" t="inlineStr">
        <is>
          <t>昆明呈贡</t>
        </is>
      </c>
      <c r="D149" s="61" t="inlineStr">
        <is>
          <t>常沥丹</t>
        </is>
      </c>
      <c r="E149" s="89" t="n"/>
      <c r="F149" s="27" t="inlineStr">
        <is>
          <t>2024</t>
        </is>
      </c>
      <c r="G149" s="27" t="inlineStr">
        <is>
          <t>8/9</t>
        </is>
      </c>
      <c r="H149" s="105">
        <f>78378+1349</f>
        <v/>
      </c>
      <c r="I149" s="91" t="n"/>
      <c r="J149" s="91" t="n"/>
      <c r="K149" s="91">
        <f>+H149+I149+J149</f>
        <v/>
      </c>
      <c r="L149" s="91" t="n">
        <v>7</v>
      </c>
      <c r="M149" s="91" t="inlineStr"/>
      <c r="N149" s="91" t="n"/>
      <c r="O149" s="91" t="n"/>
      <c r="P149" s="91" t="n"/>
      <c r="Q149" s="91" t="n"/>
      <c r="R149" s="91" t="n"/>
      <c r="S149" s="91" t="n"/>
      <c r="T149" s="91" t="n"/>
      <c r="U149" s="91" t="n"/>
      <c r="V149" s="91" t="n"/>
      <c r="W149" s="91" t="n"/>
      <c r="X149" s="91" t="n"/>
      <c r="Y149" s="91" t="n"/>
      <c r="Z149" s="91" t="n"/>
      <c r="AA149" s="91" t="n"/>
      <c r="AB149" s="91" t="n"/>
      <c r="AC149" s="91" t="n"/>
      <c r="AD149" s="91" t="n"/>
      <c r="AE149" s="91" t="n"/>
      <c r="AF149" s="91" t="n"/>
      <c r="AG149" s="30" t="n"/>
      <c r="AH149" s="30" t="n"/>
      <c r="AI149" s="30" t="n"/>
      <c r="AJ149" s="30" t="n"/>
      <c r="AK149" s="30" t="n"/>
      <c r="AL149" s="30" t="n"/>
      <c r="AM149" s="91" t="n"/>
      <c r="AN149" s="91" t="n"/>
      <c r="AO149" s="91" t="n"/>
      <c r="AP149" s="91" t="n"/>
      <c r="AQ149" s="91" t="n"/>
      <c r="AR149" s="91" t="n"/>
      <c r="AS149" s="91" t="n"/>
      <c r="AT149" s="91" t="n"/>
      <c r="AU149" s="91" t="n"/>
      <c r="AV149" s="31" t="n"/>
      <c r="AW149" s="36" t="n"/>
      <c r="AX149" s="16" t="n"/>
      <c r="AY149" s="31" t="n"/>
      <c r="AZ149" s="92" t="n"/>
      <c r="BA149" s="91" t="n"/>
      <c r="BB149" s="91" t="n"/>
      <c r="BC149" s="91" t="n"/>
      <c r="BD149" s="91" t="n"/>
      <c r="BE149" s="91" t="n"/>
      <c r="BF149" s="91" t="n"/>
      <c r="BG149" s="91" t="n"/>
      <c r="BH149" s="91" t="n"/>
      <c r="BI149" s="91" t="n"/>
      <c r="BJ149" s="91" t="n"/>
      <c r="BK149" s="91" t="n"/>
      <c r="BL149" s="91" t="n"/>
      <c r="BM149" s="91" t="n"/>
      <c r="BN149" s="91" t="n"/>
      <c r="BO149" s="91" t="n"/>
      <c r="BP149" s="91" t="n"/>
      <c r="BQ149" s="91" t="n"/>
      <c r="BR149" s="91" t="n"/>
      <c r="BS149" s="91" t="n"/>
      <c r="BT149" s="91" t="n"/>
      <c r="BU149" s="91" t="n"/>
      <c r="BV149" s="91" t="n">
        <v>13865</v>
      </c>
      <c r="BW149" s="91" t="n">
        <v>64</v>
      </c>
      <c r="BX149" s="91" t="n">
        <v>2664</v>
      </c>
      <c r="BY149" s="91" t="n">
        <v>10481</v>
      </c>
      <c r="BZ149" s="91">
        <f>SUM(BN149:BY149)</f>
        <v/>
      </c>
      <c r="CA149" s="91" t="inlineStr"/>
      <c r="CB149" s="91" t="n">
        <v>6836</v>
      </c>
      <c r="CC149" s="91" t="inlineStr"/>
      <c r="CD149" s="91" t="n"/>
      <c r="CE149" s="91" t="n"/>
      <c r="CF149" s="91" t="n">
        <v>97485</v>
      </c>
      <c r="CG149" s="91" t="n"/>
      <c r="CH149" s="91" t="inlineStr"/>
      <c r="CI149" s="91" t="n"/>
      <c r="CJ149" s="91" t="inlineStr"/>
      <c r="CK149" s="91" t="n"/>
      <c r="CL149" s="91" t="inlineStr"/>
      <c r="CM149" s="91">
        <f>SUM(CA149:CL149)</f>
        <v/>
      </c>
      <c r="CN149" s="91" t="n"/>
      <c r="CO149" s="91" t="n"/>
      <c r="CP149" s="91" t="n"/>
      <c r="CQ149" s="93" t="n"/>
      <c r="CR149" s="94" t="n"/>
      <c r="CS149" s="94" t="n"/>
      <c r="CT149" s="91" t="n"/>
      <c r="CU149" s="91" t="n"/>
      <c r="CV149" s="91" t="n"/>
      <c r="CW149" s="91" t="n"/>
      <c r="CX149" s="91" t="n"/>
      <c r="CY149" s="91" t="n"/>
      <c r="CZ149" s="91">
        <f>SUM(CN149:CY149)</f>
        <v/>
      </c>
      <c r="DA149" s="35" t="n"/>
    </row>
    <row r="150" ht="20" customFormat="1" customHeight="1" s="1">
      <c r="A150" s="30" t="n">
        <v>148</v>
      </c>
      <c r="B150" s="61" t="inlineStr">
        <is>
          <t>广西</t>
        </is>
      </c>
      <c r="C150" s="61" t="inlineStr">
        <is>
          <t>桂林市全州</t>
        </is>
      </c>
      <c r="D150" s="61" t="inlineStr">
        <is>
          <t>谢领权</t>
        </is>
      </c>
      <c r="E150" s="89" t="n"/>
      <c r="F150" s="27" t="inlineStr">
        <is>
          <t>2024/2025</t>
        </is>
      </c>
      <c r="G150" s="27" t="inlineStr">
        <is>
          <t>9/12/2/12</t>
        </is>
      </c>
      <c r="H150" s="105">
        <f>99378+1914+4079+158+480+537</f>
        <v/>
      </c>
      <c r="I150" s="91" t="n">
        <v>1380</v>
      </c>
      <c r="J150" s="91" t="n">
        <v>2007</v>
      </c>
      <c r="K150" s="91">
        <f>+H150+I150+J150</f>
        <v/>
      </c>
      <c r="L150" s="91" t="n">
        <v>6</v>
      </c>
      <c r="M150" s="91" t="n">
        <v>78894</v>
      </c>
      <c r="N150" s="91" t="n"/>
      <c r="O150" s="91" t="n"/>
      <c r="P150" s="91" t="n"/>
      <c r="Q150" s="91" t="n"/>
      <c r="R150" s="91" t="n"/>
      <c r="S150" s="91" t="n"/>
      <c r="T150" s="91" t="n"/>
      <c r="U150" s="91" t="n"/>
      <c r="V150" s="91" t="n"/>
      <c r="W150" s="91" t="n"/>
      <c r="X150" s="91" t="n"/>
      <c r="Y150" s="91" t="n"/>
      <c r="Z150" s="91" t="n"/>
      <c r="AA150" s="91" t="n"/>
      <c r="AB150" s="91" t="n"/>
      <c r="AC150" s="91" t="n"/>
      <c r="AD150" s="91" t="n"/>
      <c r="AE150" s="91" t="n"/>
      <c r="AF150" s="91" t="n"/>
      <c r="AG150" s="30" t="n"/>
      <c r="AH150" s="30" t="n"/>
      <c r="AI150" s="30" t="n"/>
      <c r="AJ150" s="30" t="n"/>
      <c r="AK150" s="30" t="n"/>
      <c r="AL150" s="30" t="n"/>
      <c r="AM150" s="91" t="n"/>
      <c r="AN150" s="91" t="n"/>
      <c r="AO150" s="91" t="n"/>
      <c r="AP150" s="91" t="n"/>
      <c r="AQ150" s="91" t="n"/>
      <c r="AR150" s="91" t="n"/>
      <c r="AS150" s="91" t="n"/>
      <c r="AT150" s="91" t="n"/>
      <c r="AU150" s="91" t="n"/>
      <c r="AV150" s="31" t="n"/>
      <c r="AW150" s="36" t="n"/>
      <c r="AX150" s="16" t="n"/>
      <c r="AY150" s="31" t="n"/>
      <c r="AZ150" s="92" t="n"/>
      <c r="BA150" s="91" t="n"/>
      <c r="BB150" s="91" t="n"/>
      <c r="BC150" s="91" t="n"/>
      <c r="BD150" s="91" t="n"/>
      <c r="BE150" s="91" t="n"/>
      <c r="BF150" s="91" t="n"/>
      <c r="BG150" s="91" t="n"/>
      <c r="BH150" s="91" t="n"/>
      <c r="BI150" s="91" t="n"/>
      <c r="BJ150" s="91" t="n"/>
      <c r="BK150" s="91" t="n"/>
      <c r="BL150" s="91" t="n"/>
      <c r="BM150" s="91" t="n"/>
      <c r="BN150" s="91" t="n"/>
      <c r="BO150" s="91" t="n"/>
      <c r="BP150" s="91" t="n"/>
      <c r="BQ150" s="91" t="n"/>
      <c r="BR150" s="91" t="n"/>
      <c r="BS150" s="91" t="n"/>
      <c r="BT150" s="91" t="n"/>
      <c r="BU150" s="91" t="n"/>
      <c r="BV150" s="91" t="inlineStr"/>
      <c r="BW150" s="91" t="inlineStr"/>
      <c r="BX150" s="91" t="inlineStr"/>
      <c r="BY150" s="91" t="n">
        <v>63945</v>
      </c>
      <c r="BZ150" s="91">
        <f>SUM(BN150:BY150)</f>
        <v/>
      </c>
      <c r="CA150" s="91" t="n">
        <v>1450</v>
      </c>
      <c r="CB150" s="91" t="inlineStr"/>
      <c r="CC150" s="91" t="n">
        <v>587</v>
      </c>
      <c r="CD150" s="91" t="n"/>
      <c r="CE150" s="91" t="n">
        <v>46210</v>
      </c>
      <c r="CF150" s="91" t="n">
        <v>111039</v>
      </c>
      <c r="CG150" s="91" t="n">
        <v>27760</v>
      </c>
      <c r="CH150" s="91" t="n">
        <v>46680</v>
      </c>
      <c r="CI150" s="91" t="n">
        <v>79776</v>
      </c>
      <c r="CJ150" s="91" t="n">
        <v>129042.54</v>
      </c>
      <c r="CK150" s="91" t="n">
        <v>48969</v>
      </c>
      <c r="CL150" s="91" t="n">
        <v>198153.66</v>
      </c>
      <c r="CM150" s="91">
        <f>SUM(CA150:CL150)</f>
        <v/>
      </c>
      <c r="CN150" s="91" t="n"/>
      <c r="CO150" s="91" t="n"/>
      <c r="CP150" s="91" t="n"/>
      <c r="CQ150" s="93" t="n"/>
      <c r="CR150" s="94" t="n"/>
      <c r="CS150" s="94" t="n"/>
      <c r="CT150" s="91" t="n"/>
      <c r="CU150" s="91" t="n"/>
      <c r="CV150" s="91" t="n"/>
      <c r="CW150" s="91" t="n"/>
      <c r="CX150" s="91" t="n"/>
      <c r="CY150" s="91" t="n"/>
      <c r="CZ150" s="91">
        <f>SUM(CN150:CY150)</f>
        <v/>
      </c>
      <c r="DA150" s="35" t="n"/>
    </row>
    <row r="151" ht="20" customFormat="1" customHeight="1" s="1">
      <c r="A151" s="30" t="n">
        <v>149</v>
      </c>
      <c r="B151" s="61" t="inlineStr">
        <is>
          <t>江苏省</t>
        </is>
      </c>
      <c r="C151" s="61" t="inlineStr">
        <is>
          <t>丹阳市</t>
        </is>
      </c>
      <c r="D151" s="61" t="inlineStr">
        <is>
          <t>陈煜</t>
        </is>
      </c>
      <c r="E151" s="89" t="n"/>
      <c r="F151" s="27" t="inlineStr">
        <is>
          <t>2024/2026</t>
        </is>
      </c>
      <c r="G151" s="27" t="inlineStr">
        <is>
          <t>9/6/</t>
        </is>
      </c>
      <c r="H151" s="105">
        <f>18062+2890</f>
        <v/>
      </c>
      <c r="I151" s="89" t="n">
        <v>15575.05</v>
      </c>
      <c r="J151" s="91" t="n">
        <v>2017</v>
      </c>
      <c r="K151" s="91">
        <f>+H151+I151+J151</f>
        <v/>
      </c>
      <c r="L151" s="91" t="n">
        <v>5</v>
      </c>
      <c r="M151" s="91" t="n">
        <v>11303</v>
      </c>
      <c r="N151" s="91" t="n"/>
      <c r="O151" s="91" t="n"/>
      <c r="P151" s="91" t="n"/>
      <c r="Q151" s="91" t="n"/>
      <c r="R151" s="91" t="n"/>
      <c r="S151" s="91" t="n"/>
      <c r="T151" s="91" t="n"/>
      <c r="U151" s="91" t="n"/>
      <c r="V151" s="91" t="n"/>
      <c r="W151" s="91" t="n"/>
      <c r="X151" s="91" t="n"/>
      <c r="Y151" s="91" t="n"/>
      <c r="Z151" s="91" t="n"/>
      <c r="AA151" s="91" t="n"/>
      <c r="AB151" s="91" t="n"/>
      <c r="AC151" s="91" t="n"/>
      <c r="AD151" s="91" t="n"/>
      <c r="AE151" s="91" t="n"/>
      <c r="AF151" s="91" t="n"/>
      <c r="AG151" s="30" t="n"/>
      <c r="AH151" s="30" t="n"/>
      <c r="AI151" s="30" t="n"/>
      <c r="AJ151" s="30" t="n"/>
      <c r="AK151" s="30" t="n"/>
      <c r="AL151" s="30" t="n"/>
      <c r="AM151" s="91" t="n"/>
      <c r="AN151" s="91" t="n"/>
      <c r="AO151" s="91" t="n"/>
      <c r="AP151" s="91" t="n"/>
      <c r="AQ151" s="91" t="n"/>
      <c r="AR151" s="91" t="n"/>
      <c r="AS151" s="91" t="n"/>
      <c r="AT151" s="91" t="n"/>
      <c r="AU151" s="91" t="n"/>
      <c r="AV151" s="31" t="n"/>
      <c r="AW151" s="36" t="n"/>
      <c r="AX151" s="16" t="n"/>
      <c r="AY151" s="31" t="n"/>
      <c r="AZ151" s="92" t="n"/>
      <c r="BA151" s="91" t="n"/>
      <c r="BB151" s="91" t="n"/>
      <c r="BC151" s="91" t="n"/>
      <c r="BD151" s="91" t="n"/>
      <c r="BE151" s="91" t="n"/>
      <c r="BF151" s="91" t="n"/>
      <c r="BG151" s="91" t="n"/>
      <c r="BH151" s="91" t="n"/>
      <c r="BI151" s="91" t="n"/>
      <c r="BJ151" s="91" t="n"/>
      <c r="BK151" s="91" t="n"/>
      <c r="BL151" s="91" t="n"/>
      <c r="BM151" s="91" t="n"/>
      <c r="BN151" s="91" t="n"/>
      <c r="BO151" s="91" t="n"/>
      <c r="BP151" s="91" t="n"/>
      <c r="BQ151" s="91" t="n"/>
      <c r="BR151" s="91" t="n"/>
      <c r="BS151" s="91" t="n"/>
      <c r="BT151" s="91" t="n"/>
      <c r="BU151" s="91" t="n"/>
      <c r="BV151" s="91" t="inlineStr"/>
      <c r="BW151" s="91" t="inlineStr"/>
      <c r="BX151" s="91" t="inlineStr"/>
      <c r="BY151" s="91" t="n"/>
      <c r="BZ151" s="91">
        <f>SUM(BN151:BY151)</f>
        <v/>
      </c>
      <c r="CA151" s="91" t="inlineStr"/>
      <c r="CB151" s="91" t="inlineStr"/>
      <c r="CC151" s="91" t="inlineStr"/>
      <c r="CD151" s="91" t="n">
        <v>34461.37</v>
      </c>
      <c r="CE151" s="91" t="n">
        <v>1132.24</v>
      </c>
      <c r="CF151" s="91" t="n"/>
      <c r="CG151" s="91" t="n"/>
      <c r="CH151" s="91" t="inlineStr"/>
      <c r="CI151" s="91" t="n"/>
      <c r="CJ151" s="91" t="n">
        <v>48750.65</v>
      </c>
      <c r="CK151" s="91" t="n">
        <v>68161.85000000001</v>
      </c>
      <c r="CL151" s="91" t="n">
        <v>65068.1</v>
      </c>
      <c r="CM151" s="91">
        <f>SUM(CA151:CL151)</f>
        <v/>
      </c>
      <c r="CN151" s="91" t="n"/>
      <c r="CO151" s="91" t="n"/>
      <c r="CP151" s="91" t="n"/>
      <c r="CQ151" s="93" t="n"/>
      <c r="CR151" s="94" t="n"/>
      <c r="CS151" s="94" t="n"/>
      <c r="CT151" s="91" t="n"/>
      <c r="CU151" s="91" t="n"/>
      <c r="CV151" s="91" t="n"/>
      <c r="CW151" s="91" t="n"/>
      <c r="CX151" s="91" t="n"/>
      <c r="CY151" s="91" t="n"/>
      <c r="CZ151" s="91">
        <f>SUM(CN151:CY151)</f>
        <v/>
      </c>
      <c r="DA151" s="35" t="n"/>
    </row>
    <row r="152" ht="20" customFormat="1" customHeight="1" s="1">
      <c r="A152" s="30" t="n">
        <v>150</v>
      </c>
      <c r="B152" s="61" t="inlineStr">
        <is>
          <t>山西省</t>
        </is>
      </c>
      <c r="C152" s="61" t="inlineStr">
        <is>
          <t>襄垣县</t>
        </is>
      </c>
      <c r="D152" s="61" t="inlineStr">
        <is>
          <t>陈时伟</t>
        </is>
      </c>
      <c r="E152" s="89" t="n"/>
      <c r="F152" s="27" t="inlineStr">
        <is>
          <t>2024/2025</t>
        </is>
      </c>
      <c r="G152" s="27" t="inlineStr">
        <is>
          <t>9/3</t>
        </is>
      </c>
      <c r="H152" s="105">
        <f>166977+2218+450+346+842</f>
        <v/>
      </c>
      <c r="I152" s="91" t="n">
        <v>174</v>
      </c>
      <c r="J152" s="91" t="n">
        <v>5289</v>
      </c>
      <c r="K152" s="91">
        <f>+H152+I152+J152</f>
        <v/>
      </c>
      <c r="L152" s="91" t="n">
        <v>5</v>
      </c>
      <c r="M152" s="91" t="n">
        <v>113208</v>
      </c>
      <c r="N152" s="91" t="n"/>
      <c r="O152" s="91" t="n"/>
      <c r="P152" s="91" t="n"/>
      <c r="Q152" s="91" t="n"/>
      <c r="R152" s="91" t="n"/>
      <c r="S152" s="91" t="n"/>
      <c r="T152" s="91" t="n"/>
      <c r="U152" s="91" t="n"/>
      <c r="V152" s="91" t="n"/>
      <c r="W152" s="91" t="n"/>
      <c r="X152" s="91" t="n"/>
      <c r="Y152" s="91" t="n"/>
      <c r="Z152" s="91" t="n"/>
      <c r="AA152" s="91" t="n"/>
      <c r="AB152" s="91" t="n"/>
      <c r="AC152" s="91" t="n"/>
      <c r="AD152" s="91" t="n"/>
      <c r="AE152" s="91" t="n"/>
      <c r="AF152" s="91" t="n"/>
      <c r="AG152" s="30" t="n"/>
      <c r="AH152" s="30" t="n"/>
      <c r="AI152" s="30" t="n"/>
      <c r="AJ152" s="30" t="n"/>
      <c r="AK152" s="30" t="n"/>
      <c r="AL152" s="30" t="n"/>
      <c r="AM152" s="91" t="n"/>
      <c r="AN152" s="91" t="n"/>
      <c r="AO152" s="91" t="n"/>
      <c r="AP152" s="91" t="n"/>
      <c r="AQ152" s="91" t="n"/>
      <c r="AR152" s="91" t="n"/>
      <c r="AS152" s="91" t="n"/>
      <c r="AT152" s="91" t="n"/>
      <c r="AU152" s="91" t="n"/>
      <c r="AV152" s="31" t="n"/>
      <c r="AW152" s="36" t="n"/>
      <c r="AX152" s="16" t="n"/>
      <c r="AY152" s="31" t="n"/>
      <c r="AZ152" s="92" t="n"/>
      <c r="BA152" s="91" t="n"/>
      <c r="BB152" s="91" t="n"/>
      <c r="BC152" s="91" t="n"/>
      <c r="BD152" s="91" t="n"/>
      <c r="BE152" s="91" t="n"/>
      <c r="BF152" s="91" t="n"/>
      <c r="BG152" s="91" t="n"/>
      <c r="BH152" s="91" t="n"/>
      <c r="BI152" s="91" t="n"/>
      <c r="BJ152" s="91" t="n"/>
      <c r="BK152" s="91" t="n"/>
      <c r="BL152" s="91" t="n"/>
      <c r="BM152" s="91" t="n"/>
      <c r="BN152" s="91" t="n"/>
      <c r="BO152" s="91" t="n"/>
      <c r="BP152" s="91" t="n"/>
      <c r="BQ152" s="91" t="n"/>
      <c r="BR152" s="91" t="n"/>
      <c r="BS152" s="91" t="n"/>
      <c r="BT152" s="91" t="n"/>
      <c r="BU152" s="91" t="n"/>
      <c r="BV152" s="91" t="inlineStr"/>
      <c r="BW152" s="91" t="inlineStr"/>
      <c r="BX152" s="91" t="inlineStr"/>
      <c r="BY152" s="91" t="n">
        <v>21384</v>
      </c>
      <c r="BZ152" s="91">
        <f>SUM(BN152:BY152)</f>
        <v/>
      </c>
      <c r="CA152" s="91" t="inlineStr"/>
      <c r="CB152" s="91" t="inlineStr"/>
      <c r="CC152" s="91" t="n">
        <v>163160</v>
      </c>
      <c r="CD152" s="91" t="n">
        <v>56</v>
      </c>
      <c r="CE152" s="91" t="n">
        <v>50443</v>
      </c>
      <c r="CF152" s="91">
        <f>126705-24000</f>
        <v/>
      </c>
      <c r="CG152" s="91" t="n">
        <v>29453</v>
      </c>
      <c r="CH152" s="91" t="n">
        <v>107253</v>
      </c>
      <c r="CI152" s="91" t="n">
        <v>61311</v>
      </c>
      <c r="CJ152" s="91" t="n">
        <v>110660</v>
      </c>
      <c r="CK152" s="91" t="n">
        <v>54324</v>
      </c>
      <c r="CL152" s="91" t="n">
        <v>118723</v>
      </c>
      <c r="CM152" s="91">
        <f>SUM(CA152:CL152)</f>
        <v/>
      </c>
      <c r="CN152" s="91" t="n"/>
      <c r="CO152" s="91" t="n"/>
      <c r="CP152" s="91" t="n"/>
      <c r="CQ152" s="93" t="n"/>
      <c r="CR152" s="94" t="n"/>
      <c r="CS152" s="94" t="n"/>
      <c r="CT152" s="91" t="n"/>
      <c r="CU152" s="91" t="n"/>
      <c r="CV152" s="91" t="n"/>
      <c r="CW152" s="91" t="n"/>
      <c r="CX152" s="91" t="n"/>
      <c r="CY152" s="91" t="n"/>
      <c r="CZ152" s="91">
        <f>SUM(CN152:CY152)</f>
        <v/>
      </c>
      <c r="DA152" s="35" t="n"/>
    </row>
    <row r="153" ht="20" customFormat="1" customHeight="1" s="1">
      <c r="A153" s="30" t="n">
        <v>151</v>
      </c>
      <c r="B153" s="61" t="inlineStr">
        <is>
          <t>浙江省</t>
        </is>
      </c>
      <c r="C153" s="61" t="inlineStr">
        <is>
          <t>东阳市</t>
        </is>
      </c>
      <c r="D153" s="61" t="inlineStr">
        <is>
          <t>胡烈俊</t>
        </is>
      </c>
      <c r="E153" s="89" t="n"/>
      <c r="F153" s="27" t="inlineStr">
        <is>
          <t>2024</t>
        </is>
      </c>
      <c r="G153" s="27" t="inlineStr">
        <is>
          <t>9/12</t>
        </is>
      </c>
      <c r="H153" s="105">
        <f>100352+440+1479+194</f>
        <v/>
      </c>
      <c r="I153" s="91" t="n"/>
      <c r="J153" s="91" t="n">
        <v>5758</v>
      </c>
      <c r="K153" s="91">
        <f>+H153+I153+J153</f>
        <v/>
      </c>
      <c r="L153" s="91" t="n">
        <v>6</v>
      </c>
      <c r="M153" s="91" t="n">
        <v>75047</v>
      </c>
      <c r="N153" s="91" t="n"/>
      <c r="O153" s="91" t="n"/>
      <c r="P153" s="91" t="n"/>
      <c r="Q153" s="91" t="n"/>
      <c r="R153" s="91" t="n"/>
      <c r="S153" s="91" t="n"/>
      <c r="T153" s="91" t="n"/>
      <c r="U153" s="91" t="n"/>
      <c r="V153" s="91" t="n"/>
      <c r="W153" s="91" t="n"/>
      <c r="X153" s="91" t="n"/>
      <c r="Y153" s="91" t="n"/>
      <c r="Z153" s="91" t="n"/>
      <c r="AA153" s="91" t="n"/>
      <c r="AB153" s="91" t="n"/>
      <c r="AC153" s="91" t="n"/>
      <c r="AD153" s="91" t="n"/>
      <c r="AE153" s="91" t="n"/>
      <c r="AF153" s="91" t="n"/>
      <c r="AG153" s="30" t="n"/>
      <c r="AH153" s="30" t="n"/>
      <c r="AI153" s="30" t="n"/>
      <c r="AJ153" s="30" t="n"/>
      <c r="AK153" s="30" t="n"/>
      <c r="AL153" s="30" t="n"/>
      <c r="AM153" s="91" t="n"/>
      <c r="AN153" s="91" t="n"/>
      <c r="AO153" s="91" t="n"/>
      <c r="AP153" s="91" t="n"/>
      <c r="AQ153" s="91" t="n"/>
      <c r="AR153" s="91" t="n"/>
      <c r="AS153" s="91" t="n"/>
      <c r="AT153" s="91" t="n"/>
      <c r="AU153" s="91" t="n"/>
      <c r="AV153" s="31" t="n"/>
      <c r="AW153" s="36" t="n"/>
      <c r="AX153" s="16" t="n"/>
      <c r="AY153" s="31" t="n"/>
      <c r="AZ153" s="92" t="n"/>
      <c r="BA153" s="91" t="n"/>
      <c r="BB153" s="91" t="n"/>
      <c r="BC153" s="91" t="n"/>
      <c r="BD153" s="91" t="n"/>
      <c r="BE153" s="91" t="n"/>
      <c r="BF153" s="91" t="n"/>
      <c r="BG153" s="91" t="n"/>
      <c r="BH153" s="91" t="n"/>
      <c r="BI153" s="91" t="n"/>
      <c r="BJ153" s="91" t="n"/>
      <c r="BK153" s="91" t="n"/>
      <c r="BL153" s="91" t="n"/>
      <c r="BM153" s="91" t="n"/>
      <c r="BN153" s="91" t="n"/>
      <c r="BO153" s="91" t="n"/>
      <c r="BP153" s="91" t="n"/>
      <c r="BQ153" s="91" t="n"/>
      <c r="BR153" s="91" t="n"/>
      <c r="BS153" s="91" t="n"/>
      <c r="BT153" s="91" t="n"/>
      <c r="BU153" s="91" t="n"/>
      <c r="BV153" s="91" t="inlineStr"/>
      <c r="BW153" s="91" t="inlineStr"/>
      <c r="BX153" s="91" t="n">
        <v>54719</v>
      </c>
      <c r="BY153" s="91" t="n">
        <v>27006.12</v>
      </c>
      <c r="BZ153" s="91">
        <f>SUM(BN153:BY153)</f>
        <v/>
      </c>
      <c r="CA153" s="91" t="n">
        <v>741</v>
      </c>
      <c r="CB153" s="91" t="inlineStr"/>
      <c r="CC153" s="91" t="inlineStr"/>
      <c r="CD153" s="91" t="n">
        <v>41779.94</v>
      </c>
      <c r="CE153" s="91" t="n">
        <v>1003.26</v>
      </c>
      <c r="CF153" s="91" t="n">
        <v>17435.49</v>
      </c>
      <c r="CG153" s="91" t="n">
        <v>30577.55</v>
      </c>
      <c r="CH153" s="91" t="n">
        <v>50.21</v>
      </c>
      <c r="CI153" s="91" t="n">
        <v>143581.8</v>
      </c>
      <c r="CJ153" s="91" t="n">
        <v>1451.69</v>
      </c>
      <c r="CK153" s="91" t="n">
        <v>40</v>
      </c>
      <c r="CL153" s="91" t="n">
        <v>65401.06</v>
      </c>
      <c r="CM153" s="91">
        <f>SUM(CA153:CL153)</f>
        <v/>
      </c>
      <c r="CN153" s="91" t="n"/>
      <c r="CO153" s="91" t="n"/>
      <c r="CP153" s="91" t="n"/>
      <c r="CQ153" s="93" t="n"/>
      <c r="CR153" s="94" t="n"/>
      <c r="CS153" s="94" t="n"/>
      <c r="CT153" s="91" t="n"/>
      <c r="CU153" s="91" t="n"/>
      <c r="CV153" s="91" t="n"/>
      <c r="CW153" s="91" t="n"/>
      <c r="CX153" s="91" t="n"/>
      <c r="CY153" s="91" t="n"/>
      <c r="CZ153" s="91">
        <f>SUM(CN153:CY153)</f>
        <v/>
      </c>
      <c r="DA153" s="35" t="n"/>
    </row>
    <row r="154" ht="20" customFormat="1" customHeight="1" s="1">
      <c r="A154" s="30" t="n">
        <v>152</v>
      </c>
      <c r="B154" s="61">
        <f>B153</f>
        <v/>
      </c>
      <c r="C154" s="61" t="inlineStr">
        <is>
          <t>遵义正安</t>
        </is>
      </c>
      <c r="D154" s="61" t="inlineStr">
        <is>
          <t>王丽娜</t>
        </is>
      </c>
      <c r="E154" s="89" t="n"/>
      <c r="F154" s="27" t="inlineStr">
        <is>
          <t>2024</t>
        </is>
      </c>
      <c r="G154" s="27" t="inlineStr">
        <is>
          <t>9/12</t>
        </is>
      </c>
      <c r="H154" s="105">
        <f>73297+529+90</f>
        <v/>
      </c>
      <c r="I154" s="91" t="n"/>
      <c r="J154" s="91" t="n"/>
      <c r="K154" s="91">
        <f>+H154+I154+J154</f>
        <v/>
      </c>
      <c r="L154" s="91" t="n">
        <v>8</v>
      </c>
      <c r="M154" s="91" t="n">
        <v>61332</v>
      </c>
      <c r="N154" s="91" t="n"/>
      <c r="O154" s="91" t="n"/>
      <c r="P154" s="91" t="n"/>
      <c r="Q154" s="91" t="n"/>
      <c r="R154" s="91" t="n"/>
      <c r="S154" s="91" t="n"/>
      <c r="T154" s="91" t="n"/>
      <c r="U154" s="91" t="n"/>
      <c r="V154" s="91" t="n"/>
      <c r="W154" s="91" t="n"/>
      <c r="X154" s="91" t="n"/>
      <c r="Y154" s="91" t="n"/>
      <c r="Z154" s="91" t="n"/>
      <c r="AA154" s="91" t="n"/>
      <c r="AB154" s="91" t="n"/>
      <c r="AC154" s="91" t="n"/>
      <c r="AD154" s="91" t="n"/>
      <c r="AE154" s="91" t="n"/>
      <c r="AF154" s="91" t="n"/>
      <c r="AG154" s="30" t="n"/>
      <c r="AH154" s="30" t="n"/>
      <c r="AI154" s="30" t="n"/>
      <c r="AJ154" s="30" t="n"/>
      <c r="AK154" s="30" t="n"/>
      <c r="AL154" s="30" t="n"/>
      <c r="AM154" s="91" t="n"/>
      <c r="AN154" s="91" t="n"/>
      <c r="AO154" s="91" t="n"/>
      <c r="AP154" s="91" t="n"/>
      <c r="AQ154" s="91" t="n"/>
      <c r="AR154" s="91" t="n"/>
      <c r="AS154" s="91" t="n"/>
      <c r="AT154" s="91" t="n"/>
      <c r="AU154" s="91" t="n"/>
      <c r="AV154" s="31" t="n"/>
      <c r="AW154" s="36" t="n"/>
      <c r="AX154" s="16" t="n"/>
      <c r="AY154" s="31" t="n"/>
      <c r="AZ154" s="92" t="n"/>
      <c r="BA154" s="91" t="n"/>
      <c r="BB154" s="91" t="n"/>
      <c r="BC154" s="91" t="n"/>
      <c r="BD154" s="91" t="n"/>
      <c r="BE154" s="91" t="n"/>
      <c r="BF154" s="91" t="n"/>
      <c r="BG154" s="91" t="n"/>
      <c r="BH154" s="91" t="n"/>
      <c r="BI154" s="91" t="n"/>
      <c r="BJ154" s="91" t="n"/>
      <c r="BK154" s="91" t="n"/>
      <c r="BL154" s="91" t="n"/>
      <c r="BM154" s="91" t="n"/>
      <c r="BN154" s="91" t="n"/>
      <c r="BO154" s="91" t="n"/>
      <c r="BP154" s="91" t="n"/>
      <c r="BQ154" s="91" t="n"/>
      <c r="BR154" s="91" t="n"/>
      <c r="BS154" s="91" t="n"/>
      <c r="BT154" s="91" t="n"/>
      <c r="BU154" s="91" t="n"/>
      <c r="BV154" s="91" t="inlineStr"/>
      <c r="BW154" s="91" t="n">
        <v>18423</v>
      </c>
      <c r="BX154" s="91" t="n">
        <v>20228</v>
      </c>
      <c r="BY154" s="91" t="n">
        <v>42350</v>
      </c>
      <c r="BZ154" s="91">
        <f>SUM(BN154:BY154)</f>
        <v/>
      </c>
      <c r="CA154" s="91" t="n">
        <v>617</v>
      </c>
      <c r="CB154" s="91" t="n">
        <v>638</v>
      </c>
      <c r="CC154" s="91" t="n">
        <v>35179</v>
      </c>
      <c r="CD154" s="91" t="n">
        <v>2615</v>
      </c>
      <c r="CE154" s="91" t="n">
        <v>2683</v>
      </c>
      <c r="CF154" s="91" t="n">
        <v>379</v>
      </c>
      <c r="CG154" s="91" t="n">
        <v>42854</v>
      </c>
      <c r="CH154" s="91" t="n">
        <v>958</v>
      </c>
      <c r="CI154" s="91" t="n">
        <v>1123</v>
      </c>
      <c r="CJ154" s="91" t="n">
        <v>88</v>
      </c>
      <c r="CK154" s="91" t="n">
        <v>12</v>
      </c>
      <c r="CL154" s="91" t="n">
        <v>4643</v>
      </c>
      <c r="CM154" s="91">
        <f>SUM(CA154:CL154)</f>
        <v/>
      </c>
      <c r="CN154" s="91" t="n"/>
      <c r="CO154" s="91" t="n"/>
      <c r="CP154" s="91" t="n"/>
      <c r="CQ154" s="93" t="n"/>
      <c r="CR154" s="94" t="n"/>
      <c r="CS154" s="94" t="n"/>
      <c r="CT154" s="91" t="n"/>
      <c r="CU154" s="91" t="n"/>
      <c r="CV154" s="91" t="n"/>
      <c r="CW154" s="91" t="n"/>
      <c r="CX154" s="91" t="n"/>
      <c r="CY154" s="91" t="n"/>
      <c r="CZ154" s="91">
        <f>SUM(CN154:CY154)</f>
        <v/>
      </c>
      <c r="DA154" s="35" t="n"/>
    </row>
    <row r="155" ht="20" customFormat="1" customHeight="1" s="1">
      <c r="A155" s="30" t="n">
        <v>153</v>
      </c>
      <c r="B155" s="61">
        <f>B154</f>
        <v/>
      </c>
      <c r="C155" s="61" t="inlineStr">
        <is>
          <t>义乌</t>
        </is>
      </c>
      <c r="D155" s="61" t="inlineStr">
        <is>
          <t>程晞恩</t>
        </is>
      </c>
      <c r="E155" s="89" t="n"/>
      <c r="F155" s="27" t="inlineStr">
        <is>
          <t>2024/2025</t>
        </is>
      </c>
      <c r="G155" s="27" t="inlineStr">
        <is>
          <t>9/10/12/3</t>
        </is>
      </c>
      <c r="H155" s="105">
        <f>169218+222863+126185+1302+467+1933</f>
        <v/>
      </c>
      <c r="I155" s="91" t="n"/>
      <c r="J155" s="91">
        <f>2641+11061</f>
        <v/>
      </c>
      <c r="K155" s="91">
        <f>+H155+I155+J155</f>
        <v/>
      </c>
      <c r="L155" s="91" t="n">
        <v>7</v>
      </c>
      <c r="M155" s="91" t="n">
        <v>457490</v>
      </c>
      <c r="N155" s="91" t="n"/>
      <c r="O155" s="91" t="n"/>
      <c r="P155" s="91" t="n"/>
      <c r="Q155" s="91" t="n"/>
      <c r="R155" s="91" t="n"/>
      <c r="S155" s="91" t="n"/>
      <c r="T155" s="91" t="n"/>
      <c r="U155" s="91" t="n"/>
      <c r="V155" s="91" t="n"/>
      <c r="W155" s="91" t="n"/>
      <c r="X155" s="91" t="n"/>
      <c r="Y155" s="91" t="n"/>
      <c r="Z155" s="91" t="n"/>
      <c r="AA155" s="91" t="n"/>
      <c r="AB155" s="91" t="n"/>
      <c r="AC155" s="91" t="n"/>
      <c r="AD155" s="91" t="n"/>
      <c r="AE155" s="91" t="n"/>
      <c r="AF155" s="91" t="n"/>
      <c r="AG155" s="30" t="n"/>
      <c r="AH155" s="30" t="n"/>
      <c r="AI155" s="30" t="n"/>
      <c r="AJ155" s="30" t="n"/>
      <c r="AK155" s="30" t="n"/>
      <c r="AL155" s="30" t="n"/>
      <c r="AM155" s="91" t="n"/>
      <c r="AN155" s="91" t="n"/>
      <c r="AO155" s="91" t="n"/>
      <c r="AP155" s="91" t="n"/>
      <c r="AQ155" s="91" t="n"/>
      <c r="AR155" s="91" t="n"/>
      <c r="AS155" s="91" t="n"/>
      <c r="AT155" s="91" t="n"/>
      <c r="AU155" s="91" t="n"/>
      <c r="AV155" s="31" t="n"/>
      <c r="AW155" s="36" t="n"/>
      <c r="AX155" s="16" t="n"/>
      <c r="AY155" s="31" t="n"/>
      <c r="AZ155" s="92" t="n"/>
      <c r="BA155" s="91" t="n"/>
      <c r="BB155" s="91" t="n"/>
      <c r="BC155" s="91" t="n"/>
      <c r="BD155" s="91" t="n"/>
      <c r="BE155" s="91" t="n"/>
      <c r="BF155" s="91" t="n"/>
      <c r="BG155" s="91" t="n"/>
      <c r="BH155" s="91" t="n"/>
      <c r="BI155" s="91" t="n"/>
      <c r="BJ155" s="91" t="n"/>
      <c r="BK155" s="91" t="n"/>
      <c r="BL155" s="91" t="n"/>
      <c r="BM155" s="91" t="n"/>
      <c r="BN155" s="91" t="n"/>
      <c r="BO155" s="91" t="n"/>
      <c r="BP155" s="91" t="n"/>
      <c r="BQ155" s="91" t="n"/>
      <c r="BR155" s="91" t="n"/>
      <c r="BS155" s="91" t="n"/>
      <c r="BT155" s="91" t="n"/>
      <c r="BU155" s="91" t="n"/>
      <c r="BV155" s="91" t="inlineStr"/>
      <c r="BW155" s="91" t="inlineStr"/>
      <c r="BX155" s="91" t="n">
        <v>115822</v>
      </c>
      <c r="BY155" s="91" t="n">
        <v>158776.35</v>
      </c>
      <c r="BZ155" s="91">
        <f>SUM(BN155:BY155)</f>
        <v/>
      </c>
      <c r="CA155" s="91" t="n">
        <v>2268</v>
      </c>
      <c r="CB155" s="91">
        <f>1049.77+1096</f>
        <v/>
      </c>
      <c r="CC155" s="91" t="n">
        <v>232259.42</v>
      </c>
      <c r="CD155" s="91" t="n">
        <v>117175.44</v>
      </c>
      <c r="CE155" s="91" t="n">
        <v>10438.16</v>
      </c>
      <c r="CF155" s="91" t="n">
        <v>4330.34</v>
      </c>
      <c r="CG155" s="91" t="n">
        <v>1003.63</v>
      </c>
      <c r="CH155" s="91" t="n">
        <v>6092.75</v>
      </c>
      <c r="CI155" s="91" t="n">
        <v>569.26</v>
      </c>
      <c r="CJ155" s="91" t="n">
        <v>862</v>
      </c>
      <c r="CK155" s="91" t="n"/>
      <c r="CL155" s="91" t="inlineStr"/>
      <c r="CM155" s="91">
        <f>SUM(CA155:CL155)</f>
        <v/>
      </c>
      <c r="CN155" s="91" t="n"/>
      <c r="CO155" s="91" t="n"/>
      <c r="CP155" s="91" t="n"/>
      <c r="CQ155" s="93" t="n"/>
      <c r="CR155" s="94" t="n"/>
      <c r="CS155" s="94" t="n"/>
      <c r="CT155" s="91" t="n"/>
      <c r="CU155" s="91" t="n"/>
      <c r="CV155" s="91" t="n"/>
      <c r="CW155" s="91" t="n"/>
      <c r="CX155" s="91" t="n"/>
      <c r="CY155" s="91" t="n"/>
      <c r="CZ155" s="91">
        <f>SUM(CN155:CY155)</f>
        <v/>
      </c>
      <c r="DA155" s="35" t="n"/>
    </row>
    <row r="156" ht="20" customFormat="1" customHeight="1" s="1">
      <c r="A156" s="30" t="n">
        <v>154</v>
      </c>
      <c r="B156" s="61" t="inlineStr">
        <is>
          <t>甘肃</t>
        </is>
      </c>
      <c r="C156" s="61" t="inlineStr">
        <is>
          <t>天水</t>
        </is>
      </c>
      <c r="D156" s="61" t="inlineStr">
        <is>
          <t>李波</t>
        </is>
      </c>
      <c r="E156" s="89" t="n"/>
      <c r="F156" s="27" t="inlineStr">
        <is>
          <t>2024</t>
        </is>
      </c>
      <c r="G156" s="27" t="inlineStr">
        <is>
          <t>9/10</t>
        </is>
      </c>
      <c r="H156" s="91">
        <f>12253+4973</f>
        <v/>
      </c>
      <c r="I156" s="97" t="n"/>
      <c r="J156" s="97" t="n"/>
      <c r="K156" s="91">
        <f>+H156+I156+J156</f>
        <v/>
      </c>
      <c r="L156" s="97" t="n">
        <v>8</v>
      </c>
      <c r="M156" s="91" t="n">
        <v>12786</v>
      </c>
      <c r="N156" s="91" t="n"/>
      <c r="O156" s="91" t="n"/>
      <c r="P156" s="91" t="n"/>
      <c r="Q156" s="91" t="n"/>
      <c r="R156" s="91" t="n"/>
      <c r="S156" s="91" t="n"/>
      <c r="T156" s="91" t="n"/>
      <c r="U156" s="91" t="n"/>
      <c r="V156" s="91" t="n"/>
      <c r="W156" s="91" t="n"/>
      <c r="X156" s="91" t="n"/>
      <c r="Y156" s="91" t="n"/>
      <c r="Z156" s="91" t="n"/>
      <c r="AA156" s="91" t="n"/>
      <c r="AB156" s="91" t="n"/>
      <c r="AC156" s="91" t="n"/>
      <c r="AD156" s="91" t="n"/>
      <c r="AE156" s="91" t="n"/>
      <c r="AF156" s="91" t="n"/>
      <c r="AG156" s="30" t="n"/>
      <c r="AH156" s="30" t="n"/>
      <c r="AI156" s="30" t="n"/>
      <c r="AJ156" s="30" t="n"/>
      <c r="AK156" s="30" t="n"/>
      <c r="AL156" s="30" t="n"/>
      <c r="AM156" s="91" t="n"/>
      <c r="AN156" s="91" t="n"/>
      <c r="AO156" s="91" t="n"/>
      <c r="AP156" s="91" t="n"/>
      <c r="AQ156" s="91" t="n"/>
      <c r="AR156" s="91" t="n"/>
      <c r="AS156" s="91" t="n"/>
      <c r="AT156" s="91" t="n"/>
      <c r="AU156" s="91" t="n"/>
      <c r="AV156" s="31" t="n"/>
      <c r="AW156" s="36" t="n"/>
      <c r="AX156" s="16" t="n"/>
      <c r="AY156" s="31" t="n"/>
      <c r="AZ156" s="92" t="n"/>
      <c r="BA156" s="91" t="n"/>
      <c r="BB156" s="91" t="n"/>
      <c r="BC156" s="91" t="n"/>
      <c r="BD156" s="91" t="n"/>
      <c r="BE156" s="91" t="n"/>
      <c r="BF156" s="91" t="n"/>
      <c r="BG156" s="91" t="n"/>
      <c r="BH156" s="91" t="n"/>
      <c r="BI156" s="91" t="n"/>
      <c r="BJ156" s="91" t="n"/>
      <c r="BK156" s="91" t="n"/>
      <c r="BL156" s="91" t="n"/>
      <c r="BM156" s="91" t="n"/>
      <c r="BN156" s="91" t="n"/>
      <c r="BO156" s="91" t="n"/>
      <c r="BP156" s="91" t="n"/>
      <c r="BQ156" s="91" t="n"/>
      <c r="BR156" s="91" t="n"/>
      <c r="BS156" s="91" t="n"/>
      <c r="BT156" s="91" t="n"/>
      <c r="BU156" s="91" t="n"/>
      <c r="BV156" s="91" t="inlineStr"/>
      <c r="BW156" s="91" t="inlineStr"/>
      <c r="BX156" s="91" t="inlineStr"/>
      <c r="BY156" s="91" t="n">
        <v>45483</v>
      </c>
      <c r="BZ156" s="91">
        <f>SUM(BN156:BY156)</f>
        <v/>
      </c>
      <c r="CA156" s="91" t="inlineStr"/>
      <c r="CB156" s="91">
        <f>1065+3924</f>
        <v/>
      </c>
      <c r="CC156" s="91" t="inlineStr"/>
      <c r="CD156" s="91" t="n"/>
      <c r="CE156" s="91" t="n"/>
      <c r="CF156" s="91" t="n"/>
      <c r="CG156" s="91" t="n">
        <v>110810</v>
      </c>
      <c r="CH156" s="91" t="n">
        <v>3132</v>
      </c>
      <c r="CI156" s="91" t="n">
        <v>19629</v>
      </c>
      <c r="CJ156" s="91" t="n">
        <v>40</v>
      </c>
      <c r="CK156" s="91" t="n">
        <v>8806</v>
      </c>
      <c r="CL156" s="91" t="n">
        <v>42</v>
      </c>
      <c r="CM156" s="91">
        <f>SUM(CA156:CL156)</f>
        <v/>
      </c>
      <c r="CN156" s="91" t="n"/>
      <c r="CO156" s="91" t="n"/>
      <c r="CP156" s="91" t="n"/>
      <c r="CQ156" s="93" t="n"/>
      <c r="CR156" s="94" t="n"/>
      <c r="CS156" s="94" t="n"/>
      <c r="CT156" s="91" t="n"/>
      <c r="CU156" s="91" t="n"/>
      <c r="CV156" s="91" t="n"/>
      <c r="CW156" s="91" t="n"/>
      <c r="CX156" s="91" t="n"/>
      <c r="CY156" s="91" t="n"/>
      <c r="CZ156" s="91">
        <f>SUM(CN156:CY156)</f>
        <v/>
      </c>
      <c r="DA156" s="35" t="n"/>
    </row>
    <row r="157" ht="20" customFormat="1" customHeight="1" s="1">
      <c r="A157" s="51" t="n">
        <v>155</v>
      </c>
      <c r="B157" s="63" t="inlineStr">
        <is>
          <t>江苏</t>
        </is>
      </c>
      <c r="C157" s="63" t="inlineStr">
        <is>
          <t>南京</t>
        </is>
      </c>
      <c r="D157" s="63" t="inlineStr">
        <is>
          <t>周恩军</t>
        </is>
      </c>
      <c r="E157" s="100" t="n"/>
      <c r="F157" s="54" t="inlineStr">
        <is>
          <t>2024/2025/2026</t>
        </is>
      </c>
      <c r="G157" s="54" t="inlineStr">
        <is>
          <t>9/10/12/3/4/1</t>
        </is>
      </c>
      <c r="H157" s="101">
        <f>5936+164131+6028+726+50686+47498.64</f>
        <v/>
      </c>
      <c r="I157" s="101">
        <f>39052+2983</f>
        <v/>
      </c>
      <c r="J157" s="106">
        <f>29078+8148</f>
        <v/>
      </c>
      <c r="K157" s="101">
        <f>+H157+I157+J157</f>
        <v/>
      </c>
      <c r="L157" s="97" t="n">
        <v>5</v>
      </c>
      <c r="M157" s="101" t="n">
        <v>138656</v>
      </c>
      <c r="N157" s="91" t="n"/>
      <c r="O157" s="91" t="n"/>
      <c r="P157" s="91" t="n"/>
      <c r="Q157" s="91" t="n"/>
      <c r="R157" s="91" t="n"/>
      <c r="S157" s="91" t="n"/>
      <c r="T157" s="91" t="n"/>
      <c r="U157" s="91" t="n"/>
      <c r="V157" s="91" t="n"/>
      <c r="W157" s="91" t="n"/>
      <c r="X157" s="91" t="n"/>
      <c r="Y157" s="91" t="n"/>
      <c r="Z157" s="101" t="n"/>
      <c r="AA157" s="91" t="n"/>
      <c r="AB157" s="91" t="n"/>
      <c r="AC157" s="91" t="n"/>
      <c r="AD157" s="91" t="n"/>
      <c r="AE157" s="91" t="n"/>
      <c r="AF157" s="91" t="n"/>
      <c r="AG157" s="30" t="n"/>
      <c r="AH157" s="30" t="n"/>
      <c r="AI157" s="30" t="n"/>
      <c r="AJ157" s="30" t="n"/>
      <c r="AK157" s="30" t="n"/>
      <c r="AL157" s="30" t="n"/>
      <c r="AM157" s="101" t="n"/>
      <c r="AN157" s="91" t="n"/>
      <c r="AO157" s="91" t="n"/>
      <c r="AP157" s="91" t="n"/>
      <c r="AQ157" s="91" t="n"/>
      <c r="AR157" s="91" t="n"/>
      <c r="AS157" s="91" t="n"/>
      <c r="AT157" s="91" t="n"/>
      <c r="AU157" s="91" t="n"/>
      <c r="AV157" s="31" t="n"/>
      <c r="AW157" s="36" t="n"/>
      <c r="AX157" s="16" t="n"/>
      <c r="AY157" s="31" t="n"/>
      <c r="AZ157" s="102" t="n"/>
      <c r="BA157" s="91" t="n"/>
      <c r="BB157" s="91" t="n"/>
      <c r="BC157" s="91" t="n"/>
      <c r="BD157" s="91" t="n"/>
      <c r="BE157" s="91" t="n"/>
      <c r="BF157" s="91" t="n"/>
      <c r="BG157" s="91" t="n"/>
      <c r="BH157" s="91" t="n"/>
      <c r="BI157" s="91" t="n"/>
      <c r="BJ157" s="91" t="n"/>
      <c r="BK157" s="91" t="n"/>
      <c r="BL157" s="91" t="n"/>
      <c r="BM157" s="101" t="n"/>
      <c r="BN157" s="91" t="n"/>
      <c r="BO157" s="91" t="n"/>
      <c r="BP157" s="91" t="n"/>
      <c r="BQ157" s="91" t="n"/>
      <c r="BR157" s="91" t="n"/>
      <c r="BS157" s="91" t="n"/>
      <c r="BT157" s="91" t="n"/>
      <c r="BU157" s="91" t="n"/>
      <c r="BV157" s="91" t="inlineStr"/>
      <c r="BW157" s="91" t="n">
        <v>909</v>
      </c>
      <c r="BX157" s="91" t="n">
        <v>112058.84</v>
      </c>
      <c r="BY157" s="91" t="n">
        <v>29492.69</v>
      </c>
      <c r="BZ157" s="101">
        <f>SUM(BN157:BY157)</f>
        <v/>
      </c>
      <c r="CA157" s="91" t="n">
        <v>1523</v>
      </c>
      <c r="CB157" s="91" t="n">
        <v>166.2</v>
      </c>
      <c r="CC157" s="91" t="n">
        <v>41926.43</v>
      </c>
      <c r="CD157" s="91" t="n">
        <v>61075.83</v>
      </c>
      <c r="CE157" s="91" t="n">
        <v>2597.45</v>
      </c>
      <c r="CF157" s="91" t="n">
        <v>248939.6</v>
      </c>
      <c r="CG157" s="91" t="n">
        <v>80221.21000000001</v>
      </c>
      <c r="CH157" s="91" t="n">
        <v>312731.45</v>
      </c>
      <c r="CI157" s="91" t="n">
        <v>340254.41</v>
      </c>
      <c r="CJ157" s="91" t="n">
        <v>119491.05</v>
      </c>
      <c r="CK157" s="91" t="n">
        <v>112482.67</v>
      </c>
      <c r="CL157" s="91" t="n">
        <v>123490.15</v>
      </c>
      <c r="CM157" s="101">
        <f>SUM(CA157:CL157)</f>
        <v/>
      </c>
      <c r="CN157" s="101" t="n"/>
      <c r="CO157" s="101" t="n"/>
      <c r="CP157" s="101" t="n"/>
      <c r="CQ157" s="103" t="n"/>
      <c r="CR157" s="104" t="n"/>
      <c r="CS157" s="104" t="n"/>
      <c r="CT157" s="101" t="n"/>
      <c r="CU157" s="101" t="n"/>
      <c r="CV157" s="101" t="n"/>
      <c r="CW157" s="101" t="n"/>
      <c r="CX157" s="101" t="n"/>
      <c r="CY157" s="101" t="n"/>
      <c r="CZ157" s="101">
        <f>SUM(CN157:CY157)</f>
        <v/>
      </c>
      <c r="DA157" s="59" t="n"/>
      <c r="DB157" s="65" t="n"/>
      <c r="DC157" s="65" t="n"/>
      <c r="DD157" s="65" t="n"/>
      <c r="DE157" s="65" t="n"/>
      <c r="DF157" s="65" t="n"/>
      <c r="DG157" s="65" t="n"/>
      <c r="DH157" s="65" t="n"/>
      <c r="DI157" s="65" t="n"/>
      <c r="DJ157" s="65" t="n"/>
      <c r="DK157" s="65" t="n"/>
      <c r="DL157" s="65" t="n"/>
      <c r="DM157" s="65" t="n"/>
      <c r="DN157" s="65" t="n"/>
      <c r="DO157" s="65" t="n"/>
      <c r="DP157" s="65" t="n"/>
      <c r="DQ157" s="65" t="n"/>
      <c r="DR157" s="65" t="n"/>
      <c r="DS157" s="65" t="n"/>
      <c r="DT157" s="65" t="n"/>
      <c r="DU157" s="65" t="n"/>
      <c r="DV157" s="65" t="n"/>
      <c r="DW157" s="65" t="n"/>
      <c r="DX157" s="65" t="n"/>
      <c r="DY157" s="65" t="n"/>
      <c r="DZ157" s="65" t="n"/>
      <c r="EA157" s="65" t="n"/>
      <c r="EB157" s="65" t="n"/>
      <c r="EC157" s="65" t="n"/>
      <c r="ED157" s="65" t="n"/>
      <c r="EE157" s="65" t="n"/>
      <c r="EF157" s="65" t="n"/>
      <c r="EG157" s="65" t="n"/>
      <c r="EH157" s="65" t="n"/>
      <c r="EI157" s="65" t="n"/>
      <c r="EJ157" s="65" t="n"/>
      <c r="EK157" s="65" t="n"/>
      <c r="EL157" s="65" t="n"/>
      <c r="EM157" s="65" t="n"/>
      <c r="EN157" s="65" t="n"/>
      <c r="EO157" s="65" t="n"/>
      <c r="EP157" s="65" t="n"/>
      <c r="EQ157" s="65" t="n"/>
      <c r="ER157" s="65" t="n"/>
      <c r="ES157" s="65" t="n"/>
      <c r="ET157" s="65" t="n"/>
      <c r="EU157" s="65" t="n"/>
      <c r="EV157" s="65" t="n"/>
      <c r="EW157" s="65" t="n"/>
      <c r="EX157" s="65" t="n"/>
      <c r="EY157" s="65" t="n"/>
      <c r="EZ157" s="65" t="n"/>
      <c r="FA157" s="65" t="n"/>
      <c r="FB157" s="65" t="n"/>
      <c r="FC157" s="65" t="n"/>
      <c r="FD157" s="65" t="n"/>
      <c r="FE157" s="65" t="n"/>
      <c r="FF157" s="65" t="n"/>
      <c r="FG157" s="65" t="n"/>
      <c r="FH157" s="65" t="n"/>
      <c r="FI157" s="65" t="n"/>
      <c r="FJ157" s="65" t="n"/>
      <c r="FK157" s="65" t="n"/>
      <c r="FL157" s="65" t="n"/>
      <c r="FM157" s="65" t="n"/>
      <c r="FN157" s="65" t="n"/>
      <c r="FO157" s="65" t="n"/>
      <c r="FP157" s="65" t="n"/>
      <c r="FQ157" s="65" t="n"/>
      <c r="FR157" s="65" t="n"/>
      <c r="FS157" s="65" t="n"/>
      <c r="FT157" s="65" t="n"/>
      <c r="FU157" s="65" t="n"/>
      <c r="FV157" s="65" t="n"/>
      <c r="FW157" s="65" t="n"/>
      <c r="FX157" s="65" t="n"/>
      <c r="FY157" s="65" t="n"/>
      <c r="FZ157" s="65" t="n"/>
      <c r="GA157" s="65" t="n"/>
      <c r="GB157" s="65" t="n"/>
      <c r="GC157" s="65" t="n"/>
      <c r="GD157" s="65" t="n"/>
      <c r="GE157" s="65" t="n"/>
      <c r="GF157" s="65" t="n"/>
      <c r="GG157" s="65" t="n"/>
      <c r="GH157" s="65" t="n"/>
      <c r="GI157" s="65" t="n"/>
      <c r="GJ157" s="65" t="n"/>
      <c r="GK157" s="65" t="n"/>
      <c r="GL157" s="65" t="n"/>
      <c r="GM157" s="65" t="n"/>
      <c r="GN157" s="65" t="n"/>
      <c r="GO157" s="65" t="n"/>
      <c r="GP157" s="65" t="n"/>
      <c r="GQ157" s="65" t="n"/>
      <c r="GR157" s="65" t="n"/>
      <c r="GS157" s="65" t="n"/>
      <c r="GT157" s="65" t="n"/>
      <c r="GU157" s="65" t="n"/>
      <c r="GV157" s="65" t="n"/>
      <c r="GW157" s="65" t="n"/>
      <c r="GX157" s="65" t="n"/>
      <c r="GY157" s="65" t="n"/>
      <c r="GZ157" s="65" t="n"/>
      <c r="HA157" s="65" t="n"/>
      <c r="HB157" s="65" t="n"/>
      <c r="HC157" s="65" t="n"/>
      <c r="HD157" s="65" t="n"/>
      <c r="HE157" s="65" t="n"/>
      <c r="HF157" s="65" t="n"/>
      <c r="HG157" s="65" t="n"/>
      <c r="HH157" s="65" t="n"/>
      <c r="HI157" s="65" t="n"/>
      <c r="HJ157" s="65" t="n"/>
      <c r="HK157" s="65" t="n"/>
      <c r="HL157" s="65" t="n"/>
      <c r="HM157" s="65" t="n"/>
      <c r="HN157" s="65" t="n"/>
      <c r="HO157" s="65" t="n"/>
      <c r="HP157" s="65" t="n"/>
      <c r="HQ157" s="65" t="n"/>
      <c r="HR157" s="65" t="n"/>
      <c r="HS157" s="65" t="n"/>
      <c r="HT157" s="65" t="n"/>
      <c r="HU157" s="65" t="n"/>
      <c r="HV157" s="65" t="n"/>
      <c r="HW157" s="65" t="n"/>
      <c r="HX157" s="65" t="n"/>
      <c r="HY157" s="65" t="n"/>
      <c r="HZ157" s="65" t="n"/>
      <c r="IA157" s="65" t="n"/>
      <c r="IB157" s="65" t="n"/>
      <c r="IC157" s="65" t="n"/>
      <c r="ID157" s="65" t="n"/>
      <c r="IE157" s="65" t="n"/>
      <c r="IF157" s="65" t="n"/>
      <c r="IG157" s="65" t="n"/>
      <c r="IH157" s="65" t="n"/>
      <c r="II157" s="65" t="n"/>
      <c r="IJ157" s="65" t="n"/>
      <c r="IK157" s="65" t="n"/>
      <c r="IL157" s="65" t="n"/>
      <c r="IM157" s="65" t="n"/>
      <c r="IN157" s="65" t="n"/>
      <c r="IO157" s="65" t="n"/>
      <c r="IP157" s="65" t="n"/>
      <c r="IQ157" s="65" t="n"/>
      <c r="IR157" s="65" t="n"/>
      <c r="IS157" s="65" t="n"/>
      <c r="IT157" s="65" t="n"/>
      <c r="IU157" s="65" t="n"/>
      <c r="IV157" s="65" t="n"/>
      <c r="IW157" s="65" t="n"/>
      <c r="IX157" s="65" t="n"/>
      <c r="IY157" s="65" t="n"/>
      <c r="IZ157" s="65" t="n"/>
      <c r="JA157" s="65" t="n"/>
      <c r="JB157" s="65" t="n"/>
      <c r="JC157" s="65" t="n"/>
      <c r="JD157" s="65" t="n"/>
      <c r="JE157" s="65" t="n"/>
      <c r="JF157" s="65" t="n"/>
      <c r="JG157" s="65" t="n"/>
      <c r="JH157" s="65" t="n"/>
      <c r="JI157" s="65" t="n"/>
      <c r="JJ157" s="65" t="n"/>
      <c r="JK157" s="65" t="n"/>
      <c r="JL157" s="65" t="n"/>
      <c r="JM157" s="65" t="n"/>
      <c r="JN157" s="65" t="n"/>
      <c r="JO157" s="65" t="n"/>
      <c r="JP157" s="65" t="n"/>
      <c r="JQ157" s="65" t="n"/>
      <c r="JR157" s="65" t="n"/>
      <c r="JS157" s="65" t="n"/>
      <c r="JT157" s="65" t="n"/>
      <c r="JU157" s="65" t="n"/>
      <c r="JV157" s="65" t="n"/>
      <c r="JW157" s="65" t="n"/>
      <c r="JX157" s="65" t="n"/>
      <c r="JY157" s="65" t="n"/>
      <c r="JZ157" s="65" t="n"/>
      <c r="KA157" s="65" t="n"/>
      <c r="KB157" s="65" t="n"/>
      <c r="KC157" s="65" t="n"/>
      <c r="KD157" s="65" t="n"/>
      <c r="KE157" s="65" t="n"/>
      <c r="KF157" s="65" t="n"/>
      <c r="KG157" s="65" t="n"/>
      <c r="KH157" s="65" t="n"/>
      <c r="KI157" s="65" t="n"/>
      <c r="KJ157" s="65" t="n"/>
      <c r="KK157" s="65" t="n"/>
      <c r="KL157" s="65" t="n"/>
      <c r="KM157" s="65" t="n"/>
      <c r="KN157" s="65" t="n"/>
      <c r="KO157" s="65" t="n"/>
      <c r="KP157" s="65" t="n"/>
      <c r="KQ157" s="65" t="n"/>
      <c r="KR157" s="65" t="n"/>
      <c r="KS157" s="65" t="n"/>
      <c r="KT157" s="65" t="n"/>
      <c r="KU157" s="65" t="n"/>
      <c r="KV157" s="65" t="n"/>
      <c r="KW157" s="65" t="n"/>
      <c r="KX157" s="65" t="n"/>
      <c r="KY157" s="65" t="n"/>
      <c r="KZ157" s="65" t="n"/>
      <c r="LA157" s="65" t="n"/>
      <c r="LB157" s="65" t="n"/>
      <c r="LC157" s="65" t="n"/>
      <c r="LD157" s="65" t="n"/>
      <c r="LE157" s="65" t="n"/>
      <c r="LF157" s="65" t="n"/>
      <c r="LG157" s="65" t="n"/>
      <c r="LH157" s="65" t="n"/>
      <c r="LI157" s="65" t="n"/>
      <c r="LJ157" s="65" t="n"/>
      <c r="LK157" s="65" t="n"/>
      <c r="LL157" s="65" t="n"/>
      <c r="LM157" s="65" t="n"/>
      <c r="LN157" s="65" t="n"/>
      <c r="LO157" s="65" t="n"/>
      <c r="LP157" s="65" t="n"/>
      <c r="LQ157" s="65" t="n"/>
      <c r="LR157" s="65" t="n"/>
      <c r="LS157" s="65" t="n"/>
      <c r="LT157" s="65" t="n"/>
      <c r="LU157" s="65" t="n"/>
      <c r="LV157" s="65" t="n"/>
      <c r="LW157" s="65" t="n"/>
      <c r="LX157" s="65" t="n"/>
      <c r="LY157" s="65" t="n"/>
      <c r="LZ157" s="65" t="n"/>
      <c r="MA157" s="65" t="n"/>
      <c r="MB157" s="65" t="n"/>
      <c r="MC157" s="65" t="n"/>
      <c r="MD157" s="65" t="n"/>
      <c r="ME157" s="65" t="n"/>
      <c r="MF157" s="65" t="n"/>
      <c r="MG157" s="65" t="n"/>
      <c r="MH157" s="65" t="n"/>
      <c r="MI157" s="65" t="n"/>
      <c r="MJ157" s="65" t="n"/>
      <c r="MK157" s="65" t="n"/>
      <c r="ML157" s="65" t="n"/>
      <c r="MM157" s="65" t="n"/>
      <c r="MN157" s="65" t="n"/>
      <c r="MO157" s="65" t="n"/>
      <c r="MP157" s="65" t="n"/>
      <c r="MQ157" s="65" t="n"/>
      <c r="MR157" s="65" t="n"/>
      <c r="MS157" s="65" t="n"/>
      <c r="MT157" s="65" t="n"/>
      <c r="MU157" s="65" t="n"/>
      <c r="MV157" s="65" t="n"/>
      <c r="MW157" s="65" t="n"/>
      <c r="MX157" s="65" t="n"/>
      <c r="MY157" s="65" t="n"/>
      <c r="MZ157" s="65" t="n"/>
      <c r="NA157" s="65" t="n"/>
      <c r="NB157" s="65" t="n"/>
      <c r="NC157" s="65" t="n"/>
      <c r="ND157" s="65" t="n"/>
      <c r="NE157" s="65" t="n"/>
      <c r="NF157" s="65" t="n"/>
      <c r="NG157" s="65" t="n"/>
      <c r="NH157" s="65" t="n"/>
      <c r="NI157" s="65" t="n"/>
      <c r="NJ157" s="65" t="n"/>
      <c r="NK157" s="65" t="n"/>
      <c r="NL157" s="65" t="n"/>
      <c r="NM157" s="65" t="n"/>
      <c r="NN157" s="65" t="n"/>
      <c r="NO157" s="65" t="n"/>
      <c r="NP157" s="65" t="n"/>
      <c r="NQ157" s="65" t="n"/>
      <c r="NR157" s="65" t="n"/>
      <c r="NS157" s="65" t="n"/>
      <c r="NT157" s="65" t="n"/>
      <c r="NU157" s="65" t="n"/>
      <c r="NV157" s="65" t="n"/>
      <c r="NW157" s="65" t="n"/>
      <c r="NX157" s="65" t="n"/>
      <c r="NY157" s="65" t="n"/>
      <c r="NZ157" s="65" t="n"/>
      <c r="OA157" s="65" t="n"/>
      <c r="OB157" s="65" t="n"/>
      <c r="OC157" s="65" t="n"/>
      <c r="OD157" s="65" t="n"/>
      <c r="OE157" s="65" t="n"/>
      <c r="OF157" s="65" t="n"/>
      <c r="OG157" s="65" t="n"/>
      <c r="OH157" s="65" t="n"/>
      <c r="OI157" s="65" t="n"/>
      <c r="OJ157" s="65" t="n"/>
      <c r="OK157" s="65" t="n"/>
      <c r="OL157" s="65" t="n"/>
      <c r="OM157" s="65" t="n"/>
      <c r="ON157" s="65" t="n"/>
      <c r="OO157" s="65" t="n"/>
      <c r="OP157" s="65" t="n"/>
      <c r="OQ157" s="65" t="n"/>
      <c r="OR157" s="65" t="n"/>
      <c r="OS157" s="65" t="n"/>
      <c r="OT157" s="65" t="n"/>
      <c r="OU157" s="65" t="n"/>
      <c r="OV157" s="65" t="n"/>
      <c r="OW157" s="65" t="n"/>
      <c r="OX157" s="65" t="n"/>
      <c r="OY157" s="65" t="n"/>
      <c r="OZ157" s="65" t="n"/>
      <c r="PA157" s="65" t="n"/>
      <c r="PB157" s="65" t="n"/>
      <c r="PC157" s="65" t="n"/>
      <c r="PD157" s="65" t="n"/>
      <c r="PE157" s="65" t="n"/>
      <c r="PF157" s="65" t="n"/>
      <c r="PG157" s="65" t="n"/>
      <c r="PH157" s="65" t="n"/>
      <c r="PI157" s="65" t="n"/>
      <c r="PJ157" s="65" t="n"/>
      <c r="PK157" s="65" t="n"/>
      <c r="PL157" s="65" t="n"/>
      <c r="PM157" s="65" t="n"/>
      <c r="PN157" s="65" t="n"/>
      <c r="PO157" s="65" t="n"/>
      <c r="PP157" s="65" t="n"/>
      <c r="PQ157" s="65" t="n"/>
      <c r="PR157" s="65" t="n"/>
      <c r="PS157" s="65" t="n"/>
      <c r="PT157" s="65" t="n"/>
      <c r="PU157" s="65" t="n"/>
      <c r="PV157" s="65" t="n"/>
      <c r="PW157" s="65" t="n"/>
      <c r="PX157" s="65" t="n"/>
      <c r="PY157" s="65" t="n"/>
      <c r="PZ157" s="65" t="n"/>
      <c r="QA157" s="65" t="n"/>
      <c r="QB157" s="65" t="n"/>
      <c r="QC157" s="65" t="n"/>
      <c r="QD157" s="65" t="n"/>
      <c r="QE157" s="65" t="n"/>
      <c r="QF157" s="65" t="n"/>
      <c r="QG157" s="65" t="n"/>
      <c r="QH157" s="65" t="n"/>
      <c r="QI157" s="65" t="n"/>
      <c r="QJ157" s="65" t="n"/>
      <c r="QK157" s="65" t="n"/>
      <c r="QL157" s="65" t="n"/>
      <c r="QM157" s="65" t="n"/>
      <c r="QN157" s="65" t="n"/>
      <c r="QO157" s="65" t="n"/>
      <c r="QP157" s="65" t="n"/>
      <c r="QQ157" s="65" t="n"/>
      <c r="QR157" s="65" t="n"/>
      <c r="QS157" s="65" t="n"/>
      <c r="QT157" s="65" t="n"/>
      <c r="QU157" s="65" t="n"/>
      <c r="QV157" s="65" t="n"/>
      <c r="QW157" s="65" t="n"/>
      <c r="QX157" s="65" t="n"/>
      <c r="QY157" s="65" t="n"/>
      <c r="QZ157" s="65" t="n"/>
      <c r="RA157" s="65" t="n"/>
      <c r="RB157" s="65" t="n"/>
      <c r="RC157" s="65" t="n"/>
      <c r="RD157" s="65" t="n"/>
      <c r="RE157" s="65" t="n"/>
      <c r="RF157" s="65" t="n"/>
      <c r="RG157" s="65" t="n"/>
      <c r="RH157" s="65" t="n"/>
      <c r="RI157" s="65" t="n"/>
      <c r="RJ157" s="65" t="n"/>
      <c r="RK157" s="65" t="n"/>
      <c r="RL157" s="65" t="n"/>
      <c r="RM157" s="65" t="n"/>
      <c r="RN157" s="65" t="n"/>
      <c r="RO157" s="65" t="n"/>
      <c r="RP157" s="65" t="n"/>
      <c r="RQ157" s="65" t="n"/>
      <c r="RR157" s="65" t="n"/>
      <c r="RS157" s="65" t="n"/>
      <c r="RT157" s="65" t="n"/>
      <c r="RU157" s="65" t="n"/>
      <c r="RV157" s="65" t="n"/>
      <c r="RW157" s="65" t="n"/>
      <c r="RX157" s="65" t="n"/>
      <c r="RY157" s="65" t="n"/>
      <c r="RZ157" s="65" t="n"/>
      <c r="SA157" s="65" t="n"/>
      <c r="SB157" s="65" t="n"/>
      <c r="SC157" s="65" t="n"/>
      <c r="SD157" s="65" t="n"/>
      <c r="SE157" s="65" t="n"/>
      <c r="SF157" s="65" t="n"/>
      <c r="SG157" s="65" t="n"/>
      <c r="SH157" s="65" t="n"/>
      <c r="SI157" s="65" t="n"/>
      <c r="SJ157" s="65" t="n"/>
      <c r="SK157" s="65" t="n"/>
      <c r="SL157" s="65" t="n"/>
      <c r="SM157" s="65" t="n"/>
      <c r="SN157" s="65" t="n"/>
      <c r="SO157" s="65" t="n"/>
      <c r="SP157" s="65" t="n"/>
      <c r="SQ157" s="65" t="n"/>
      <c r="SR157" s="65" t="n"/>
      <c r="SS157" s="65" t="n"/>
      <c r="ST157" s="65" t="n"/>
      <c r="SU157" s="65" t="n"/>
      <c r="SV157" s="65" t="n"/>
      <c r="SW157" s="65" t="n"/>
      <c r="SX157" s="65" t="n"/>
      <c r="SY157" s="65" t="n"/>
      <c r="SZ157" s="65" t="n"/>
      <c r="TA157" s="65" t="n"/>
      <c r="TB157" s="65" t="n"/>
      <c r="TC157" s="65" t="n"/>
      <c r="TD157" s="65" t="n"/>
      <c r="TE157" s="65" t="n"/>
      <c r="TF157" s="65" t="n"/>
      <c r="TG157" s="65" t="n"/>
      <c r="TH157" s="65" t="n"/>
      <c r="TI157" s="65" t="n"/>
      <c r="TJ157" s="65" t="n"/>
      <c r="TK157" s="65" t="n"/>
      <c r="TL157" s="65" t="n"/>
      <c r="TM157" s="65" t="n"/>
      <c r="TN157" s="65" t="n"/>
      <c r="TO157" s="65" t="n"/>
      <c r="TP157" s="65" t="n"/>
      <c r="TQ157" s="65" t="n"/>
      <c r="TR157" s="65" t="n"/>
      <c r="TS157" s="65" t="n"/>
      <c r="TT157" s="65" t="n"/>
      <c r="TU157" s="65" t="n"/>
      <c r="TV157" s="65" t="n"/>
      <c r="TW157" s="65" t="n"/>
      <c r="TX157" s="65" t="n"/>
      <c r="TY157" s="65" t="n"/>
      <c r="TZ157" s="65" t="n"/>
      <c r="UA157" s="65" t="n"/>
      <c r="UB157" s="65" t="n"/>
      <c r="UC157" s="65" t="n"/>
      <c r="UD157" s="65" t="n"/>
      <c r="UE157" s="65" t="n"/>
      <c r="UF157" s="65" t="n"/>
      <c r="UG157" s="65" t="n"/>
      <c r="UH157" s="65" t="n"/>
      <c r="UI157" s="65" t="n"/>
      <c r="UJ157" s="65" t="n"/>
      <c r="UK157" s="65" t="n"/>
      <c r="UL157" s="65" t="n"/>
      <c r="UM157" s="65" t="n"/>
      <c r="UN157" s="65" t="n"/>
      <c r="UO157" s="65" t="n"/>
      <c r="UP157" s="65" t="n"/>
      <c r="UQ157" s="65" t="n"/>
      <c r="UR157" s="65" t="n"/>
      <c r="US157" s="65" t="n"/>
      <c r="UT157" s="65" t="n"/>
      <c r="UU157" s="65" t="n"/>
      <c r="UV157" s="65" t="n"/>
      <c r="UW157" s="65" t="n"/>
      <c r="UX157" s="65" t="n"/>
      <c r="UY157" s="65" t="n"/>
      <c r="UZ157" s="65" t="n"/>
      <c r="VA157" s="65" t="n"/>
      <c r="VB157" s="65" t="n"/>
      <c r="VC157" s="65" t="n"/>
      <c r="VD157" s="65" t="n"/>
      <c r="VE157" s="65" t="n"/>
      <c r="VF157" s="65" t="n"/>
      <c r="VG157" s="65" t="n"/>
      <c r="VH157" s="65" t="n"/>
      <c r="VI157" s="65" t="n"/>
      <c r="VJ157" s="65" t="n"/>
      <c r="VK157" s="65" t="n"/>
      <c r="VL157" s="65" t="n"/>
      <c r="VM157" s="65" t="n"/>
      <c r="VN157" s="65" t="n"/>
      <c r="VO157" s="65" t="n"/>
      <c r="VP157" s="65" t="n"/>
      <c r="VQ157" s="65" t="n"/>
      <c r="VR157" s="65" t="n"/>
      <c r="VS157" s="65" t="n"/>
      <c r="VT157" s="65" t="n"/>
      <c r="VU157" s="65" t="n"/>
      <c r="VV157" s="65" t="n"/>
      <c r="VW157" s="65" t="n"/>
      <c r="VX157" s="65" t="n"/>
      <c r="VY157" s="65" t="n"/>
      <c r="VZ157" s="65" t="n"/>
      <c r="WA157" s="65" t="n"/>
      <c r="WB157" s="65" t="n"/>
      <c r="WC157" s="65" t="n"/>
      <c r="WD157" s="65" t="n"/>
      <c r="WE157" s="65" t="n"/>
      <c r="WF157" s="65" t="n"/>
      <c r="WG157" s="65" t="n"/>
      <c r="WH157" s="65" t="n"/>
      <c r="WI157" s="65" t="n"/>
      <c r="WJ157" s="65" t="n"/>
      <c r="WK157" s="65" t="n"/>
      <c r="WL157" s="65" t="n"/>
      <c r="WM157" s="65" t="n"/>
      <c r="WN157" s="65" t="n"/>
      <c r="WO157" s="65" t="n"/>
      <c r="WP157" s="65" t="n"/>
      <c r="WQ157" s="65" t="n"/>
      <c r="WR157" s="65" t="n"/>
      <c r="WS157" s="65" t="n"/>
      <c r="WT157" s="65" t="n"/>
      <c r="WU157" s="65" t="n"/>
      <c r="WV157" s="65" t="n"/>
      <c r="WW157" s="65" t="n"/>
      <c r="WX157" s="65" t="n"/>
      <c r="WY157" s="65" t="n"/>
      <c r="WZ157" s="65" t="n"/>
      <c r="XA157" s="65" t="n"/>
      <c r="XB157" s="65" t="n"/>
      <c r="XC157" s="65" t="n"/>
      <c r="XD157" s="65" t="n"/>
      <c r="XE157" s="65" t="n"/>
      <c r="XF157" s="65" t="n"/>
      <c r="XG157" s="65" t="n"/>
      <c r="XH157" s="65" t="n"/>
      <c r="XI157" s="65" t="n"/>
      <c r="XJ157" s="65" t="n"/>
      <c r="XK157" s="65" t="n"/>
      <c r="XL157" s="65" t="n"/>
      <c r="XM157" s="65" t="n"/>
      <c r="XN157" s="65" t="n"/>
      <c r="XO157" s="65" t="n"/>
      <c r="XP157" s="65" t="n"/>
      <c r="XQ157" s="65" t="n"/>
      <c r="XR157" s="65" t="n"/>
      <c r="XS157" s="65" t="n"/>
      <c r="XT157" s="65" t="n"/>
      <c r="XU157" s="65" t="n"/>
      <c r="XV157" s="65" t="n"/>
      <c r="XW157" s="65" t="n"/>
      <c r="XX157" s="65" t="n"/>
      <c r="XY157" s="65" t="n"/>
      <c r="XZ157" s="65" t="n"/>
      <c r="YA157" s="65" t="n"/>
      <c r="YB157" s="65" t="n"/>
      <c r="YC157" s="65" t="n"/>
      <c r="YD157" s="65" t="n"/>
      <c r="YE157" s="65" t="n"/>
      <c r="YF157" s="65" t="n"/>
      <c r="YG157" s="65" t="n"/>
      <c r="YH157" s="65" t="n"/>
      <c r="YI157" s="65" t="n"/>
      <c r="YJ157" s="65" t="n"/>
      <c r="YK157" s="65" t="n"/>
      <c r="YL157" s="65" t="n"/>
      <c r="YM157" s="65" t="n"/>
      <c r="YN157" s="65" t="n"/>
      <c r="YO157" s="65" t="n"/>
      <c r="YP157" s="65" t="n"/>
      <c r="YQ157" s="65" t="n"/>
      <c r="YR157" s="65" t="n"/>
      <c r="YS157" s="65" t="n"/>
      <c r="YT157" s="65" t="n"/>
      <c r="YU157" s="65" t="n"/>
      <c r="YV157" s="65" t="n"/>
      <c r="YW157" s="65" t="n"/>
      <c r="YX157" s="65" t="n"/>
      <c r="YY157" s="65" t="n"/>
      <c r="YZ157" s="65" t="n"/>
      <c r="ZA157" s="65" t="n"/>
      <c r="ZB157" s="65" t="n"/>
      <c r="ZC157" s="65" t="n"/>
      <c r="ZD157" s="65" t="n"/>
      <c r="ZE157" s="65" t="n"/>
      <c r="ZF157" s="65" t="n"/>
      <c r="ZG157" s="65" t="n"/>
      <c r="ZH157" s="65" t="n"/>
      <c r="ZI157" s="65" t="n"/>
      <c r="ZJ157" s="65" t="n"/>
      <c r="ZK157" s="65" t="n"/>
      <c r="ZL157" s="65" t="n"/>
      <c r="ZM157" s="65" t="n"/>
      <c r="ZN157" s="65" t="n"/>
      <c r="ZO157" s="65" t="n"/>
      <c r="ZP157" s="65" t="n"/>
      <c r="ZQ157" s="65" t="n"/>
      <c r="ZR157" s="65" t="n"/>
      <c r="ZS157" s="65" t="n"/>
      <c r="ZT157" s="65" t="n"/>
      <c r="ZU157" s="65" t="n"/>
      <c r="ZV157" s="65" t="n"/>
      <c r="ZW157" s="65" t="n"/>
      <c r="ZX157" s="65" t="n"/>
      <c r="ZY157" s="65" t="n"/>
      <c r="ZZ157" s="65" t="n"/>
      <c r="AAA157" s="65" t="n"/>
      <c r="AAB157" s="65" t="n"/>
      <c r="AAC157" s="65" t="n"/>
      <c r="AAD157" s="65" t="n"/>
      <c r="AAE157" s="65" t="n"/>
      <c r="AAF157" s="65" t="n"/>
      <c r="AAG157" s="65" t="n"/>
      <c r="AAH157" s="65" t="n"/>
      <c r="AAI157" s="65" t="n"/>
      <c r="AAJ157" s="65" t="n"/>
      <c r="AAK157" s="65" t="n"/>
      <c r="AAL157" s="65" t="n"/>
      <c r="AAM157" s="65" t="n"/>
      <c r="AAN157" s="65" t="n"/>
      <c r="AAO157" s="65" t="n"/>
      <c r="AAP157" s="65" t="n"/>
      <c r="AAQ157" s="65" t="n"/>
      <c r="AAR157" s="65" t="n"/>
      <c r="AAS157" s="65" t="n"/>
      <c r="AAT157" s="65" t="n"/>
      <c r="AAU157" s="65" t="n"/>
      <c r="AAV157" s="65" t="n"/>
      <c r="AAW157" s="65" t="n"/>
      <c r="AAX157" s="65" t="n"/>
      <c r="AAY157" s="65" t="n"/>
      <c r="AAZ157" s="65" t="n"/>
      <c r="ABA157" s="65" t="n"/>
      <c r="ABB157" s="65" t="n"/>
      <c r="ABC157" s="65" t="n"/>
      <c r="ABD157" s="65" t="n"/>
      <c r="ABE157" s="65" t="n"/>
      <c r="ABF157" s="65" t="n"/>
      <c r="ABG157" s="65" t="n"/>
      <c r="ABH157" s="65" t="n"/>
      <c r="ABI157" s="65" t="n"/>
      <c r="ABJ157" s="65" t="n"/>
      <c r="ABK157" s="65" t="n"/>
      <c r="ABL157" s="65" t="n"/>
      <c r="ABM157" s="65" t="n"/>
      <c r="ABN157" s="65" t="n"/>
      <c r="ABO157" s="65" t="n"/>
      <c r="ABP157" s="65" t="n"/>
      <c r="ABQ157" s="65" t="n"/>
      <c r="ABR157" s="65" t="n"/>
      <c r="ABS157" s="65" t="n"/>
      <c r="ABT157" s="65" t="n"/>
      <c r="ABU157" s="65" t="n"/>
      <c r="ABV157" s="65" t="n"/>
      <c r="ABW157" s="65" t="n"/>
      <c r="ABX157" s="65" t="n"/>
      <c r="ABY157" s="65" t="n"/>
      <c r="ABZ157" s="65" t="n"/>
      <c r="ACA157" s="65" t="n"/>
      <c r="ACB157" s="65" t="n"/>
      <c r="ACC157" s="65" t="n"/>
      <c r="ACD157" s="65" t="n"/>
      <c r="ACE157" s="65" t="n"/>
      <c r="ACF157" s="65" t="n"/>
      <c r="ACG157" s="65" t="n"/>
      <c r="ACH157" s="65" t="n"/>
      <c r="ACI157" s="65" t="n"/>
      <c r="ACJ157" s="65" t="n"/>
      <c r="ACK157" s="65" t="n"/>
      <c r="ACL157" s="65" t="n"/>
      <c r="ACM157" s="65" t="n"/>
      <c r="ACN157" s="65" t="n"/>
      <c r="ACO157" s="65" t="n"/>
      <c r="ACP157" s="65" t="n"/>
      <c r="ACQ157" s="65" t="n"/>
      <c r="ACR157" s="65" t="n"/>
      <c r="ACS157" s="65" t="n"/>
      <c r="ACT157" s="65" t="n"/>
      <c r="ACU157" s="65" t="n"/>
      <c r="ACV157" s="65" t="n"/>
      <c r="ACW157" s="65" t="n"/>
      <c r="ACX157" s="65" t="n"/>
      <c r="ACY157" s="65" t="n"/>
      <c r="ACZ157" s="65" t="n"/>
      <c r="ADA157" s="65" t="n"/>
      <c r="ADB157" s="65" t="n"/>
      <c r="ADC157" s="65" t="n"/>
      <c r="ADD157" s="65" t="n"/>
      <c r="ADE157" s="65" t="n"/>
      <c r="ADF157" s="65" t="n"/>
      <c r="ADG157" s="65" t="n"/>
      <c r="ADH157" s="65" t="n"/>
      <c r="ADI157" s="65" t="n"/>
      <c r="ADJ157" s="65" t="n"/>
      <c r="ADK157" s="65" t="n"/>
      <c r="ADL157" s="65" t="n"/>
      <c r="ADM157" s="65" t="n"/>
      <c r="ADN157" s="65" t="n"/>
      <c r="ADO157" s="65" t="n"/>
      <c r="ADP157" s="65" t="n"/>
      <c r="ADQ157" s="65" t="n"/>
      <c r="ADR157" s="65" t="n"/>
      <c r="ADS157" s="65" t="n"/>
      <c r="ADT157" s="65" t="n"/>
      <c r="ADU157" s="65" t="n"/>
      <c r="ADV157" s="65" t="n"/>
      <c r="ADW157" s="65" t="n"/>
      <c r="ADX157" s="65" t="n"/>
      <c r="ADY157" s="65" t="n"/>
      <c r="ADZ157" s="65" t="n"/>
      <c r="AEA157" s="65" t="n"/>
      <c r="AEB157" s="65" t="n"/>
      <c r="AEC157" s="65" t="n"/>
      <c r="AED157" s="65" t="n"/>
      <c r="AEE157" s="65" t="n"/>
      <c r="AEF157" s="65" t="n"/>
      <c r="AEG157" s="65" t="n"/>
      <c r="AEH157" s="65" t="n"/>
      <c r="AEI157" s="65" t="n"/>
      <c r="AEJ157" s="65" t="n"/>
      <c r="AEK157" s="65" t="n"/>
      <c r="AEL157" s="65" t="n"/>
      <c r="AEM157" s="65" t="n"/>
      <c r="AEN157" s="65" t="n"/>
      <c r="AEO157" s="65" t="n"/>
      <c r="AEP157" s="65" t="n"/>
      <c r="AEQ157" s="65" t="n"/>
      <c r="AER157" s="65" t="n"/>
      <c r="AES157" s="65" t="n"/>
      <c r="AET157" s="65" t="n"/>
      <c r="AEU157" s="65" t="n"/>
      <c r="AEV157" s="65" t="n"/>
      <c r="AEW157" s="65" t="n"/>
      <c r="AEX157" s="65" t="n"/>
      <c r="AEY157" s="65" t="n"/>
      <c r="AEZ157" s="65" t="n"/>
      <c r="AFA157" s="65" t="n"/>
      <c r="AFB157" s="65" t="n"/>
      <c r="AFC157" s="65" t="n"/>
      <c r="AFD157" s="65" t="n"/>
      <c r="AFE157" s="65" t="n"/>
      <c r="AFF157" s="65" t="n"/>
      <c r="AFG157" s="65" t="n"/>
      <c r="AFH157" s="65" t="n"/>
      <c r="AFI157" s="65" t="n"/>
      <c r="AFJ157" s="65" t="n"/>
      <c r="AFK157" s="65" t="n"/>
      <c r="AFL157" s="65" t="n"/>
      <c r="AFM157" s="65" t="n"/>
      <c r="AFN157" s="65" t="n"/>
      <c r="AFO157" s="65" t="n"/>
      <c r="AFP157" s="65" t="n"/>
      <c r="AFQ157" s="65" t="n"/>
      <c r="AFR157" s="65" t="n"/>
      <c r="AFS157" s="65" t="n"/>
      <c r="AFT157" s="65" t="n"/>
      <c r="AFU157" s="65" t="n"/>
      <c r="AFV157" s="65" t="n"/>
      <c r="AFW157" s="65" t="n"/>
      <c r="AFX157" s="65" t="n"/>
      <c r="AFY157" s="65" t="n"/>
      <c r="AFZ157" s="65" t="n"/>
      <c r="AGA157" s="65" t="n"/>
      <c r="AGB157" s="65" t="n"/>
      <c r="AGC157" s="65" t="n"/>
      <c r="AGD157" s="65" t="n"/>
      <c r="AGE157" s="65" t="n"/>
      <c r="AGF157" s="65" t="n"/>
      <c r="AGG157" s="65" t="n"/>
      <c r="AGH157" s="65" t="n"/>
      <c r="AGI157" s="65" t="n"/>
      <c r="AGJ157" s="65" t="n"/>
      <c r="AGK157" s="65" t="n"/>
      <c r="AGL157" s="65" t="n"/>
      <c r="AGM157" s="65" t="n"/>
      <c r="AGN157" s="65" t="n"/>
      <c r="AGO157" s="65" t="n"/>
      <c r="AGP157" s="65" t="n"/>
      <c r="AGQ157" s="65" t="n"/>
      <c r="AGR157" s="65" t="n"/>
      <c r="AGS157" s="65" t="n"/>
      <c r="AGT157" s="65" t="n"/>
      <c r="AGU157" s="65" t="n"/>
      <c r="AGV157" s="65" t="n"/>
      <c r="AGW157" s="65" t="n"/>
      <c r="AGX157" s="65" t="n"/>
      <c r="AGY157" s="65" t="n"/>
      <c r="AGZ157" s="65" t="n"/>
      <c r="AHA157" s="65" t="n"/>
      <c r="AHB157" s="65" t="n"/>
      <c r="AHC157" s="65" t="n"/>
      <c r="AHD157" s="65" t="n"/>
      <c r="AHE157" s="65" t="n"/>
      <c r="AHF157" s="65" t="n"/>
      <c r="AHG157" s="65" t="n"/>
      <c r="AHH157" s="65" t="n"/>
      <c r="AHI157" s="65" t="n"/>
      <c r="AHJ157" s="65" t="n"/>
      <c r="AHK157" s="65" t="n"/>
      <c r="AHL157" s="65" t="n"/>
      <c r="AHM157" s="65" t="n"/>
      <c r="AHN157" s="65" t="n"/>
      <c r="AHO157" s="65" t="n"/>
      <c r="AHP157" s="65" t="n"/>
      <c r="AHQ157" s="65" t="n"/>
      <c r="AHR157" s="65" t="n"/>
      <c r="AHS157" s="65" t="n"/>
      <c r="AHT157" s="65" t="n"/>
      <c r="AHU157" s="65" t="n"/>
      <c r="AHV157" s="65" t="n"/>
      <c r="AHW157" s="65" t="n"/>
      <c r="AHX157" s="65" t="n"/>
      <c r="AHY157" s="65" t="n"/>
      <c r="AHZ157" s="65" t="n"/>
      <c r="AIA157" s="65" t="n"/>
      <c r="AIB157" s="65" t="n"/>
      <c r="AIC157" s="65" t="n"/>
      <c r="AID157" s="65" t="n"/>
      <c r="AIE157" s="65" t="n"/>
      <c r="AIF157" s="65" t="n"/>
      <c r="AIG157" s="65" t="n"/>
      <c r="AIH157" s="65" t="n"/>
      <c r="AII157" s="65" t="n"/>
      <c r="AIJ157" s="65" t="n"/>
      <c r="AIK157" s="65" t="n"/>
      <c r="AIL157" s="65" t="n"/>
      <c r="AIM157" s="65" t="n"/>
      <c r="AIN157" s="65" t="n"/>
      <c r="AIO157" s="65" t="n"/>
      <c r="AIP157" s="65" t="n"/>
      <c r="AIQ157" s="65" t="n"/>
      <c r="AIR157" s="65" t="n"/>
      <c r="AIS157" s="65" t="n"/>
      <c r="AIT157" s="65" t="n"/>
      <c r="AIU157" s="65" t="n"/>
      <c r="AIV157" s="65" t="n"/>
      <c r="AIW157" s="65" t="n"/>
      <c r="AIX157" s="65" t="n"/>
      <c r="AIY157" s="65" t="n"/>
      <c r="AIZ157" s="65" t="n"/>
      <c r="AJA157" s="65" t="n"/>
      <c r="AJB157" s="65" t="n"/>
      <c r="AJC157" s="65" t="n"/>
      <c r="AJD157" s="65" t="n"/>
      <c r="AJE157" s="65" t="n"/>
      <c r="AJF157" s="65" t="n"/>
      <c r="AJG157" s="65" t="n"/>
      <c r="AJH157" s="65" t="n"/>
      <c r="AJI157" s="65" t="n"/>
      <c r="AJJ157" s="65" t="n"/>
      <c r="AJK157" s="65" t="n"/>
      <c r="AJL157" s="65" t="n"/>
      <c r="AJM157" s="65" t="n"/>
      <c r="AJN157" s="65" t="n"/>
      <c r="AJO157" s="65" t="n"/>
      <c r="AJP157" s="65" t="n"/>
      <c r="AJQ157" s="65" t="n"/>
      <c r="AJR157" s="65" t="n"/>
      <c r="AJS157" s="65" t="n"/>
      <c r="AJT157" s="65" t="n"/>
      <c r="AJU157" s="65" t="n"/>
      <c r="AJV157" s="65" t="n"/>
      <c r="AJW157" s="65" t="n"/>
      <c r="AJX157" s="65" t="n"/>
      <c r="AJY157" s="65" t="n"/>
      <c r="AJZ157" s="65" t="n"/>
      <c r="AKA157" s="65" t="n"/>
      <c r="AKB157" s="65" t="n"/>
      <c r="AKC157" s="65" t="n"/>
      <c r="AKD157" s="65" t="n"/>
      <c r="AKE157" s="65" t="n"/>
      <c r="AKF157" s="65" t="n"/>
      <c r="AKG157" s="65" t="n"/>
      <c r="AKH157" s="65" t="n"/>
      <c r="AKI157" s="65" t="n"/>
      <c r="AKJ157" s="65" t="n"/>
      <c r="AKK157" s="65" t="n"/>
      <c r="AKL157" s="65" t="n"/>
      <c r="AKM157" s="65" t="n"/>
      <c r="AKN157" s="65" t="n"/>
      <c r="AKO157" s="65" t="n"/>
      <c r="AKP157" s="65" t="n"/>
      <c r="AKQ157" s="65" t="n"/>
      <c r="AKR157" s="65" t="n"/>
      <c r="AKS157" s="65" t="n"/>
      <c r="AKT157" s="65" t="n"/>
      <c r="AKU157" s="65" t="n"/>
      <c r="AKV157" s="65" t="n"/>
      <c r="AKW157" s="65" t="n"/>
      <c r="AKX157" s="65" t="n"/>
      <c r="AKY157" s="65" t="n"/>
      <c r="AKZ157" s="65" t="n"/>
      <c r="ALA157" s="65" t="n"/>
      <c r="ALB157" s="65" t="n"/>
      <c r="ALC157" s="65" t="n"/>
      <c r="ALD157" s="65" t="n"/>
      <c r="ALE157" s="65" t="n"/>
      <c r="ALF157" s="65" t="n"/>
      <c r="ALG157" s="65" t="n"/>
      <c r="ALH157" s="65" t="n"/>
      <c r="ALI157" s="65" t="n"/>
      <c r="ALJ157" s="65" t="n"/>
      <c r="ALK157" s="65" t="n"/>
      <c r="ALL157" s="65" t="n"/>
      <c r="ALM157" s="65" t="n"/>
      <c r="ALN157" s="65" t="n"/>
      <c r="ALO157" s="65" t="n"/>
      <c r="ALP157" s="65" t="n"/>
      <c r="ALQ157" s="65" t="n"/>
      <c r="ALR157" s="65" t="n"/>
      <c r="ALS157" s="65" t="n"/>
      <c r="ALT157" s="65" t="n"/>
      <c r="ALU157" s="65" t="n"/>
      <c r="ALV157" s="65" t="n"/>
      <c r="ALW157" s="65" t="n"/>
      <c r="ALX157" s="65" t="n"/>
      <c r="ALY157" s="65" t="n"/>
      <c r="ALZ157" s="65" t="n"/>
      <c r="AMA157" s="65" t="n"/>
      <c r="AMB157" s="65" t="n"/>
      <c r="AMC157" s="65" t="n"/>
      <c r="AMD157" s="65" t="n"/>
      <c r="AME157" s="65" t="n"/>
      <c r="AMF157" s="65" t="n"/>
      <c r="AMG157" s="65" t="n"/>
      <c r="AMH157" s="65" t="n"/>
      <c r="AMI157" s="65" t="n"/>
      <c r="AMJ157" s="65" t="n"/>
      <c r="AMK157" s="65" t="n"/>
      <c r="AML157" s="65" t="n"/>
      <c r="AMM157" s="65" t="n"/>
      <c r="AMN157" s="65" t="n"/>
      <c r="AMO157" s="65" t="n"/>
      <c r="AMP157" s="65" t="n"/>
      <c r="AMQ157" s="65" t="n"/>
      <c r="AMR157" s="65" t="n"/>
      <c r="AMS157" s="65" t="n"/>
      <c r="AMT157" s="65" t="n"/>
      <c r="AMU157" s="65" t="n"/>
      <c r="AMV157" s="65" t="n"/>
      <c r="AMW157" s="65" t="n"/>
      <c r="AMX157" s="65" t="n"/>
      <c r="AMY157" s="65" t="n"/>
      <c r="AMZ157" s="65" t="n"/>
      <c r="ANA157" s="65" t="n"/>
      <c r="ANB157" s="65" t="n"/>
      <c r="ANC157" s="65" t="n"/>
      <c r="AND157" s="65" t="n"/>
      <c r="ANE157" s="65" t="n"/>
      <c r="ANF157" s="65" t="n"/>
      <c r="ANG157" s="65" t="n"/>
      <c r="ANH157" s="65" t="n"/>
      <c r="ANI157" s="65" t="n"/>
      <c r="ANJ157" s="65" t="n"/>
      <c r="ANK157" s="65" t="n"/>
      <c r="ANL157" s="65" t="n"/>
      <c r="ANM157" s="65" t="n"/>
      <c r="ANN157" s="65" t="n"/>
      <c r="ANO157" s="65" t="n"/>
      <c r="ANP157" s="65" t="n"/>
      <c r="ANQ157" s="65" t="n"/>
      <c r="ANR157" s="65" t="n"/>
      <c r="ANS157" s="65" t="n"/>
      <c r="ANT157" s="65" t="n"/>
      <c r="ANU157" s="65" t="n"/>
      <c r="ANV157" s="65" t="n"/>
      <c r="ANW157" s="65" t="n"/>
      <c r="ANX157" s="65" t="n"/>
      <c r="ANY157" s="65" t="n"/>
      <c r="ANZ157" s="65" t="n"/>
      <c r="AOA157" s="65" t="n"/>
      <c r="AOB157" s="65" t="n"/>
      <c r="AOC157" s="65" t="n"/>
      <c r="AOD157" s="65" t="n"/>
      <c r="AOE157" s="65" t="n"/>
      <c r="AOF157" s="65" t="n"/>
      <c r="AOG157" s="65" t="n"/>
      <c r="AOH157" s="65" t="n"/>
      <c r="AOI157" s="65" t="n"/>
      <c r="AOJ157" s="65" t="n"/>
      <c r="AOK157" s="65" t="n"/>
      <c r="AOL157" s="65" t="n"/>
      <c r="AOM157" s="65" t="n"/>
      <c r="AON157" s="65" t="n"/>
      <c r="AOO157" s="65" t="n"/>
      <c r="AOP157" s="65" t="n"/>
      <c r="AOQ157" s="65" t="n"/>
      <c r="AOR157" s="65" t="n"/>
      <c r="AOS157" s="65" t="n"/>
      <c r="AOT157" s="65" t="n"/>
      <c r="AOU157" s="65" t="n"/>
      <c r="AOV157" s="65" t="n"/>
      <c r="AOW157" s="65" t="n"/>
      <c r="AOX157" s="65" t="n"/>
      <c r="AOY157" s="65" t="n"/>
      <c r="AOZ157" s="65" t="n"/>
      <c r="APA157" s="65" t="n"/>
      <c r="APB157" s="65" t="n"/>
      <c r="APC157" s="65" t="n"/>
      <c r="APD157" s="65" t="n"/>
      <c r="APE157" s="65" t="n"/>
      <c r="APF157" s="65" t="n"/>
      <c r="APG157" s="65" t="n"/>
      <c r="APH157" s="65" t="n"/>
      <c r="API157" s="65" t="n"/>
      <c r="APJ157" s="65" t="n"/>
      <c r="APK157" s="65" t="n"/>
      <c r="APL157" s="65" t="n"/>
      <c r="APM157" s="65" t="n"/>
      <c r="APN157" s="65" t="n"/>
      <c r="APO157" s="65" t="n"/>
      <c r="APP157" s="65" t="n"/>
      <c r="APQ157" s="65" t="n"/>
      <c r="APR157" s="65" t="n"/>
      <c r="APS157" s="65" t="n"/>
      <c r="APT157" s="65" t="n"/>
      <c r="APU157" s="65" t="n"/>
      <c r="APV157" s="65" t="n"/>
      <c r="APW157" s="65" t="n"/>
      <c r="APX157" s="65" t="n"/>
      <c r="APY157" s="65" t="n"/>
      <c r="APZ157" s="65" t="n"/>
      <c r="AQA157" s="65" t="n"/>
      <c r="AQB157" s="65" t="n"/>
      <c r="AQC157" s="65" t="n"/>
      <c r="AQD157" s="65" t="n"/>
      <c r="AQE157" s="65" t="n"/>
      <c r="AQF157" s="65" t="n"/>
      <c r="AQG157" s="65" t="n"/>
      <c r="AQH157" s="65" t="n"/>
      <c r="AQI157" s="65" t="n"/>
      <c r="AQJ157" s="65" t="n"/>
      <c r="AQK157" s="65" t="n"/>
      <c r="AQL157" s="65" t="n"/>
      <c r="AQM157" s="65" t="n"/>
      <c r="AQN157" s="65" t="n"/>
      <c r="AQO157" s="65" t="n"/>
      <c r="AQP157" s="65" t="n"/>
      <c r="AQQ157" s="65" t="n"/>
      <c r="AQR157" s="65" t="n"/>
      <c r="AQS157" s="65" t="n"/>
      <c r="AQT157" s="65" t="n"/>
      <c r="AQU157" s="65" t="n"/>
      <c r="AQV157" s="65" t="n"/>
      <c r="AQW157" s="65" t="n"/>
      <c r="AQX157" s="65" t="n"/>
      <c r="AQY157" s="65" t="n"/>
      <c r="AQZ157" s="65" t="n"/>
      <c r="ARA157" s="65" t="n"/>
      <c r="ARB157" s="65" t="n"/>
      <c r="ARC157" s="65" t="n"/>
      <c r="ARD157" s="65" t="n"/>
      <c r="ARE157" s="65" t="n"/>
      <c r="ARF157" s="65" t="n"/>
      <c r="ARG157" s="65" t="n"/>
      <c r="ARH157" s="65" t="n"/>
      <c r="ARI157" s="65" t="n"/>
      <c r="ARJ157" s="65" t="n"/>
      <c r="ARK157" s="65" t="n"/>
      <c r="ARL157" s="65" t="n"/>
      <c r="ARM157" s="65" t="n"/>
      <c r="ARN157" s="65" t="n"/>
      <c r="ARO157" s="65" t="n"/>
      <c r="ARP157" s="65" t="n"/>
      <c r="ARQ157" s="65" t="n"/>
      <c r="ARR157" s="65" t="n"/>
      <c r="ARS157" s="65" t="n"/>
      <c r="ART157" s="65" t="n"/>
      <c r="ARU157" s="65" t="n"/>
      <c r="ARV157" s="65" t="n"/>
      <c r="ARW157" s="65" t="n"/>
      <c r="ARX157" s="65" t="n"/>
      <c r="ARY157" s="65" t="n"/>
      <c r="ARZ157" s="65" t="n"/>
      <c r="ASA157" s="65" t="n"/>
      <c r="ASB157" s="65" t="n"/>
      <c r="ASC157" s="65" t="n"/>
      <c r="ASD157" s="65" t="n"/>
      <c r="ASE157" s="65" t="n"/>
      <c r="ASF157" s="65" t="n"/>
      <c r="ASG157" s="65" t="n"/>
      <c r="ASH157" s="65" t="n"/>
      <c r="ASI157" s="65" t="n"/>
      <c r="ASJ157" s="65" t="n"/>
      <c r="ASK157" s="65" t="n"/>
      <c r="ASL157" s="65" t="n"/>
      <c r="ASM157" s="65" t="n"/>
      <c r="ASN157" s="65" t="n"/>
      <c r="ASO157" s="65" t="n"/>
      <c r="ASP157" s="65" t="n"/>
      <c r="ASQ157" s="65" t="n"/>
      <c r="ASR157" s="65" t="n"/>
      <c r="ASS157" s="65" t="n"/>
      <c r="AST157" s="65" t="n"/>
      <c r="ASU157" s="65" t="n"/>
      <c r="ASV157" s="65" t="n"/>
      <c r="ASW157" s="65" t="n"/>
      <c r="ASX157" s="65" t="n"/>
      <c r="ASY157" s="65" t="n"/>
      <c r="ASZ157" s="65" t="n"/>
      <c r="ATA157" s="65" t="n"/>
      <c r="ATB157" s="65" t="n"/>
      <c r="ATC157" s="65" t="n"/>
      <c r="ATD157" s="65" t="n"/>
      <c r="ATE157" s="65" t="n"/>
      <c r="ATF157" s="65" t="n"/>
      <c r="ATG157" s="65" t="n"/>
      <c r="ATH157" s="65" t="n"/>
      <c r="ATI157" s="65" t="n"/>
      <c r="ATJ157" s="65" t="n"/>
      <c r="ATK157" s="65" t="n"/>
      <c r="ATL157" s="65" t="n"/>
      <c r="ATM157" s="65" t="n"/>
      <c r="ATN157" s="65" t="n"/>
      <c r="ATO157" s="65" t="n"/>
      <c r="ATP157" s="65" t="n"/>
      <c r="ATQ157" s="65" t="n"/>
      <c r="ATR157" s="65" t="n"/>
      <c r="ATS157" s="65" t="n"/>
      <c r="ATT157" s="65" t="n"/>
      <c r="ATU157" s="65" t="n"/>
      <c r="ATV157" s="65" t="n"/>
      <c r="ATW157" s="65" t="n"/>
      <c r="ATX157" s="65" t="n"/>
      <c r="ATY157" s="65" t="n"/>
      <c r="ATZ157" s="65" t="n"/>
      <c r="AUA157" s="65" t="n"/>
      <c r="AUB157" s="65" t="n"/>
      <c r="AUC157" s="65" t="n"/>
      <c r="AUD157" s="65" t="n"/>
      <c r="AUE157" s="65" t="n"/>
      <c r="AUF157" s="65" t="n"/>
      <c r="AUG157" s="65" t="n"/>
      <c r="AUH157" s="65" t="n"/>
      <c r="AUI157" s="65" t="n"/>
      <c r="AUJ157" s="65" t="n"/>
      <c r="AUK157" s="65" t="n"/>
      <c r="AUL157" s="65" t="n"/>
      <c r="AUM157" s="65" t="n"/>
      <c r="AUN157" s="65" t="n"/>
      <c r="AUO157" s="65" t="n"/>
      <c r="AUP157" s="65" t="n"/>
      <c r="AUQ157" s="65" t="n"/>
      <c r="AUR157" s="65" t="n"/>
      <c r="AUS157" s="65" t="n"/>
      <c r="AUT157" s="65" t="n"/>
      <c r="AUU157" s="65" t="n"/>
      <c r="AUV157" s="65" t="n"/>
      <c r="AUW157" s="65" t="n"/>
      <c r="AUX157" s="65" t="n"/>
      <c r="AUY157" s="65" t="n"/>
      <c r="AUZ157" s="65" t="n"/>
      <c r="AVA157" s="65" t="n"/>
      <c r="AVB157" s="65" t="n"/>
      <c r="AVC157" s="65" t="n"/>
      <c r="AVD157" s="65" t="n"/>
      <c r="AVE157" s="65" t="n"/>
      <c r="AVF157" s="65" t="n"/>
      <c r="AVG157" s="65" t="n"/>
      <c r="AVH157" s="65" t="n"/>
      <c r="AVI157" s="65" t="n"/>
      <c r="AVJ157" s="65" t="n"/>
      <c r="AVK157" s="65" t="n"/>
      <c r="AVL157" s="65" t="n"/>
      <c r="AVM157" s="65" t="n"/>
      <c r="AVN157" s="65" t="n"/>
      <c r="AVO157" s="65" t="n"/>
      <c r="AVP157" s="65" t="n"/>
      <c r="AVQ157" s="65" t="n"/>
      <c r="AVR157" s="65" t="n"/>
      <c r="AVS157" s="65" t="n"/>
      <c r="AVT157" s="65" t="n"/>
      <c r="AVU157" s="65" t="n"/>
      <c r="AVV157" s="65" t="n"/>
      <c r="AVW157" s="65" t="n"/>
      <c r="AVX157" s="65" t="n"/>
      <c r="AVY157" s="65" t="n"/>
      <c r="AVZ157" s="65" t="n"/>
      <c r="AWA157" s="65" t="n"/>
      <c r="AWB157" s="65" t="n"/>
      <c r="AWC157" s="65" t="n"/>
      <c r="AWD157" s="65" t="n"/>
      <c r="AWE157" s="65" t="n"/>
      <c r="AWF157" s="65" t="n"/>
      <c r="AWG157" s="65" t="n"/>
      <c r="AWH157" s="65" t="n"/>
      <c r="AWI157" s="65" t="n"/>
      <c r="AWJ157" s="65" t="n"/>
      <c r="AWK157" s="65" t="n"/>
      <c r="AWL157" s="65" t="n"/>
      <c r="AWM157" s="65" t="n"/>
      <c r="AWN157" s="65" t="n"/>
      <c r="AWO157" s="65" t="n"/>
      <c r="AWP157" s="65" t="n"/>
      <c r="AWQ157" s="65" t="n"/>
      <c r="AWR157" s="65" t="n"/>
      <c r="AWS157" s="65" t="n"/>
      <c r="AWT157" s="65" t="n"/>
      <c r="AWU157" s="65" t="n"/>
      <c r="AWV157" s="65" t="n"/>
      <c r="AWW157" s="65" t="n"/>
      <c r="AWX157" s="65" t="n"/>
      <c r="AWY157" s="65" t="n"/>
      <c r="AWZ157" s="65" t="n"/>
      <c r="AXA157" s="65" t="n"/>
      <c r="AXB157" s="65" t="n"/>
      <c r="AXC157" s="65" t="n"/>
      <c r="AXD157" s="65" t="n"/>
      <c r="AXE157" s="65" t="n"/>
      <c r="AXF157" s="65" t="n"/>
      <c r="AXG157" s="65" t="n"/>
      <c r="AXH157" s="65" t="n"/>
      <c r="AXI157" s="65" t="n"/>
      <c r="AXJ157" s="65" t="n"/>
      <c r="AXK157" s="65" t="n"/>
      <c r="AXL157" s="65" t="n"/>
      <c r="AXM157" s="65" t="n"/>
      <c r="AXN157" s="65" t="n"/>
      <c r="AXO157" s="65" t="n"/>
      <c r="AXP157" s="65" t="n"/>
      <c r="AXQ157" s="65" t="n"/>
      <c r="AXR157" s="65" t="n"/>
      <c r="AXS157" s="65" t="n"/>
      <c r="AXT157" s="65" t="n"/>
      <c r="AXU157" s="65" t="n"/>
      <c r="AXV157" s="65" t="n"/>
      <c r="AXW157" s="65" t="n"/>
      <c r="AXX157" s="65" t="n"/>
      <c r="AXY157" s="65" t="n"/>
      <c r="AXZ157" s="65" t="n"/>
      <c r="AYA157" s="65" t="n"/>
      <c r="AYB157" s="65" t="n"/>
      <c r="AYC157" s="65" t="n"/>
      <c r="AYD157" s="65" t="n"/>
      <c r="AYE157" s="65" t="n"/>
      <c r="AYF157" s="65" t="n"/>
      <c r="AYG157" s="65" t="n"/>
      <c r="AYH157" s="65" t="n"/>
      <c r="AYI157" s="65" t="n"/>
      <c r="AYJ157" s="65" t="n"/>
      <c r="AYK157" s="65" t="n"/>
      <c r="AYL157" s="65" t="n"/>
      <c r="AYM157" s="65" t="n"/>
      <c r="AYN157" s="65" t="n"/>
      <c r="AYO157" s="65" t="n"/>
      <c r="AYP157" s="65" t="n"/>
      <c r="AYQ157" s="65" t="n"/>
      <c r="AYR157" s="65" t="n"/>
      <c r="AYS157" s="65" t="n"/>
      <c r="AYT157" s="65" t="n"/>
      <c r="AYU157" s="65" t="n"/>
      <c r="AYV157" s="65" t="n"/>
      <c r="AYW157" s="65" t="n"/>
      <c r="AYX157" s="65" t="n"/>
      <c r="AYY157" s="65" t="n"/>
      <c r="AYZ157" s="65" t="n"/>
      <c r="AZA157" s="65" t="n"/>
      <c r="AZB157" s="65" t="n"/>
      <c r="AZC157" s="65" t="n"/>
      <c r="AZD157" s="65" t="n"/>
      <c r="AZE157" s="65" t="n"/>
      <c r="AZF157" s="65" t="n"/>
      <c r="AZG157" s="65" t="n"/>
      <c r="AZH157" s="65" t="n"/>
      <c r="AZI157" s="65" t="n"/>
      <c r="AZJ157" s="65" t="n"/>
      <c r="AZK157" s="65" t="n"/>
      <c r="AZL157" s="65" t="n"/>
      <c r="AZM157" s="65" t="n"/>
      <c r="AZN157" s="65" t="n"/>
      <c r="AZO157" s="65" t="n"/>
      <c r="AZP157" s="65" t="n"/>
      <c r="AZQ157" s="65" t="n"/>
      <c r="AZR157" s="65" t="n"/>
      <c r="AZS157" s="65" t="n"/>
      <c r="AZT157" s="65" t="n"/>
      <c r="AZU157" s="65" t="n"/>
      <c r="AZV157" s="65" t="n"/>
      <c r="AZW157" s="65" t="n"/>
      <c r="AZX157" s="65" t="n"/>
      <c r="AZY157" s="65" t="n"/>
      <c r="AZZ157" s="65" t="n"/>
      <c r="BAA157" s="65" t="n"/>
      <c r="BAB157" s="65" t="n"/>
      <c r="BAC157" s="65" t="n"/>
      <c r="BAD157" s="65" t="n"/>
      <c r="BAE157" s="65" t="n"/>
      <c r="BAF157" s="65" t="n"/>
      <c r="BAG157" s="65" t="n"/>
      <c r="BAH157" s="65" t="n"/>
      <c r="BAI157" s="65" t="n"/>
      <c r="BAJ157" s="65" t="n"/>
      <c r="BAK157" s="65" t="n"/>
      <c r="BAL157" s="65" t="n"/>
      <c r="BAM157" s="65" t="n"/>
      <c r="BAN157" s="65" t="n"/>
      <c r="BAO157" s="65" t="n"/>
      <c r="BAP157" s="65" t="n"/>
      <c r="BAQ157" s="65" t="n"/>
      <c r="BAR157" s="65" t="n"/>
      <c r="BAS157" s="65" t="n"/>
      <c r="BAT157" s="65" t="n"/>
      <c r="BAU157" s="65" t="n"/>
      <c r="BAV157" s="65" t="n"/>
      <c r="BAW157" s="65" t="n"/>
      <c r="BAX157" s="65" t="n"/>
      <c r="BAY157" s="65" t="n"/>
      <c r="BAZ157" s="65" t="n"/>
      <c r="BBA157" s="65" t="n"/>
      <c r="BBB157" s="65" t="n"/>
      <c r="BBC157" s="65" t="n"/>
      <c r="BBD157" s="65" t="n"/>
      <c r="BBE157" s="65" t="n"/>
      <c r="BBF157" s="65" t="n"/>
      <c r="BBG157" s="65" t="n"/>
      <c r="BBH157" s="65" t="n"/>
      <c r="BBI157" s="65" t="n"/>
      <c r="BBJ157" s="65" t="n"/>
      <c r="BBK157" s="65" t="n"/>
      <c r="BBL157" s="65" t="n"/>
      <c r="BBM157" s="65" t="n"/>
      <c r="BBN157" s="65" t="n"/>
      <c r="BBO157" s="65" t="n"/>
      <c r="BBP157" s="65" t="n"/>
      <c r="BBQ157" s="65" t="n"/>
      <c r="BBR157" s="65" t="n"/>
      <c r="BBS157" s="65" t="n"/>
      <c r="BBT157" s="65" t="n"/>
      <c r="BBU157" s="65" t="n"/>
      <c r="BBV157" s="65" t="n"/>
      <c r="BBW157" s="65" t="n"/>
      <c r="BBX157" s="65" t="n"/>
      <c r="BBY157" s="65" t="n"/>
      <c r="BBZ157" s="65" t="n"/>
      <c r="BCA157" s="65" t="n"/>
      <c r="BCB157" s="65" t="n"/>
      <c r="BCC157" s="65" t="n"/>
      <c r="BCD157" s="65" t="n"/>
      <c r="BCE157" s="65" t="n"/>
      <c r="BCF157" s="65" t="n"/>
      <c r="BCG157" s="65" t="n"/>
      <c r="BCH157" s="65" t="n"/>
      <c r="BCI157" s="65" t="n"/>
      <c r="BCJ157" s="65" t="n"/>
      <c r="BCK157" s="65" t="n"/>
      <c r="BCL157" s="65" t="n"/>
      <c r="BCM157" s="65" t="n"/>
      <c r="BCN157" s="65" t="n"/>
      <c r="BCO157" s="65" t="n"/>
      <c r="BCP157" s="65" t="n"/>
      <c r="BCQ157" s="65" t="n"/>
      <c r="BCR157" s="65" t="n"/>
      <c r="BCS157" s="65" t="n"/>
      <c r="BCT157" s="65" t="n"/>
      <c r="BCU157" s="65" t="n"/>
      <c r="BCV157" s="65" t="n"/>
      <c r="BCW157" s="65" t="n"/>
      <c r="BCX157" s="65" t="n"/>
      <c r="BCY157" s="65" t="n"/>
      <c r="BCZ157" s="65" t="n"/>
      <c r="BDA157" s="65" t="n"/>
      <c r="BDB157" s="65" t="n"/>
      <c r="BDC157" s="65" t="n"/>
      <c r="BDD157" s="65" t="n"/>
      <c r="BDE157" s="65" t="n"/>
      <c r="BDF157" s="65" t="n"/>
      <c r="BDG157" s="65" t="n"/>
      <c r="BDH157" s="65" t="n"/>
      <c r="BDI157" s="65" t="n"/>
      <c r="BDJ157" s="65" t="n"/>
      <c r="BDK157" s="65" t="n"/>
      <c r="BDL157" s="65" t="n"/>
      <c r="BDM157" s="65" t="n"/>
      <c r="BDN157" s="65" t="n"/>
      <c r="BDO157" s="65" t="n"/>
      <c r="BDP157" s="65" t="n"/>
      <c r="BDQ157" s="65" t="n"/>
      <c r="BDR157" s="65" t="n"/>
      <c r="BDS157" s="65" t="n"/>
      <c r="BDT157" s="65" t="n"/>
      <c r="BDU157" s="65" t="n"/>
      <c r="BDV157" s="65" t="n"/>
      <c r="BDW157" s="65" t="n"/>
      <c r="BDX157" s="65" t="n"/>
      <c r="BDY157" s="65" t="n"/>
      <c r="BDZ157" s="65" t="n"/>
      <c r="BEA157" s="65" t="n"/>
      <c r="BEB157" s="65" t="n"/>
      <c r="BEC157" s="65" t="n"/>
      <c r="BED157" s="65" t="n"/>
      <c r="BEE157" s="65" t="n"/>
      <c r="BEF157" s="65" t="n"/>
      <c r="BEG157" s="65" t="n"/>
      <c r="BEH157" s="65" t="n"/>
      <c r="BEI157" s="65" t="n"/>
      <c r="BEJ157" s="65" t="n"/>
      <c r="BEK157" s="65" t="n"/>
      <c r="BEL157" s="65" t="n"/>
      <c r="BEM157" s="65" t="n"/>
      <c r="BEN157" s="65" t="n"/>
      <c r="BEO157" s="65" t="n"/>
      <c r="BEP157" s="65" t="n"/>
      <c r="BEQ157" s="65" t="n"/>
      <c r="BER157" s="65" t="n"/>
      <c r="BES157" s="65" t="n"/>
      <c r="BET157" s="65" t="n"/>
      <c r="BEU157" s="65" t="n"/>
      <c r="BEV157" s="65" t="n"/>
      <c r="BEW157" s="65" t="n"/>
      <c r="BEX157" s="65" t="n"/>
      <c r="BEY157" s="65" t="n"/>
      <c r="BEZ157" s="65" t="n"/>
      <c r="BFA157" s="65" t="n"/>
      <c r="BFB157" s="65" t="n"/>
      <c r="BFC157" s="65" t="n"/>
      <c r="BFD157" s="65" t="n"/>
      <c r="BFE157" s="65" t="n"/>
      <c r="BFF157" s="65" t="n"/>
      <c r="BFG157" s="65" t="n"/>
      <c r="BFH157" s="65" t="n"/>
      <c r="BFI157" s="65" t="n"/>
      <c r="BFJ157" s="65" t="n"/>
      <c r="BFK157" s="65" t="n"/>
      <c r="BFL157" s="65" t="n"/>
      <c r="BFM157" s="65" t="n"/>
      <c r="BFN157" s="65" t="n"/>
      <c r="BFO157" s="65" t="n"/>
      <c r="BFP157" s="65" t="n"/>
      <c r="BFQ157" s="65" t="n"/>
      <c r="BFR157" s="65" t="n"/>
      <c r="BFS157" s="65" t="n"/>
      <c r="BFT157" s="65" t="n"/>
      <c r="BFU157" s="65" t="n"/>
      <c r="BFV157" s="65" t="n"/>
      <c r="BFW157" s="65" t="n"/>
      <c r="BFX157" s="65" t="n"/>
      <c r="BFY157" s="65" t="n"/>
      <c r="BFZ157" s="65" t="n"/>
      <c r="BGA157" s="65" t="n"/>
      <c r="BGB157" s="65" t="n"/>
      <c r="BGC157" s="65" t="n"/>
      <c r="BGD157" s="65" t="n"/>
      <c r="BGE157" s="65" t="n"/>
      <c r="BGF157" s="65" t="n"/>
      <c r="BGG157" s="65" t="n"/>
      <c r="BGH157" s="65" t="n"/>
      <c r="BGI157" s="65" t="n"/>
      <c r="BGJ157" s="65" t="n"/>
      <c r="BGK157" s="65" t="n"/>
      <c r="BGL157" s="65" t="n"/>
      <c r="BGM157" s="65" t="n"/>
      <c r="BGN157" s="65" t="n"/>
      <c r="BGO157" s="65" t="n"/>
      <c r="BGP157" s="65" t="n"/>
      <c r="BGQ157" s="65" t="n"/>
      <c r="BGR157" s="65" t="n"/>
      <c r="BGS157" s="65" t="n"/>
      <c r="BGT157" s="65" t="n"/>
      <c r="BGU157" s="65" t="n"/>
      <c r="BGV157" s="65" t="n"/>
      <c r="BGW157" s="65" t="n"/>
      <c r="BGX157" s="65" t="n"/>
      <c r="BGY157" s="65" t="n"/>
      <c r="BGZ157" s="65" t="n"/>
      <c r="BHA157" s="65" t="n"/>
      <c r="BHB157" s="65" t="n"/>
      <c r="BHC157" s="65" t="n"/>
      <c r="BHD157" s="65" t="n"/>
      <c r="BHE157" s="65" t="n"/>
      <c r="BHF157" s="65" t="n"/>
      <c r="BHG157" s="65" t="n"/>
      <c r="BHH157" s="65" t="n"/>
      <c r="BHI157" s="65" t="n"/>
      <c r="BHJ157" s="65" t="n"/>
      <c r="BHK157" s="65" t="n"/>
      <c r="BHL157" s="65" t="n"/>
      <c r="BHM157" s="65" t="n"/>
      <c r="BHN157" s="65" t="n"/>
      <c r="BHO157" s="65" t="n"/>
      <c r="BHP157" s="65" t="n"/>
      <c r="BHQ157" s="65" t="n"/>
      <c r="BHR157" s="65" t="n"/>
      <c r="BHS157" s="65" t="n"/>
      <c r="BHT157" s="65" t="n"/>
      <c r="BHU157" s="65" t="n"/>
      <c r="BHV157" s="65" t="n"/>
      <c r="BHW157" s="65" t="n"/>
      <c r="BHX157" s="65" t="n"/>
      <c r="BHY157" s="65" t="n"/>
      <c r="BHZ157" s="65" t="n"/>
      <c r="BIA157" s="65" t="n"/>
      <c r="BIB157" s="65" t="n"/>
      <c r="BIC157" s="65" t="n"/>
      <c r="BID157" s="65" t="n"/>
      <c r="BIE157" s="65" t="n"/>
      <c r="BIF157" s="65" t="n"/>
      <c r="BIG157" s="65" t="n"/>
      <c r="BIH157" s="65" t="n"/>
      <c r="BII157" s="65" t="n"/>
      <c r="BIJ157" s="65" t="n"/>
      <c r="BIK157" s="65" t="n"/>
      <c r="BIL157" s="65" t="n"/>
      <c r="BIM157" s="65" t="n"/>
      <c r="BIN157" s="65" t="n"/>
      <c r="BIO157" s="65" t="n"/>
      <c r="BIP157" s="65" t="n"/>
      <c r="BIQ157" s="65" t="n"/>
      <c r="BIR157" s="65" t="n"/>
      <c r="BIS157" s="65" t="n"/>
      <c r="BIT157" s="65" t="n"/>
      <c r="BIU157" s="65" t="n"/>
      <c r="BIV157" s="65" t="n"/>
      <c r="BIW157" s="65" t="n"/>
      <c r="BIX157" s="65" t="n"/>
      <c r="BIY157" s="65" t="n"/>
      <c r="BIZ157" s="65" t="n"/>
      <c r="BJA157" s="65" t="n"/>
      <c r="BJB157" s="65" t="n"/>
      <c r="BJC157" s="65" t="n"/>
      <c r="BJD157" s="65" t="n"/>
      <c r="BJE157" s="65" t="n"/>
      <c r="BJF157" s="65" t="n"/>
      <c r="BJG157" s="65" t="n"/>
      <c r="BJH157" s="65" t="n"/>
      <c r="BJI157" s="65" t="n"/>
      <c r="BJJ157" s="65" t="n"/>
      <c r="BJK157" s="65" t="n"/>
      <c r="BJL157" s="65" t="n"/>
      <c r="BJM157" s="65" t="n"/>
      <c r="BJN157" s="65" t="n"/>
      <c r="BJO157" s="65" t="n"/>
      <c r="BJP157" s="65" t="n"/>
      <c r="BJQ157" s="65" t="n"/>
      <c r="BJR157" s="65" t="n"/>
      <c r="BJS157" s="65" t="n"/>
      <c r="BJT157" s="65" t="n"/>
      <c r="BJU157" s="65" t="n"/>
      <c r="BJV157" s="65" t="n"/>
      <c r="BJW157" s="65" t="n"/>
      <c r="BJX157" s="65" t="n"/>
      <c r="BJY157" s="65" t="n"/>
      <c r="BJZ157" s="65" t="n"/>
      <c r="BKA157" s="65" t="n"/>
      <c r="BKB157" s="65" t="n"/>
      <c r="BKC157" s="65" t="n"/>
      <c r="BKD157" s="65" t="n"/>
      <c r="BKE157" s="65" t="n"/>
      <c r="BKF157" s="65" t="n"/>
      <c r="BKG157" s="65" t="n"/>
      <c r="BKH157" s="65" t="n"/>
      <c r="BKI157" s="65" t="n"/>
      <c r="BKJ157" s="65" t="n"/>
      <c r="BKK157" s="65" t="n"/>
      <c r="BKL157" s="65" t="n"/>
      <c r="BKM157" s="65" t="n"/>
      <c r="BKN157" s="65" t="n"/>
      <c r="BKO157" s="65" t="n"/>
      <c r="BKP157" s="65" t="n"/>
      <c r="BKQ157" s="65" t="n"/>
      <c r="BKR157" s="65" t="n"/>
      <c r="BKS157" s="65" t="n"/>
      <c r="BKT157" s="65" t="n"/>
      <c r="BKU157" s="65" t="n"/>
      <c r="BKV157" s="65" t="n"/>
      <c r="BKW157" s="65" t="n"/>
      <c r="BKX157" s="65" t="n"/>
      <c r="BKY157" s="65" t="n"/>
      <c r="BKZ157" s="65" t="n"/>
      <c r="BLA157" s="65" t="n"/>
      <c r="BLB157" s="65" t="n"/>
      <c r="BLC157" s="65" t="n"/>
      <c r="BLD157" s="65" t="n"/>
      <c r="BLE157" s="65" t="n"/>
      <c r="BLF157" s="65" t="n"/>
      <c r="BLG157" s="65" t="n"/>
      <c r="BLH157" s="65" t="n"/>
      <c r="BLI157" s="65" t="n"/>
      <c r="BLJ157" s="65" t="n"/>
      <c r="BLK157" s="65" t="n"/>
      <c r="BLL157" s="65" t="n"/>
      <c r="BLM157" s="65" t="n"/>
      <c r="BLN157" s="65" t="n"/>
      <c r="BLO157" s="65" t="n"/>
      <c r="BLP157" s="65" t="n"/>
      <c r="BLQ157" s="65" t="n"/>
      <c r="BLR157" s="65" t="n"/>
      <c r="BLS157" s="65" t="n"/>
      <c r="BLT157" s="65" t="n"/>
      <c r="BLU157" s="65" t="n"/>
      <c r="BLV157" s="65" t="n"/>
      <c r="BLW157" s="65" t="n"/>
      <c r="BLX157" s="65" t="n"/>
      <c r="BLY157" s="65" t="n"/>
      <c r="BLZ157" s="65" t="n"/>
      <c r="BMA157" s="65" t="n"/>
      <c r="BMB157" s="65" t="n"/>
      <c r="BMC157" s="65" t="n"/>
      <c r="BMD157" s="65" t="n"/>
      <c r="BME157" s="65" t="n"/>
      <c r="BMF157" s="65" t="n"/>
      <c r="BMG157" s="65" t="n"/>
      <c r="BMH157" s="65" t="n"/>
      <c r="BMI157" s="65" t="n"/>
      <c r="BMJ157" s="65" t="n"/>
      <c r="BMK157" s="65" t="n"/>
      <c r="BML157" s="65" t="n"/>
      <c r="BMM157" s="65" t="n"/>
      <c r="BMN157" s="65" t="n"/>
      <c r="BMO157" s="65" t="n"/>
      <c r="BMP157" s="65" t="n"/>
      <c r="BMQ157" s="65" t="n"/>
      <c r="BMR157" s="65" t="n"/>
      <c r="BMS157" s="65" t="n"/>
      <c r="BMT157" s="65" t="n"/>
      <c r="BMU157" s="65" t="n"/>
      <c r="BMV157" s="65" t="n"/>
      <c r="BMW157" s="65" t="n"/>
      <c r="BMX157" s="65" t="n"/>
      <c r="BMY157" s="65" t="n"/>
      <c r="BMZ157" s="65" t="n"/>
      <c r="BNA157" s="65" t="n"/>
      <c r="BNB157" s="65" t="n"/>
      <c r="BNC157" s="65" t="n"/>
      <c r="BND157" s="65" t="n"/>
      <c r="BNE157" s="65" t="n"/>
      <c r="BNF157" s="65" t="n"/>
      <c r="BNG157" s="65" t="n"/>
      <c r="BNH157" s="65" t="n"/>
      <c r="BNI157" s="65" t="n"/>
      <c r="BNJ157" s="65" t="n"/>
      <c r="BNK157" s="65" t="n"/>
      <c r="BNL157" s="65" t="n"/>
      <c r="BNM157" s="65" t="n"/>
      <c r="BNN157" s="65" t="n"/>
      <c r="BNO157" s="65" t="n"/>
      <c r="BNP157" s="65" t="n"/>
      <c r="BNQ157" s="65" t="n"/>
      <c r="BNR157" s="65" t="n"/>
      <c r="BNS157" s="65" t="n"/>
      <c r="BNT157" s="65" t="n"/>
      <c r="BNU157" s="65" t="n"/>
      <c r="BNV157" s="65" t="n"/>
      <c r="BNW157" s="65" t="n"/>
      <c r="BNX157" s="65" t="n"/>
      <c r="BNY157" s="65" t="n"/>
      <c r="BNZ157" s="65" t="n"/>
      <c r="BOA157" s="65" t="n"/>
      <c r="BOB157" s="65" t="n"/>
      <c r="BOC157" s="65" t="n"/>
      <c r="BOD157" s="65" t="n"/>
      <c r="BOE157" s="65" t="n"/>
      <c r="BOF157" s="65" t="n"/>
      <c r="BOG157" s="65" t="n"/>
      <c r="BOH157" s="65" t="n"/>
      <c r="BOI157" s="65" t="n"/>
      <c r="BOJ157" s="65" t="n"/>
      <c r="BOK157" s="65" t="n"/>
      <c r="BOL157" s="65" t="n"/>
      <c r="BOM157" s="65" t="n"/>
      <c r="BON157" s="65" t="n"/>
      <c r="BOO157" s="65" t="n"/>
      <c r="BOP157" s="65" t="n"/>
      <c r="BOQ157" s="65" t="n"/>
      <c r="BOR157" s="65" t="n"/>
      <c r="BOS157" s="65" t="n"/>
      <c r="BOT157" s="65" t="n"/>
      <c r="BOU157" s="65" t="n"/>
      <c r="BOV157" s="65" t="n"/>
      <c r="BOW157" s="65" t="n"/>
      <c r="BOX157" s="65" t="n"/>
      <c r="BOY157" s="65" t="n"/>
      <c r="BOZ157" s="65" t="n"/>
      <c r="BPA157" s="65" t="n"/>
      <c r="BPB157" s="65" t="n"/>
      <c r="BPC157" s="65" t="n"/>
      <c r="BPD157" s="65" t="n"/>
      <c r="BPE157" s="65" t="n"/>
      <c r="BPF157" s="65" t="n"/>
      <c r="BPG157" s="65" t="n"/>
      <c r="BPH157" s="65" t="n"/>
      <c r="BPI157" s="65" t="n"/>
      <c r="BPJ157" s="65" t="n"/>
      <c r="BPK157" s="65" t="n"/>
      <c r="BPL157" s="65" t="n"/>
      <c r="BPM157" s="65" t="n"/>
      <c r="BPN157" s="65" t="n"/>
      <c r="BPO157" s="65" t="n"/>
      <c r="BPP157" s="65" t="n"/>
      <c r="BPQ157" s="65" t="n"/>
      <c r="BPR157" s="65" t="n"/>
      <c r="BPS157" s="65" t="n"/>
      <c r="BPT157" s="65" t="n"/>
      <c r="BPU157" s="65" t="n"/>
      <c r="BPV157" s="65" t="n"/>
      <c r="BPW157" s="65" t="n"/>
      <c r="BPX157" s="65" t="n"/>
      <c r="BPY157" s="65" t="n"/>
      <c r="BPZ157" s="65" t="n"/>
      <c r="BQA157" s="65" t="n"/>
      <c r="BQB157" s="65" t="n"/>
      <c r="BQC157" s="65" t="n"/>
      <c r="BQD157" s="65" t="n"/>
      <c r="BQE157" s="65" t="n"/>
      <c r="BQF157" s="65" t="n"/>
      <c r="BQG157" s="65" t="n"/>
      <c r="BQH157" s="65" t="n"/>
      <c r="BQI157" s="65" t="n"/>
      <c r="BQJ157" s="65" t="n"/>
      <c r="BQK157" s="65" t="n"/>
      <c r="BQL157" s="65" t="n"/>
      <c r="BQM157" s="65" t="n"/>
      <c r="BQN157" s="65" t="n"/>
      <c r="BQO157" s="65" t="n"/>
      <c r="BQP157" s="65" t="n"/>
      <c r="BQQ157" s="65" t="n"/>
      <c r="BQR157" s="65" t="n"/>
      <c r="BQS157" s="65" t="n"/>
      <c r="BQT157" s="65" t="n"/>
      <c r="BQU157" s="65" t="n"/>
      <c r="BQV157" s="65" t="n"/>
      <c r="BQW157" s="65" t="n"/>
      <c r="BQX157" s="65" t="n"/>
      <c r="BQY157" s="65" t="n"/>
      <c r="BQZ157" s="65" t="n"/>
      <c r="BRA157" s="65" t="n"/>
      <c r="BRB157" s="65" t="n"/>
      <c r="BRC157" s="65" t="n"/>
      <c r="BRD157" s="65" t="n"/>
      <c r="BRE157" s="65" t="n"/>
      <c r="BRF157" s="65" t="n"/>
      <c r="BRG157" s="65" t="n"/>
      <c r="BRH157" s="65" t="n"/>
      <c r="BRI157" s="65" t="n"/>
      <c r="BRJ157" s="65" t="n"/>
      <c r="BRK157" s="65" t="n"/>
      <c r="BRL157" s="65" t="n"/>
      <c r="BRM157" s="65" t="n"/>
      <c r="BRN157" s="65" t="n"/>
      <c r="BRO157" s="65" t="n"/>
      <c r="BRP157" s="65" t="n"/>
      <c r="BRQ157" s="65" t="n"/>
      <c r="BRR157" s="65" t="n"/>
      <c r="BRS157" s="65" t="n"/>
      <c r="BRT157" s="65" t="n"/>
      <c r="BRU157" s="65" t="n"/>
      <c r="BRV157" s="65" t="n"/>
      <c r="BRW157" s="65" t="n"/>
      <c r="BRX157" s="65" t="n"/>
      <c r="BRY157" s="65" t="n"/>
      <c r="BRZ157" s="65" t="n"/>
      <c r="BSA157" s="65" t="n"/>
      <c r="BSB157" s="65" t="n"/>
      <c r="BSC157" s="65" t="n"/>
      <c r="BSD157" s="65" t="n"/>
      <c r="BSE157" s="65" t="n"/>
      <c r="BSF157" s="65" t="n"/>
      <c r="BSG157" s="65" t="n"/>
      <c r="BSH157" s="65" t="n"/>
      <c r="BSI157" s="65" t="n"/>
      <c r="BSJ157" s="65" t="n"/>
      <c r="BSK157" s="65" t="n"/>
      <c r="BSL157" s="65" t="n"/>
      <c r="BSM157" s="65" t="n"/>
      <c r="BSN157" s="65" t="n"/>
      <c r="BSO157" s="65" t="n"/>
      <c r="BSP157" s="65" t="n"/>
      <c r="BSQ157" s="65" t="n"/>
      <c r="BSR157" s="65" t="n"/>
      <c r="BSS157" s="65" t="n"/>
      <c r="BST157" s="65" t="n"/>
      <c r="BSU157" s="65" t="n"/>
      <c r="BSV157" s="65" t="n"/>
      <c r="BSW157" s="65" t="n"/>
      <c r="BSX157" s="65" t="n"/>
      <c r="BSY157" s="65" t="n"/>
      <c r="BSZ157" s="65" t="n"/>
      <c r="BTA157" s="65" t="n"/>
      <c r="BTB157" s="65" t="n"/>
      <c r="BTC157" s="65" t="n"/>
      <c r="BTD157" s="65" t="n"/>
      <c r="BTE157" s="65" t="n"/>
      <c r="BTF157" s="65" t="n"/>
      <c r="BTG157" s="65" t="n"/>
      <c r="BTH157" s="65" t="n"/>
      <c r="BTI157" s="65" t="n"/>
      <c r="BTJ157" s="65" t="n"/>
      <c r="BTK157" s="65" t="n"/>
      <c r="BTL157" s="65" t="n"/>
      <c r="BTM157" s="65" t="n"/>
      <c r="BTN157" s="65" t="n"/>
      <c r="BTO157" s="65" t="n"/>
      <c r="BTP157" s="65" t="n"/>
      <c r="BTQ157" s="65" t="n"/>
      <c r="BTR157" s="65" t="n"/>
      <c r="BTS157" s="65" t="n"/>
      <c r="BTT157" s="65" t="n"/>
      <c r="BTU157" s="65" t="n"/>
      <c r="BTV157" s="65" t="n"/>
      <c r="BTW157" s="65" t="n"/>
      <c r="BTX157" s="65" t="n"/>
      <c r="BTY157" s="65" t="n"/>
      <c r="BTZ157" s="65" t="n"/>
      <c r="BUA157" s="65" t="n"/>
      <c r="BUB157" s="65" t="n"/>
      <c r="BUC157" s="65" t="n"/>
      <c r="BUD157" s="65" t="n"/>
      <c r="BUE157" s="65" t="n"/>
      <c r="BUF157" s="65" t="n"/>
      <c r="BUG157" s="65" t="n"/>
      <c r="BUH157" s="65" t="n"/>
      <c r="BUI157" s="65" t="n"/>
      <c r="BUJ157" s="65" t="n"/>
      <c r="BUK157" s="65" t="n"/>
      <c r="BUL157" s="65" t="n"/>
      <c r="BUM157" s="65" t="n"/>
      <c r="BUN157" s="65" t="n"/>
      <c r="BUO157" s="65" t="n"/>
      <c r="BUP157" s="65" t="n"/>
      <c r="BUQ157" s="65" t="n"/>
      <c r="BUR157" s="65" t="n"/>
      <c r="BUS157" s="65" t="n"/>
      <c r="BUT157" s="65" t="n"/>
      <c r="BUU157" s="65" t="n"/>
      <c r="BUV157" s="65" t="n"/>
      <c r="BUW157" s="65" t="n"/>
      <c r="BUX157" s="65" t="n"/>
      <c r="BUY157" s="65" t="n"/>
      <c r="BUZ157" s="65" t="n"/>
      <c r="BVA157" s="65" t="n"/>
      <c r="BVB157" s="65" t="n"/>
      <c r="BVC157" s="65" t="n"/>
      <c r="BVD157" s="65" t="n"/>
      <c r="BVE157" s="65" t="n"/>
      <c r="BVF157" s="65" t="n"/>
      <c r="BVG157" s="65" t="n"/>
      <c r="BVH157" s="65" t="n"/>
      <c r="BVI157" s="65" t="n"/>
      <c r="BVJ157" s="65" t="n"/>
      <c r="BVK157" s="65" t="n"/>
      <c r="BVL157" s="65" t="n"/>
      <c r="BVM157" s="65" t="n"/>
      <c r="BVN157" s="65" t="n"/>
      <c r="BVO157" s="65" t="n"/>
      <c r="BVP157" s="65" t="n"/>
      <c r="BVQ157" s="65" t="n"/>
      <c r="BVR157" s="65" t="n"/>
      <c r="BVS157" s="65" t="n"/>
      <c r="BVT157" s="65" t="n"/>
      <c r="BVU157" s="65" t="n"/>
      <c r="BVV157" s="65" t="n"/>
      <c r="BVW157" s="65" t="n"/>
      <c r="BVX157" s="65" t="n"/>
      <c r="BVY157" s="65" t="n"/>
      <c r="BVZ157" s="65" t="n"/>
      <c r="BWA157" s="65" t="n"/>
      <c r="BWB157" s="65" t="n"/>
      <c r="BWC157" s="65" t="n"/>
      <c r="BWD157" s="65" t="n"/>
      <c r="BWE157" s="65" t="n"/>
      <c r="BWF157" s="65" t="n"/>
      <c r="BWG157" s="65" t="n"/>
      <c r="BWH157" s="65" t="n"/>
      <c r="BWI157" s="65" t="n"/>
      <c r="BWJ157" s="65" t="n"/>
      <c r="BWK157" s="65" t="n"/>
      <c r="BWL157" s="65" t="n"/>
      <c r="BWM157" s="65" t="n"/>
      <c r="BWN157" s="65" t="n"/>
      <c r="BWO157" s="65" t="n"/>
      <c r="BWP157" s="65" t="n"/>
      <c r="BWQ157" s="65" t="n"/>
      <c r="BWR157" s="65" t="n"/>
      <c r="BWS157" s="65" t="n"/>
      <c r="BWT157" s="65" t="n"/>
      <c r="BWU157" s="65" t="n"/>
      <c r="BWV157" s="65" t="n"/>
      <c r="BWW157" s="65" t="n"/>
      <c r="BWX157" s="65" t="n"/>
      <c r="BWY157" s="65" t="n"/>
      <c r="BWZ157" s="65" t="n"/>
      <c r="BXA157" s="65" t="n"/>
      <c r="BXB157" s="65" t="n"/>
      <c r="BXC157" s="65" t="n"/>
      <c r="BXD157" s="65" t="n"/>
      <c r="BXE157" s="65" t="n"/>
      <c r="BXF157" s="65" t="n"/>
      <c r="BXG157" s="65" t="n"/>
      <c r="BXH157" s="65" t="n"/>
      <c r="BXI157" s="65" t="n"/>
      <c r="BXJ157" s="65" t="n"/>
      <c r="BXK157" s="65" t="n"/>
      <c r="BXL157" s="65" t="n"/>
      <c r="BXM157" s="65" t="n"/>
      <c r="BXN157" s="65" t="n"/>
      <c r="BXO157" s="65" t="n"/>
      <c r="BXP157" s="65" t="n"/>
      <c r="BXQ157" s="65" t="n"/>
      <c r="BXR157" s="65" t="n"/>
      <c r="BXS157" s="65" t="n"/>
      <c r="BXT157" s="65" t="n"/>
      <c r="BXU157" s="65" t="n"/>
      <c r="BXV157" s="65" t="n"/>
      <c r="BXW157" s="65" t="n"/>
      <c r="BXX157" s="65" t="n"/>
      <c r="BXY157" s="65" t="n"/>
      <c r="BXZ157" s="65" t="n"/>
      <c r="BYA157" s="65" t="n"/>
      <c r="BYB157" s="65" t="n"/>
      <c r="BYC157" s="65" t="n"/>
      <c r="BYD157" s="65" t="n"/>
      <c r="BYE157" s="65" t="n"/>
      <c r="BYF157" s="65" t="n"/>
      <c r="BYG157" s="65" t="n"/>
      <c r="BYH157" s="65" t="n"/>
      <c r="BYI157" s="65" t="n"/>
      <c r="BYJ157" s="65" t="n"/>
      <c r="BYK157" s="65" t="n"/>
      <c r="BYL157" s="65" t="n"/>
      <c r="BYM157" s="65" t="n"/>
      <c r="BYN157" s="65" t="n"/>
      <c r="BYO157" s="65" t="n"/>
      <c r="BYP157" s="65" t="n"/>
      <c r="BYQ157" s="65" t="n"/>
      <c r="BYR157" s="65" t="n"/>
      <c r="BYS157" s="65" t="n"/>
      <c r="BYT157" s="65" t="n"/>
      <c r="BYU157" s="65" t="n"/>
      <c r="BYV157" s="65" t="n"/>
      <c r="BYW157" s="65" t="n"/>
      <c r="BYX157" s="65" t="n"/>
      <c r="BYY157" s="65" t="n"/>
      <c r="BYZ157" s="65" t="n"/>
      <c r="BZA157" s="65" t="n"/>
      <c r="BZB157" s="65" t="n"/>
      <c r="BZC157" s="65" t="n"/>
      <c r="BZD157" s="65" t="n"/>
      <c r="BZE157" s="65" t="n"/>
      <c r="BZF157" s="65" t="n"/>
      <c r="BZG157" s="65" t="n"/>
      <c r="BZH157" s="65" t="n"/>
      <c r="BZI157" s="65" t="n"/>
      <c r="BZJ157" s="65" t="n"/>
      <c r="BZK157" s="65" t="n"/>
      <c r="BZL157" s="65" t="n"/>
      <c r="BZM157" s="65" t="n"/>
      <c r="BZN157" s="65" t="n"/>
      <c r="BZO157" s="65" t="n"/>
      <c r="BZP157" s="65" t="n"/>
      <c r="BZQ157" s="65" t="n"/>
      <c r="BZR157" s="65" t="n"/>
      <c r="BZS157" s="65" t="n"/>
      <c r="BZT157" s="65" t="n"/>
      <c r="BZU157" s="65" t="n"/>
      <c r="BZV157" s="65" t="n"/>
      <c r="BZW157" s="65" t="n"/>
      <c r="BZX157" s="65" t="n"/>
      <c r="BZY157" s="65" t="n"/>
      <c r="BZZ157" s="65" t="n"/>
      <c r="CAA157" s="65" t="n"/>
      <c r="CAB157" s="65" t="n"/>
      <c r="CAC157" s="65" t="n"/>
      <c r="CAD157" s="65" t="n"/>
      <c r="CAE157" s="65" t="n"/>
      <c r="CAF157" s="65" t="n"/>
      <c r="CAG157" s="65" t="n"/>
      <c r="CAH157" s="65" t="n"/>
      <c r="CAI157" s="65" t="n"/>
      <c r="CAJ157" s="65" t="n"/>
      <c r="CAK157" s="65" t="n"/>
      <c r="CAL157" s="65" t="n"/>
      <c r="CAM157" s="65" t="n"/>
      <c r="CAN157" s="65" t="n"/>
      <c r="CAO157" s="65" t="n"/>
      <c r="CAP157" s="65" t="n"/>
      <c r="CAQ157" s="65" t="n"/>
      <c r="CAR157" s="65" t="n"/>
      <c r="CAS157" s="65" t="n"/>
      <c r="CAT157" s="65" t="n"/>
      <c r="CAU157" s="65" t="n"/>
      <c r="CAV157" s="65" t="n"/>
      <c r="CAW157" s="65" t="n"/>
      <c r="CAX157" s="65" t="n"/>
      <c r="CAY157" s="65" t="n"/>
      <c r="CAZ157" s="65" t="n"/>
      <c r="CBA157" s="65" t="n"/>
      <c r="CBB157" s="65" t="n"/>
      <c r="CBC157" s="65" t="n"/>
      <c r="CBD157" s="65" t="n"/>
      <c r="CBE157" s="65" t="n"/>
      <c r="CBF157" s="65" t="n"/>
      <c r="CBG157" s="65" t="n"/>
      <c r="CBH157" s="65" t="n"/>
      <c r="CBI157" s="65" t="n"/>
      <c r="CBJ157" s="65" t="n"/>
      <c r="CBK157" s="65" t="n"/>
      <c r="CBL157" s="65" t="n"/>
      <c r="CBM157" s="65" t="n"/>
      <c r="CBN157" s="65" t="n"/>
      <c r="CBO157" s="65" t="n"/>
      <c r="CBP157" s="65" t="n"/>
      <c r="CBQ157" s="65" t="n"/>
      <c r="CBR157" s="65" t="n"/>
      <c r="CBS157" s="65" t="n"/>
      <c r="CBT157" s="65" t="n"/>
      <c r="CBU157" s="65" t="n"/>
      <c r="CBV157" s="65" t="n"/>
      <c r="CBW157" s="65" t="n"/>
      <c r="CBX157" s="65" t="n"/>
      <c r="CBY157" s="65" t="n"/>
      <c r="CBZ157" s="65" t="n"/>
      <c r="CCA157" s="65" t="n"/>
      <c r="CCB157" s="65" t="n"/>
      <c r="CCC157" s="65" t="n"/>
      <c r="CCD157" s="65" t="n"/>
      <c r="CCE157" s="65" t="n"/>
      <c r="CCF157" s="65" t="n"/>
      <c r="CCG157" s="65" t="n"/>
      <c r="CCH157" s="65" t="n"/>
      <c r="CCI157" s="65" t="n"/>
      <c r="CCJ157" s="65" t="n"/>
      <c r="CCK157" s="65" t="n"/>
      <c r="CCL157" s="65" t="n"/>
      <c r="CCM157" s="65" t="n"/>
      <c r="CCN157" s="65" t="n"/>
      <c r="CCO157" s="65" t="n"/>
      <c r="CCP157" s="65" t="n"/>
      <c r="CCQ157" s="65" t="n"/>
      <c r="CCR157" s="65" t="n"/>
      <c r="CCS157" s="65" t="n"/>
      <c r="CCT157" s="65" t="n"/>
      <c r="CCU157" s="65" t="n"/>
      <c r="CCV157" s="65" t="n"/>
      <c r="CCW157" s="65" t="n"/>
      <c r="CCX157" s="65" t="n"/>
      <c r="CCY157" s="65" t="n"/>
      <c r="CCZ157" s="65" t="n"/>
      <c r="CDA157" s="65" t="n"/>
      <c r="CDB157" s="65" t="n"/>
      <c r="CDC157" s="65" t="n"/>
      <c r="CDD157" s="65" t="n"/>
      <c r="CDE157" s="65" t="n"/>
      <c r="CDF157" s="65" t="n"/>
      <c r="CDG157" s="65" t="n"/>
      <c r="CDH157" s="65" t="n"/>
      <c r="CDI157" s="65" t="n"/>
      <c r="CDJ157" s="65" t="n"/>
      <c r="CDK157" s="65" t="n"/>
      <c r="CDL157" s="65" t="n"/>
      <c r="CDM157" s="65" t="n"/>
      <c r="CDN157" s="65" t="n"/>
      <c r="CDO157" s="65" t="n"/>
      <c r="CDP157" s="65" t="n"/>
      <c r="CDQ157" s="65" t="n"/>
      <c r="CDR157" s="65" t="n"/>
      <c r="CDS157" s="65" t="n"/>
      <c r="CDT157" s="65" t="n"/>
      <c r="CDU157" s="65" t="n"/>
      <c r="CDV157" s="65" t="n"/>
      <c r="CDW157" s="65" t="n"/>
      <c r="CDX157" s="65" t="n"/>
      <c r="CDY157" s="65" t="n"/>
      <c r="CDZ157" s="65" t="n"/>
      <c r="CEA157" s="65" t="n"/>
      <c r="CEB157" s="65" t="n"/>
      <c r="CEC157" s="65" t="n"/>
      <c r="CED157" s="65" t="n"/>
      <c r="CEE157" s="65" t="n"/>
      <c r="CEF157" s="65" t="n"/>
      <c r="CEG157" s="65" t="n"/>
      <c r="CEH157" s="65" t="n"/>
      <c r="CEI157" s="65" t="n"/>
      <c r="CEJ157" s="65" t="n"/>
      <c r="CEK157" s="65" t="n"/>
      <c r="CEL157" s="65" t="n"/>
      <c r="CEM157" s="65" t="n"/>
      <c r="CEN157" s="65" t="n"/>
      <c r="CEO157" s="65" t="n"/>
      <c r="CEP157" s="65" t="n"/>
      <c r="CEQ157" s="65" t="n"/>
      <c r="CER157" s="65" t="n"/>
      <c r="CES157" s="65" t="n"/>
      <c r="CET157" s="65" t="n"/>
      <c r="CEU157" s="65" t="n"/>
      <c r="CEV157" s="65" t="n"/>
      <c r="CEW157" s="65" t="n"/>
      <c r="CEX157" s="65" t="n"/>
      <c r="CEY157" s="65" t="n"/>
      <c r="CEZ157" s="65" t="n"/>
      <c r="CFA157" s="65" t="n"/>
      <c r="CFB157" s="65" t="n"/>
      <c r="CFC157" s="65" t="n"/>
      <c r="CFD157" s="65" t="n"/>
      <c r="CFE157" s="65" t="n"/>
      <c r="CFF157" s="65" t="n"/>
      <c r="CFG157" s="65" t="n"/>
      <c r="CFH157" s="65" t="n"/>
      <c r="CFI157" s="65" t="n"/>
      <c r="CFJ157" s="65" t="n"/>
      <c r="CFK157" s="65" t="n"/>
      <c r="CFL157" s="65" t="n"/>
      <c r="CFM157" s="65" t="n"/>
      <c r="CFN157" s="65" t="n"/>
      <c r="CFO157" s="65" t="n"/>
      <c r="CFP157" s="65" t="n"/>
      <c r="CFQ157" s="65" t="n"/>
      <c r="CFR157" s="65" t="n"/>
      <c r="CFS157" s="65" t="n"/>
      <c r="CFT157" s="65" t="n"/>
      <c r="CFU157" s="65" t="n"/>
      <c r="CFV157" s="65" t="n"/>
      <c r="CFW157" s="65" t="n"/>
      <c r="CFX157" s="65" t="n"/>
      <c r="CFY157" s="65" t="n"/>
      <c r="CFZ157" s="65" t="n"/>
      <c r="CGA157" s="65" t="n"/>
      <c r="CGB157" s="65" t="n"/>
      <c r="CGC157" s="65" t="n"/>
      <c r="CGD157" s="65" t="n"/>
      <c r="CGE157" s="65" t="n"/>
      <c r="CGF157" s="65" t="n"/>
      <c r="CGG157" s="65" t="n"/>
      <c r="CGH157" s="65" t="n"/>
      <c r="CGI157" s="65" t="n"/>
      <c r="CGJ157" s="65" t="n"/>
      <c r="CGK157" s="65" t="n"/>
      <c r="CGL157" s="65" t="n"/>
      <c r="CGM157" s="65" t="n"/>
      <c r="CGN157" s="65" t="n"/>
      <c r="CGO157" s="65" t="n"/>
      <c r="CGP157" s="65" t="n"/>
      <c r="CGQ157" s="65" t="n"/>
      <c r="CGR157" s="65" t="n"/>
      <c r="CGS157" s="65" t="n"/>
      <c r="CGT157" s="65" t="n"/>
      <c r="CGU157" s="65" t="n"/>
      <c r="CGV157" s="65" t="n"/>
      <c r="CGW157" s="65" t="n"/>
      <c r="CGX157" s="65" t="n"/>
      <c r="CGY157" s="65" t="n"/>
      <c r="CGZ157" s="65" t="n"/>
      <c r="CHA157" s="65" t="n"/>
      <c r="CHB157" s="65" t="n"/>
      <c r="CHC157" s="65" t="n"/>
      <c r="CHD157" s="65" t="n"/>
      <c r="CHE157" s="65" t="n"/>
      <c r="CHF157" s="65" t="n"/>
      <c r="CHG157" s="65" t="n"/>
      <c r="CHH157" s="65" t="n"/>
      <c r="CHI157" s="65" t="n"/>
      <c r="CHJ157" s="65" t="n"/>
      <c r="CHK157" s="65" t="n"/>
      <c r="CHL157" s="65" t="n"/>
      <c r="CHM157" s="65" t="n"/>
      <c r="CHN157" s="65" t="n"/>
      <c r="CHO157" s="65" t="n"/>
      <c r="CHP157" s="65" t="n"/>
      <c r="CHQ157" s="65" t="n"/>
      <c r="CHR157" s="65" t="n"/>
      <c r="CHS157" s="65" t="n"/>
      <c r="CHT157" s="65" t="n"/>
      <c r="CHU157" s="65" t="n"/>
      <c r="CHV157" s="65" t="n"/>
      <c r="CHW157" s="65" t="n"/>
      <c r="CHX157" s="65" t="n"/>
      <c r="CHY157" s="65" t="n"/>
      <c r="CHZ157" s="65" t="n"/>
      <c r="CIA157" s="65" t="n"/>
      <c r="CIB157" s="65" t="n"/>
      <c r="CIC157" s="65" t="n"/>
      <c r="CID157" s="65" t="n"/>
      <c r="CIE157" s="65" t="n"/>
      <c r="CIF157" s="65" t="n"/>
      <c r="CIG157" s="65" t="n"/>
      <c r="CIH157" s="65" t="n"/>
      <c r="CII157" s="65" t="n"/>
      <c r="CIJ157" s="65" t="n"/>
      <c r="CIK157" s="65" t="n"/>
      <c r="CIL157" s="65" t="n"/>
      <c r="CIM157" s="65" t="n"/>
      <c r="CIN157" s="65" t="n"/>
      <c r="CIO157" s="65" t="n"/>
      <c r="CIP157" s="65" t="n"/>
      <c r="CIQ157" s="65" t="n"/>
      <c r="CIR157" s="65" t="n"/>
      <c r="CIS157" s="65" t="n"/>
      <c r="CIT157" s="65" t="n"/>
      <c r="CIU157" s="65" t="n"/>
      <c r="CIV157" s="65" t="n"/>
      <c r="CIW157" s="65" t="n"/>
      <c r="CIX157" s="65" t="n"/>
      <c r="CIY157" s="65" t="n"/>
      <c r="CIZ157" s="65" t="n"/>
      <c r="CJA157" s="65" t="n"/>
      <c r="CJB157" s="65" t="n"/>
      <c r="CJC157" s="65" t="n"/>
      <c r="CJD157" s="65" t="n"/>
      <c r="CJE157" s="65" t="n"/>
      <c r="CJF157" s="65" t="n"/>
      <c r="CJG157" s="65" t="n"/>
      <c r="CJH157" s="65" t="n"/>
      <c r="CJI157" s="65" t="n"/>
      <c r="CJJ157" s="65" t="n"/>
      <c r="CJK157" s="65" t="n"/>
      <c r="CJL157" s="65" t="n"/>
      <c r="CJM157" s="65" t="n"/>
      <c r="CJN157" s="65" t="n"/>
      <c r="CJO157" s="65" t="n"/>
      <c r="CJP157" s="65" t="n"/>
      <c r="CJQ157" s="65" t="n"/>
      <c r="CJR157" s="65" t="n"/>
      <c r="CJS157" s="65" t="n"/>
      <c r="CJT157" s="65" t="n"/>
      <c r="CJU157" s="65" t="n"/>
      <c r="CJV157" s="65" t="n"/>
      <c r="CJW157" s="65" t="n"/>
      <c r="CJX157" s="65" t="n"/>
      <c r="CJY157" s="65" t="n"/>
      <c r="CJZ157" s="65" t="n"/>
      <c r="CKA157" s="65" t="n"/>
      <c r="CKB157" s="65" t="n"/>
      <c r="CKC157" s="65" t="n"/>
      <c r="CKD157" s="65" t="n"/>
      <c r="CKE157" s="65" t="n"/>
      <c r="CKF157" s="65" t="n"/>
      <c r="CKG157" s="65" t="n"/>
      <c r="CKH157" s="65" t="n"/>
      <c r="CKI157" s="65" t="n"/>
      <c r="CKJ157" s="65" t="n"/>
      <c r="CKK157" s="65" t="n"/>
      <c r="CKL157" s="65" t="n"/>
      <c r="CKM157" s="65" t="n"/>
      <c r="CKN157" s="65" t="n"/>
      <c r="CKO157" s="65" t="n"/>
      <c r="CKP157" s="65" t="n"/>
      <c r="CKQ157" s="65" t="n"/>
      <c r="CKR157" s="65" t="n"/>
      <c r="CKS157" s="65" t="n"/>
      <c r="CKT157" s="65" t="n"/>
      <c r="CKU157" s="65" t="n"/>
      <c r="CKV157" s="65" t="n"/>
      <c r="CKW157" s="65" t="n"/>
      <c r="CKX157" s="65" t="n"/>
      <c r="CKY157" s="65" t="n"/>
      <c r="CKZ157" s="65" t="n"/>
      <c r="CLA157" s="65" t="n"/>
      <c r="CLB157" s="65" t="n"/>
      <c r="CLC157" s="65" t="n"/>
      <c r="CLD157" s="65" t="n"/>
      <c r="CLE157" s="65" t="n"/>
      <c r="CLF157" s="65" t="n"/>
      <c r="CLG157" s="65" t="n"/>
      <c r="CLH157" s="65" t="n"/>
      <c r="CLI157" s="65" t="n"/>
      <c r="CLJ157" s="65" t="n"/>
      <c r="CLK157" s="65" t="n"/>
      <c r="CLL157" s="65" t="n"/>
      <c r="CLM157" s="65" t="n"/>
      <c r="CLN157" s="65" t="n"/>
      <c r="CLO157" s="65" t="n"/>
      <c r="CLP157" s="65" t="n"/>
      <c r="CLQ157" s="65" t="n"/>
      <c r="CLR157" s="65" t="n"/>
      <c r="CLS157" s="65" t="n"/>
      <c r="CLT157" s="65" t="n"/>
      <c r="CLU157" s="65" t="n"/>
      <c r="CLV157" s="65" t="n"/>
      <c r="CLW157" s="65" t="n"/>
      <c r="CLX157" s="65" t="n"/>
      <c r="CLY157" s="65" t="n"/>
      <c r="CLZ157" s="65" t="n"/>
      <c r="CMA157" s="65" t="n"/>
      <c r="CMB157" s="65" t="n"/>
      <c r="CMC157" s="65" t="n"/>
      <c r="CMD157" s="65" t="n"/>
      <c r="CME157" s="65" t="n"/>
      <c r="CMF157" s="65" t="n"/>
      <c r="CMG157" s="65" t="n"/>
      <c r="CMH157" s="65" t="n"/>
      <c r="CMI157" s="65" t="n"/>
      <c r="CMJ157" s="65" t="n"/>
      <c r="CMK157" s="65" t="n"/>
      <c r="CML157" s="65" t="n"/>
      <c r="CMM157" s="65" t="n"/>
      <c r="CMN157" s="65" t="n"/>
      <c r="CMO157" s="65" t="n"/>
      <c r="CMP157" s="65" t="n"/>
      <c r="CMQ157" s="65" t="n"/>
      <c r="CMR157" s="65" t="n"/>
      <c r="CMS157" s="65" t="n"/>
      <c r="CMT157" s="65" t="n"/>
      <c r="CMU157" s="65" t="n"/>
      <c r="CMV157" s="65" t="n"/>
      <c r="CMW157" s="65" t="n"/>
      <c r="CMX157" s="65" t="n"/>
      <c r="CMY157" s="65" t="n"/>
      <c r="CMZ157" s="65" t="n"/>
      <c r="CNA157" s="65" t="n"/>
      <c r="CNB157" s="65" t="n"/>
      <c r="CNC157" s="65" t="n"/>
      <c r="CND157" s="65" t="n"/>
      <c r="CNE157" s="65" t="n"/>
      <c r="CNF157" s="65" t="n"/>
      <c r="CNG157" s="65" t="n"/>
      <c r="CNH157" s="65" t="n"/>
      <c r="CNI157" s="65" t="n"/>
      <c r="CNJ157" s="65" t="n"/>
      <c r="CNK157" s="65" t="n"/>
      <c r="CNL157" s="65" t="n"/>
      <c r="CNM157" s="65" t="n"/>
      <c r="CNN157" s="65" t="n"/>
      <c r="CNO157" s="65" t="n"/>
      <c r="CNP157" s="65" t="n"/>
      <c r="CNQ157" s="65" t="n"/>
      <c r="CNR157" s="65" t="n"/>
      <c r="CNS157" s="65" t="n"/>
      <c r="CNT157" s="65" t="n"/>
      <c r="CNU157" s="65" t="n"/>
      <c r="CNV157" s="65" t="n"/>
      <c r="CNW157" s="65" t="n"/>
      <c r="CNX157" s="65" t="n"/>
      <c r="CNY157" s="65" t="n"/>
      <c r="CNZ157" s="65" t="n"/>
      <c r="COA157" s="65" t="n"/>
      <c r="COB157" s="65" t="n"/>
      <c r="COC157" s="65" t="n"/>
      <c r="COD157" s="65" t="n"/>
      <c r="COE157" s="65" t="n"/>
      <c r="COF157" s="65" t="n"/>
      <c r="COG157" s="65" t="n"/>
      <c r="COH157" s="65" t="n"/>
      <c r="COI157" s="65" t="n"/>
      <c r="COJ157" s="65" t="n"/>
      <c r="COK157" s="65" t="n"/>
      <c r="COL157" s="65" t="n"/>
      <c r="COM157" s="65" t="n"/>
      <c r="CON157" s="65" t="n"/>
      <c r="COO157" s="65" t="n"/>
      <c r="COP157" s="65" t="n"/>
      <c r="COQ157" s="65" t="n"/>
      <c r="COR157" s="65" t="n"/>
      <c r="COS157" s="65" t="n"/>
      <c r="COT157" s="65" t="n"/>
      <c r="COU157" s="65" t="n"/>
      <c r="COV157" s="65" t="n"/>
      <c r="COW157" s="65" t="n"/>
      <c r="COX157" s="65" t="n"/>
      <c r="COY157" s="65" t="n"/>
      <c r="COZ157" s="65" t="n"/>
      <c r="CPA157" s="65" t="n"/>
      <c r="CPB157" s="65" t="n"/>
      <c r="CPC157" s="65" t="n"/>
      <c r="CPD157" s="65" t="n"/>
      <c r="CPE157" s="65" t="n"/>
      <c r="CPF157" s="65" t="n"/>
      <c r="CPG157" s="65" t="n"/>
      <c r="CPH157" s="65" t="n"/>
      <c r="CPI157" s="65" t="n"/>
      <c r="CPJ157" s="65" t="n"/>
      <c r="CPK157" s="65" t="n"/>
      <c r="CPL157" s="65" t="n"/>
      <c r="CPM157" s="65" t="n"/>
      <c r="CPN157" s="65" t="n"/>
      <c r="CPO157" s="65" t="n"/>
      <c r="CPP157" s="65" t="n"/>
      <c r="CPQ157" s="65" t="n"/>
      <c r="CPR157" s="65" t="n"/>
      <c r="CPS157" s="65" t="n"/>
      <c r="CPT157" s="65" t="n"/>
      <c r="CPU157" s="65" t="n"/>
      <c r="CPV157" s="65" t="n"/>
      <c r="CPW157" s="65" t="n"/>
      <c r="CPX157" s="65" t="n"/>
      <c r="CPY157" s="65" t="n"/>
      <c r="CPZ157" s="65" t="n"/>
      <c r="CQA157" s="65" t="n"/>
      <c r="CQB157" s="65" t="n"/>
      <c r="CQC157" s="65" t="n"/>
      <c r="CQD157" s="65" t="n"/>
      <c r="CQE157" s="65" t="n"/>
      <c r="CQF157" s="65" t="n"/>
      <c r="CQG157" s="65" t="n"/>
      <c r="CQH157" s="65" t="n"/>
      <c r="CQI157" s="65" t="n"/>
      <c r="CQJ157" s="65" t="n"/>
      <c r="CQK157" s="65" t="n"/>
      <c r="CQL157" s="65" t="n"/>
      <c r="CQM157" s="65" t="n"/>
      <c r="CQN157" s="65" t="n"/>
      <c r="CQO157" s="65" t="n"/>
      <c r="CQP157" s="65" t="n"/>
      <c r="CQQ157" s="65" t="n"/>
      <c r="CQR157" s="65" t="n"/>
      <c r="CQS157" s="65" t="n"/>
      <c r="CQT157" s="65" t="n"/>
      <c r="CQU157" s="65" t="n"/>
      <c r="CQV157" s="65" t="n"/>
      <c r="CQW157" s="65" t="n"/>
      <c r="CQX157" s="65" t="n"/>
      <c r="CQY157" s="65" t="n"/>
      <c r="CQZ157" s="65" t="n"/>
      <c r="CRA157" s="65" t="n"/>
      <c r="CRB157" s="65" t="n"/>
      <c r="CRC157" s="65" t="n"/>
      <c r="CRD157" s="65" t="n"/>
      <c r="CRE157" s="65" t="n"/>
      <c r="CRF157" s="65" t="n"/>
      <c r="CRG157" s="65" t="n"/>
      <c r="CRH157" s="65" t="n"/>
      <c r="CRI157" s="65" t="n"/>
      <c r="CRJ157" s="65" t="n"/>
      <c r="CRK157" s="65" t="n"/>
      <c r="CRL157" s="65" t="n"/>
      <c r="CRM157" s="65" t="n"/>
      <c r="CRN157" s="65" t="n"/>
      <c r="CRO157" s="65" t="n"/>
      <c r="CRP157" s="65" t="n"/>
      <c r="CRQ157" s="65" t="n"/>
      <c r="CRR157" s="65" t="n"/>
      <c r="CRS157" s="65" t="n"/>
      <c r="CRT157" s="65" t="n"/>
      <c r="CRU157" s="65" t="n"/>
      <c r="CRV157" s="65" t="n"/>
      <c r="CRW157" s="65" t="n"/>
      <c r="CRX157" s="65" t="n"/>
      <c r="CRY157" s="65" t="n"/>
      <c r="CRZ157" s="65" t="n"/>
      <c r="CSA157" s="65" t="n"/>
      <c r="CSB157" s="65" t="n"/>
      <c r="CSC157" s="65" t="n"/>
      <c r="CSD157" s="65" t="n"/>
      <c r="CSE157" s="65" t="n"/>
      <c r="CSF157" s="65" t="n"/>
      <c r="CSG157" s="65" t="n"/>
      <c r="CSH157" s="65" t="n"/>
      <c r="CSI157" s="65" t="n"/>
      <c r="CSJ157" s="65" t="n"/>
      <c r="CSK157" s="65" t="n"/>
      <c r="CSL157" s="65" t="n"/>
      <c r="CSM157" s="65" t="n"/>
      <c r="CSN157" s="65" t="n"/>
      <c r="CSO157" s="65" t="n"/>
      <c r="CSP157" s="65" t="n"/>
      <c r="CSQ157" s="65" t="n"/>
      <c r="CSR157" s="65" t="n"/>
      <c r="CSS157" s="65" t="n"/>
      <c r="CST157" s="65" t="n"/>
      <c r="CSU157" s="65" t="n"/>
      <c r="CSV157" s="65" t="n"/>
      <c r="CSW157" s="65" t="n"/>
      <c r="CSX157" s="65" t="n"/>
      <c r="CSY157" s="65" t="n"/>
      <c r="CSZ157" s="65" t="n"/>
      <c r="CTA157" s="65" t="n"/>
      <c r="CTB157" s="65" t="n"/>
      <c r="CTC157" s="65" t="n"/>
      <c r="CTD157" s="65" t="n"/>
      <c r="CTE157" s="65" t="n"/>
      <c r="CTF157" s="65" t="n"/>
      <c r="CTG157" s="65" t="n"/>
      <c r="CTH157" s="65" t="n"/>
      <c r="CTI157" s="65" t="n"/>
      <c r="CTJ157" s="65" t="n"/>
      <c r="CTK157" s="65" t="n"/>
      <c r="CTL157" s="65" t="n"/>
      <c r="CTM157" s="65" t="n"/>
      <c r="CTN157" s="65" t="n"/>
      <c r="CTO157" s="65" t="n"/>
      <c r="CTP157" s="65" t="n"/>
      <c r="CTQ157" s="65" t="n"/>
      <c r="CTR157" s="65" t="n"/>
      <c r="CTS157" s="65" t="n"/>
      <c r="CTT157" s="65" t="n"/>
      <c r="CTU157" s="65" t="n"/>
      <c r="CTV157" s="65" t="n"/>
      <c r="CTW157" s="65" t="n"/>
      <c r="CTX157" s="65" t="n"/>
      <c r="CTY157" s="65" t="n"/>
      <c r="CTZ157" s="65" t="n"/>
      <c r="CUA157" s="65" t="n"/>
      <c r="CUB157" s="65" t="n"/>
      <c r="CUC157" s="65" t="n"/>
      <c r="CUD157" s="65" t="n"/>
      <c r="CUE157" s="65" t="n"/>
      <c r="CUF157" s="65" t="n"/>
      <c r="CUG157" s="65" t="n"/>
      <c r="CUH157" s="65" t="n"/>
      <c r="CUI157" s="65" t="n"/>
      <c r="CUJ157" s="65" t="n"/>
      <c r="CUK157" s="65" t="n"/>
      <c r="CUL157" s="65" t="n"/>
      <c r="CUM157" s="65" t="n"/>
      <c r="CUN157" s="65" t="n"/>
      <c r="CUO157" s="65" t="n"/>
      <c r="CUP157" s="65" t="n"/>
      <c r="CUQ157" s="65" t="n"/>
      <c r="CUR157" s="65" t="n"/>
      <c r="CUS157" s="65" t="n"/>
      <c r="CUT157" s="65" t="n"/>
      <c r="CUU157" s="65" t="n"/>
      <c r="CUV157" s="65" t="n"/>
      <c r="CUW157" s="65" t="n"/>
      <c r="CUX157" s="65" t="n"/>
      <c r="CUY157" s="65" t="n"/>
      <c r="CUZ157" s="65" t="n"/>
      <c r="CVA157" s="65" t="n"/>
      <c r="CVB157" s="65" t="n"/>
      <c r="CVC157" s="65" t="n"/>
      <c r="CVD157" s="65" t="n"/>
      <c r="CVE157" s="65" t="n"/>
      <c r="CVF157" s="65" t="n"/>
      <c r="CVG157" s="65" t="n"/>
      <c r="CVH157" s="65" t="n"/>
      <c r="CVI157" s="65" t="n"/>
      <c r="CVJ157" s="65" t="n"/>
      <c r="CVK157" s="65" t="n"/>
      <c r="CVL157" s="65" t="n"/>
      <c r="CVM157" s="65" t="n"/>
      <c r="CVN157" s="65" t="n"/>
      <c r="CVO157" s="65" t="n"/>
      <c r="CVP157" s="65" t="n"/>
      <c r="CVQ157" s="65" t="n"/>
      <c r="CVR157" s="65" t="n"/>
      <c r="CVS157" s="65" t="n"/>
      <c r="CVT157" s="65" t="n"/>
      <c r="CVU157" s="65" t="n"/>
      <c r="CVV157" s="65" t="n"/>
      <c r="CVW157" s="65" t="n"/>
      <c r="CVX157" s="65" t="n"/>
      <c r="CVY157" s="65" t="n"/>
      <c r="CVZ157" s="65" t="n"/>
      <c r="CWA157" s="65" t="n"/>
      <c r="CWB157" s="65" t="n"/>
      <c r="CWC157" s="65" t="n"/>
      <c r="CWD157" s="65" t="n"/>
      <c r="CWE157" s="65" t="n"/>
      <c r="CWF157" s="65" t="n"/>
      <c r="CWG157" s="65" t="n"/>
      <c r="CWH157" s="65" t="n"/>
      <c r="CWI157" s="65" t="n"/>
      <c r="CWJ157" s="65" t="n"/>
      <c r="CWK157" s="65" t="n"/>
      <c r="CWL157" s="65" t="n"/>
      <c r="CWM157" s="65" t="n"/>
      <c r="CWN157" s="65" t="n"/>
      <c r="CWO157" s="65" t="n"/>
      <c r="CWP157" s="65" t="n"/>
      <c r="CWQ157" s="65" t="n"/>
      <c r="CWR157" s="65" t="n"/>
      <c r="CWS157" s="65" t="n"/>
      <c r="CWT157" s="65" t="n"/>
      <c r="CWU157" s="65" t="n"/>
      <c r="CWV157" s="65" t="n"/>
      <c r="CWW157" s="65" t="n"/>
      <c r="CWX157" s="65" t="n"/>
      <c r="CWY157" s="65" t="n"/>
      <c r="CWZ157" s="65" t="n"/>
      <c r="CXA157" s="65" t="n"/>
      <c r="CXB157" s="65" t="n"/>
      <c r="CXC157" s="65" t="n"/>
      <c r="CXD157" s="65" t="n"/>
      <c r="CXE157" s="65" t="n"/>
      <c r="CXF157" s="65" t="n"/>
      <c r="CXG157" s="65" t="n"/>
      <c r="CXH157" s="65" t="n"/>
      <c r="CXI157" s="65" t="n"/>
      <c r="CXJ157" s="65" t="n"/>
      <c r="CXK157" s="65" t="n"/>
      <c r="CXL157" s="65" t="n"/>
      <c r="CXM157" s="65" t="n"/>
      <c r="CXN157" s="65" t="n"/>
      <c r="CXO157" s="65" t="n"/>
      <c r="CXP157" s="65" t="n"/>
      <c r="CXQ157" s="65" t="n"/>
      <c r="CXR157" s="65" t="n"/>
      <c r="CXS157" s="65" t="n"/>
      <c r="CXT157" s="65" t="n"/>
      <c r="CXU157" s="65" t="n"/>
      <c r="CXV157" s="65" t="n"/>
      <c r="CXW157" s="65" t="n"/>
      <c r="CXX157" s="65" t="n"/>
      <c r="CXY157" s="65" t="n"/>
      <c r="CXZ157" s="65" t="n"/>
      <c r="CYA157" s="65" t="n"/>
      <c r="CYB157" s="65" t="n"/>
      <c r="CYC157" s="65" t="n"/>
      <c r="CYD157" s="65" t="n"/>
      <c r="CYE157" s="65" t="n"/>
      <c r="CYF157" s="65" t="n"/>
      <c r="CYG157" s="65" t="n"/>
      <c r="CYH157" s="65" t="n"/>
      <c r="CYI157" s="65" t="n"/>
      <c r="CYJ157" s="65" t="n"/>
      <c r="CYK157" s="65" t="n"/>
      <c r="CYL157" s="65" t="n"/>
      <c r="CYM157" s="65" t="n"/>
      <c r="CYN157" s="65" t="n"/>
      <c r="CYO157" s="65" t="n"/>
      <c r="CYP157" s="65" t="n"/>
      <c r="CYQ157" s="65" t="n"/>
      <c r="CYR157" s="65" t="n"/>
      <c r="CYS157" s="65" t="n"/>
      <c r="CYT157" s="65" t="n"/>
      <c r="CYU157" s="65" t="n"/>
      <c r="CYV157" s="65" t="n"/>
      <c r="CYW157" s="65" t="n"/>
      <c r="CYX157" s="65" t="n"/>
      <c r="CYY157" s="65" t="n"/>
      <c r="CYZ157" s="65" t="n"/>
      <c r="CZA157" s="65" t="n"/>
      <c r="CZB157" s="65" t="n"/>
      <c r="CZC157" s="65" t="n"/>
      <c r="CZD157" s="65" t="n"/>
      <c r="CZE157" s="65" t="n"/>
      <c r="CZF157" s="65" t="n"/>
      <c r="CZG157" s="65" t="n"/>
      <c r="CZH157" s="65" t="n"/>
      <c r="CZI157" s="65" t="n"/>
      <c r="CZJ157" s="65" t="n"/>
      <c r="CZK157" s="65" t="n"/>
      <c r="CZL157" s="65" t="n"/>
      <c r="CZM157" s="65" t="n"/>
      <c r="CZN157" s="65" t="n"/>
      <c r="CZO157" s="65" t="n"/>
      <c r="CZP157" s="65" t="n"/>
      <c r="CZQ157" s="65" t="n"/>
      <c r="CZR157" s="65" t="n"/>
      <c r="CZS157" s="65" t="n"/>
      <c r="CZT157" s="65" t="n"/>
      <c r="CZU157" s="65" t="n"/>
      <c r="CZV157" s="65" t="n"/>
      <c r="CZW157" s="65" t="n"/>
      <c r="CZX157" s="65" t="n"/>
      <c r="CZY157" s="65" t="n"/>
      <c r="CZZ157" s="65" t="n"/>
      <c r="DAA157" s="65" t="n"/>
      <c r="DAB157" s="65" t="n"/>
      <c r="DAC157" s="65" t="n"/>
      <c r="DAD157" s="65" t="n"/>
      <c r="DAE157" s="65" t="n"/>
      <c r="DAF157" s="65" t="n"/>
      <c r="DAG157" s="65" t="n"/>
      <c r="DAH157" s="65" t="n"/>
      <c r="DAI157" s="65" t="n"/>
      <c r="DAJ157" s="65" t="n"/>
      <c r="DAK157" s="65" t="n"/>
      <c r="DAL157" s="65" t="n"/>
      <c r="DAM157" s="65" t="n"/>
      <c r="DAN157" s="65" t="n"/>
      <c r="DAO157" s="65" t="n"/>
      <c r="DAP157" s="65" t="n"/>
      <c r="DAQ157" s="65" t="n"/>
      <c r="DAR157" s="65" t="n"/>
      <c r="DAS157" s="65" t="n"/>
      <c r="DAT157" s="65" t="n"/>
      <c r="DAU157" s="65" t="n"/>
      <c r="DAV157" s="65" t="n"/>
      <c r="DAW157" s="65" t="n"/>
      <c r="DAX157" s="65" t="n"/>
      <c r="DAY157" s="65" t="n"/>
      <c r="DAZ157" s="65" t="n"/>
      <c r="DBA157" s="65" t="n"/>
      <c r="DBB157" s="65" t="n"/>
      <c r="DBC157" s="65" t="n"/>
      <c r="DBD157" s="65" t="n"/>
      <c r="DBE157" s="65" t="n"/>
      <c r="DBF157" s="65" t="n"/>
      <c r="DBG157" s="65" t="n"/>
      <c r="DBH157" s="65" t="n"/>
      <c r="DBI157" s="65" t="n"/>
      <c r="DBJ157" s="65" t="n"/>
      <c r="DBK157" s="65" t="n"/>
      <c r="DBL157" s="65" t="n"/>
      <c r="DBM157" s="65" t="n"/>
      <c r="DBN157" s="65" t="n"/>
      <c r="DBO157" s="65" t="n"/>
      <c r="DBP157" s="65" t="n"/>
      <c r="DBQ157" s="65" t="n"/>
      <c r="DBR157" s="65" t="n"/>
      <c r="DBS157" s="65" t="n"/>
      <c r="DBT157" s="65" t="n"/>
      <c r="DBU157" s="65" t="n"/>
      <c r="DBV157" s="65" t="n"/>
      <c r="DBW157" s="65" t="n"/>
      <c r="DBX157" s="65" t="n"/>
      <c r="DBY157" s="65" t="n"/>
      <c r="DBZ157" s="65" t="n"/>
      <c r="DCA157" s="65" t="n"/>
      <c r="DCB157" s="65" t="n"/>
      <c r="DCC157" s="65" t="n"/>
      <c r="DCD157" s="65" t="n"/>
      <c r="DCE157" s="65" t="n"/>
      <c r="DCF157" s="65" t="n"/>
      <c r="DCG157" s="65" t="n"/>
      <c r="DCH157" s="65" t="n"/>
      <c r="DCI157" s="65" t="n"/>
      <c r="DCJ157" s="65" t="n"/>
      <c r="DCK157" s="65" t="n"/>
      <c r="DCL157" s="65" t="n"/>
      <c r="DCM157" s="65" t="n"/>
      <c r="DCN157" s="65" t="n"/>
      <c r="DCO157" s="65" t="n"/>
      <c r="DCP157" s="65" t="n"/>
      <c r="DCQ157" s="65" t="n"/>
      <c r="DCR157" s="65" t="n"/>
      <c r="DCS157" s="65" t="n"/>
      <c r="DCT157" s="65" t="n"/>
      <c r="DCU157" s="65" t="n"/>
      <c r="DCV157" s="65" t="n"/>
      <c r="DCW157" s="65" t="n"/>
      <c r="DCX157" s="65" t="n"/>
      <c r="DCY157" s="65" t="n"/>
      <c r="DCZ157" s="65" t="n"/>
      <c r="DDA157" s="65" t="n"/>
      <c r="DDB157" s="65" t="n"/>
      <c r="DDC157" s="65" t="n"/>
      <c r="DDD157" s="65" t="n"/>
      <c r="DDE157" s="65" t="n"/>
      <c r="DDF157" s="65" t="n"/>
      <c r="DDG157" s="65" t="n"/>
      <c r="DDH157" s="65" t="n"/>
      <c r="DDI157" s="65" t="n"/>
      <c r="DDJ157" s="65" t="n"/>
      <c r="DDK157" s="65" t="n"/>
      <c r="DDL157" s="65" t="n"/>
      <c r="DDM157" s="65" t="n"/>
      <c r="DDN157" s="65" t="n"/>
      <c r="DDO157" s="65" t="n"/>
      <c r="DDP157" s="65" t="n"/>
      <c r="DDQ157" s="65" t="n"/>
      <c r="DDR157" s="65" t="n"/>
      <c r="DDS157" s="65" t="n"/>
      <c r="DDT157" s="65" t="n"/>
      <c r="DDU157" s="65" t="n"/>
      <c r="DDV157" s="65" t="n"/>
      <c r="DDW157" s="65" t="n"/>
      <c r="DDX157" s="65" t="n"/>
      <c r="DDY157" s="65" t="n"/>
      <c r="DDZ157" s="65" t="n"/>
      <c r="DEA157" s="65" t="n"/>
      <c r="DEB157" s="65" t="n"/>
      <c r="DEC157" s="65" t="n"/>
      <c r="DED157" s="65" t="n"/>
      <c r="DEE157" s="65" t="n"/>
      <c r="DEF157" s="65" t="n"/>
      <c r="DEG157" s="65" t="n"/>
      <c r="DEH157" s="65" t="n"/>
      <c r="DEI157" s="65" t="n"/>
      <c r="DEJ157" s="65" t="n"/>
      <c r="DEK157" s="65" t="n"/>
      <c r="DEL157" s="65" t="n"/>
      <c r="DEM157" s="65" t="n"/>
      <c r="DEN157" s="65" t="n"/>
      <c r="DEO157" s="65" t="n"/>
      <c r="DEP157" s="65" t="n"/>
      <c r="DEQ157" s="65" t="n"/>
      <c r="DER157" s="65" t="n"/>
      <c r="DES157" s="65" t="n"/>
      <c r="DET157" s="65" t="n"/>
      <c r="DEU157" s="65" t="n"/>
      <c r="DEV157" s="65" t="n"/>
      <c r="DEW157" s="65" t="n"/>
      <c r="DEX157" s="65" t="n"/>
      <c r="DEY157" s="65" t="n"/>
      <c r="DEZ157" s="65" t="n"/>
      <c r="DFA157" s="65" t="n"/>
      <c r="DFB157" s="65" t="n"/>
      <c r="DFC157" s="65" t="n"/>
      <c r="DFD157" s="65" t="n"/>
      <c r="DFE157" s="65" t="n"/>
      <c r="DFF157" s="65" t="n"/>
      <c r="DFG157" s="65" t="n"/>
      <c r="DFH157" s="65" t="n"/>
      <c r="DFI157" s="65" t="n"/>
      <c r="DFJ157" s="65" t="n"/>
      <c r="DFK157" s="65" t="n"/>
      <c r="DFL157" s="65" t="n"/>
      <c r="DFM157" s="65" t="n"/>
      <c r="DFN157" s="65" t="n"/>
      <c r="DFO157" s="65" t="n"/>
      <c r="DFP157" s="65" t="n"/>
      <c r="DFQ157" s="65" t="n"/>
      <c r="DFR157" s="65" t="n"/>
      <c r="DFS157" s="65" t="n"/>
      <c r="DFT157" s="65" t="n"/>
      <c r="DFU157" s="65" t="n"/>
      <c r="DFV157" s="65" t="n"/>
      <c r="DFW157" s="65" t="n"/>
      <c r="DFX157" s="65" t="n"/>
      <c r="DFY157" s="65" t="n"/>
      <c r="DFZ157" s="65" t="n"/>
      <c r="DGA157" s="65" t="n"/>
      <c r="DGB157" s="65" t="n"/>
      <c r="DGC157" s="65" t="n"/>
      <c r="DGD157" s="65" t="n"/>
      <c r="DGE157" s="65" t="n"/>
      <c r="DGF157" s="65" t="n"/>
      <c r="DGG157" s="65" t="n"/>
      <c r="DGH157" s="65" t="n"/>
      <c r="DGI157" s="65" t="n"/>
      <c r="DGJ157" s="65" t="n"/>
      <c r="DGK157" s="65" t="n"/>
      <c r="DGL157" s="65" t="n"/>
      <c r="DGM157" s="65" t="n"/>
      <c r="DGN157" s="65" t="n"/>
      <c r="DGO157" s="65" t="n"/>
      <c r="DGP157" s="65" t="n"/>
      <c r="DGQ157" s="65" t="n"/>
      <c r="DGR157" s="65" t="n"/>
      <c r="DGS157" s="65" t="n"/>
      <c r="DGT157" s="65" t="n"/>
      <c r="DGU157" s="65" t="n"/>
      <c r="DGV157" s="65" t="n"/>
      <c r="DGW157" s="65" t="n"/>
      <c r="DGX157" s="65" t="n"/>
      <c r="DGY157" s="65" t="n"/>
      <c r="DGZ157" s="65" t="n"/>
      <c r="DHA157" s="65" t="n"/>
      <c r="DHB157" s="65" t="n"/>
      <c r="DHC157" s="65" t="n"/>
      <c r="DHD157" s="65" t="n"/>
      <c r="DHE157" s="65" t="n"/>
      <c r="DHF157" s="65" t="n"/>
      <c r="DHG157" s="65" t="n"/>
      <c r="DHH157" s="65" t="n"/>
      <c r="DHI157" s="65" t="n"/>
      <c r="DHJ157" s="65" t="n"/>
      <c r="DHK157" s="65" t="n"/>
      <c r="DHL157" s="65" t="n"/>
      <c r="DHM157" s="65" t="n"/>
      <c r="DHN157" s="65" t="n"/>
      <c r="DHO157" s="65" t="n"/>
      <c r="DHP157" s="65" t="n"/>
      <c r="DHQ157" s="65" t="n"/>
      <c r="DHR157" s="65" t="n"/>
      <c r="DHS157" s="65" t="n"/>
      <c r="DHT157" s="65" t="n"/>
      <c r="DHU157" s="65" t="n"/>
      <c r="DHV157" s="65" t="n"/>
      <c r="DHW157" s="65" t="n"/>
      <c r="DHX157" s="65" t="n"/>
      <c r="DHY157" s="65" t="n"/>
      <c r="DHZ157" s="65" t="n"/>
      <c r="DIA157" s="65" t="n"/>
      <c r="DIB157" s="65" t="n"/>
      <c r="DIC157" s="65" t="n"/>
      <c r="DID157" s="65" t="n"/>
      <c r="DIE157" s="65" t="n"/>
      <c r="DIF157" s="65" t="n"/>
      <c r="DIG157" s="65" t="n"/>
      <c r="DIH157" s="65" t="n"/>
      <c r="DII157" s="65" t="n"/>
      <c r="DIJ157" s="65" t="n"/>
      <c r="DIK157" s="65" t="n"/>
      <c r="DIL157" s="65" t="n"/>
      <c r="DIM157" s="65" t="n"/>
      <c r="DIN157" s="65" t="n"/>
      <c r="DIO157" s="65" t="n"/>
      <c r="DIP157" s="65" t="n"/>
      <c r="DIQ157" s="65" t="n"/>
      <c r="DIR157" s="65" t="n"/>
      <c r="DIS157" s="65" t="n"/>
      <c r="DIT157" s="65" t="n"/>
      <c r="DIU157" s="65" t="n"/>
      <c r="DIV157" s="65" t="n"/>
      <c r="DIW157" s="65" t="n"/>
      <c r="DIX157" s="65" t="n"/>
      <c r="DIY157" s="65" t="n"/>
      <c r="DIZ157" s="65" t="n"/>
      <c r="DJA157" s="65" t="n"/>
      <c r="DJB157" s="65" t="n"/>
      <c r="DJC157" s="65" t="n"/>
      <c r="DJD157" s="65" t="n"/>
      <c r="DJE157" s="65" t="n"/>
      <c r="DJF157" s="65" t="n"/>
      <c r="DJG157" s="65" t="n"/>
      <c r="DJH157" s="65" t="n"/>
      <c r="DJI157" s="65" t="n"/>
      <c r="DJJ157" s="65" t="n"/>
      <c r="DJK157" s="65" t="n"/>
      <c r="DJL157" s="65" t="n"/>
      <c r="DJM157" s="65" t="n"/>
      <c r="DJN157" s="65" t="n"/>
      <c r="DJO157" s="65" t="n"/>
      <c r="DJP157" s="65" t="n"/>
      <c r="DJQ157" s="65" t="n"/>
      <c r="DJR157" s="65" t="n"/>
      <c r="DJS157" s="65" t="n"/>
      <c r="DJT157" s="65" t="n"/>
      <c r="DJU157" s="65" t="n"/>
      <c r="DJV157" s="65" t="n"/>
      <c r="DJW157" s="65" t="n"/>
      <c r="DJX157" s="65" t="n"/>
      <c r="DJY157" s="65" t="n"/>
      <c r="DJZ157" s="65" t="n"/>
      <c r="DKA157" s="65" t="n"/>
      <c r="DKB157" s="65" t="n"/>
      <c r="DKC157" s="65" t="n"/>
      <c r="DKD157" s="65" t="n"/>
      <c r="DKE157" s="65" t="n"/>
      <c r="DKF157" s="65" t="n"/>
      <c r="DKG157" s="65" t="n"/>
      <c r="DKH157" s="65" t="n"/>
      <c r="DKI157" s="65" t="n"/>
      <c r="DKJ157" s="65" t="n"/>
      <c r="DKK157" s="65" t="n"/>
      <c r="DKL157" s="65" t="n"/>
      <c r="DKM157" s="65" t="n"/>
      <c r="DKN157" s="65" t="n"/>
      <c r="DKO157" s="65" t="n"/>
      <c r="DKP157" s="65" t="n"/>
      <c r="DKQ157" s="65" t="n"/>
      <c r="DKR157" s="65" t="n"/>
      <c r="DKS157" s="65" t="n"/>
      <c r="DKT157" s="65" t="n"/>
      <c r="DKU157" s="65" t="n"/>
      <c r="DKV157" s="65" t="n"/>
      <c r="DKW157" s="65" t="n"/>
      <c r="DKX157" s="65" t="n"/>
      <c r="DKY157" s="65" t="n"/>
      <c r="DKZ157" s="65" t="n"/>
      <c r="DLA157" s="65" t="n"/>
      <c r="DLB157" s="65" t="n"/>
      <c r="DLC157" s="65" t="n"/>
      <c r="DLD157" s="65" t="n"/>
      <c r="DLE157" s="65" t="n"/>
      <c r="DLF157" s="65" t="n"/>
      <c r="DLG157" s="65" t="n"/>
      <c r="DLH157" s="65" t="n"/>
      <c r="DLI157" s="65" t="n"/>
      <c r="DLJ157" s="65" t="n"/>
      <c r="DLK157" s="65" t="n"/>
      <c r="DLL157" s="65" t="n"/>
      <c r="DLM157" s="65" t="n"/>
      <c r="DLN157" s="65" t="n"/>
      <c r="DLO157" s="65" t="n"/>
      <c r="DLP157" s="65" t="n"/>
      <c r="DLQ157" s="65" t="n"/>
      <c r="DLR157" s="65" t="n"/>
      <c r="DLS157" s="65" t="n"/>
      <c r="DLT157" s="65" t="n"/>
      <c r="DLU157" s="65" t="n"/>
      <c r="DLV157" s="65" t="n"/>
      <c r="DLW157" s="65" t="n"/>
      <c r="DLX157" s="65" t="n"/>
      <c r="DLY157" s="65" t="n"/>
      <c r="DLZ157" s="65" t="n"/>
      <c r="DMA157" s="65" t="n"/>
      <c r="DMB157" s="65" t="n"/>
      <c r="DMC157" s="65" t="n"/>
      <c r="DMD157" s="65" t="n"/>
      <c r="DME157" s="65" t="n"/>
      <c r="DMF157" s="65" t="n"/>
      <c r="DMG157" s="65" t="n"/>
      <c r="DMH157" s="65" t="n"/>
      <c r="DMI157" s="65" t="n"/>
      <c r="DMJ157" s="65" t="n"/>
      <c r="DMK157" s="65" t="n"/>
      <c r="DML157" s="65" t="n"/>
      <c r="DMM157" s="65" t="n"/>
      <c r="DMN157" s="65" t="n"/>
      <c r="DMO157" s="65" t="n"/>
      <c r="DMP157" s="65" t="n"/>
      <c r="DMQ157" s="65" t="n"/>
      <c r="DMR157" s="65" t="n"/>
      <c r="DMS157" s="65" t="n"/>
      <c r="DMT157" s="65" t="n"/>
      <c r="DMU157" s="65" t="n"/>
      <c r="DMV157" s="65" t="n"/>
      <c r="DMW157" s="65" t="n"/>
      <c r="DMX157" s="65" t="n"/>
      <c r="DMY157" s="65" t="n"/>
      <c r="DMZ157" s="65" t="n"/>
      <c r="DNA157" s="65" t="n"/>
      <c r="DNB157" s="65" t="n"/>
      <c r="DNC157" s="65" t="n"/>
      <c r="DND157" s="65" t="n"/>
      <c r="DNE157" s="65" t="n"/>
      <c r="DNF157" s="65" t="n"/>
      <c r="DNG157" s="65" t="n"/>
      <c r="DNH157" s="65" t="n"/>
      <c r="DNI157" s="65" t="n"/>
      <c r="DNJ157" s="65" t="n"/>
      <c r="DNK157" s="65" t="n"/>
      <c r="DNL157" s="65" t="n"/>
      <c r="DNM157" s="65" t="n"/>
      <c r="DNN157" s="65" t="n"/>
      <c r="DNO157" s="65" t="n"/>
      <c r="DNP157" s="65" t="n"/>
      <c r="DNQ157" s="65" t="n"/>
      <c r="DNR157" s="65" t="n"/>
      <c r="DNS157" s="65" t="n"/>
      <c r="DNT157" s="65" t="n"/>
      <c r="DNU157" s="65" t="n"/>
      <c r="DNV157" s="65" t="n"/>
      <c r="DNW157" s="65" t="n"/>
      <c r="DNX157" s="65" t="n"/>
      <c r="DNY157" s="65" t="n"/>
      <c r="DNZ157" s="65" t="n"/>
      <c r="DOA157" s="65" t="n"/>
      <c r="DOB157" s="65" t="n"/>
      <c r="DOC157" s="65" t="n"/>
      <c r="DOD157" s="65" t="n"/>
      <c r="DOE157" s="65" t="n"/>
      <c r="DOF157" s="65" t="n"/>
      <c r="DOG157" s="65" t="n"/>
      <c r="DOH157" s="65" t="n"/>
      <c r="DOI157" s="65" t="n"/>
      <c r="DOJ157" s="65" t="n"/>
      <c r="DOK157" s="65" t="n"/>
      <c r="DOL157" s="65" t="n"/>
      <c r="DOM157" s="65" t="n"/>
      <c r="DON157" s="65" t="n"/>
      <c r="DOO157" s="65" t="n"/>
      <c r="DOP157" s="65" t="n"/>
      <c r="DOQ157" s="65" t="n"/>
      <c r="DOR157" s="65" t="n"/>
      <c r="DOS157" s="65" t="n"/>
      <c r="DOT157" s="65" t="n"/>
      <c r="DOU157" s="65" t="n"/>
      <c r="DOV157" s="65" t="n"/>
      <c r="DOW157" s="65" t="n"/>
      <c r="DOX157" s="65" t="n"/>
      <c r="DOY157" s="65" t="n"/>
      <c r="DOZ157" s="65" t="n"/>
      <c r="DPA157" s="65" t="n"/>
      <c r="DPB157" s="65" t="n"/>
      <c r="DPC157" s="65" t="n"/>
      <c r="DPD157" s="65" t="n"/>
      <c r="DPE157" s="65" t="n"/>
      <c r="DPF157" s="65" t="n"/>
      <c r="DPG157" s="65" t="n"/>
      <c r="DPH157" s="65" t="n"/>
      <c r="DPI157" s="65" t="n"/>
      <c r="DPJ157" s="65" t="n"/>
      <c r="DPK157" s="65" t="n"/>
      <c r="DPL157" s="65" t="n"/>
      <c r="DPM157" s="65" t="n"/>
      <c r="DPN157" s="65" t="n"/>
      <c r="DPO157" s="65" t="n"/>
      <c r="DPP157" s="65" t="n"/>
      <c r="DPQ157" s="65" t="n"/>
      <c r="DPR157" s="65" t="n"/>
      <c r="DPS157" s="65" t="n"/>
      <c r="DPT157" s="65" t="n"/>
      <c r="DPU157" s="65" t="n"/>
      <c r="DPV157" s="65" t="n"/>
      <c r="DPW157" s="65" t="n"/>
      <c r="DPX157" s="65" t="n"/>
      <c r="DPY157" s="65" t="n"/>
      <c r="DPZ157" s="65" t="n"/>
      <c r="DQA157" s="65" t="n"/>
      <c r="DQB157" s="65" t="n"/>
      <c r="DQC157" s="65" t="n"/>
      <c r="DQD157" s="65" t="n"/>
      <c r="DQE157" s="65" t="n"/>
      <c r="DQF157" s="65" t="n"/>
      <c r="DQG157" s="65" t="n"/>
      <c r="DQH157" s="65" t="n"/>
      <c r="DQI157" s="65" t="n"/>
      <c r="DQJ157" s="65" t="n"/>
      <c r="DQK157" s="65" t="n"/>
      <c r="DQL157" s="65" t="n"/>
      <c r="DQM157" s="65" t="n"/>
      <c r="DQN157" s="65" t="n"/>
      <c r="DQO157" s="65" t="n"/>
      <c r="DQP157" s="65" t="n"/>
      <c r="DQQ157" s="65" t="n"/>
      <c r="DQR157" s="65" t="n"/>
      <c r="DQS157" s="65" t="n"/>
      <c r="DQT157" s="65" t="n"/>
      <c r="DQU157" s="65" t="n"/>
      <c r="DQV157" s="65" t="n"/>
      <c r="DQW157" s="65" t="n"/>
      <c r="DQX157" s="65" t="n"/>
      <c r="DQY157" s="65" t="n"/>
      <c r="DQZ157" s="65" t="n"/>
      <c r="DRA157" s="65" t="n"/>
      <c r="DRB157" s="65" t="n"/>
      <c r="DRC157" s="65" t="n"/>
      <c r="DRD157" s="65" t="n"/>
      <c r="DRE157" s="65" t="n"/>
      <c r="DRF157" s="65" t="n"/>
      <c r="DRG157" s="65" t="n"/>
      <c r="DRH157" s="65" t="n"/>
      <c r="DRI157" s="65" t="n"/>
      <c r="DRJ157" s="65" t="n"/>
      <c r="DRK157" s="65" t="n"/>
      <c r="DRL157" s="65" t="n"/>
      <c r="DRM157" s="65" t="n"/>
      <c r="DRN157" s="65" t="n"/>
      <c r="DRO157" s="65" t="n"/>
      <c r="DRP157" s="65" t="n"/>
      <c r="DRQ157" s="65" t="n"/>
      <c r="DRR157" s="65" t="n"/>
      <c r="DRS157" s="65" t="n"/>
      <c r="DRT157" s="65" t="n"/>
      <c r="DRU157" s="65" t="n"/>
      <c r="DRV157" s="65" t="n"/>
      <c r="DRW157" s="65" t="n"/>
      <c r="DRX157" s="65" t="n"/>
      <c r="DRY157" s="65" t="n"/>
      <c r="DRZ157" s="65" t="n"/>
      <c r="DSA157" s="65" t="n"/>
      <c r="DSB157" s="65" t="n"/>
      <c r="DSC157" s="65" t="n"/>
      <c r="DSD157" s="65" t="n"/>
      <c r="DSE157" s="65" t="n"/>
      <c r="DSF157" s="65" t="n"/>
      <c r="DSG157" s="65" t="n"/>
      <c r="DSH157" s="65" t="n"/>
      <c r="DSI157" s="65" t="n"/>
      <c r="DSJ157" s="65" t="n"/>
      <c r="DSK157" s="65" t="n"/>
      <c r="DSL157" s="65" t="n"/>
      <c r="DSM157" s="65" t="n"/>
      <c r="DSN157" s="65" t="n"/>
      <c r="DSO157" s="65" t="n"/>
      <c r="DSP157" s="65" t="n"/>
      <c r="DSQ157" s="65" t="n"/>
      <c r="DSR157" s="65" t="n"/>
      <c r="DSS157" s="65" t="n"/>
      <c r="DST157" s="65" t="n"/>
      <c r="DSU157" s="65" t="n"/>
      <c r="DSV157" s="65" t="n"/>
      <c r="DSW157" s="65" t="n"/>
      <c r="DSX157" s="65" t="n"/>
      <c r="DSY157" s="65" t="n"/>
      <c r="DSZ157" s="65" t="n"/>
      <c r="DTA157" s="65" t="n"/>
      <c r="DTB157" s="65" t="n"/>
      <c r="DTC157" s="65" t="n"/>
      <c r="DTD157" s="65" t="n"/>
      <c r="DTE157" s="65" t="n"/>
      <c r="DTF157" s="65" t="n"/>
      <c r="DTG157" s="65" t="n"/>
      <c r="DTH157" s="65" t="n"/>
      <c r="DTI157" s="65" t="n"/>
      <c r="DTJ157" s="65" t="n"/>
      <c r="DTK157" s="65" t="n"/>
      <c r="DTL157" s="65" t="n"/>
      <c r="DTM157" s="65" t="n"/>
      <c r="DTN157" s="65" t="n"/>
      <c r="DTO157" s="65" t="n"/>
      <c r="DTP157" s="65" t="n"/>
      <c r="DTQ157" s="65" t="n"/>
      <c r="DTR157" s="65" t="n"/>
      <c r="DTS157" s="65" t="n"/>
      <c r="DTT157" s="65" t="n"/>
      <c r="DTU157" s="65" t="n"/>
      <c r="DTV157" s="65" t="n"/>
      <c r="DTW157" s="65" t="n"/>
      <c r="DTX157" s="65" t="n"/>
      <c r="DTY157" s="65" t="n"/>
      <c r="DTZ157" s="65" t="n"/>
      <c r="DUA157" s="65" t="n"/>
      <c r="DUB157" s="65" t="n"/>
      <c r="DUC157" s="65" t="n"/>
      <c r="DUD157" s="65" t="n"/>
      <c r="DUE157" s="65" t="n"/>
      <c r="DUF157" s="65" t="n"/>
      <c r="DUG157" s="65" t="n"/>
      <c r="DUH157" s="65" t="n"/>
      <c r="DUI157" s="65" t="n"/>
      <c r="DUJ157" s="65" t="n"/>
      <c r="DUK157" s="65" t="n"/>
      <c r="DUL157" s="65" t="n"/>
      <c r="DUM157" s="65" t="n"/>
      <c r="DUN157" s="65" t="n"/>
      <c r="DUO157" s="65" t="n"/>
      <c r="DUP157" s="65" t="n"/>
      <c r="DUQ157" s="65" t="n"/>
      <c r="DUR157" s="65" t="n"/>
      <c r="DUS157" s="65" t="n"/>
      <c r="DUT157" s="65" t="n"/>
      <c r="DUU157" s="65" t="n"/>
      <c r="DUV157" s="65" t="n"/>
      <c r="DUW157" s="65" t="n"/>
      <c r="DUX157" s="65" t="n"/>
      <c r="DUY157" s="65" t="n"/>
      <c r="DUZ157" s="65" t="n"/>
      <c r="DVA157" s="65" t="n"/>
      <c r="DVB157" s="65" t="n"/>
      <c r="DVC157" s="65" t="n"/>
      <c r="DVD157" s="65" t="n"/>
      <c r="DVE157" s="65" t="n"/>
      <c r="DVF157" s="65" t="n"/>
      <c r="DVG157" s="65" t="n"/>
      <c r="DVH157" s="65" t="n"/>
      <c r="DVI157" s="65" t="n"/>
      <c r="DVJ157" s="65" t="n"/>
      <c r="DVK157" s="65" t="n"/>
      <c r="DVL157" s="65" t="n"/>
      <c r="DVM157" s="65" t="n"/>
      <c r="DVN157" s="65" t="n"/>
      <c r="DVO157" s="65" t="n"/>
      <c r="DVP157" s="65" t="n"/>
      <c r="DVQ157" s="65" t="n"/>
      <c r="DVR157" s="65" t="n"/>
      <c r="DVS157" s="65" t="n"/>
      <c r="DVT157" s="65" t="n"/>
      <c r="DVU157" s="65" t="n"/>
      <c r="DVV157" s="65" t="n"/>
      <c r="DVW157" s="65" t="n"/>
      <c r="DVX157" s="65" t="n"/>
      <c r="DVY157" s="65" t="n"/>
      <c r="DVZ157" s="65" t="n"/>
      <c r="DWA157" s="65" t="n"/>
      <c r="DWB157" s="65" t="n"/>
      <c r="DWC157" s="65" t="n"/>
      <c r="DWD157" s="65" t="n"/>
      <c r="DWE157" s="65" t="n"/>
      <c r="DWF157" s="65" t="n"/>
      <c r="DWG157" s="65" t="n"/>
      <c r="DWH157" s="65" t="n"/>
      <c r="DWI157" s="65" t="n"/>
      <c r="DWJ157" s="65" t="n"/>
      <c r="DWK157" s="65" t="n"/>
      <c r="DWL157" s="65" t="n"/>
      <c r="DWM157" s="65" t="n"/>
      <c r="DWN157" s="65" t="n"/>
      <c r="DWO157" s="65" t="n"/>
      <c r="DWP157" s="65" t="n"/>
      <c r="DWQ157" s="65" t="n"/>
      <c r="DWR157" s="65" t="n"/>
      <c r="DWS157" s="65" t="n"/>
      <c r="DWT157" s="65" t="n"/>
      <c r="DWU157" s="65" t="n"/>
      <c r="DWV157" s="65" t="n"/>
      <c r="DWW157" s="65" t="n"/>
      <c r="DWX157" s="65" t="n"/>
      <c r="DWY157" s="65" t="n"/>
      <c r="DWZ157" s="65" t="n"/>
      <c r="DXA157" s="65" t="n"/>
      <c r="DXB157" s="65" t="n"/>
      <c r="DXC157" s="65" t="n"/>
      <c r="DXD157" s="65" t="n"/>
      <c r="DXE157" s="65" t="n"/>
      <c r="DXF157" s="65" t="n"/>
      <c r="DXG157" s="65" t="n"/>
      <c r="DXH157" s="65" t="n"/>
      <c r="DXI157" s="65" t="n"/>
      <c r="DXJ157" s="65" t="n"/>
      <c r="DXK157" s="65" t="n"/>
      <c r="DXL157" s="65" t="n"/>
      <c r="DXM157" s="65" t="n"/>
      <c r="DXN157" s="65" t="n"/>
      <c r="DXO157" s="65" t="n"/>
      <c r="DXP157" s="65" t="n"/>
      <c r="DXQ157" s="65" t="n"/>
      <c r="DXR157" s="65" t="n"/>
      <c r="DXS157" s="65" t="n"/>
      <c r="DXT157" s="65" t="n"/>
      <c r="DXU157" s="65" t="n"/>
      <c r="DXV157" s="65" t="n"/>
      <c r="DXW157" s="65" t="n"/>
      <c r="DXX157" s="65" t="n"/>
      <c r="DXY157" s="65" t="n"/>
      <c r="DXZ157" s="65" t="n"/>
      <c r="DYA157" s="65" t="n"/>
      <c r="DYB157" s="65" t="n"/>
      <c r="DYC157" s="65" t="n"/>
      <c r="DYD157" s="65" t="n"/>
      <c r="DYE157" s="65" t="n"/>
      <c r="DYF157" s="65" t="n"/>
      <c r="DYG157" s="65" t="n"/>
      <c r="DYH157" s="65" t="n"/>
      <c r="DYI157" s="65" t="n"/>
      <c r="DYJ157" s="65" t="n"/>
      <c r="DYK157" s="65" t="n"/>
      <c r="DYL157" s="65" t="n"/>
      <c r="DYM157" s="65" t="n"/>
      <c r="DYN157" s="65" t="n"/>
      <c r="DYO157" s="65" t="n"/>
      <c r="DYP157" s="65" t="n"/>
      <c r="DYQ157" s="65" t="n"/>
      <c r="DYR157" s="65" t="n"/>
      <c r="DYS157" s="65" t="n"/>
      <c r="DYT157" s="65" t="n"/>
      <c r="DYU157" s="65" t="n"/>
      <c r="DYV157" s="65" t="n"/>
      <c r="DYW157" s="65" t="n"/>
      <c r="DYX157" s="65" t="n"/>
      <c r="DYY157" s="65" t="n"/>
      <c r="DYZ157" s="65" t="n"/>
      <c r="DZA157" s="65" t="n"/>
      <c r="DZB157" s="65" t="n"/>
      <c r="DZC157" s="65" t="n"/>
      <c r="DZD157" s="65" t="n"/>
      <c r="DZE157" s="65" t="n"/>
      <c r="DZF157" s="65" t="n"/>
      <c r="DZG157" s="65" t="n"/>
      <c r="DZH157" s="65" t="n"/>
      <c r="DZI157" s="65" t="n"/>
      <c r="DZJ157" s="65" t="n"/>
      <c r="DZK157" s="65" t="n"/>
      <c r="DZL157" s="65" t="n"/>
      <c r="DZM157" s="65" t="n"/>
      <c r="DZN157" s="65" t="n"/>
      <c r="DZO157" s="65" t="n"/>
      <c r="DZP157" s="65" t="n"/>
      <c r="DZQ157" s="65" t="n"/>
      <c r="DZR157" s="65" t="n"/>
      <c r="DZS157" s="65" t="n"/>
      <c r="DZT157" s="65" t="n"/>
      <c r="DZU157" s="65" t="n"/>
      <c r="DZV157" s="65" t="n"/>
      <c r="DZW157" s="65" t="n"/>
      <c r="DZX157" s="65" t="n"/>
      <c r="DZY157" s="65" t="n"/>
      <c r="DZZ157" s="65" t="n"/>
      <c r="EAA157" s="65" t="n"/>
      <c r="EAB157" s="65" t="n"/>
      <c r="EAC157" s="65" t="n"/>
      <c r="EAD157" s="65" t="n"/>
      <c r="EAE157" s="65" t="n"/>
      <c r="EAF157" s="65" t="n"/>
      <c r="EAG157" s="65" t="n"/>
      <c r="EAH157" s="65" t="n"/>
      <c r="EAI157" s="65" t="n"/>
      <c r="EAJ157" s="65" t="n"/>
      <c r="EAK157" s="65" t="n"/>
      <c r="EAL157" s="65" t="n"/>
      <c r="EAM157" s="65" t="n"/>
      <c r="EAN157" s="65" t="n"/>
      <c r="EAO157" s="65" t="n"/>
      <c r="EAP157" s="65" t="n"/>
      <c r="EAQ157" s="65" t="n"/>
      <c r="EAR157" s="65" t="n"/>
      <c r="EAS157" s="65" t="n"/>
      <c r="EAT157" s="65" t="n"/>
      <c r="EAU157" s="65" t="n"/>
      <c r="EAV157" s="65" t="n"/>
      <c r="EAW157" s="65" t="n"/>
      <c r="EAX157" s="65" t="n"/>
      <c r="EAY157" s="65" t="n"/>
      <c r="EAZ157" s="65" t="n"/>
      <c r="EBA157" s="65" t="n"/>
      <c r="EBB157" s="65" t="n"/>
      <c r="EBC157" s="65" t="n"/>
      <c r="EBD157" s="65" t="n"/>
      <c r="EBE157" s="65" t="n"/>
      <c r="EBF157" s="65" t="n"/>
      <c r="EBG157" s="65" t="n"/>
      <c r="EBH157" s="65" t="n"/>
      <c r="EBI157" s="65" t="n"/>
      <c r="EBJ157" s="65" t="n"/>
      <c r="EBK157" s="65" t="n"/>
      <c r="EBL157" s="65" t="n"/>
      <c r="EBM157" s="65" t="n"/>
      <c r="EBN157" s="65" t="n"/>
      <c r="EBO157" s="65" t="n"/>
      <c r="EBP157" s="65" t="n"/>
      <c r="EBQ157" s="65" t="n"/>
      <c r="EBR157" s="65" t="n"/>
      <c r="EBS157" s="65" t="n"/>
      <c r="EBT157" s="65" t="n"/>
      <c r="EBU157" s="65" t="n"/>
      <c r="EBV157" s="65" t="n"/>
      <c r="EBW157" s="65" t="n"/>
      <c r="EBX157" s="65" t="n"/>
      <c r="EBY157" s="65" t="n"/>
      <c r="EBZ157" s="65" t="n"/>
      <c r="ECA157" s="65" t="n"/>
      <c r="ECB157" s="65" t="n"/>
      <c r="ECC157" s="65" t="n"/>
      <c r="ECD157" s="65" t="n"/>
      <c r="ECE157" s="65" t="n"/>
      <c r="ECF157" s="65" t="n"/>
      <c r="ECG157" s="65" t="n"/>
      <c r="ECH157" s="65" t="n"/>
      <c r="ECI157" s="65" t="n"/>
      <c r="ECJ157" s="65" t="n"/>
      <c r="ECK157" s="65" t="n"/>
      <c r="ECL157" s="65" t="n"/>
      <c r="ECM157" s="65" t="n"/>
      <c r="ECN157" s="65" t="n"/>
      <c r="ECO157" s="65" t="n"/>
      <c r="ECP157" s="65" t="n"/>
      <c r="ECQ157" s="65" t="n"/>
      <c r="ECR157" s="65" t="n"/>
      <c r="ECS157" s="65" t="n"/>
      <c r="ECT157" s="65" t="n"/>
      <c r="ECU157" s="65" t="n"/>
      <c r="ECV157" s="65" t="n"/>
      <c r="ECW157" s="65" t="n"/>
      <c r="ECX157" s="65" t="n"/>
      <c r="ECY157" s="65" t="n"/>
      <c r="ECZ157" s="65" t="n"/>
      <c r="EDA157" s="65" t="n"/>
      <c r="EDB157" s="65" t="n"/>
      <c r="EDC157" s="65" t="n"/>
      <c r="EDD157" s="65" t="n"/>
      <c r="EDE157" s="65" t="n"/>
      <c r="EDF157" s="65" t="n"/>
      <c r="EDG157" s="65" t="n"/>
      <c r="EDH157" s="65" t="n"/>
      <c r="EDI157" s="65" t="n"/>
      <c r="EDJ157" s="65" t="n"/>
      <c r="EDK157" s="65" t="n"/>
      <c r="EDL157" s="65" t="n"/>
      <c r="EDM157" s="65" t="n"/>
      <c r="EDN157" s="65" t="n"/>
      <c r="EDO157" s="65" t="n"/>
      <c r="EDP157" s="65" t="n"/>
      <c r="EDQ157" s="65" t="n"/>
      <c r="EDR157" s="65" t="n"/>
      <c r="EDS157" s="65" t="n"/>
      <c r="EDT157" s="65" t="n"/>
      <c r="EDU157" s="65" t="n"/>
      <c r="EDV157" s="65" t="n"/>
      <c r="EDW157" s="65" t="n"/>
      <c r="EDX157" s="65" t="n"/>
      <c r="EDY157" s="65" t="n"/>
      <c r="EDZ157" s="65" t="n"/>
      <c r="EEA157" s="65" t="n"/>
      <c r="EEB157" s="65" t="n"/>
      <c r="EEC157" s="65" t="n"/>
      <c r="EED157" s="65" t="n"/>
      <c r="EEE157" s="65" t="n"/>
      <c r="EEF157" s="65" t="n"/>
      <c r="EEG157" s="65" t="n"/>
      <c r="EEH157" s="65" t="n"/>
      <c r="EEI157" s="65" t="n"/>
      <c r="EEJ157" s="65" t="n"/>
      <c r="EEK157" s="65" t="n"/>
      <c r="EEL157" s="65" t="n"/>
      <c r="EEM157" s="65" t="n"/>
      <c r="EEN157" s="65" t="n"/>
      <c r="EEO157" s="65" t="n"/>
      <c r="EEP157" s="65" t="n"/>
      <c r="EEQ157" s="65" t="n"/>
      <c r="EER157" s="65" t="n"/>
      <c r="EES157" s="65" t="n"/>
      <c r="EET157" s="65" t="n"/>
      <c r="EEU157" s="65" t="n"/>
      <c r="EEV157" s="65" t="n"/>
      <c r="EEW157" s="65" t="n"/>
      <c r="EEX157" s="65" t="n"/>
      <c r="EEY157" s="65" t="n"/>
      <c r="EEZ157" s="65" t="n"/>
      <c r="EFA157" s="65" t="n"/>
      <c r="EFB157" s="65" t="n"/>
      <c r="EFC157" s="65" t="n"/>
      <c r="EFD157" s="65" t="n"/>
      <c r="EFE157" s="65" t="n"/>
      <c r="EFF157" s="65" t="n"/>
      <c r="EFG157" s="65" t="n"/>
      <c r="EFH157" s="65" t="n"/>
      <c r="EFI157" s="65" t="n"/>
      <c r="EFJ157" s="65" t="n"/>
      <c r="EFK157" s="65" t="n"/>
      <c r="EFL157" s="65" t="n"/>
      <c r="EFM157" s="65" t="n"/>
      <c r="EFN157" s="65" t="n"/>
      <c r="EFO157" s="65" t="n"/>
      <c r="EFP157" s="65" t="n"/>
      <c r="EFQ157" s="65" t="n"/>
      <c r="EFR157" s="65" t="n"/>
      <c r="EFS157" s="65" t="n"/>
      <c r="EFT157" s="65" t="n"/>
      <c r="EFU157" s="65" t="n"/>
      <c r="EFV157" s="65" t="n"/>
      <c r="EFW157" s="65" t="n"/>
      <c r="EFX157" s="65" t="n"/>
      <c r="EFY157" s="65" t="n"/>
      <c r="EFZ157" s="65" t="n"/>
      <c r="EGA157" s="65" t="n"/>
      <c r="EGB157" s="65" t="n"/>
      <c r="EGC157" s="65" t="n"/>
      <c r="EGD157" s="65" t="n"/>
      <c r="EGE157" s="65" t="n"/>
      <c r="EGF157" s="65" t="n"/>
      <c r="EGG157" s="65" t="n"/>
      <c r="EGH157" s="65" t="n"/>
      <c r="EGI157" s="65" t="n"/>
      <c r="EGJ157" s="65" t="n"/>
      <c r="EGK157" s="65" t="n"/>
      <c r="EGL157" s="65" t="n"/>
      <c r="EGM157" s="65" t="n"/>
      <c r="EGN157" s="65" t="n"/>
      <c r="EGO157" s="65" t="n"/>
      <c r="EGP157" s="65" t="n"/>
      <c r="EGQ157" s="65" t="n"/>
      <c r="EGR157" s="65" t="n"/>
      <c r="EGS157" s="65" t="n"/>
      <c r="EGT157" s="65" t="n"/>
      <c r="EGU157" s="65" t="n"/>
      <c r="EGV157" s="65" t="n"/>
      <c r="EGW157" s="65" t="n"/>
      <c r="EGX157" s="65" t="n"/>
      <c r="EGY157" s="65" t="n"/>
      <c r="EGZ157" s="65" t="n"/>
      <c r="EHA157" s="65" t="n"/>
      <c r="EHB157" s="65" t="n"/>
      <c r="EHC157" s="65" t="n"/>
      <c r="EHD157" s="65" t="n"/>
      <c r="EHE157" s="65" t="n"/>
      <c r="EHF157" s="65" t="n"/>
      <c r="EHG157" s="65" t="n"/>
      <c r="EHH157" s="65" t="n"/>
      <c r="EHI157" s="65" t="n"/>
      <c r="EHJ157" s="65" t="n"/>
      <c r="EHK157" s="65" t="n"/>
      <c r="EHL157" s="65" t="n"/>
      <c r="EHM157" s="65" t="n"/>
      <c r="EHN157" s="65" t="n"/>
      <c r="EHO157" s="65" t="n"/>
      <c r="EHP157" s="65" t="n"/>
      <c r="EHQ157" s="65" t="n"/>
      <c r="EHR157" s="65" t="n"/>
      <c r="EHS157" s="65" t="n"/>
      <c r="EHT157" s="65" t="n"/>
      <c r="EHU157" s="65" t="n"/>
      <c r="EHV157" s="65" t="n"/>
      <c r="EHW157" s="65" t="n"/>
      <c r="EHX157" s="65" t="n"/>
      <c r="EHY157" s="65" t="n"/>
      <c r="EHZ157" s="65" t="n"/>
      <c r="EIA157" s="65" t="n"/>
      <c r="EIB157" s="65" t="n"/>
      <c r="EIC157" s="65" t="n"/>
      <c r="EID157" s="65" t="n"/>
      <c r="EIE157" s="65" t="n"/>
      <c r="EIF157" s="65" t="n"/>
      <c r="EIG157" s="65" t="n"/>
      <c r="EIH157" s="65" t="n"/>
      <c r="EII157" s="65" t="n"/>
      <c r="EIJ157" s="65" t="n"/>
      <c r="EIK157" s="65" t="n"/>
      <c r="EIL157" s="65" t="n"/>
      <c r="EIM157" s="65" t="n"/>
      <c r="EIN157" s="65" t="n"/>
      <c r="EIO157" s="65" t="n"/>
      <c r="EIP157" s="65" t="n"/>
      <c r="EIQ157" s="65" t="n"/>
      <c r="EIR157" s="65" t="n"/>
      <c r="EIS157" s="65" t="n"/>
      <c r="EIT157" s="65" t="n"/>
      <c r="EIU157" s="65" t="n"/>
      <c r="EIV157" s="65" t="n"/>
      <c r="EIW157" s="65" t="n"/>
      <c r="EIX157" s="65" t="n"/>
      <c r="EIY157" s="65" t="n"/>
      <c r="EIZ157" s="65" t="n"/>
      <c r="EJA157" s="65" t="n"/>
      <c r="EJB157" s="65" t="n"/>
      <c r="EJC157" s="65" t="n"/>
      <c r="EJD157" s="65" t="n"/>
      <c r="EJE157" s="65" t="n"/>
      <c r="EJF157" s="65" t="n"/>
      <c r="EJG157" s="65" t="n"/>
      <c r="EJH157" s="65" t="n"/>
      <c r="EJI157" s="65" t="n"/>
      <c r="EJJ157" s="65" t="n"/>
      <c r="EJK157" s="65" t="n"/>
      <c r="EJL157" s="65" t="n"/>
      <c r="EJM157" s="65" t="n"/>
      <c r="EJN157" s="65" t="n"/>
      <c r="EJO157" s="65" t="n"/>
      <c r="EJP157" s="65" t="n"/>
      <c r="EJQ157" s="65" t="n"/>
      <c r="EJR157" s="65" t="n"/>
      <c r="EJS157" s="65" t="n"/>
      <c r="EJT157" s="65" t="n"/>
      <c r="EJU157" s="65" t="n"/>
      <c r="EJV157" s="65" t="n"/>
      <c r="EJW157" s="65" t="n"/>
      <c r="EJX157" s="65" t="n"/>
      <c r="EJY157" s="65" t="n"/>
      <c r="EJZ157" s="65" t="n"/>
      <c r="EKA157" s="65" t="n"/>
      <c r="EKB157" s="65" t="n"/>
      <c r="EKC157" s="65" t="n"/>
      <c r="EKD157" s="65" t="n"/>
      <c r="EKE157" s="65" t="n"/>
      <c r="EKF157" s="65" t="n"/>
      <c r="EKG157" s="65" t="n"/>
      <c r="EKH157" s="65" t="n"/>
      <c r="EKI157" s="65" t="n"/>
      <c r="EKJ157" s="65" t="n"/>
      <c r="EKK157" s="65" t="n"/>
      <c r="EKL157" s="65" t="n"/>
      <c r="EKM157" s="65" t="n"/>
      <c r="EKN157" s="65" t="n"/>
      <c r="EKO157" s="65" t="n"/>
      <c r="EKP157" s="65" t="n"/>
      <c r="EKQ157" s="65" t="n"/>
      <c r="EKR157" s="65" t="n"/>
      <c r="EKS157" s="65" t="n"/>
      <c r="EKT157" s="65" t="n"/>
      <c r="EKU157" s="65" t="n"/>
      <c r="EKV157" s="65" t="n"/>
      <c r="EKW157" s="65" t="n"/>
      <c r="EKX157" s="65" t="n"/>
      <c r="EKY157" s="65" t="n"/>
      <c r="EKZ157" s="65" t="n"/>
      <c r="ELA157" s="65" t="n"/>
      <c r="ELB157" s="65" t="n"/>
      <c r="ELC157" s="65" t="n"/>
      <c r="ELD157" s="65" t="n"/>
      <c r="ELE157" s="65" t="n"/>
      <c r="ELF157" s="65" t="n"/>
      <c r="ELG157" s="65" t="n"/>
      <c r="ELH157" s="65" t="n"/>
      <c r="ELI157" s="65" t="n"/>
      <c r="ELJ157" s="65" t="n"/>
      <c r="ELK157" s="65" t="n"/>
      <c r="ELL157" s="65" t="n"/>
      <c r="ELM157" s="65" t="n"/>
      <c r="ELN157" s="65" t="n"/>
      <c r="ELO157" s="65" t="n"/>
      <c r="ELP157" s="65" t="n"/>
      <c r="ELQ157" s="65" t="n"/>
      <c r="ELR157" s="65" t="n"/>
      <c r="ELS157" s="65" t="n"/>
      <c r="ELT157" s="65" t="n"/>
      <c r="ELU157" s="65" t="n"/>
      <c r="ELV157" s="65" t="n"/>
      <c r="ELW157" s="65" t="n"/>
      <c r="ELX157" s="65" t="n"/>
      <c r="ELY157" s="65" t="n"/>
      <c r="ELZ157" s="65" t="n"/>
      <c r="EMA157" s="65" t="n"/>
      <c r="EMB157" s="65" t="n"/>
      <c r="EMC157" s="65" t="n"/>
      <c r="EMD157" s="65" t="n"/>
      <c r="EME157" s="65" t="n"/>
      <c r="EMF157" s="65" t="n"/>
      <c r="EMG157" s="65" t="n"/>
      <c r="EMH157" s="65" t="n"/>
      <c r="EMI157" s="65" t="n"/>
      <c r="EMJ157" s="65" t="n"/>
      <c r="EMK157" s="65" t="n"/>
      <c r="EML157" s="65" t="n"/>
      <c r="EMM157" s="65" t="n"/>
      <c r="EMN157" s="65" t="n"/>
      <c r="EMO157" s="65" t="n"/>
      <c r="EMP157" s="65" t="n"/>
      <c r="EMQ157" s="65" t="n"/>
      <c r="EMR157" s="65" t="n"/>
      <c r="EMS157" s="65" t="n"/>
      <c r="EMT157" s="65" t="n"/>
      <c r="EMU157" s="65" t="n"/>
      <c r="EMV157" s="65" t="n"/>
      <c r="EMW157" s="65" t="n"/>
      <c r="EMX157" s="65" t="n"/>
      <c r="EMY157" s="65" t="n"/>
      <c r="EMZ157" s="65" t="n"/>
      <c r="ENA157" s="65" t="n"/>
      <c r="ENB157" s="65" t="n"/>
      <c r="ENC157" s="65" t="n"/>
      <c r="END157" s="65" t="n"/>
      <c r="ENE157" s="65" t="n"/>
      <c r="ENF157" s="65" t="n"/>
      <c r="ENG157" s="65" t="n"/>
      <c r="ENH157" s="65" t="n"/>
      <c r="ENI157" s="65" t="n"/>
      <c r="ENJ157" s="65" t="n"/>
      <c r="ENK157" s="65" t="n"/>
      <c r="ENL157" s="65" t="n"/>
      <c r="ENM157" s="65" t="n"/>
      <c r="ENN157" s="65" t="n"/>
      <c r="ENO157" s="65" t="n"/>
      <c r="ENP157" s="65" t="n"/>
      <c r="ENQ157" s="65" t="n"/>
      <c r="ENR157" s="65" t="n"/>
      <c r="ENS157" s="65" t="n"/>
      <c r="ENT157" s="65" t="n"/>
      <c r="ENU157" s="65" t="n"/>
      <c r="ENV157" s="65" t="n"/>
      <c r="ENW157" s="65" t="n"/>
      <c r="ENX157" s="65" t="n"/>
      <c r="ENY157" s="65" t="n"/>
      <c r="ENZ157" s="65" t="n"/>
      <c r="EOA157" s="65" t="n"/>
      <c r="EOB157" s="65" t="n"/>
      <c r="EOC157" s="65" t="n"/>
      <c r="EOD157" s="65" t="n"/>
      <c r="EOE157" s="65" t="n"/>
      <c r="EOF157" s="65" t="n"/>
      <c r="EOG157" s="65" t="n"/>
      <c r="EOH157" s="65" t="n"/>
      <c r="EOI157" s="65" t="n"/>
      <c r="EOJ157" s="65" t="n"/>
      <c r="EOK157" s="65" t="n"/>
      <c r="EOL157" s="65" t="n"/>
      <c r="EOM157" s="65" t="n"/>
      <c r="EON157" s="65" t="n"/>
      <c r="EOO157" s="65" t="n"/>
      <c r="EOP157" s="65" t="n"/>
      <c r="EOQ157" s="65" t="n"/>
      <c r="EOR157" s="65" t="n"/>
      <c r="EOS157" s="65" t="n"/>
      <c r="EOT157" s="65" t="n"/>
      <c r="EOU157" s="65" t="n"/>
      <c r="EOV157" s="65" t="n"/>
      <c r="EOW157" s="65" t="n"/>
      <c r="EOX157" s="65" t="n"/>
      <c r="EOY157" s="65" t="n"/>
      <c r="EOZ157" s="65" t="n"/>
      <c r="EPA157" s="65" t="n"/>
      <c r="EPB157" s="65" t="n"/>
      <c r="EPC157" s="65" t="n"/>
      <c r="EPD157" s="65" t="n"/>
      <c r="EPE157" s="65" t="n"/>
      <c r="EPF157" s="65" t="n"/>
      <c r="EPG157" s="65" t="n"/>
      <c r="EPH157" s="65" t="n"/>
      <c r="EPI157" s="65" t="n"/>
      <c r="EPJ157" s="65" t="n"/>
      <c r="EPK157" s="65" t="n"/>
      <c r="EPL157" s="65" t="n"/>
      <c r="EPM157" s="65" t="n"/>
      <c r="EPN157" s="65" t="n"/>
      <c r="EPO157" s="65" t="n"/>
      <c r="EPP157" s="65" t="n"/>
      <c r="EPQ157" s="65" t="n"/>
      <c r="EPR157" s="65" t="n"/>
      <c r="EPS157" s="65" t="n"/>
      <c r="EPT157" s="65" t="n"/>
      <c r="EPU157" s="65" t="n"/>
      <c r="EPV157" s="65" t="n"/>
      <c r="EPW157" s="65" t="n"/>
      <c r="EPX157" s="65" t="n"/>
      <c r="EPY157" s="65" t="n"/>
      <c r="EPZ157" s="65" t="n"/>
      <c r="EQA157" s="65" t="n"/>
      <c r="EQB157" s="65" t="n"/>
      <c r="EQC157" s="65" t="n"/>
      <c r="EQD157" s="65" t="n"/>
      <c r="EQE157" s="65" t="n"/>
      <c r="EQF157" s="65" t="n"/>
      <c r="EQG157" s="65" t="n"/>
      <c r="EQH157" s="65" t="n"/>
      <c r="EQI157" s="65" t="n"/>
      <c r="EQJ157" s="65" t="n"/>
      <c r="EQK157" s="65" t="n"/>
      <c r="EQL157" s="65" t="n"/>
      <c r="EQM157" s="65" t="n"/>
      <c r="EQN157" s="65" t="n"/>
      <c r="EQO157" s="65" t="n"/>
      <c r="EQP157" s="65" t="n"/>
      <c r="EQQ157" s="65" t="n"/>
      <c r="EQR157" s="65" t="n"/>
      <c r="EQS157" s="65" t="n"/>
      <c r="EQT157" s="65" t="n"/>
      <c r="EQU157" s="65" t="n"/>
      <c r="EQV157" s="65" t="n"/>
      <c r="EQW157" s="65" t="n"/>
      <c r="EQX157" s="65" t="n"/>
      <c r="EQY157" s="65" t="n"/>
      <c r="EQZ157" s="65" t="n"/>
      <c r="ERA157" s="65" t="n"/>
      <c r="ERB157" s="65" t="n"/>
      <c r="ERC157" s="65" t="n"/>
      <c r="ERD157" s="65" t="n"/>
      <c r="ERE157" s="65" t="n"/>
      <c r="ERF157" s="65" t="n"/>
      <c r="ERG157" s="65" t="n"/>
      <c r="ERH157" s="65" t="n"/>
      <c r="ERI157" s="65" t="n"/>
      <c r="ERJ157" s="65" t="n"/>
      <c r="ERK157" s="65" t="n"/>
      <c r="ERL157" s="65" t="n"/>
      <c r="ERM157" s="65" t="n"/>
      <c r="ERN157" s="65" t="n"/>
      <c r="ERO157" s="65" t="n"/>
      <c r="ERP157" s="65" t="n"/>
      <c r="ERQ157" s="65" t="n"/>
      <c r="ERR157" s="65" t="n"/>
      <c r="ERS157" s="65" t="n"/>
      <c r="ERT157" s="65" t="n"/>
      <c r="ERU157" s="65" t="n"/>
      <c r="ERV157" s="65" t="n"/>
      <c r="ERW157" s="65" t="n"/>
      <c r="ERX157" s="65" t="n"/>
      <c r="ERY157" s="65" t="n"/>
      <c r="ERZ157" s="65" t="n"/>
      <c r="ESA157" s="65" t="n"/>
      <c r="ESB157" s="65" t="n"/>
      <c r="ESC157" s="65" t="n"/>
      <c r="ESD157" s="65" t="n"/>
      <c r="ESE157" s="65" t="n"/>
      <c r="ESF157" s="65" t="n"/>
      <c r="ESG157" s="65" t="n"/>
      <c r="ESH157" s="65" t="n"/>
      <c r="ESI157" s="65" t="n"/>
      <c r="ESJ157" s="65" t="n"/>
      <c r="ESK157" s="65" t="n"/>
      <c r="ESL157" s="65" t="n"/>
      <c r="ESM157" s="65" t="n"/>
      <c r="ESN157" s="65" t="n"/>
      <c r="ESO157" s="65" t="n"/>
      <c r="ESP157" s="65" t="n"/>
      <c r="ESQ157" s="65" t="n"/>
      <c r="ESR157" s="65" t="n"/>
      <c r="ESS157" s="65" t="n"/>
      <c r="EST157" s="65" t="n"/>
      <c r="ESU157" s="65" t="n"/>
      <c r="ESV157" s="65" t="n"/>
      <c r="ESW157" s="65" t="n"/>
      <c r="ESX157" s="65" t="n"/>
      <c r="ESY157" s="65" t="n"/>
      <c r="ESZ157" s="65" t="n"/>
      <c r="ETA157" s="65" t="n"/>
      <c r="ETB157" s="65" t="n"/>
      <c r="ETC157" s="65" t="n"/>
      <c r="ETD157" s="65" t="n"/>
      <c r="ETE157" s="65" t="n"/>
      <c r="ETF157" s="65" t="n"/>
      <c r="ETG157" s="65" t="n"/>
      <c r="ETH157" s="65" t="n"/>
      <c r="ETI157" s="65" t="n"/>
      <c r="ETJ157" s="65" t="n"/>
      <c r="ETK157" s="65" t="n"/>
      <c r="ETL157" s="65" t="n"/>
      <c r="ETM157" s="65" t="n"/>
      <c r="ETN157" s="65" t="n"/>
      <c r="ETO157" s="65" t="n"/>
      <c r="ETP157" s="65" t="n"/>
      <c r="ETQ157" s="65" t="n"/>
      <c r="ETR157" s="65" t="n"/>
      <c r="ETS157" s="65" t="n"/>
      <c r="ETT157" s="65" t="n"/>
      <c r="ETU157" s="65" t="n"/>
      <c r="ETV157" s="65" t="n"/>
      <c r="ETW157" s="65" t="n"/>
      <c r="ETX157" s="65" t="n"/>
      <c r="ETY157" s="65" t="n"/>
      <c r="ETZ157" s="65" t="n"/>
      <c r="EUA157" s="65" t="n"/>
      <c r="EUB157" s="65" t="n"/>
      <c r="EUC157" s="65" t="n"/>
      <c r="EUD157" s="65" t="n"/>
      <c r="EUE157" s="65" t="n"/>
      <c r="EUF157" s="65" t="n"/>
      <c r="EUG157" s="65" t="n"/>
      <c r="EUH157" s="65" t="n"/>
      <c r="EUI157" s="65" t="n"/>
      <c r="EUJ157" s="65" t="n"/>
      <c r="EUK157" s="65" t="n"/>
      <c r="EUL157" s="65" t="n"/>
      <c r="EUM157" s="65" t="n"/>
      <c r="EUN157" s="65" t="n"/>
      <c r="EUO157" s="65" t="n"/>
      <c r="EUP157" s="65" t="n"/>
      <c r="EUQ157" s="65" t="n"/>
      <c r="EUR157" s="65" t="n"/>
      <c r="EUS157" s="65" t="n"/>
      <c r="EUT157" s="65" t="n"/>
      <c r="EUU157" s="65" t="n"/>
      <c r="EUV157" s="65" t="n"/>
      <c r="EUW157" s="65" t="n"/>
      <c r="EUX157" s="65" t="n"/>
      <c r="EUY157" s="65" t="n"/>
      <c r="EUZ157" s="65" t="n"/>
      <c r="EVA157" s="65" t="n"/>
      <c r="EVB157" s="65" t="n"/>
      <c r="EVC157" s="65" t="n"/>
      <c r="EVD157" s="65" t="n"/>
      <c r="EVE157" s="65" t="n"/>
      <c r="EVF157" s="65" t="n"/>
      <c r="EVG157" s="65" t="n"/>
      <c r="EVH157" s="65" t="n"/>
      <c r="EVI157" s="65" t="n"/>
      <c r="EVJ157" s="65" t="n"/>
      <c r="EVK157" s="65" t="n"/>
      <c r="EVL157" s="65" t="n"/>
      <c r="EVM157" s="65" t="n"/>
      <c r="EVN157" s="65" t="n"/>
      <c r="EVO157" s="65" t="n"/>
      <c r="EVP157" s="65" t="n"/>
      <c r="EVQ157" s="65" t="n"/>
      <c r="EVR157" s="65" t="n"/>
      <c r="EVS157" s="65" t="n"/>
      <c r="EVT157" s="65" t="n"/>
      <c r="EVU157" s="65" t="n"/>
      <c r="EVV157" s="65" t="n"/>
      <c r="EVW157" s="65" t="n"/>
      <c r="EVX157" s="65" t="n"/>
      <c r="EVY157" s="65" t="n"/>
      <c r="EVZ157" s="65" t="n"/>
      <c r="EWA157" s="65" t="n"/>
      <c r="EWB157" s="65" t="n"/>
      <c r="EWC157" s="65" t="n"/>
      <c r="EWD157" s="65" t="n"/>
      <c r="EWE157" s="65" t="n"/>
      <c r="EWF157" s="65" t="n"/>
      <c r="EWG157" s="65" t="n"/>
      <c r="EWH157" s="65" t="n"/>
      <c r="EWI157" s="65" t="n"/>
      <c r="EWJ157" s="65" t="n"/>
      <c r="EWK157" s="65" t="n"/>
      <c r="EWL157" s="65" t="n"/>
      <c r="EWM157" s="65" t="n"/>
      <c r="EWN157" s="65" t="n"/>
      <c r="EWO157" s="65" t="n"/>
      <c r="EWP157" s="65" t="n"/>
      <c r="EWQ157" s="65" t="n"/>
      <c r="EWR157" s="65" t="n"/>
      <c r="EWS157" s="65" t="n"/>
      <c r="EWT157" s="65" t="n"/>
      <c r="EWU157" s="65" t="n"/>
      <c r="EWV157" s="65" t="n"/>
      <c r="EWW157" s="65" t="n"/>
      <c r="EWX157" s="65" t="n"/>
      <c r="EWY157" s="65" t="n"/>
      <c r="EWZ157" s="65" t="n"/>
      <c r="EXA157" s="65" t="n"/>
      <c r="EXB157" s="65" t="n"/>
      <c r="EXC157" s="65" t="n"/>
      <c r="EXD157" s="65" t="n"/>
      <c r="EXE157" s="65" t="n"/>
      <c r="EXF157" s="65" t="n"/>
      <c r="EXG157" s="65" t="n"/>
      <c r="EXH157" s="65" t="n"/>
      <c r="EXI157" s="65" t="n"/>
      <c r="EXJ157" s="65" t="n"/>
      <c r="EXK157" s="65" t="n"/>
      <c r="EXL157" s="65" t="n"/>
      <c r="EXM157" s="65" t="n"/>
      <c r="EXN157" s="65" t="n"/>
      <c r="EXO157" s="65" t="n"/>
      <c r="EXP157" s="65" t="n"/>
      <c r="EXQ157" s="65" t="n"/>
      <c r="EXR157" s="65" t="n"/>
      <c r="EXS157" s="65" t="n"/>
      <c r="EXT157" s="65" t="n"/>
      <c r="EXU157" s="65" t="n"/>
      <c r="EXV157" s="65" t="n"/>
      <c r="EXW157" s="65" t="n"/>
      <c r="EXX157" s="65" t="n"/>
      <c r="EXY157" s="65" t="n"/>
      <c r="EXZ157" s="65" t="n"/>
      <c r="EYA157" s="65" t="n"/>
      <c r="EYB157" s="65" t="n"/>
      <c r="EYC157" s="65" t="n"/>
      <c r="EYD157" s="65" t="n"/>
      <c r="EYE157" s="65" t="n"/>
      <c r="EYF157" s="65" t="n"/>
      <c r="EYG157" s="65" t="n"/>
      <c r="EYH157" s="65" t="n"/>
      <c r="EYI157" s="65" t="n"/>
      <c r="EYJ157" s="65" t="n"/>
      <c r="EYK157" s="65" t="n"/>
      <c r="EYL157" s="65" t="n"/>
      <c r="EYM157" s="65" t="n"/>
      <c r="EYN157" s="65" t="n"/>
      <c r="EYO157" s="65" t="n"/>
      <c r="EYP157" s="65" t="n"/>
      <c r="EYQ157" s="65" t="n"/>
      <c r="EYR157" s="65" t="n"/>
      <c r="EYS157" s="65" t="n"/>
      <c r="EYT157" s="65" t="n"/>
      <c r="EYU157" s="65" t="n"/>
      <c r="EYV157" s="65" t="n"/>
      <c r="EYW157" s="65" t="n"/>
      <c r="EYX157" s="65" t="n"/>
      <c r="EYY157" s="65" t="n"/>
      <c r="EYZ157" s="65" t="n"/>
      <c r="EZA157" s="65" t="n"/>
      <c r="EZB157" s="65" t="n"/>
      <c r="EZC157" s="65" t="n"/>
      <c r="EZD157" s="65" t="n"/>
      <c r="EZE157" s="65" t="n"/>
      <c r="EZF157" s="65" t="n"/>
      <c r="EZG157" s="65" t="n"/>
      <c r="EZH157" s="65" t="n"/>
      <c r="EZI157" s="65" t="n"/>
      <c r="EZJ157" s="65" t="n"/>
      <c r="EZK157" s="65" t="n"/>
      <c r="EZL157" s="65" t="n"/>
      <c r="EZM157" s="65" t="n"/>
      <c r="EZN157" s="65" t="n"/>
      <c r="EZO157" s="65" t="n"/>
      <c r="EZP157" s="65" t="n"/>
      <c r="EZQ157" s="65" t="n"/>
      <c r="EZR157" s="65" t="n"/>
      <c r="EZS157" s="65" t="n"/>
      <c r="EZT157" s="65" t="n"/>
      <c r="EZU157" s="65" t="n"/>
      <c r="EZV157" s="65" t="n"/>
      <c r="EZW157" s="65" t="n"/>
      <c r="EZX157" s="65" t="n"/>
      <c r="EZY157" s="65" t="n"/>
      <c r="EZZ157" s="65" t="n"/>
      <c r="FAA157" s="65" t="n"/>
      <c r="FAB157" s="65" t="n"/>
      <c r="FAC157" s="65" t="n"/>
      <c r="FAD157" s="65" t="n"/>
      <c r="FAE157" s="65" t="n"/>
      <c r="FAF157" s="65" t="n"/>
      <c r="FAG157" s="65" t="n"/>
      <c r="FAH157" s="65" t="n"/>
      <c r="FAI157" s="65" t="n"/>
      <c r="FAJ157" s="65" t="n"/>
      <c r="FAK157" s="65" t="n"/>
      <c r="FAL157" s="65" t="n"/>
      <c r="FAM157" s="65" t="n"/>
      <c r="FAN157" s="65" t="n"/>
      <c r="FAO157" s="65" t="n"/>
      <c r="FAP157" s="65" t="n"/>
      <c r="FAQ157" s="65" t="n"/>
      <c r="FAR157" s="65" t="n"/>
      <c r="FAS157" s="65" t="n"/>
      <c r="FAT157" s="65" t="n"/>
      <c r="FAU157" s="65" t="n"/>
      <c r="FAV157" s="65" t="n"/>
      <c r="FAW157" s="65" t="n"/>
      <c r="FAX157" s="65" t="n"/>
      <c r="FAY157" s="65" t="n"/>
      <c r="FAZ157" s="65" t="n"/>
      <c r="FBA157" s="65" t="n"/>
      <c r="FBB157" s="65" t="n"/>
      <c r="FBC157" s="65" t="n"/>
      <c r="FBD157" s="65" t="n"/>
      <c r="FBE157" s="65" t="n"/>
      <c r="FBF157" s="65" t="n"/>
      <c r="FBG157" s="65" t="n"/>
      <c r="FBH157" s="65" t="n"/>
      <c r="FBI157" s="65" t="n"/>
      <c r="FBJ157" s="65" t="n"/>
      <c r="FBK157" s="65" t="n"/>
      <c r="FBL157" s="65" t="n"/>
      <c r="FBM157" s="65" t="n"/>
      <c r="FBN157" s="65" t="n"/>
      <c r="FBO157" s="65" t="n"/>
      <c r="FBP157" s="65" t="n"/>
      <c r="FBQ157" s="65" t="n"/>
      <c r="FBR157" s="65" t="n"/>
      <c r="FBS157" s="65" t="n"/>
      <c r="FBT157" s="65" t="n"/>
      <c r="FBU157" s="65" t="n"/>
      <c r="FBV157" s="65" t="n"/>
      <c r="FBW157" s="65" t="n"/>
      <c r="FBX157" s="65" t="n"/>
      <c r="FBY157" s="65" t="n"/>
      <c r="FBZ157" s="65" t="n"/>
      <c r="FCA157" s="65" t="n"/>
      <c r="FCB157" s="65" t="n"/>
      <c r="FCC157" s="65" t="n"/>
      <c r="FCD157" s="65" t="n"/>
      <c r="FCE157" s="65" t="n"/>
      <c r="FCF157" s="65" t="n"/>
      <c r="FCG157" s="65" t="n"/>
      <c r="FCH157" s="65" t="n"/>
      <c r="FCI157" s="65" t="n"/>
      <c r="FCJ157" s="65" t="n"/>
      <c r="FCK157" s="65" t="n"/>
      <c r="FCL157" s="65" t="n"/>
      <c r="FCM157" s="65" t="n"/>
      <c r="FCN157" s="65" t="n"/>
      <c r="FCO157" s="65" t="n"/>
      <c r="FCP157" s="65" t="n"/>
      <c r="FCQ157" s="65" t="n"/>
      <c r="FCR157" s="65" t="n"/>
      <c r="FCS157" s="65" t="n"/>
      <c r="FCT157" s="65" t="n"/>
      <c r="FCU157" s="65" t="n"/>
      <c r="FCV157" s="65" t="n"/>
      <c r="FCW157" s="65" t="n"/>
      <c r="FCX157" s="65" t="n"/>
      <c r="FCY157" s="65" t="n"/>
      <c r="FCZ157" s="65" t="n"/>
      <c r="FDA157" s="65" t="n"/>
      <c r="FDB157" s="65" t="n"/>
      <c r="FDC157" s="65" t="n"/>
      <c r="FDD157" s="65" t="n"/>
      <c r="FDE157" s="65" t="n"/>
      <c r="FDF157" s="65" t="n"/>
      <c r="FDG157" s="65" t="n"/>
      <c r="FDH157" s="65" t="n"/>
      <c r="FDI157" s="65" t="n"/>
      <c r="FDJ157" s="65" t="n"/>
      <c r="FDK157" s="65" t="n"/>
      <c r="FDL157" s="65" t="n"/>
      <c r="FDM157" s="65" t="n"/>
      <c r="FDN157" s="65" t="n"/>
      <c r="FDO157" s="65" t="n"/>
      <c r="FDP157" s="65" t="n"/>
      <c r="FDQ157" s="65" t="n"/>
      <c r="FDR157" s="65" t="n"/>
      <c r="FDS157" s="65" t="n"/>
      <c r="FDT157" s="65" t="n"/>
      <c r="FDU157" s="65" t="n"/>
      <c r="FDV157" s="65" t="n"/>
      <c r="FDW157" s="65" t="n"/>
      <c r="FDX157" s="65" t="n"/>
      <c r="FDY157" s="65" t="n"/>
      <c r="FDZ157" s="65" t="n"/>
      <c r="FEA157" s="65" t="n"/>
      <c r="FEB157" s="65" t="n"/>
      <c r="FEC157" s="65" t="n"/>
      <c r="FED157" s="65" t="n"/>
      <c r="FEE157" s="65" t="n"/>
      <c r="FEF157" s="65" t="n"/>
      <c r="FEG157" s="65" t="n"/>
      <c r="FEH157" s="65" t="n"/>
      <c r="FEI157" s="65" t="n"/>
      <c r="FEJ157" s="65" t="n"/>
      <c r="FEK157" s="65" t="n"/>
      <c r="FEL157" s="65" t="n"/>
      <c r="FEM157" s="65" t="n"/>
      <c r="FEN157" s="65" t="n"/>
      <c r="FEO157" s="65" t="n"/>
      <c r="FEP157" s="65" t="n"/>
      <c r="FEQ157" s="65" t="n"/>
      <c r="FER157" s="65" t="n"/>
      <c r="FES157" s="65" t="n"/>
      <c r="FET157" s="65" t="n"/>
      <c r="FEU157" s="65" t="n"/>
      <c r="FEV157" s="65" t="n"/>
      <c r="FEW157" s="65" t="n"/>
      <c r="FEX157" s="65" t="n"/>
      <c r="FEY157" s="65" t="n"/>
      <c r="FEZ157" s="65" t="n"/>
      <c r="FFA157" s="65" t="n"/>
      <c r="FFB157" s="65" t="n"/>
      <c r="FFC157" s="65" t="n"/>
      <c r="FFD157" s="65" t="n"/>
      <c r="FFE157" s="65" t="n"/>
      <c r="FFF157" s="65" t="n"/>
      <c r="FFG157" s="65" t="n"/>
      <c r="FFH157" s="65" t="n"/>
      <c r="FFI157" s="65" t="n"/>
      <c r="FFJ157" s="65" t="n"/>
      <c r="FFK157" s="65" t="n"/>
      <c r="FFL157" s="65" t="n"/>
      <c r="FFM157" s="65" t="n"/>
      <c r="FFN157" s="65" t="n"/>
      <c r="FFO157" s="65" t="n"/>
      <c r="FFP157" s="65" t="n"/>
      <c r="FFQ157" s="65" t="n"/>
      <c r="FFR157" s="65" t="n"/>
      <c r="FFS157" s="65" t="n"/>
      <c r="FFT157" s="65" t="n"/>
      <c r="FFU157" s="65" t="n"/>
      <c r="FFV157" s="65" t="n"/>
      <c r="FFW157" s="65" t="n"/>
      <c r="FFX157" s="65" t="n"/>
      <c r="FFY157" s="65" t="n"/>
      <c r="FFZ157" s="65" t="n"/>
      <c r="FGA157" s="65" t="n"/>
      <c r="FGB157" s="65" t="n"/>
      <c r="FGC157" s="65" t="n"/>
      <c r="FGD157" s="65" t="n"/>
      <c r="FGE157" s="65" t="n"/>
      <c r="FGF157" s="65" t="n"/>
      <c r="FGG157" s="65" t="n"/>
      <c r="FGH157" s="65" t="n"/>
      <c r="FGI157" s="65" t="n"/>
      <c r="FGJ157" s="65" t="n"/>
      <c r="FGK157" s="65" t="n"/>
      <c r="FGL157" s="65" t="n"/>
      <c r="FGM157" s="65" t="n"/>
      <c r="FGN157" s="65" t="n"/>
      <c r="FGO157" s="65" t="n"/>
      <c r="FGP157" s="65" t="n"/>
      <c r="FGQ157" s="65" t="n"/>
      <c r="FGR157" s="65" t="n"/>
      <c r="FGS157" s="65" t="n"/>
      <c r="FGT157" s="65" t="n"/>
      <c r="FGU157" s="65" t="n"/>
      <c r="FGV157" s="65" t="n"/>
      <c r="FGW157" s="65" t="n"/>
      <c r="FGX157" s="65" t="n"/>
      <c r="FGY157" s="65" t="n"/>
      <c r="FGZ157" s="65" t="n"/>
      <c r="FHA157" s="65" t="n"/>
      <c r="FHB157" s="65" t="n"/>
      <c r="FHC157" s="65" t="n"/>
      <c r="FHD157" s="65" t="n"/>
      <c r="FHE157" s="65" t="n"/>
      <c r="FHF157" s="65" t="n"/>
      <c r="FHG157" s="65" t="n"/>
      <c r="FHH157" s="65" t="n"/>
      <c r="FHI157" s="65" t="n"/>
      <c r="FHJ157" s="65" t="n"/>
      <c r="FHK157" s="65" t="n"/>
      <c r="FHL157" s="65" t="n"/>
      <c r="FHM157" s="65" t="n"/>
      <c r="FHN157" s="65" t="n"/>
      <c r="FHO157" s="65" t="n"/>
      <c r="FHP157" s="65" t="n"/>
      <c r="FHQ157" s="65" t="n"/>
      <c r="FHR157" s="65" t="n"/>
      <c r="FHS157" s="65" t="n"/>
      <c r="FHT157" s="65" t="n"/>
      <c r="FHU157" s="65" t="n"/>
      <c r="FHV157" s="65" t="n"/>
      <c r="FHW157" s="65" t="n"/>
      <c r="FHX157" s="65" t="n"/>
      <c r="FHY157" s="65" t="n"/>
      <c r="FHZ157" s="65" t="n"/>
      <c r="FIA157" s="65" t="n"/>
      <c r="FIB157" s="65" t="n"/>
      <c r="FIC157" s="65" t="n"/>
      <c r="FID157" s="65" t="n"/>
      <c r="FIE157" s="65" t="n"/>
      <c r="FIF157" s="65" t="n"/>
      <c r="FIG157" s="65" t="n"/>
      <c r="FIH157" s="65" t="n"/>
      <c r="FII157" s="65" t="n"/>
      <c r="FIJ157" s="65" t="n"/>
      <c r="FIK157" s="65" t="n"/>
      <c r="FIL157" s="65" t="n"/>
      <c r="FIM157" s="65" t="n"/>
      <c r="FIN157" s="65" t="n"/>
      <c r="FIO157" s="65" t="n"/>
      <c r="FIP157" s="65" t="n"/>
      <c r="FIQ157" s="65" t="n"/>
      <c r="FIR157" s="65" t="n"/>
      <c r="FIS157" s="65" t="n"/>
      <c r="FIT157" s="65" t="n"/>
      <c r="FIU157" s="65" t="n"/>
      <c r="FIV157" s="65" t="n"/>
      <c r="FIW157" s="65" t="n"/>
      <c r="FIX157" s="65" t="n"/>
      <c r="FIY157" s="65" t="n"/>
      <c r="FIZ157" s="65" t="n"/>
      <c r="FJA157" s="65" t="n"/>
      <c r="FJB157" s="65" t="n"/>
      <c r="FJC157" s="65" t="n"/>
      <c r="FJD157" s="65" t="n"/>
      <c r="FJE157" s="65" t="n"/>
      <c r="FJF157" s="65" t="n"/>
      <c r="FJG157" s="65" t="n"/>
      <c r="FJH157" s="65" t="n"/>
      <c r="FJI157" s="65" t="n"/>
      <c r="FJJ157" s="65" t="n"/>
      <c r="FJK157" s="65" t="n"/>
      <c r="FJL157" s="65" t="n"/>
      <c r="FJM157" s="65" t="n"/>
      <c r="FJN157" s="65" t="n"/>
      <c r="FJO157" s="65" t="n"/>
      <c r="FJP157" s="65" t="n"/>
      <c r="FJQ157" s="65" t="n"/>
      <c r="FJR157" s="65" t="n"/>
      <c r="FJS157" s="65" t="n"/>
      <c r="FJT157" s="65" t="n"/>
      <c r="FJU157" s="65" t="n"/>
      <c r="FJV157" s="65" t="n"/>
      <c r="FJW157" s="65" t="n"/>
      <c r="FJX157" s="65" t="n"/>
      <c r="FJY157" s="65" t="n"/>
      <c r="FJZ157" s="65" t="n"/>
      <c r="FKA157" s="65" t="n"/>
      <c r="FKB157" s="65" t="n"/>
      <c r="FKC157" s="65" t="n"/>
      <c r="FKD157" s="65" t="n"/>
      <c r="FKE157" s="65" t="n"/>
      <c r="FKF157" s="65" t="n"/>
      <c r="FKG157" s="65" t="n"/>
      <c r="FKH157" s="65" t="n"/>
      <c r="FKI157" s="65" t="n"/>
      <c r="FKJ157" s="65" t="n"/>
      <c r="FKK157" s="65" t="n"/>
      <c r="FKL157" s="65" t="n"/>
      <c r="FKM157" s="65" t="n"/>
      <c r="FKN157" s="65" t="n"/>
      <c r="FKO157" s="65" t="n"/>
      <c r="FKP157" s="65" t="n"/>
      <c r="FKQ157" s="65" t="n"/>
      <c r="FKR157" s="65" t="n"/>
      <c r="FKS157" s="65" t="n"/>
      <c r="FKT157" s="65" t="n"/>
      <c r="FKU157" s="65" t="n"/>
      <c r="FKV157" s="65" t="n"/>
      <c r="FKW157" s="65" t="n"/>
      <c r="FKX157" s="65" t="n"/>
      <c r="FKY157" s="65" t="n"/>
      <c r="FKZ157" s="65" t="n"/>
      <c r="FLA157" s="65" t="n"/>
      <c r="FLB157" s="65" t="n"/>
      <c r="FLC157" s="65" t="n"/>
      <c r="FLD157" s="65" t="n"/>
      <c r="FLE157" s="65" t="n"/>
      <c r="FLF157" s="65" t="n"/>
      <c r="FLG157" s="65" t="n"/>
      <c r="FLH157" s="65" t="n"/>
      <c r="FLI157" s="65" t="n"/>
      <c r="FLJ157" s="65" t="n"/>
      <c r="FLK157" s="65" t="n"/>
      <c r="FLL157" s="65" t="n"/>
      <c r="FLM157" s="65" t="n"/>
      <c r="FLN157" s="65" t="n"/>
      <c r="FLO157" s="65" t="n"/>
      <c r="FLP157" s="65" t="n"/>
      <c r="FLQ157" s="65" t="n"/>
      <c r="FLR157" s="65" t="n"/>
      <c r="FLS157" s="65" t="n"/>
      <c r="FLT157" s="65" t="n"/>
      <c r="FLU157" s="65" t="n"/>
      <c r="FLV157" s="65" t="n"/>
      <c r="FLW157" s="65" t="n"/>
      <c r="FLX157" s="65" t="n"/>
      <c r="FLY157" s="65" t="n"/>
      <c r="FLZ157" s="65" t="n"/>
      <c r="FMA157" s="65" t="n"/>
      <c r="FMB157" s="65" t="n"/>
      <c r="FMC157" s="65" t="n"/>
      <c r="FMD157" s="65" t="n"/>
      <c r="FME157" s="65" t="n"/>
      <c r="FMF157" s="65" t="n"/>
      <c r="FMG157" s="65" t="n"/>
      <c r="FMH157" s="65" t="n"/>
      <c r="FMI157" s="65" t="n"/>
      <c r="FMJ157" s="65" t="n"/>
      <c r="FMK157" s="65" t="n"/>
      <c r="FML157" s="65" t="n"/>
      <c r="FMM157" s="65" t="n"/>
      <c r="FMN157" s="65" t="n"/>
      <c r="FMO157" s="65" t="n"/>
      <c r="FMP157" s="65" t="n"/>
      <c r="FMQ157" s="65" t="n"/>
      <c r="FMR157" s="65" t="n"/>
      <c r="FMS157" s="65" t="n"/>
      <c r="FMT157" s="65" t="n"/>
      <c r="FMU157" s="65" t="n"/>
      <c r="FMV157" s="65" t="n"/>
      <c r="FMW157" s="65" t="n"/>
      <c r="FMX157" s="65" t="n"/>
      <c r="FMY157" s="65" t="n"/>
      <c r="FMZ157" s="65" t="n"/>
      <c r="FNA157" s="65" t="n"/>
      <c r="FNB157" s="65" t="n"/>
      <c r="FNC157" s="65" t="n"/>
      <c r="FND157" s="65" t="n"/>
      <c r="FNE157" s="65" t="n"/>
      <c r="FNF157" s="65" t="n"/>
      <c r="FNG157" s="65" t="n"/>
      <c r="FNH157" s="65" t="n"/>
      <c r="FNI157" s="65" t="n"/>
      <c r="FNJ157" s="65" t="n"/>
      <c r="FNK157" s="65" t="n"/>
      <c r="FNL157" s="65" t="n"/>
      <c r="FNM157" s="65" t="n"/>
      <c r="FNN157" s="65" t="n"/>
      <c r="FNO157" s="65" t="n"/>
      <c r="FNP157" s="65" t="n"/>
      <c r="FNQ157" s="65" t="n"/>
      <c r="FNR157" s="65" t="n"/>
      <c r="FNS157" s="65" t="n"/>
      <c r="FNT157" s="65" t="n"/>
      <c r="FNU157" s="65" t="n"/>
      <c r="FNV157" s="65" t="n"/>
      <c r="FNW157" s="65" t="n"/>
      <c r="FNX157" s="65" t="n"/>
      <c r="FNY157" s="65" t="n"/>
      <c r="FNZ157" s="65" t="n"/>
      <c r="FOA157" s="65" t="n"/>
      <c r="FOB157" s="65" t="n"/>
      <c r="FOC157" s="65" t="n"/>
      <c r="FOD157" s="65" t="n"/>
      <c r="FOE157" s="65" t="n"/>
      <c r="FOF157" s="65" t="n"/>
      <c r="FOG157" s="65" t="n"/>
      <c r="FOH157" s="65" t="n"/>
      <c r="FOI157" s="65" t="n"/>
      <c r="FOJ157" s="65" t="n"/>
      <c r="FOK157" s="65" t="n"/>
      <c r="FOL157" s="65" t="n"/>
      <c r="FOM157" s="65" t="n"/>
      <c r="FON157" s="65" t="n"/>
      <c r="FOO157" s="65" t="n"/>
      <c r="FOP157" s="65" t="n"/>
      <c r="FOQ157" s="65" t="n"/>
      <c r="FOR157" s="65" t="n"/>
      <c r="FOS157" s="65" t="n"/>
      <c r="FOT157" s="65" t="n"/>
      <c r="FOU157" s="65" t="n"/>
      <c r="FOV157" s="65" t="n"/>
      <c r="FOW157" s="65" t="n"/>
      <c r="FOX157" s="65" t="n"/>
      <c r="FOY157" s="65" t="n"/>
      <c r="FOZ157" s="65" t="n"/>
      <c r="FPA157" s="65" t="n"/>
      <c r="FPB157" s="65" t="n"/>
      <c r="FPC157" s="65" t="n"/>
      <c r="FPD157" s="65" t="n"/>
      <c r="FPE157" s="65" t="n"/>
      <c r="FPF157" s="65" t="n"/>
      <c r="FPG157" s="65" t="n"/>
      <c r="FPH157" s="65" t="n"/>
      <c r="FPI157" s="65" t="n"/>
      <c r="FPJ157" s="65" t="n"/>
      <c r="FPK157" s="65" t="n"/>
      <c r="FPL157" s="65" t="n"/>
      <c r="FPM157" s="65" t="n"/>
      <c r="FPN157" s="65" t="n"/>
      <c r="FPO157" s="65" t="n"/>
      <c r="FPP157" s="65" t="n"/>
      <c r="FPQ157" s="65" t="n"/>
      <c r="FPR157" s="65" t="n"/>
      <c r="FPS157" s="65" t="n"/>
      <c r="FPT157" s="65" t="n"/>
      <c r="FPU157" s="65" t="n"/>
      <c r="FPV157" s="65" t="n"/>
      <c r="FPW157" s="65" t="n"/>
      <c r="FPX157" s="65" t="n"/>
      <c r="FPY157" s="65" t="n"/>
      <c r="FPZ157" s="65" t="n"/>
      <c r="FQA157" s="65" t="n"/>
      <c r="FQB157" s="65" t="n"/>
      <c r="FQC157" s="65" t="n"/>
      <c r="FQD157" s="65" t="n"/>
      <c r="FQE157" s="65" t="n"/>
      <c r="FQF157" s="65" t="n"/>
      <c r="FQG157" s="65" t="n"/>
      <c r="FQH157" s="65" t="n"/>
      <c r="FQI157" s="65" t="n"/>
      <c r="FQJ157" s="65" t="n"/>
      <c r="FQK157" s="65" t="n"/>
      <c r="FQL157" s="65" t="n"/>
      <c r="FQM157" s="65" t="n"/>
      <c r="FQN157" s="65" t="n"/>
      <c r="FQO157" s="65" t="n"/>
      <c r="FQP157" s="65" t="n"/>
      <c r="FQQ157" s="65" t="n"/>
      <c r="FQR157" s="65" t="n"/>
      <c r="FQS157" s="65" t="n"/>
      <c r="FQT157" s="65" t="n"/>
      <c r="FQU157" s="65" t="n"/>
      <c r="FQV157" s="65" t="n"/>
      <c r="FQW157" s="65" t="n"/>
      <c r="FQX157" s="65" t="n"/>
      <c r="FQY157" s="65" t="n"/>
      <c r="FQZ157" s="65" t="n"/>
      <c r="FRA157" s="65" t="n"/>
      <c r="FRB157" s="65" t="n"/>
      <c r="FRC157" s="65" t="n"/>
      <c r="FRD157" s="65" t="n"/>
      <c r="FRE157" s="65" t="n"/>
      <c r="FRF157" s="65" t="n"/>
      <c r="FRG157" s="65" t="n"/>
      <c r="FRH157" s="65" t="n"/>
      <c r="FRI157" s="65" t="n"/>
      <c r="FRJ157" s="65" t="n"/>
      <c r="FRK157" s="65" t="n"/>
      <c r="FRL157" s="65" t="n"/>
      <c r="FRM157" s="65" t="n"/>
      <c r="FRN157" s="65" t="n"/>
      <c r="FRO157" s="65" t="n"/>
      <c r="FRP157" s="65" t="n"/>
      <c r="FRQ157" s="65" t="n"/>
      <c r="FRR157" s="65" t="n"/>
      <c r="FRS157" s="65" t="n"/>
      <c r="FRT157" s="65" t="n"/>
      <c r="FRU157" s="65" t="n"/>
      <c r="FRV157" s="65" t="n"/>
      <c r="FRW157" s="65" t="n"/>
      <c r="FRX157" s="65" t="n"/>
      <c r="FRY157" s="65" t="n"/>
      <c r="FRZ157" s="65" t="n"/>
      <c r="FSA157" s="65" t="n"/>
      <c r="FSB157" s="65" t="n"/>
      <c r="FSC157" s="65" t="n"/>
      <c r="FSD157" s="65" t="n"/>
      <c r="FSE157" s="65" t="n"/>
      <c r="FSF157" s="65" t="n"/>
      <c r="FSG157" s="65" t="n"/>
      <c r="FSH157" s="65" t="n"/>
      <c r="FSI157" s="65" t="n"/>
      <c r="FSJ157" s="65" t="n"/>
      <c r="FSK157" s="65" t="n"/>
      <c r="FSL157" s="65" t="n"/>
      <c r="FSM157" s="65" t="n"/>
      <c r="FSN157" s="65" t="n"/>
      <c r="FSO157" s="65" t="n"/>
      <c r="FSP157" s="65" t="n"/>
      <c r="FSQ157" s="65" t="n"/>
      <c r="FSR157" s="65" t="n"/>
      <c r="FSS157" s="65" t="n"/>
      <c r="FST157" s="65" t="n"/>
      <c r="FSU157" s="65" t="n"/>
      <c r="FSV157" s="65" t="n"/>
      <c r="FSW157" s="65" t="n"/>
      <c r="FSX157" s="65" t="n"/>
      <c r="FSY157" s="65" t="n"/>
      <c r="FSZ157" s="65" t="n"/>
      <c r="FTA157" s="65" t="n"/>
      <c r="FTB157" s="65" t="n"/>
      <c r="FTC157" s="65" t="n"/>
      <c r="FTD157" s="65" t="n"/>
      <c r="FTE157" s="65" t="n"/>
      <c r="FTF157" s="65" t="n"/>
      <c r="FTG157" s="65" t="n"/>
      <c r="FTH157" s="65" t="n"/>
      <c r="FTI157" s="65" t="n"/>
      <c r="FTJ157" s="65" t="n"/>
      <c r="FTK157" s="65" t="n"/>
      <c r="FTL157" s="65" t="n"/>
      <c r="FTM157" s="65" t="n"/>
      <c r="FTN157" s="65" t="n"/>
      <c r="FTO157" s="65" t="n"/>
      <c r="FTP157" s="65" t="n"/>
      <c r="FTQ157" s="65" t="n"/>
      <c r="FTR157" s="65" t="n"/>
      <c r="FTS157" s="65" t="n"/>
      <c r="FTT157" s="65" t="n"/>
      <c r="FTU157" s="65" t="n"/>
      <c r="FTV157" s="65" t="n"/>
      <c r="FTW157" s="65" t="n"/>
      <c r="FTX157" s="65" t="n"/>
      <c r="FTY157" s="65" t="n"/>
      <c r="FTZ157" s="65" t="n"/>
      <c r="FUA157" s="65" t="n"/>
      <c r="FUB157" s="65" t="n"/>
      <c r="FUC157" s="65" t="n"/>
      <c r="FUD157" s="65" t="n"/>
      <c r="FUE157" s="65" t="n"/>
      <c r="FUF157" s="65" t="n"/>
      <c r="FUG157" s="65" t="n"/>
      <c r="FUH157" s="65" t="n"/>
      <c r="FUI157" s="65" t="n"/>
      <c r="FUJ157" s="65" t="n"/>
      <c r="FUK157" s="65" t="n"/>
      <c r="FUL157" s="65" t="n"/>
      <c r="FUM157" s="65" t="n"/>
      <c r="FUN157" s="65" t="n"/>
      <c r="FUO157" s="65" t="n"/>
      <c r="FUP157" s="65" t="n"/>
      <c r="FUQ157" s="65" t="n"/>
      <c r="FUR157" s="65" t="n"/>
      <c r="FUS157" s="65" t="n"/>
      <c r="FUT157" s="65" t="n"/>
      <c r="FUU157" s="65" t="n"/>
      <c r="FUV157" s="65" t="n"/>
      <c r="FUW157" s="65" t="n"/>
      <c r="FUX157" s="65" t="n"/>
      <c r="FUY157" s="65" t="n"/>
      <c r="FUZ157" s="65" t="n"/>
      <c r="FVA157" s="65" t="n"/>
      <c r="FVB157" s="65" t="n"/>
      <c r="FVC157" s="65" t="n"/>
      <c r="FVD157" s="65" t="n"/>
      <c r="FVE157" s="65" t="n"/>
      <c r="FVF157" s="65" t="n"/>
      <c r="FVG157" s="65" t="n"/>
      <c r="FVH157" s="65" t="n"/>
      <c r="FVI157" s="65" t="n"/>
      <c r="FVJ157" s="65" t="n"/>
      <c r="FVK157" s="65" t="n"/>
      <c r="FVL157" s="65" t="n"/>
      <c r="FVM157" s="65" t="n"/>
      <c r="FVN157" s="65" t="n"/>
      <c r="FVO157" s="65" t="n"/>
      <c r="FVP157" s="65" t="n"/>
      <c r="FVQ157" s="65" t="n"/>
      <c r="FVR157" s="65" t="n"/>
      <c r="FVS157" s="65" t="n"/>
      <c r="FVT157" s="65" t="n"/>
      <c r="FVU157" s="65" t="n"/>
      <c r="FVV157" s="65" t="n"/>
      <c r="FVW157" s="65" t="n"/>
      <c r="FVX157" s="65" t="n"/>
      <c r="FVY157" s="65" t="n"/>
      <c r="FVZ157" s="65" t="n"/>
      <c r="FWA157" s="65" t="n"/>
      <c r="FWB157" s="65" t="n"/>
      <c r="FWC157" s="65" t="n"/>
      <c r="FWD157" s="65" t="n"/>
      <c r="FWE157" s="65" t="n"/>
      <c r="FWF157" s="65" t="n"/>
      <c r="FWG157" s="65" t="n"/>
      <c r="FWH157" s="65" t="n"/>
      <c r="FWI157" s="65" t="n"/>
      <c r="FWJ157" s="65" t="n"/>
      <c r="FWK157" s="65" t="n"/>
      <c r="FWL157" s="65" t="n"/>
      <c r="FWM157" s="65" t="n"/>
      <c r="FWN157" s="65" t="n"/>
      <c r="FWO157" s="65" t="n"/>
      <c r="FWP157" s="65" t="n"/>
      <c r="FWQ157" s="65" t="n"/>
      <c r="FWR157" s="65" t="n"/>
      <c r="FWS157" s="65" t="n"/>
      <c r="FWT157" s="65" t="n"/>
      <c r="FWU157" s="65" t="n"/>
      <c r="FWV157" s="65" t="n"/>
      <c r="FWW157" s="65" t="n"/>
      <c r="FWX157" s="65" t="n"/>
      <c r="FWY157" s="65" t="n"/>
      <c r="FWZ157" s="65" t="n"/>
      <c r="FXA157" s="65" t="n"/>
      <c r="FXB157" s="65" t="n"/>
      <c r="FXC157" s="65" t="n"/>
      <c r="FXD157" s="65" t="n"/>
      <c r="FXE157" s="65" t="n"/>
      <c r="FXF157" s="65" t="n"/>
      <c r="FXG157" s="65" t="n"/>
      <c r="FXH157" s="65" t="n"/>
      <c r="FXI157" s="65" t="n"/>
      <c r="FXJ157" s="65" t="n"/>
      <c r="FXK157" s="65" t="n"/>
      <c r="FXL157" s="65" t="n"/>
      <c r="FXM157" s="65" t="n"/>
      <c r="FXN157" s="65" t="n"/>
      <c r="FXO157" s="65" t="n"/>
      <c r="FXP157" s="65" t="n"/>
      <c r="FXQ157" s="65" t="n"/>
      <c r="FXR157" s="65" t="n"/>
      <c r="FXS157" s="65" t="n"/>
      <c r="FXT157" s="65" t="n"/>
      <c r="FXU157" s="65" t="n"/>
      <c r="FXV157" s="65" t="n"/>
      <c r="FXW157" s="65" t="n"/>
      <c r="FXX157" s="65" t="n"/>
      <c r="FXY157" s="65" t="n"/>
      <c r="FXZ157" s="65" t="n"/>
      <c r="FYA157" s="65" t="n"/>
      <c r="FYB157" s="65" t="n"/>
      <c r="FYC157" s="65" t="n"/>
      <c r="FYD157" s="65" t="n"/>
      <c r="FYE157" s="65" t="n"/>
      <c r="FYF157" s="65" t="n"/>
      <c r="FYG157" s="65" t="n"/>
      <c r="FYH157" s="65" t="n"/>
      <c r="FYI157" s="65" t="n"/>
      <c r="FYJ157" s="65" t="n"/>
      <c r="FYK157" s="65" t="n"/>
      <c r="FYL157" s="65" t="n"/>
      <c r="FYM157" s="65" t="n"/>
      <c r="FYN157" s="65" t="n"/>
      <c r="FYO157" s="65" t="n"/>
      <c r="FYP157" s="65" t="n"/>
      <c r="FYQ157" s="65" t="n"/>
      <c r="FYR157" s="65" t="n"/>
      <c r="FYS157" s="65" t="n"/>
      <c r="FYT157" s="65" t="n"/>
      <c r="FYU157" s="65" t="n"/>
      <c r="FYV157" s="65" t="n"/>
      <c r="FYW157" s="65" t="n"/>
      <c r="FYX157" s="65" t="n"/>
      <c r="FYY157" s="65" t="n"/>
      <c r="FYZ157" s="65" t="n"/>
      <c r="FZA157" s="65" t="n"/>
      <c r="FZB157" s="65" t="n"/>
      <c r="FZC157" s="65" t="n"/>
      <c r="FZD157" s="65" t="n"/>
      <c r="FZE157" s="65" t="n"/>
      <c r="FZF157" s="65" t="n"/>
      <c r="FZG157" s="65" t="n"/>
      <c r="FZH157" s="65" t="n"/>
      <c r="FZI157" s="65" t="n"/>
      <c r="FZJ157" s="65" t="n"/>
      <c r="FZK157" s="65" t="n"/>
      <c r="FZL157" s="65" t="n"/>
      <c r="FZM157" s="65" t="n"/>
      <c r="FZN157" s="65" t="n"/>
      <c r="FZO157" s="65" t="n"/>
      <c r="FZP157" s="65" t="n"/>
      <c r="FZQ157" s="65" t="n"/>
      <c r="FZR157" s="65" t="n"/>
      <c r="FZS157" s="65" t="n"/>
      <c r="FZT157" s="65" t="n"/>
      <c r="FZU157" s="65" t="n"/>
      <c r="FZV157" s="65" t="n"/>
      <c r="FZW157" s="65" t="n"/>
      <c r="FZX157" s="65" t="n"/>
      <c r="FZY157" s="65" t="n"/>
      <c r="FZZ157" s="65" t="n"/>
      <c r="GAA157" s="65" t="n"/>
      <c r="GAB157" s="65" t="n"/>
      <c r="GAC157" s="65" t="n"/>
      <c r="GAD157" s="65" t="n"/>
      <c r="GAE157" s="65" t="n"/>
      <c r="GAF157" s="65" t="n"/>
      <c r="GAG157" s="65" t="n"/>
      <c r="GAH157" s="65" t="n"/>
      <c r="GAI157" s="65" t="n"/>
      <c r="GAJ157" s="65" t="n"/>
      <c r="GAK157" s="65" t="n"/>
      <c r="GAL157" s="65" t="n"/>
      <c r="GAM157" s="65" t="n"/>
      <c r="GAN157" s="65" t="n"/>
      <c r="GAO157" s="65" t="n"/>
      <c r="GAP157" s="65" t="n"/>
      <c r="GAQ157" s="65" t="n"/>
      <c r="GAR157" s="65" t="n"/>
      <c r="GAS157" s="65" t="n"/>
      <c r="GAT157" s="65" t="n"/>
      <c r="GAU157" s="65" t="n"/>
      <c r="GAV157" s="65" t="n"/>
      <c r="GAW157" s="65" t="n"/>
      <c r="GAX157" s="65" t="n"/>
      <c r="GAY157" s="65" t="n"/>
      <c r="GAZ157" s="65" t="n"/>
      <c r="GBA157" s="65" t="n"/>
      <c r="GBB157" s="65" t="n"/>
      <c r="GBC157" s="65" t="n"/>
      <c r="GBD157" s="65" t="n"/>
      <c r="GBE157" s="65" t="n"/>
      <c r="GBF157" s="65" t="n"/>
      <c r="GBG157" s="65" t="n"/>
      <c r="GBH157" s="65" t="n"/>
      <c r="GBI157" s="65" t="n"/>
      <c r="GBJ157" s="65" t="n"/>
      <c r="GBK157" s="65" t="n"/>
      <c r="GBL157" s="65" t="n"/>
      <c r="GBM157" s="65" t="n"/>
      <c r="GBN157" s="65" t="n"/>
      <c r="GBO157" s="65" t="n"/>
      <c r="GBP157" s="65" t="n"/>
      <c r="GBQ157" s="65" t="n"/>
      <c r="GBR157" s="65" t="n"/>
      <c r="GBS157" s="65" t="n"/>
      <c r="GBT157" s="65" t="n"/>
      <c r="GBU157" s="65" t="n"/>
      <c r="GBV157" s="65" t="n"/>
      <c r="GBW157" s="65" t="n"/>
      <c r="GBX157" s="65" t="n"/>
      <c r="GBY157" s="65" t="n"/>
      <c r="GBZ157" s="65" t="n"/>
      <c r="GCA157" s="65" t="n"/>
      <c r="GCB157" s="65" t="n"/>
      <c r="GCC157" s="65" t="n"/>
      <c r="GCD157" s="65" t="n"/>
      <c r="GCE157" s="65" t="n"/>
      <c r="GCF157" s="65" t="n"/>
      <c r="GCG157" s="65" t="n"/>
      <c r="GCH157" s="65" t="n"/>
      <c r="GCI157" s="65" t="n"/>
      <c r="GCJ157" s="65" t="n"/>
      <c r="GCK157" s="65" t="n"/>
      <c r="GCL157" s="65" t="n"/>
      <c r="GCM157" s="65" t="n"/>
      <c r="GCN157" s="65" t="n"/>
      <c r="GCO157" s="65" t="n"/>
      <c r="GCP157" s="65" t="n"/>
      <c r="GCQ157" s="65" t="n"/>
      <c r="GCR157" s="65" t="n"/>
      <c r="GCS157" s="65" t="n"/>
      <c r="GCT157" s="65" t="n"/>
      <c r="GCU157" s="65" t="n"/>
      <c r="GCV157" s="65" t="n"/>
      <c r="GCW157" s="65" t="n"/>
      <c r="GCX157" s="65" t="n"/>
      <c r="GCY157" s="65" t="n"/>
      <c r="GCZ157" s="65" t="n"/>
      <c r="GDA157" s="65" t="n"/>
      <c r="GDB157" s="65" t="n"/>
      <c r="GDC157" s="65" t="n"/>
      <c r="GDD157" s="65" t="n"/>
      <c r="GDE157" s="65" t="n"/>
      <c r="GDF157" s="65" t="n"/>
      <c r="GDG157" s="65" t="n"/>
      <c r="GDH157" s="65" t="n"/>
      <c r="GDI157" s="65" t="n"/>
      <c r="GDJ157" s="65" t="n"/>
      <c r="GDK157" s="65" t="n"/>
      <c r="GDL157" s="65" t="n"/>
      <c r="GDM157" s="65" t="n"/>
      <c r="GDN157" s="65" t="n"/>
      <c r="GDO157" s="65" t="n"/>
      <c r="GDP157" s="65" t="n"/>
      <c r="GDQ157" s="65" t="n"/>
      <c r="GDR157" s="65" t="n"/>
      <c r="GDS157" s="65" t="n"/>
      <c r="GDT157" s="65" t="n"/>
      <c r="GDU157" s="65" t="n"/>
      <c r="GDV157" s="65" t="n"/>
      <c r="GDW157" s="65" t="n"/>
      <c r="GDX157" s="65" t="n"/>
      <c r="GDY157" s="65" t="n"/>
      <c r="GDZ157" s="65" t="n"/>
      <c r="GEA157" s="65" t="n"/>
      <c r="GEB157" s="65" t="n"/>
      <c r="GEC157" s="65" t="n"/>
      <c r="GED157" s="65" t="n"/>
      <c r="GEE157" s="65" t="n"/>
      <c r="GEF157" s="65" t="n"/>
      <c r="GEG157" s="65" t="n"/>
      <c r="GEH157" s="65" t="n"/>
      <c r="GEI157" s="65" t="n"/>
      <c r="GEJ157" s="65" t="n"/>
      <c r="GEK157" s="65" t="n"/>
      <c r="GEL157" s="65" t="n"/>
      <c r="GEM157" s="65" t="n"/>
      <c r="GEN157" s="65" t="n"/>
      <c r="GEO157" s="65" t="n"/>
      <c r="GEP157" s="65" t="n"/>
      <c r="GEQ157" s="65" t="n"/>
      <c r="GER157" s="65" t="n"/>
      <c r="GES157" s="65" t="n"/>
      <c r="GET157" s="65" t="n"/>
      <c r="GEU157" s="65" t="n"/>
      <c r="GEV157" s="65" t="n"/>
      <c r="GEW157" s="65" t="n"/>
      <c r="GEX157" s="65" t="n"/>
      <c r="GEY157" s="65" t="n"/>
      <c r="GEZ157" s="65" t="n"/>
      <c r="GFA157" s="65" t="n"/>
      <c r="GFB157" s="65" t="n"/>
      <c r="GFC157" s="65" t="n"/>
      <c r="GFD157" s="65" t="n"/>
      <c r="GFE157" s="65" t="n"/>
      <c r="GFF157" s="65" t="n"/>
      <c r="GFG157" s="65" t="n"/>
      <c r="GFH157" s="65" t="n"/>
      <c r="GFI157" s="65" t="n"/>
      <c r="GFJ157" s="65" t="n"/>
      <c r="GFK157" s="65" t="n"/>
      <c r="GFL157" s="65" t="n"/>
      <c r="GFM157" s="65" t="n"/>
      <c r="GFN157" s="65" t="n"/>
      <c r="GFO157" s="65" t="n"/>
      <c r="GFP157" s="65" t="n"/>
      <c r="GFQ157" s="65" t="n"/>
      <c r="GFR157" s="65" t="n"/>
      <c r="GFS157" s="65" t="n"/>
      <c r="GFT157" s="65" t="n"/>
      <c r="GFU157" s="65" t="n"/>
      <c r="GFV157" s="65" t="n"/>
      <c r="GFW157" s="65" t="n"/>
      <c r="GFX157" s="65" t="n"/>
      <c r="GFY157" s="65" t="n"/>
      <c r="GFZ157" s="65" t="n"/>
      <c r="GGA157" s="65" t="n"/>
      <c r="GGB157" s="65" t="n"/>
      <c r="GGC157" s="65" t="n"/>
      <c r="GGD157" s="65" t="n"/>
      <c r="GGE157" s="65" t="n"/>
      <c r="GGF157" s="65" t="n"/>
      <c r="GGG157" s="65" t="n"/>
      <c r="GGH157" s="65" t="n"/>
      <c r="GGI157" s="65" t="n"/>
      <c r="GGJ157" s="65" t="n"/>
      <c r="GGK157" s="65" t="n"/>
      <c r="GGL157" s="65" t="n"/>
      <c r="GGM157" s="65" t="n"/>
      <c r="GGN157" s="65" t="n"/>
      <c r="GGO157" s="65" t="n"/>
      <c r="GGP157" s="65" t="n"/>
      <c r="GGQ157" s="65" t="n"/>
      <c r="GGR157" s="65" t="n"/>
      <c r="GGS157" s="65" t="n"/>
      <c r="GGT157" s="65" t="n"/>
      <c r="GGU157" s="65" t="n"/>
      <c r="GGV157" s="65" t="n"/>
      <c r="GGW157" s="65" t="n"/>
      <c r="GGX157" s="65" t="n"/>
      <c r="GGY157" s="65" t="n"/>
      <c r="GGZ157" s="65" t="n"/>
      <c r="GHA157" s="65" t="n"/>
      <c r="GHB157" s="65" t="n"/>
      <c r="GHC157" s="65" t="n"/>
      <c r="GHD157" s="65" t="n"/>
      <c r="GHE157" s="65" t="n"/>
      <c r="GHF157" s="65" t="n"/>
      <c r="GHG157" s="65" t="n"/>
      <c r="GHH157" s="65" t="n"/>
      <c r="GHI157" s="65" t="n"/>
      <c r="GHJ157" s="65" t="n"/>
      <c r="GHK157" s="65" t="n"/>
      <c r="GHL157" s="65" t="n"/>
      <c r="GHM157" s="65" t="n"/>
      <c r="GHN157" s="65" t="n"/>
      <c r="GHO157" s="65" t="n"/>
      <c r="GHP157" s="65" t="n"/>
      <c r="GHQ157" s="65" t="n"/>
      <c r="GHR157" s="65" t="n"/>
      <c r="GHS157" s="65" t="n"/>
      <c r="GHT157" s="65" t="n"/>
      <c r="GHU157" s="65" t="n"/>
      <c r="GHV157" s="65" t="n"/>
      <c r="GHW157" s="65" t="n"/>
      <c r="GHX157" s="65" t="n"/>
      <c r="GHY157" s="65" t="n"/>
      <c r="GHZ157" s="65" t="n"/>
      <c r="GIA157" s="65" t="n"/>
      <c r="GIB157" s="65" t="n"/>
      <c r="GIC157" s="65" t="n"/>
      <c r="GID157" s="65" t="n"/>
      <c r="GIE157" s="65" t="n"/>
      <c r="GIF157" s="65" t="n"/>
      <c r="GIG157" s="65" t="n"/>
      <c r="GIH157" s="65" t="n"/>
      <c r="GII157" s="65" t="n"/>
      <c r="GIJ157" s="65" t="n"/>
      <c r="GIK157" s="65" t="n"/>
      <c r="GIL157" s="65" t="n"/>
      <c r="GIM157" s="65" t="n"/>
      <c r="GIN157" s="65" t="n"/>
      <c r="GIO157" s="65" t="n"/>
      <c r="GIP157" s="65" t="n"/>
      <c r="GIQ157" s="65" t="n"/>
      <c r="GIR157" s="65" t="n"/>
      <c r="GIS157" s="65" t="n"/>
      <c r="GIT157" s="65" t="n"/>
      <c r="GIU157" s="65" t="n"/>
      <c r="GIV157" s="65" t="n"/>
      <c r="GIW157" s="65" t="n"/>
      <c r="GIX157" s="65" t="n"/>
      <c r="GIY157" s="65" t="n"/>
      <c r="GIZ157" s="65" t="n"/>
      <c r="GJA157" s="65" t="n"/>
      <c r="GJB157" s="65" t="n"/>
      <c r="GJC157" s="65" t="n"/>
      <c r="GJD157" s="65" t="n"/>
      <c r="GJE157" s="65" t="n"/>
      <c r="GJF157" s="65" t="n"/>
      <c r="GJG157" s="65" t="n"/>
      <c r="GJH157" s="65" t="n"/>
      <c r="GJI157" s="65" t="n"/>
      <c r="GJJ157" s="65" t="n"/>
      <c r="GJK157" s="65" t="n"/>
      <c r="GJL157" s="65" t="n"/>
      <c r="GJM157" s="65" t="n"/>
      <c r="GJN157" s="65" t="n"/>
      <c r="GJO157" s="65" t="n"/>
      <c r="GJP157" s="65" t="n"/>
      <c r="GJQ157" s="65" t="n"/>
      <c r="GJR157" s="65" t="n"/>
      <c r="GJS157" s="65" t="n"/>
      <c r="GJT157" s="65" t="n"/>
      <c r="GJU157" s="65" t="n"/>
      <c r="GJV157" s="65" t="n"/>
      <c r="GJW157" s="65" t="n"/>
      <c r="GJX157" s="65" t="n"/>
      <c r="GJY157" s="65" t="n"/>
      <c r="GJZ157" s="65" t="n"/>
      <c r="GKA157" s="65" t="n"/>
      <c r="GKB157" s="65" t="n"/>
      <c r="GKC157" s="65" t="n"/>
      <c r="GKD157" s="65" t="n"/>
      <c r="GKE157" s="65" t="n"/>
      <c r="GKF157" s="65" t="n"/>
      <c r="GKG157" s="65" t="n"/>
      <c r="GKH157" s="65" t="n"/>
      <c r="GKI157" s="65" t="n"/>
      <c r="GKJ157" s="65" t="n"/>
      <c r="GKK157" s="65" t="n"/>
      <c r="GKL157" s="65" t="n"/>
      <c r="GKM157" s="65" t="n"/>
      <c r="GKN157" s="65" t="n"/>
      <c r="GKO157" s="65" t="n"/>
      <c r="GKP157" s="65" t="n"/>
      <c r="GKQ157" s="65" t="n"/>
      <c r="GKR157" s="65" t="n"/>
      <c r="GKS157" s="65" t="n"/>
      <c r="GKT157" s="65" t="n"/>
      <c r="GKU157" s="65" t="n"/>
      <c r="GKV157" s="65" t="n"/>
      <c r="GKW157" s="65" t="n"/>
      <c r="GKX157" s="65" t="n"/>
      <c r="GKY157" s="65" t="n"/>
      <c r="GKZ157" s="65" t="n"/>
      <c r="GLA157" s="65" t="n"/>
      <c r="GLB157" s="65" t="n"/>
      <c r="GLC157" s="65" t="n"/>
      <c r="GLD157" s="65" t="n"/>
      <c r="GLE157" s="65" t="n"/>
      <c r="GLF157" s="65" t="n"/>
      <c r="GLG157" s="65" t="n"/>
      <c r="GLH157" s="65" t="n"/>
      <c r="GLI157" s="65" t="n"/>
      <c r="GLJ157" s="65" t="n"/>
      <c r="GLK157" s="65" t="n"/>
      <c r="GLL157" s="65" t="n"/>
      <c r="GLM157" s="65" t="n"/>
      <c r="GLN157" s="65" t="n"/>
      <c r="GLO157" s="65" t="n"/>
      <c r="GLP157" s="65" t="n"/>
      <c r="GLQ157" s="65" t="n"/>
      <c r="GLR157" s="65" t="n"/>
      <c r="GLS157" s="65" t="n"/>
      <c r="GLT157" s="65" t="n"/>
      <c r="GLU157" s="65" t="n"/>
      <c r="GLV157" s="65" t="n"/>
      <c r="GLW157" s="65" t="n"/>
      <c r="GLX157" s="65" t="n"/>
      <c r="GLY157" s="65" t="n"/>
      <c r="GLZ157" s="65" t="n"/>
      <c r="GMA157" s="65" t="n"/>
      <c r="GMB157" s="65" t="n"/>
      <c r="GMC157" s="65" t="n"/>
      <c r="GMD157" s="65" t="n"/>
      <c r="GME157" s="65" t="n"/>
      <c r="GMF157" s="65" t="n"/>
      <c r="GMG157" s="65" t="n"/>
      <c r="GMH157" s="65" t="n"/>
      <c r="GMI157" s="65" t="n"/>
      <c r="GMJ157" s="65" t="n"/>
      <c r="GMK157" s="65" t="n"/>
      <c r="GML157" s="65" t="n"/>
      <c r="GMM157" s="65" t="n"/>
      <c r="GMN157" s="65" t="n"/>
      <c r="GMO157" s="65" t="n"/>
      <c r="GMP157" s="65" t="n"/>
      <c r="GMQ157" s="65" t="n"/>
      <c r="GMR157" s="65" t="n"/>
      <c r="GMS157" s="65" t="n"/>
      <c r="GMT157" s="65" t="n"/>
      <c r="GMU157" s="65" t="n"/>
      <c r="GMV157" s="65" t="n"/>
      <c r="GMW157" s="65" t="n"/>
      <c r="GMX157" s="65" t="n"/>
      <c r="GMY157" s="65" t="n"/>
      <c r="GMZ157" s="65" t="n"/>
      <c r="GNA157" s="65" t="n"/>
      <c r="GNB157" s="65" t="n"/>
      <c r="GNC157" s="65" t="n"/>
      <c r="GND157" s="65" t="n"/>
      <c r="GNE157" s="65" t="n"/>
      <c r="GNF157" s="65" t="n"/>
      <c r="GNG157" s="65" t="n"/>
      <c r="GNH157" s="65" t="n"/>
      <c r="GNI157" s="65" t="n"/>
      <c r="GNJ157" s="65" t="n"/>
      <c r="GNK157" s="65" t="n"/>
      <c r="GNL157" s="65" t="n"/>
      <c r="GNM157" s="65" t="n"/>
      <c r="GNN157" s="65" t="n"/>
      <c r="GNO157" s="65" t="n"/>
      <c r="GNP157" s="65" t="n"/>
      <c r="GNQ157" s="65" t="n"/>
      <c r="GNR157" s="65" t="n"/>
      <c r="GNS157" s="65" t="n"/>
      <c r="GNT157" s="65" t="n"/>
      <c r="GNU157" s="65" t="n"/>
      <c r="GNV157" s="65" t="n"/>
      <c r="GNW157" s="65" t="n"/>
      <c r="GNX157" s="65" t="n"/>
      <c r="GNY157" s="65" t="n"/>
      <c r="GNZ157" s="65" t="n"/>
      <c r="GOA157" s="65" t="n"/>
      <c r="GOB157" s="65" t="n"/>
      <c r="GOC157" s="65" t="n"/>
      <c r="GOD157" s="65" t="n"/>
      <c r="GOE157" s="65" t="n"/>
      <c r="GOF157" s="65" t="n"/>
      <c r="GOG157" s="65" t="n"/>
      <c r="GOH157" s="65" t="n"/>
      <c r="GOI157" s="65" t="n"/>
      <c r="GOJ157" s="65" t="n"/>
      <c r="GOK157" s="65" t="n"/>
      <c r="GOL157" s="65" t="n"/>
      <c r="GOM157" s="65" t="n"/>
      <c r="GON157" s="65" t="n"/>
      <c r="GOO157" s="65" t="n"/>
      <c r="GOP157" s="65" t="n"/>
      <c r="GOQ157" s="65" t="n"/>
      <c r="GOR157" s="65" t="n"/>
      <c r="GOS157" s="65" t="n"/>
      <c r="GOT157" s="65" t="n"/>
      <c r="GOU157" s="65" t="n"/>
      <c r="GOV157" s="65" t="n"/>
      <c r="GOW157" s="65" t="n"/>
      <c r="GOX157" s="65" t="n"/>
      <c r="GOY157" s="65" t="n"/>
      <c r="GOZ157" s="65" t="n"/>
      <c r="GPA157" s="65" t="n"/>
      <c r="GPB157" s="65" t="n"/>
      <c r="GPC157" s="65" t="n"/>
      <c r="GPD157" s="65" t="n"/>
      <c r="GPE157" s="65" t="n"/>
      <c r="GPF157" s="65" t="n"/>
      <c r="GPG157" s="65" t="n"/>
      <c r="GPH157" s="65" t="n"/>
      <c r="GPI157" s="65" t="n"/>
      <c r="GPJ157" s="65" t="n"/>
      <c r="GPK157" s="65" t="n"/>
      <c r="GPL157" s="65" t="n"/>
      <c r="GPM157" s="65" t="n"/>
      <c r="GPN157" s="65" t="n"/>
      <c r="GPO157" s="65" t="n"/>
      <c r="GPP157" s="65" t="n"/>
      <c r="GPQ157" s="65" t="n"/>
      <c r="GPR157" s="65" t="n"/>
      <c r="GPS157" s="65" t="n"/>
      <c r="GPT157" s="65" t="n"/>
      <c r="GPU157" s="65" t="n"/>
      <c r="GPV157" s="65" t="n"/>
      <c r="GPW157" s="65" t="n"/>
      <c r="GPX157" s="65" t="n"/>
      <c r="GPY157" s="65" t="n"/>
      <c r="GPZ157" s="65" t="n"/>
      <c r="GQA157" s="65" t="n"/>
      <c r="GQB157" s="65" t="n"/>
      <c r="GQC157" s="65" t="n"/>
      <c r="GQD157" s="65" t="n"/>
      <c r="GQE157" s="65" t="n"/>
      <c r="GQF157" s="65" t="n"/>
      <c r="GQG157" s="65" t="n"/>
      <c r="GQH157" s="65" t="n"/>
      <c r="GQI157" s="65" t="n"/>
      <c r="GQJ157" s="65" t="n"/>
      <c r="GQK157" s="65" t="n"/>
      <c r="GQL157" s="65" t="n"/>
      <c r="GQM157" s="65" t="n"/>
      <c r="GQN157" s="65" t="n"/>
      <c r="GQO157" s="65" t="n"/>
      <c r="GQP157" s="65" t="n"/>
      <c r="GQQ157" s="65" t="n"/>
      <c r="GQR157" s="65" t="n"/>
      <c r="GQS157" s="65" t="n"/>
      <c r="GQT157" s="65" t="n"/>
      <c r="GQU157" s="65" t="n"/>
      <c r="GQV157" s="65" t="n"/>
      <c r="GQW157" s="65" t="n"/>
      <c r="GQX157" s="65" t="n"/>
      <c r="GQY157" s="65" t="n"/>
      <c r="GQZ157" s="65" t="n"/>
      <c r="GRA157" s="65" t="n"/>
      <c r="GRB157" s="65" t="n"/>
      <c r="GRC157" s="65" t="n"/>
      <c r="GRD157" s="65" t="n"/>
      <c r="GRE157" s="65" t="n"/>
      <c r="GRF157" s="65" t="n"/>
      <c r="GRG157" s="65" t="n"/>
      <c r="GRH157" s="65" t="n"/>
      <c r="GRI157" s="65" t="n"/>
      <c r="GRJ157" s="65" t="n"/>
      <c r="GRK157" s="65" t="n"/>
      <c r="GRL157" s="65" t="n"/>
      <c r="GRM157" s="65" t="n"/>
      <c r="GRN157" s="65" t="n"/>
      <c r="GRO157" s="65" t="n"/>
      <c r="GRP157" s="65" t="n"/>
      <c r="GRQ157" s="65" t="n"/>
      <c r="GRR157" s="65" t="n"/>
      <c r="GRS157" s="65" t="n"/>
      <c r="GRT157" s="65" t="n"/>
      <c r="GRU157" s="65" t="n"/>
      <c r="GRV157" s="65" t="n"/>
      <c r="GRW157" s="65" t="n"/>
      <c r="GRX157" s="65" t="n"/>
      <c r="GRY157" s="65" t="n"/>
      <c r="GRZ157" s="65" t="n"/>
      <c r="GSA157" s="65" t="n"/>
      <c r="GSB157" s="65" t="n"/>
      <c r="GSC157" s="65" t="n"/>
      <c r="GSD157" s="65" t="n"/>
      <c r="GSE157" s="65" t="n"/>
      <c r="GSF157" s="65" t="n"/>
      <c r="GSG157" s="65" t="n"/>
      <c r="GSH157" s="65" t="n"/>
      <c r="GSI157" s="65" t="n"/>
      <c r="GSJ157" s="65" t="n"/>
      <c r="GSK157" s="65" t="n"/>
      <c r="GSL157" s="65" t="n"/>
      <c r="GSM157" s="65" t="n"/>
      <c r="GSN157" s="65" t="n"/>
      <c r="GSO157" s="65" t="n"/>
      <c r="GSP157" s="65" t="n"/>
      <c r="GSQ157" s="65" t="n"/>
      <c r="GSR157" s="65" t="n"/>
      <c r="GSS157" s="65" t="n"/>
      <c r="GST157" s="65" t="n"/>
      <c r="GSU157" s="65" t="n"/>
      <c r="GSV157" s="65" t="n"/>
      <c r="GSW157" s="65" t="n"/>
      <c r="GSX157" s="65" t="n"/>
      <c r="GSY157" s="65" t="n"/>
      <c r="GSZ157" s="65" t="n"/>
      <c r="GTA157" s="65" t="n"/>
      <c r="GTB157" s="65" t="n"/>
      <c r="GTC157" s="65" t="n"/>
      <c r="GTD157" s="65" t="n"/>
      <c r="GTE157" s="65" t="n"/>
      <c r="GTF157" s="65" t="n"/>
      <c r="GTG157" s="65" t="n"/>
      <c r="GTH157" s="65" t="n"/>
      <c r="GTI157" s="65" t="n"/>
      <c r="GTJ157" s="65" t="n"/>
      <c r="GTK157" s="65" t="n"/>
      <c r="GTL157" s="65" t="n"/>
      <c r="GTM157" s="65" t="n"/>
      <c r="GTN157" s="65" t="n"/>
      <c r="GTO157" s="65" t="n"/>
      <c r="GTP157" s="65" t="n"/>
      <c r="GTQ157" s="65" t="n"/>
      <c r="GTR157" s="65" t="n"/>
      <c r="GTS157" s="65" t="n"/>
      <c r="GTT157" s="65" t="n"/>
      <c r="GTU157" s="65" t="n"/>
      <c r="GTV157" s="65" t="n"/>
      <c r="GTW157" s="65" t="n"/>
      <c r="GTX157" s="65" t="n"/>
      <c r="GTY157" s="65" t="n"/>
      <c r="GTZ157" s="65" t="n"/>
      <c r="GUA157" s="65" t="n"/>
      <c r="GUB157" s="65" t="n"/>
      <c r="GUC157" s="65" t="n"/>
      <c r="GUD157" s="65" t="n"/>
      <c r="GUE157" s="65" t="n"/>
      <c r="GUF157" s="65" t="n"/>
      <c r="GUG157" s="65" t="n"/>
      <c r="GUH157" s="65" t="n"/>
      <c r="GUI157" s="65" t="n"/>
      <c r="GUJ157" s="65" t="n"/>
      <c r="GUK157" s="65" t="n"/>
      <c r="GUL157" s="65" t="n"/>
      <c r="GUM157" s="65" t="n"/>
      <c r="GUN157" s="65" t="n"/>
      <c r="GUO157" s="65" t="n"/>
      <c r="GUP157" s="65" t="n"/>
      <c r="GUQ157" s="65" t="n"/>
      <c r="GUR157" s="65" t="n"/>
      <c r="GUS157" s="65" t="n"/>
      <c r="GUT157" s="65" t="n"/>
      <c r="GUU157" s="65" t="n"/>
      <c r="GUV157" s="65" t="n"/>
      <c r="GUW157" s="65" t="n"/>
      <c r="GUX157" s="65" t="n"/>
      <c r="GUY157" s="65" t="n"/>
      <c r="GUZ157" s="65" t="n"/>
      <c r="GVA157" s="65" t="n"/>
      <c r="GVB157" s="65" t="n"/>
      <c r="GVC157" s="65" t="n"/>
      <c r="GVD157" s="65" t="n"/>
      <c r="GVE157" s="65" t="n"/>
      <c r="GVF157" s="65" t="n"/>
      <c r="GVG157" s="65" t="n"/>
      <c r="GVH157" s="65" t="n"/>
      <c r="GVI157" s="65" t="n"/>
      <c r="GVJ157" s="65" t="n"/>
      <c r="GVK157" s="65" t="n"/>
      <c r="GVL157" s="65" t="n"/>
      <c r="GVM157" s="65" t="n"/>
      <c r="GVN157" s="65" t="n"/>
      <c r="GVO157" s="65" t="n"/>
      <c r="GVP157" s="65" t="n"/>
      <c r="GVQ157" s="65" t="n"/>
      <c r="GVR157" s="65" t="n"/>
      <c r="GVS157" s="65" t="n"/>
      <c r="GVT157" s="65" t="n"/>
      <c r="GVU157" s="65" t="n"/>
      <c r="GVV157" s="65" t="n"/>
      <c r="GVW157" s="65" t="n"/>
      <c r="GVX157" s="65" t="n"/>
      <c r="GVY157" s="65" t="n"/>
      <c r="GVZ157" s="65" t="n"/>
      <c r="GWA157" s="65" t="n"/>
      <c r="GWB157" s="65" t="n"/>
      <c r="GWC157" s="65" t="n"/>
      <c r="GWD157" s="65" t="n"/>
      <c r="GWE157" s="65" t="n"/>
      <c r="GWF157" s="65" t="n"/>
      <c r="GWG157" s="65" t="n"/>
      <c r="GWH157" s="65" t="n"/>
      <c r="GWI157" s="65" t="n"/>
      <c r="GWJ157" s="65" t="n"/>
      <c r="GWK157" s="65" t="n"/>
      <c r="GWL157" s="65" t="n"/>
      <c r="GWM157" s="65" t="n"/>
      <c r="GWN157" s="65" t="n"/>
      <c r="GWO157" s="65" t="n"/>
      <c r="GWP157" s="65" t="n"/>
      <c r="GWQ157" s="65" t="n"/>
      <c r="GWR157" s="65" t="n"/>
      <c r="GWS157" s="65" t="n"/>
      <c r="GWT157" s="65" t="n"/>
      <c r="GWU157" s="65" t="n"/>
      <c r="GWV157" s="65" t="n"/>
      <c r="GWW157" s="65" t="n"/>
      <c r="GWX157" s="65" t="n"/>
      <c r="GWY157" s="65" t="n"/>
      <c r="GWZ157" s="65" t="n"/>
      <c r="GXA157" s="65" t="n"/>
      <c r="GXB157" s="65" t="n"/>
      <c r="GXC157" s="65" t="n"/>
      <c r="GXD157" s="65" t="n"/>
      <c r="GXE157" s="65" t="n"/>
      <c r="GXF157" s="65" t="n"/>
      <c r="GXG157" s="65" t="n"/>
      <c r="GXH157" s="65" t="n"/>
      <c r="GXI157" s="65" t="n"/>
      <c r="GXJ157" s="65" t="n"/>
      <c r="GXK157" s="65" t="n"/>
      <c r="GXL157" s="65" t="n"/>
      <c r="GXM157" s="65" t="n"/>
      <c r="GXN157" s="65" t="n"/>
      <c r="GXO157" s="65" t="n"/>
      <c r="GXP157" s="65" t="n"/>
      <c r="GXQ157" s="65" t="n"/>
      <c r="GXR157" s="65" t="n"/>
      <c r="GXS157" s="65" t="n"/>
      <c r="GXT157" s="65" t="n"/>
      <c r="GXU157" s="65" t="n"/>
      <c r="GXV157" s="65" t="n"/>
      <c r="GXW157" s="65" t="n"/>
      <c r="GXX157" s="65" t="n"/>
      <c r="GXY157" s="65" t="n"/>
      <c r="GXZ157" s="65" t="n"/>
      <c r="GYA157" s="65" t="n"/>
      <c r="GYB157" s="65" t="n"/>
      <c r="GYC157" s="65" t="n"/>
      <c r="GYD157" s="65" t="n"/>
      <c r="GYE157" s="65" t="n"/>
      <c r="GYF157" s="65" t="n"/>
      <c r="GYG157" s="65" t="n"/>
      <c r="GYH157" s="65" t="n"/>
      <c r="GYI157" s="65" t="n"/>
      <c r="GYJ157" s="65" t="n"/>
      <c r="GYK157" s="65" t="n"/>
      <c r="GYL157" s="65" t="n"/>
      <c r="GYM157" s="65" t="n"/>
      <c r="GYN157" s="65" t="n"/>
      <c r="GYO157" s="65" t="n"/>
      <c r="GYP157" s="65" t="n"/>
      <c r="GYQ157" s="65" t="n"/>
      <c r="GYR157" s="65" t="n"/>
      <c r="GYS157" s="65" t="n"/>
      <c r="GYT157" s="65" t="n"/>
      <c r="GYU157" s="65" t="n"/>
      <c r="GYV157" s="65" t="n"/>
      <c r="GYW157" s="65" t="n"/>
      <c r="GYX157" s="65" t="n"/>
      <c r="GYY157" s="65" t="n"/>
      <c r="GYZ157" s="65" t="n"/>
      <c r="GZA157" s="65" t="n"/>
      <c r="GZB157" s="65" t="n"/>
      <c r="GZC157" s="65" t="n"/>
      <c r="GZD157" s="65" t="n"/>
      <c r="GZE157" s="65" t="n"/>
      <c r="GZF157" s="65" t="n"/>
      <c r="GZG157" s="65" t="n"/>
      <c r="GZH157" s="65" t="n"/>
      <c r="GZI157" s="65" t="n"/>
      <c r="GZJ157" s="65" t="n"/>
      <c r="GZK157" s="65" t="n"/>
      <c r="GZL157" s="65" t="n"/>
      <c r="GZM157" s="65" t="n"/>
      <c r="GZN157" s="65" t="n"/>
      <c r="GZO157" s="65" t="n"/>
      <c r="GZP157" s="65" t="n"/>
      <c r="GZQ157" s="65" t="n"/>
      <c r="GZR157" s="65" t="n"/>
      <c r="GZS157" s="65" t="n"/>
      <c r="GZT157" s="65" t="n"/>
      <c r="GZU157" s="65" t="n"/>
      <c r="GZV157" s="65" t="n"/>
      <c r="GZW157" s="65" t="n"/>
      <c r="GZX157" s="65" t="n"/>
      <c r="GZY157" s="65" t="n"/>
      <c r="GZZ157" s="65" t="n"/>
      <c r="HAA157" s="65" t="n"/>
      <c r="HAB157" s="65" t="n"/>
      <c r="HAC157" s="65" t="n"/>
      <c r="HAD157" s="65" t="n"/>
      <c r="HAE157" s="65" t="n"/>
      <c r="HAF157" s="65" t="n"/>
      <c r="HAG157" s="65" t="n"/>
      <c r="HAH157" s="65" t="n"/>
      <c r="HAI157" s="65" t="n"/>
      <c r="HAJ157" s="65" t="n"/>
      <c r="HAK157" s="65" t="n"/>
      <c r="HAL157" s="65" t="n"/>
      <c r="HAM157" s="65" t="n"/>
      <c r="HAN157" s="65" t="n"/>
      <c r="HAO157" s="65" t="n"/>
      <c r="HAP157" s="65" t="n"/>
      <c r="HAQ157" s="65" t="n"/>
      <c r="HAR157" s="65" t="n"/>
      <c r="HAS157" s="65" t="n"/>
      <c r="HAT157" s="65" t="n"/>
      <c r="HAU157" s="65" t="n"/>
      <c r="HAV157" s="65" t="n"/>
      <c r="HAW157" s="65" t="n"/>
      <c r="HAX157" s="65" t="n"/>
      <c r="HAY157" s="65" t="n"/>
      <c r="HAZ157" s="65" t="n"/>
      <c r="HBA157" s="65" t="n"/>
      <c r="HBB157" s="65" t="n"/>
      <c r="HBC157" s="65" t="n"/>
      <c r="HBD157" s="65" t="n"/>
      <c r="HBE157" s="65" t="n"/>
      <c r="HBF157" s="65" t="n"/>
      <c r="HBG157" s="65" t="n"/>
      <c r="HBH157" s="65" t="n"/>
      <c r="HBI157" s="65" t="n"/>
      <c r="HBJ157" s="65" t="n"/>
      <c r="HBK157" s="65" t="n"/>
      <c r="HBL157" s="65" t="n"/>
      <c r="HBM157" s="65" t="n"/>
      <c r="HBN157" s="65" t="n"/>
      <c r="HBO157" s="65" t="n"/>
      <c r="HBP157" s="65" t="n"/>
      <c r="HBQ157" s="65" t="n"/>
      <c r="HBR157" s="65" t="n"/>
      <c r="HBS157" s="65" t="n"/>
      <c r="HBT157" s="65" t="n"/>
      <c r="HBU157" s="65" t="n"/>
      <c r="HBV157" s="65" t="n"/>
      <c r="HBW157" s="65" t="n"/>
      <c r="HBX157" s="65" t="n"/>
      <c r="HBY157" s="65" t="n"/>
      <c r="HBZ157" s="65" t="n"/>
      <c r="HCA157" s="65" t="n"/>
      <c r="HCB157" s="65" t="n"/>
      <c r="HCC157" s="65" t="n"/>
      <c r="HCD157" s="65" t="n"/>
      <c r="HCE157" s="65" t="n"/>
      <c r="HCF157" s="65" t="n"/>
      <c r="HCG157" s="65" t="n"/>
      <c r="HCH157" s="65" t="n"/>
      <c r="HCI157" s="65" t="n"/>
      <c r="HCJ157" s="65" t="n"/>
      <c r="HCK157" s="65" t="n"/>
      <c r="HCL157" s="65" t="n"/>
      <c r="HCM157" s="65" t="n"/>
      <c r="HCN157" s="65" t="n"/>
      <c r="HCO157" s="65" t="n"/>
      <c r="HCP157" s="65" t="n"/>
      <c r="HCQ157" s="65" t="n"/>
      <c r="HCR157" s="65" t="n"/>
      <c r="HCS157" s="65" t="n"/>
      <c r="HCT157" s="65" t="n"/>
      <c r="HCU157" s="65" t="n"/>
      <c r="HCV157" s="65" t="n"/>
      <c r="HCW157" s="65" t="n"/>
      <c r="HCX157" s="65" t="n"/>
      <c r="HCY157" s="65" t="n"/>
      <c r="HCZ157" s="65" t="n"/>
      <c r="HDA157" s="65" t="n"/>
      <c r="HDB157" s="65" t="n"/>
      <c r="HDC157" s="65" t="n"/>
      <c r="HDD157" s="65" t="n"/>
      <c r="HDE157" s="65" t="n"/>
      <c r="HDF157" s="65" t="n"/>
      <c r="HDG157" s="65" t="n"/>
      <c r="HDH157" s="65" t="n"/>
      <c r="HDI157" s="65" t="n"/>
      <c r="HDJ157" s="65" t="n"/>
      <c r="HDK157" s="65" t="n"/>
      <c r="HDL157" s="65" t="n"/>
      <c r="HDM157" s="65" t="n"/>
      <c r="HDN157" s="65" t="n"/>
      <c r="HDO157" s="65" t="n"/>
      <c r="HDP157" s="65" t="n"/>
      <c r="HDQ157" s="65" t="n"/>
      <c r="HDR157" s="65" t="n"/>
      <c r="HDS157" s="65" t="n"/>
      <c r="HDT157" s="65" t="n"/>
      <c r="HDU157" s="65" t="n"/>
      <c r="HDV157" s="65" t="n"/>
      <c r="HDW157" s="65" t="n"/>
      <c r="HDX157" s="65" t="n"/>
      <c r="HDY157" s="65" t="n"/>
      <c r="HDZ157" s="65" t="n"/>
      <c r="HEA157" s="65" t="n"/>
      <c r="HEB157" s="65" t="n"/>
      <c r="HEC157" s="65" t="n"/>
      <c r="HED157" s="65" t="n"/>
      <c r="HEE157" s="65" t="n"/>
      <c r="HEF157" s="65" t="n"/>
      <c r="HEG157" s="65" t="n"/>
      <c r="HEH157" s="65" t="n"/>
      <c r="HEI157" s="65" t="n"/>
      <c r="HEJ157" s="65" t="n"/>
      <c r="HEK157" s="65" t="n"/>
      <c r="HEL157" s="65" t="n"/>
      <c r="HEM157" s="65" t="n"/>
      <c r="HEN157" s="65" t="n"/>
      <c r="HEO157" s="65" t="n"/>
      <c r="HEP157" s="65" t="n"/>
      <c r="HEQ157" s="65" t="n"/>
      <c r="HER157" s="65" t="n"/>
      <c r="HES157" s="65" t="n"/>
      <c r="HET157" s="65" t="n"/>
      <c r="HEU157" s="65" t="n"/>
      <c r="HEV157" s="65" t="n"/>
      <c r="HEW157" s="65" t="n"/>
      <c r="HEX157" s="65" t="n"/>
      <c r="HEY157" s="65" t="n"/>
      <c r="HEZ157" s="65" t="n"/>
      <c r="HFA157" s="65" t="n"/>
      <c r="HFB157" s="65" t="n"/>
      <c r="HFC157" s="65" t="n"/>
      <c r="HFD157" s="65" t="n"/>
      <c r="HFE157" s="65" t="n"/>
      <c r="HFF157" s="65" t="n"/>
      <c r="HFG157" s="65" t="n"/>
      <c r="HFH157" s="65" t="n"/>
      <c r="HFI157" s="65" t="n"/>
      <c r="HFJ157" s="65" t="n"/>
      <c r="HFK157" s="65" t="n"/>
      <c r="HFL157" s="65" t="n"/>
      <c r="HFM157" s="65" t="n"/>
      <c r="HFN157" s="65" t="n"/>
      <c r="HFO157" s="65" t="n"/>
      <c r="HFP157" s="65" t="n"/>
      <c r="HFQ157" s="65" t="n"/>
      <c r="HFR157" s="65" t="n"/>
      <c r="HFS157" s="65" t="n"/>
      <c r="HFT157" s="65" t="n"/>
      <c r="HFU157" s="65" t="n"/>
      <c r="HFV157" s="65" t="n"/>
      <c r="HFW157" s="65" t="n"/>
      <c r="HFX157" s="65" t="n"/>
      <c r="HFY157" s="65" t="n"/>
      <c r="HFZ157" s="65" t="n"/>
      <c r="HGA157" s="65" t="n"/>
      <c r="HGB157" s="65" t="n"/>
      <c r="HGC157" s="65" t="n"/>
      <c r="HGD157" s="65" t="n"/>
      <c r="HGE157" s="65" t="n"/>
      <c r="HGF157" s="65" t="n"/>
      <c r="HGG157" s="65" t="n"/>
      <c r="HGH157" s="65" t="n"/>
      <c r="HGI157" s="65" t="n"/>
      <c r="HGJ157" s="65" t="n"/>
      <c r="HGK157" s="65" t="n"/>
      <c r="HGL157" s="65" t="n"/>
      <c r="HGM157" s="65" t="n"/>
      <c r="HGN157" s="65" t="n"/>
      <c r="HGO157" s="65" t="n"/>
      <c r="HGP157" s="65" t="n"/>
      <c r="HGQ157" s="65" t="n"/>
      <c r="HGR157" s="65" t="n"/>
      <c r="HGS157" s="65" t="n"/>
      <c r="HGT157" s="65" t="n"/>
      <c r="HGU157" s="65" t="n"/>
      <c r="HGV157" s="65" t="n"/>
      <c r="HGW157" s="65" t="n"/>
      <c r="HGX157" s="65" t="n"/>
      <c r="HGY157" s="65" t="n"/>
      <c r="HGZ157" s="65" t="n"/>
      <c r="HHA157" s="65" t="n"/>
      <c r="HHB157" s="65" t="n"/>
      <c r="HHC157" s="65" t="n"/>
      <c r="HHD157" s="65" t="n"/>
      <c r="HHE157" s="65" t="n"/>
      <c r="HHF157" s="65" t="n"/>
      <c r="HHG157" s="65" t="n"/>
      <c r="HHH157" s="65" t="n"/>
      <c r="HHI157" s="65" t="n"/>
      <c r="HHJ157" s="65" t="n"/>
      <c r="HHK157" s="65" t="n"/>
      <c r="HHL157" s="65" t="n"/>
      <c r="HHM157" s="65" t="n"/>
      <c r="HHN157" s="65" t="n"/>
      <c r="HHO157" s="65" t="n"/>
      <c r="HHP157" s="65" t="n"/>
      <c r="HHQ157" s="65" t="n"/>
      <c r="HHR157" s="65" t="n"/>
      <c r="HHS157" s="65" t="n"/>
      <c r="HHT157" s="65" t="n"/>
      <c r="HHU157" s="65" t="n"/>
      <c r="HHV157" s="65" t="n"/>
      <c r="HHW157" s="65" t="n"/>
      <c r="HHX157" s="65" t="n"/>
      <c r="HHY157" s="65" t="n"/>
      <c r="HHZ157" s="65" t="n"/>
      <c r="HIA157" s="65" t="n"/>
      <c r="HIB157" s="65" t="n"/>
      <c r="HIC157" s="65" t="n"/>
      <c r="HID157" s="65" t="n"/>
      <c r="HIE157" s="65" t="n"/>
      <c r="HIF157" s="65" t="n"/>
      <c r="HIG157" s="65" t="n"/>
      <c r="HIH157" s="65" t="n"/>
      <c r="HII157" s="65" t="n"/>
      <c r="HIJ157" s="65" t="n"/>
      <c r="HIK157" s="65" t="n"/>
      <c r="HIL157" s="65" t="n"/>
      <c r="HIM157" s="65" t="n"/>
      <c r="HIN157" s="65" t="n"/>
      <c r="HIO157" s="65" t="n"/>
      <c r="HIP157" s="65" t="n"/>
      <c r="HIQ157" s="65" t="n"/>
      <c r="HIR157" s="65" t="n"/>
      <c r="HIS157" s="65" t="n"/>
      <c r="HIT157" s="65" t="n"/>
      <c r="HIU157" s="65" t="n"/>
      <c r="HIV157" s="65" t="n"/>
      <c r="HIW157" s="65" t="n"/>
      <c r="HIX157" s="65" t="n"/>
      <c r="HIY157" s="65" t="n"/>
      <c r="HIZ157" s="65" t="n"/>
      <c r="HJA157" s="65" t="n"/>
      <c r="HJB157" s="65" t="n"/>
      <c r="HJC157" s="65" t="n"/>
      <c r="HJD157" s="65" t="n"/>
      <c r="HJE157" s="65" t="n"/>
      <c r="HJF157" s="65" t="n"/>
      <c r="HJG157" s="65" t="n"/>
      <c r="HJH157" s="65" t="n"/>
      <c r="HJI157" s="65" t="n"/>
      <c r="HJJ157" s="65" t="n"/>
      <c r="HJK157" s="65" t="n"/>
      <c r="HJL157" s="65" t="n"/>
      <c r="HJM157" s="65" t="n"/>
      <c r="HJN157" s="65" t="n"/>
      <c r="HJO157" s="65" t="n"/>
      <c r="HJP157" s="65" t="n"/>
      <c r="HJQ157" s="65" t="n"/>
      <c r="HJR157" s="65" t="n"/>
      <c r="HJS157" s="65" t="n"/>
      <c r="HJT157" s="65" t="n"/>
      <c r="HJU157" s="65" t="n"/>
      <c r="HJV157" s="65" t="n"/>
      <c r="HJW157" s="65" t="n"/>
      <c r="HJX157" s="65" t="n"/>
      <c r="HJY157" s="65" t="n"/>
      <c r="HJZ157" s="65" t="n"/>
      <c r="HKA157" s="65" t="n"/>
      <c r="HKB157" s="65" t="n"/>
      <c r="HKC157" s="65" t="n"/>
      <c r="HKD157" s="65" t="n"/>
      <c r="HKE157" s="65" t="n"/>
      <c r="HKF157" s="65" t="n"/>
      <c r="HKG157" s="65" t="n"/>
      <c r="HKH157" s="65" t="n"/>
      <c r="HKI157" s="65" t="n"/>
      <c r="HKJ157" s="65" t="n"/>
      <c r="HKK157" s="65" t="n"/>
      <c r="HKL157" s="65" t="n"/>
      <c r="HKM157" s="65" t="n"/>
      <c r="HKN157" s="65" t="n"/>
      <c r="HKO157" s="65" t="n"/>
      <c r="HKP157" s="65" t="n"/>
      <c r="HKQ157" s="65" t="n"/>
      <c r="HKR157" s="65" t="n"/>
      <c r="HKS157" s="65" t="n"/>
      <c r="HKT157" s="65" t="n"/>
      <c r="HKU157" s="65" t="n"/>
      <c r="HKV157" s="65" t="n"/>
      <c r="HKW157" s="65" t="n"/>
      <c r="HKX157" s="65" t="n"/>
      <c r="HKY157" s="65" t="n"/>
      <c r="HKZ157" s="65" t="n"/>
      <c r="HLA157" s="65" t="n"/>
      <c r="HLB157" s="65" t="n"/>
      <c r="HLC157" s="65" t="n"/>
      <c r="HLD157" s="65" t="n"/>
      <c r="HLE157" s="65" t="n"/>
      <c r="HLF157" s="65" t="n"/>
      <c r="HLG157" s="65" t="n"/>
      <c r="HLH157" s="65" t="n"/>
      <c r="HLI157" s="65" t="n"/>
      <c r="HLJ157" s="65" t="n"/>
      <c r="HLK157" s="65" t="n"/>
      <c r="HLL157" s="65" t="n"/>
      <c r="HLM157" s="65" t="n"/>
      <c r="HLN157" s="65" t="n"/>
      <c r="HLO157" s="65" t="n"/>
      <c r="HLP157" s="65" t="n"/>
      <c r="HLQ157" s="65" t="n"/>
      <c r="HLR157" s="65" t="n"/>
      <c r="HLS157" s="65" t="n"/>
      <c r="HLT157" s="65" t="n"/>
      <c r="HLU157" s="65" t="n"/>
      <c r="HLV157" s="65" t="n"/>
      <c r="HLW157" s="65" t="n"/>
      <c r="HLX157" s="65" t="n"/>
      <c r="HLY157" s="65" t="n"/>
      <c r="HLZ157" s="65" t="n"/>
      <c r="HMA157" s="65" t="n"/>
      <c r="HMB157" s="65" t="n"/>
      <c r="HMC157" s="65" t="n"/>
      <c r="HMD157" s="65" t="n"/>
      <c r="HME157" s="65" t="n"/>
      <c r="HMF157" s="65" t="n"/>
      <c r="HMG157" s="65" t="n"/>
      <c r="HMH157" s="65" t="n"/>
      <c r="HMI157" s="65" t="n"/>
      <c r="HMJ157" s="65" t="n"/>
      <c r="HMK157" s="65" t="n"/>
      <c r="HML157" s="65" t="n"/>
      <c r="HMM157" s="65" t="n"/>
      <c r="HMN157" s="65" t="n"/>
      <c r="HMO157" s="65" t="n"/>
      <c r="HMP157" s="65" t="n"/>
      <c r="HMQ157" s="65" t="n"/>
      <c r="HMR157" s="65" t="n"/>
      <c r="HMS157" s="65" t="n"/>
      <c r="HMT157" s="65" t="n"/>
      <c r="HMU157" s="65" t="n"/>
      <c r="HMV157" s="65" t="n"/>
      <c r="HMW157" s="65" t="n"/>
      <c r="HMX157" s="65" t="n"/>
      <c r="HMY157" s="65" t="n"/>
      <c r="HMZ157" s="65" t="n"/>
      <c r="HNA157" s="65" t="n"/>
      <c r="HNB157" s="65" t="n"/>
      <c r="HNC157" s="65" t="n"/>
      <c r="HND157" s="65" t="n"/>
      <c r="HNE157" s="65" t="n"/>
      <c r="HNF157" s="65" t="n"/>
      <c r="HNG157" s="65" t="n"/>
      <c r="HNH157" s="65" t="n"/>
      <c r="HNI157" s="65" t="n"/>
      <c r="HNJ157" s="65" t="n"/>
      <c r="HNK157" s="65" t="n"/>
      <c r="HNL157" s="65" t="n"/>
      <c r="HNM157" s="65" t="n"/>
      <c r="HNN157" s="65" t="n"/>
      <c r="HNO157" s="65" t="n"/>
      <c r="HNP157" s="65" t="n"/>
      <c r="HNQ157" s="65" t="n"/>
      <c r="HNR157" s="65" t="n"/>
      <c r="HNS157" s="65" t="n"/>
      <c r="HNT157" s="65" t="n"/>
      <c r="HNU157" s="65" t="n"/>
      <c r="HNV157" s="65" t="n"/>
      <c r="HNW157" s="65" t="n"/>
      <c r="HNX157" s="65" t="n"/>
      <c r="HNY157" s="65" t="n"/>
      <c r="HNZ157" s="65" t="n"/>
      <c r="HOA157" s="65" t="n"/>
      <c r="HOB157" s="65" t="n"/>
      <c r="HOC157" s="65" t="n"/>
      <c r="HOD157" s="65" t="n"/>
      <c r="HOE157" s="65" t="n"/>
      <c r="HOF157" s="65" t="n"/>
      <c r="HOG157" s="65" t="n"/>
      <c r="HOH157" s="65" t="n"/>
      <c r="HOI157" s="65" t="n"/>
      <c r="HOJ157" s="65" t="n"/>
      <c r="HOK157" s="65" t="n"/>
      <c r="HOL157" s="65" t="n"/>
      <c r="HOM157" s="65" t="n"/>
      <c r="HON157" s="65" t="n"/>
      <c r="HOO157" s="65" t="n"/>
      <c r="HOP157" s="65" t="n"/>
      <c r="HOQ157" s="65" t="n"/>
      <c r="HOR157" s="65" t="n"/>
      <c r="HOS157" s="65" t="n"/>
      <c r="HOT157" s="65" t="n"/>
      <c r="HOU157" s="65" t="n"/>
      <c r="HOV157" s="65" t="n"/>
      <c r="HOW157" s="65" t="n"/>
      <c r="HOX157" s="65" t="n"/>
      <c r="HOY157" s="65" t="n"/>
      <c r="HOZ157" s="65" t="n"/>
      <c r="HPA157" s="65" t="n"/>
      <c r="HPB157" s="65" t="n"/>
      <c r="HPC157" s="65" t="n"/>
      <c r="HPD157" s="65" t="n"/>
      <c r="HPE157" s="65" t="n"/>
      <c r="HPF157" s="65" t="n"/>
      <c r="HPG157" s="65" t="n"/>
      <c r="HPH157" s="65" t="n"/>
      <c r="HPI157" s="65" t="n"/>
      <c r="HPJ157" s="65" t="n"/>
      <c r="HPK157" s="65" t="n"/>
      <c r="HPL157" s="65" t="n"/>
      <c r="HPM157" s="65" t="n"/>
      <c r="HPN157" s="65" t="n"/>
      <c r="HPO157" s="65" t="n"/>
      <c r="HPP157" s="65" t="n"/>
      <c r="HPQ157" s="65" t="n"/>
      <c r="HPR157" s="65" t="n"/>
      <c r="HPS157" s="65" t="n"/>
      <c r="HPT157" s="65" t="n"/>
      <c r="HPU157" s="65" t="n"/>
      <c r="HPV157" s="65" t="n"/>
      <c r="HPW157" s="65" t="n"/>
      <c r="HPX157" s="65" t="n"/>
      <c r="HPY157" s="65" t="n"/>
      <c r="HPZ157" s="65" t="n"/>
      <c r="HQA157" s="65" t="n"/>
      <c r="HQB157" s="65" t="n"/>
      <c r="HQC157" s="65" t="n"/>
      <c r="HQD157" s="65" t="n"/>
      <c r="HQE157" s="65" t="n"/>
      <c r="HQF157" s="65" t="n"/>
      <c r="HQG157" s="65" t="n"/>
      <c r="HQH157" s="65" t="n"/>
      <c r="HQI157" s="65" t="n"/>
      <c r="HQJ157" s="65" t="n"/>
      <c r="HQK157" s="65" t="n"/>
      <c r="HQL157" s="65" t="n"/>
      <c r="HQM157" s="65" t="n"/>
      <c r="HQN157" s="65" t="n"/>
      <c r="HQO157" s="65" t="n"/>
      <c r="HQP157" s="65" t="n"/>
      <c r="HQQ157" s="65" t="n"/>
      <c r="HQR157" s="65" t="n"/>
      <c r="HQS157" s="65" t="n"/>
      <c r="HQT157" s="65" t="n"/>
      <c r="HQU157" s="65" t="n"/>
      <c r="HQV157" s="65" t="n"/>
      <c r="HQW157" s="65" t="n"/>
      <c r="HQX157" s="65" t="n"/>
      <c r="HQY157" s="65" t="n"/>
      <c r="HQZ157" s="65" t="n"/>
      <c r="HRA157" s="65" t="n"/>
      <c r="HRB157" s="65" t="n"/>
      <c r="HRC157" s="65" t="n"/>
      <c r="HRD157" s="65" t="n"/>
      <c r="HRE157" s="65" t="n"/>
      <c r="HRF157" s="65" t="n"/>
      <c r="HRG157" s="65" t="n"/>
      <c r="HRH157" s="65" t="n"/>
      <c r="HRI157" s="65" t="n"/>
      <c r="HRJ157" s="65" t="n"/>
      <c r="HRK157" s="65" t="n"/>
      <c r="HRL157" s="65" t="n"/>
      <c r="HRM157" s="65" t="n"/>
      <c r="HRN157" s="65" t="n"/>
      <c r="HRO157" s="65" t="n"/>
      <c r="HRP157" s="65" t="n"/>
      <c r="HRQ157" s="65" t="n"/>
      <c r="HRR157" s="65" t="n"/>
      <c r="HRS157" s="65" t="n"/>
      <c r="HRT157" s="65" t="n"/>
      <c r="HRU157" s="65" t="n"/>
      <c r="HRV157" s="65" t="n"/>
      <c r="HRW157" s="65" t="n"/>
      <c r="HRX157" s="65" t="n"/>
      <c r="HRY157" s="65" t="n"/>
      <c r="HRZ157" s="65" t="n"/>
      <c r="HSA157" s="65" t="n"/>
      <c r="HSB157" s="65" t="n"/>
      <c r="HSC157" s="65" t="n"/>
      <c r="HSD157" s="65" t="n"/>
      <c r="HSE157" s="65" t="n"/>
      <c r="HSF157" s="65" t="n"/>
      <c r="HSG157" s="65" t="n"/>
      <c r="HSH157" s="65" t="n"/>
      <c r="HSI157" s="65" t="n"/>
      <c r="HSJ157" s="65" t="n"/>
      <c r="HSK157" s="65" t="n"/>
      <c r="HSL157" s="65" t="n"/>
      <c r="HSM157" s="65" t="n"/>
      <c r="HSN157" s="65" t="n"/>
      <c r="HSO157" s="65" t="n"/>
      <c r="HSP157" s="65" t="n"/>
      <c r="HSQ157" s="65" t="n"/>
      <c r="HSR157" s="65" t="n"/>
      <c r="HSS157" s="65" t="n"/>
      <c r="HST157" s="65" t="n"/>
      <c r="HSU157" s="65" t="n"/>
      <c r="HSV157" s="65" t="n"/>
      <c r="HSW157" s="65" t="n"/>
      <c r="HSX157" s="65" t="n"/>
      <c r="HSY157" s="65" t="n"/>
      <c r="HSZ157" s="65" t="n"/>
      <c r="HTA157" s="65" t="n"/>
      <c r="HTB157" s="65" t="n"/>
      <c r="HTC157" s="65" t="n"/>
      <c r="HTD157" s="65" t="n"/>
      <c r="HTE157" s="65" t="n"/>
      <c r="HTF157" s="65" t="n"/>
      <c r="HTG157" s="65" t="n"/>
      <c r="HTH157" s="65" t="n"/>
      <c r="HTI157" s="65" t="n"/>
      <c r="HTJ157" s="65" t="n"/>
      <c r="HTK157" s="65" t="n"/>
      <c r="HTL157" s="65" t="n"/>
      <c r="HTM157" s="65" t="n"/>
      <c r="HTN157" s="65" t="n"/>
      <c r="HTO157" s="65" t="n"/>
      <c r="HTP157" s="65" t="n"/>
      <c r="HTQ157" s="65" t="n"/>
      <c r="HTR157" s="65" t="n"/>
      <c r="HTS157" s="65" t="n"/>
      <c r="HTT157" s="65" t="n"/>
      <c r="HTU157" s="65" t="n"/>
      <c r="HTV157" s="65" t="n"/>
      <c r="HTW157" s="65" t="n"/>
      <c r="HTX157" s="65" t="n"/>
      <c r="HTY157" s="65" t="n"/>
      <c r="HTZ157" s="65" t="n"/>
      <c r="HUA157" s="65" t="n"/>
      <c r="HUB157" s="65" t="n"/>
      <c r="HUC157" s="65" t="n"/>
      <c r="HUD157" s="65" t="n"/>
      <c r="HUE157" s="65" t="n"/>
      <c r="HUF157" s="65" t="n"/>
      <c r="HUG157" s="65" t="n"/>
      <c r="HUH157" s="65" t="n"/>
      <c r="HUI157" s="65" t="n"/>
      <c r="HUJ157" s="65" t="n"/>
      <c r="HUK157" s="65" t="n"/>
      <c r="HUL157" s="65" t="n"/>
      <c r="HUM157" s="65" t="n"/>
      <c r="HUN157" s="65" t="n"/>
      <c r="HUO157" s="65" t="n"/>
      <c r="HUP157" s="65" t="n"/>
      <c r="HUQ157" s="65" t="n"/>
      <c r="HUR157" s="65" t="n"/>
      <c r="HUS157" s="65" t="n"/>
      <c r="HUT157" s="65" t="n"/>
      <c r="HUU157" s="65" t="n"/>
      <c r="HUV157" s="65" t="n"/>
      <c r="HUW157" s="65" t="n"/>
      <c r="HUX157" s="65" t="n"/>
      <c r="HUY157" s="65" t="n"/>
      <c r="HUZ157" s="65" t="n"/>
      <c r="HVA157" s="65" t="n"/>
      <c r="HVB157" s="65" t="n"/>
      <c r="HVC157" s="65" t="n"/>
      <c r="HVD157" s="65" t="n"/>
      <c r="HVE157" s="65" t="n"/>
      <c r="HVF157" s="65" t="n"/>
      <c r="HVG157" s="65" t="n"/>
      <c r="HVH157" s="65" t="n"/>
      <c r="HVI157" s="65" t="n"/>
      <c r="HVJ157" s="65" t="n"/>
      <c r="HVK157" s="65" t="n"/>
      <c r="HVL157" s="65" t="n"/>
      <c r="HVM157" s="65" t="n"/>
      <c r="HVN157" s="65" t="n"/>
      <c r="HVO157" s="65" t="n"/>
      <c r="HVP157" s="65" t="n"/>
      <c r="HVQ157" s="65" t="n"/>
      <c r="HVR157" s="65" t="n"/>
      <c r="HVS157" s="65" t="n"/>
      <c r="HVT157" s="65" t="n"/>
      <c r="HVU157" s="65" t="n"/>
      <c r="HVV157" s="65" t="n"/>
      <c r="HVW157" s="65" t="n"/>
      <c r="HVX157" s="65" t="n"/>
      <c r="HVY157" s="65" t="n"/>
      <c r="HVZ157" s="65" t="n"/>
      <c r="HWA157" s="65" t="n"/>
      <c r="HWB157" s="65" t="n"/>
      <c r="HWC157" s="65" t="n"/>
      <c r="HWD157" s="65" t="n"/>
      <c r="HWE157" s="65" t="n"/>
      <c r="HWF157" s="65" t="n"/>
      <c r="HWG157" s="65" t="n"/>
      <c r="HWH157" s="65" t="n"/>
      <c r="HWI157" s="65" t="n"/>
      <c r="HWJ157" s="65" t="n"/>
      <c r="HWK157" s="65" t="n"/>
      <c r="HWL157" s="65" t="n"/>
      <c r="HWM157" s="65" t="n"/>
      <c r="HWN157" s="65" t="n"/>
      <c r="HWO157" s="65" t="n"/>
      <c r="HWP157" s="65" t="n"/>
      <c r="HWQ157" s="65" t="n"/>
      <c r="HWR157" s="65" t="n"/>
      <c r="HWS157" s="65" t="n"/>
      <c r="HWT157" s="65" t="n"/>
      <c r="HWU157" s="65" t="n"/>
      <c r="HWV157" s="65" t="n"/>
      <c r="HWW157" s="65" t="n"/>
      <c r="HWX157" s="65" t="n"/>
      <c r="HWY157" s="65" t="n"/>
      <c r="HWZ157" s="65" t="n"/>
      <c r="HXA157" s="65" t="n"/>
      <c r="HXB157" s="65" t="n"/>
      <c r="HXC157" s="65" t="n"/>
      <c r="HXD157" s="65" t="n"/>
      <c r="HXE157" s="65" t="n"/>
      <c r="HXF157" s="65" t="n"/>
      <c r="HXG157" s="65" t="n"/>
      <c r="HXH157" s="65" t="n"/>
      <c r="HXI157" s="65" t="n"/>
      <c r="HXJ157" s="65" t="n"/>
      <c r="HXK157" s="65" t="n"/>
      <c r="HXL157" s="65" t="n"/>
      <c r="HXM157" s="65" t="n"/>
      <c r="HXN157" s="65" t="n"/>
      <c r="HXO157" s="65" t="n"/>
      <c r="HXP157" s="65" t="n"/>
      <c r="HXQ157" s="65" t="n"/>
      <c r="HXR157" s="65" t="n"/>
      <c r="HXS157" s="65" t="n"/>
      <c r="HXT157" s="65" t="n"/>
      <c r="HXU157" s="65" t="n"/>
      <c r="HXV157" s="65" t="n"/>
      <c r="HXW157" s="65" t="n"/>
      <c r="HXX157" s="65" t="n"/>
      <c r="HXY157" s="65" t="n"/>
      <c r="HXZ157" s="65" t="n"/>
      <c r="HYA157" s="65" t="n"/>
      <c r="HYB157" s="65" t="n"/>
      <c r="HYC157" s="65" t="n"/>
      <c r="HYD157" s="65" t="n"/>
      <c r="HYE157" s="65" t="n"/>
      <c r="HYF157" s="65" t="n"/>
      <c r="HYG157" s="65" t="n"/>
      <c r="HYH157" s="65" t="n"/>
      <c r="HYI157" s="65" t="n"/>
      <c r="HYJ157" s="65" t="n"/>
      <c r="HYK157" s="65" t="n"/>
      <c r="HYL157" s="65" t="n"/>
      <c r="HYM157" s="65" t="n"/>
      <c r="HYN157" s="65" t="n"/>
      <c r="HYO157" s="65" t="n"/>
      <c r="HYP157" s="65" t="n"/>
      <c r="HYQ157" s="65" t="n"/>
      <c r="HYR157" s="65" t="n"/>
      <c r="HYS157" s="65" t="n"/>
      <c r="HYT157" s="65" t="n"/>
      <c r="HYU157" s="65" t="n"/>
      <c r="HYV157" s="65" t="n"/>
      <c r="HYW157" s="65" t="n"/>
      <c r="HYX157" s="65" t="n"/>
      <c r="HYY157" s="65" t="n"/>
      <c r="HYZ157" s="65" t="n"/>
      <c r="HZA157" s="65" t="n"/>
      <c r="HZB157" s="65" t="n"/>
      <c r="HZC157" s="65" t="n"/>
      <c r="HZD157" s="65" t="n"/>
      <c r="HZE157" s="65" t="n"/>
      <c r="HZF157" s="65" t="n"/>
      <c r="HZG157" s="65" t="n"/>
      <c r="HZH157" s="65" t="n"/>
      <c r="HZI157" s="65" t="n"/>
      <c r="HZJ157" s="65" t="n"/>
      <c r="HZK157" s="65" t="n"/>
      <c r="HZL157" s="65" t="n"/>
      <c r="HZM157" s="65" t="n"/>
      <c r="HZN157" s="65" t="n"/>
      <c r="HZO157" s="65" t="n"/>
      <c r="HZP157" s="65" t="n"/>
      <c r="HZQ157" s="65" t="n"/>
      <c r="HZR157" s="65" t="n"/>
      <c r="HZS157" s="65" t="n"/>
      <c r="HZT157" s="65" t="n"/>
      <c r="HZU157" s="65" t="n"/>
      <c r="HZV157" s="65" t="n"/>
      <c r="HZW157" s="65" t="n"/>
      <c r="HZX157" s="65" t="n"/>
      <c r="HZY157" s="65" t="n"/>
      <c r="HZZ157" s="65" t="n"/>
      <c r="IAA157" s="65" t="n"/>
      <c r="IAB157" s="65" t="n"/>
      <c r="IAC157" s="65" t="n"/>
      <c r="IAD157" s="65" t="n"/>
      <c r="IAE157" s="65" t="n"/>
      <c r="IAF157" s="65" t="n"/>
      <c r="IAG157" s="65" t="n"/>
      <c r="IAH157" s="65" t="n"/>
      <c r="IAI157" s="65" t="n"/>
      <c r="IAJ157" s="65" t="n"/>
      <c r="IAK157" s="65" t="n"/>
      <c r="IAL157" s="65" t="n"/>
      <c r="IAM157" s="65" t="n"/>
      <c r="IAN157" s="65" t="n"/>
      <c r="IAO157" s="65" t="n"/>
      <c r="IAP157" s="65" t="n"/>
      <c r="IAQ157" s="65" t="n"/>
      <c r="IAR157" s="65" t="n"/>
      <c r="IAS157" s="65" t="n"/>
      <c r="IAT157" s="65" t="n"/>
      <c r="IAU157" s="65" t="n"/>
      <c r="IAV157" s="65" t="n"/>
      <c r="IAW157" s="65" t="n"/>
      <c r="IAX157" s="65" t="n"/>
      <c r="IAY157" s="65" t="n"/>
      <c r="IAZ157" s="65" t="n"/>
      <c r="IBA157" s="65" t="n"/>
      <c r="IBB157" s="65" t="n"/>
      <c r="IBC157" s="65" t="n"/>
      <c r="IBD157" s="65" t="n"/>
      <c r="IBE157" s="65" t="n"/>
      <c r="IBF157" s="65" t="n"/>
      <c r="IBG157" s="65" t="n"/>
      <c r="IBH157" s="65" t="n"/>
      <c r="IBI157" s="65" t="n"/>
      <c r="IBJ157" s="65" t="n"/>
      <c r="IBK157" s="65" t="n"/>
      <c r="IBL157" s="65" t="n"/>
      <c r="IBM157" s="65" t="n"/>
      <c r="IBN157" s="65" t="n"/>
      <c r="IBO157" s="65" t="n"/>
      <c r="IBP157" s="65" t="n"/>
      <c r="IBQ157" s="65" t="n"/>
      <c r="IBR157" s="65" t="n"/>
      <c r="IBS157" s="65" t="n"/>
      <c r="IBT157" s="65" t="n"/>
      <c r="IBU157" s="65" t="n"/>
      <c r="IBV157" s="65" t="n"/>
      <c r="IBW157" s="65" t="n"/>
      <c r="IBX157" s="65" t="n"/>
      <c r="IBY157" s="65" t="n"/>
      <c r="IBZ157" s="65" t="n"/>
      <c r="ICA157" s="65" t="n"/>
      <c r="ICB157" s="65" t="n"/>
      <c r="ICC157" s="65" t="n"/>
      <c r="ICD157" s="65" t="n"/>
      <c r="ICE157" s="65" t="n"/>
      <c r="ICF157" s="65" t="n"/>
      <c r="ICG157" s="65" t="n"/>
      <c r="ICH157" s="65" t="n"/>
      <c r="ICI157" s="65" t="n"/>
      <c r="ICJ157" s="65" t="n"/>
      <c r="ICK157" s="65" t="n"/>
      <c r="ICL157" s="65" t="n"/>
      <c r="ICM157" s="65" t="n"/>
      <c r="ICN157" s="65" t="n"/>
      <c r="ICO157" s="65" t="n"/>
      <c r="ICP157" s="65" t="n"/>
      <c r="ICQ157" s="65" t="n"/>
      <c r="ICR157" s="65" t="n"/>
      <c r="ICS157" s="65" t="n"/>
      <c r="ICT157" s="65" t="n"/>
      <c r="ICU157" s="65" t="n"/>
      <c r="ICV157" s="65" t="n"/>
      <c r="ICW157" s="65" t="n"/>
      <c r="ICX157" s="65" t="n"/>
      <c r="ICY157" s="65" t="n"/>
      <c r="ICZ157" s="65" t="n"/>
      <c r="IDA157" s="65" t="n"/>
      <c r="IDB157" s="65" t="n"/>
      <c r="IDC157" s="65" t="n"/>
      <c r="IDD157" s="65" t="n"/>
      <c r="IDE157" s="65" t="n"/>
      <c r="IDF157" s="65" t="n"/>
      <c r="IDG157" s="65" t="n"/>
      <c r="IDH157" s="65" t="n"/>
      <c r="IDI157" s="65" t="n"/>
      <c r="IDJ157" s="65" t="n"/>
      <c r="IDK157" s="65" t="n"/>
      <c r="IDL157" s="65" t="n"/>
      <c r="IDM157" s="65" t="n"/>
      <c r="IDN157" s="65" t="n"/>
      <c r="IDO157" s="65" t="n"/>
      <c r="IDP157" s="65" t="n"/>
      <c r="IDQ157" s="65" t="n"/>
      <c r="IDR157" s="65" t="n"/>
      <c r="IDS157" s="65" t="n"/>
      <c r="IDT157" s="65" t="n"/>
      <c r="IDU157" s="65" t="n"/>
      <c r="IDV157" s="65" t="n"/>
      <c r="IDW157" s="65" t="n"/>
      <c r="IDX157" s="65" t="n"/>
      <c r="IDY157" s="65" t="n"/>
      <c r="IDZ157" s="65" t="n"/>
      <c r="IEA157" s="65" t="n"/>
      <c r="IEB157" s="65" t="n"/>
      <c r="IEC157" s="65" t="n"/>
      <c r="IED157" s="65" t="n"/>
      <c r="IEE157" s="65" t="n"/>
      <c r="IEF157" s="65" t="n"/>
      <c r="IEG157" s="65" t="n"/>
      <c r="IEH157" s="65" t="n"/>
      <c r="IEI157" s="65" t="n"/>
      <c r="IEJ157" s="65" t="n"/>
      <c r="IEK157" s="65" t="n"/>
      <c r="IEL157" s="65" t="n"/>
      <c r="IEM157" s="65" t="n"/>
      <c r="IEN157" s="65" t="n"/>
      <c r="IEO157" s="65" t="n"/>
      <c r="IEP157" s="65" t="n"/>
      <c r="IEQ157" s="65" t="n"/>
      <c r="IER157" s="65" t="n"/>
      <c r="IES157" s="65" t="n"/>
      <c r="IET157" s="65" t="n"/>
      <c r="IEU157" s="65" t="n"/>
      <c r="IEV157" s="65" t="n"/>
      <c r="IEW157" s="65" t="n"/>
      <c r="IEX157" s="65" t="n"/>
      <c r="IEY157" s="65" t="n"/>
      <c r="IEZ157" s="65" t="n"/>
      <c r="IFA157" s="65" t="n"/>
      <c r="IFB157" s="65" t="n"/>
      <c r="IFC157" s="65" t="n"/>
      <c r="IFD157" s="65" t="n"/>
      <c r="IFE157" s="65" t="n"/>
      <c r="IFF157" s="65" t="n"/>
      <c r="IFG157" s="65" t="n"/>
      <c r="IFH157" s="65" t="n"/>
      <c r="IFI157" s="65" t="n"/>
      <c r="IFJ157" s="65" t="n"/>
      <c r="IFK157" s="65" t="n"/>
      <c r="IFL157" s="65" t="n"/>
      <c r="IFM157" s="65" t="n"/>
      <c r="IFN157" s="65" t="n"/>
      <c r="IFO157" s="65" t="n"/>
      <c r="IFP157" s="65" t="n"/>
      <c r="IFQ157" s="65" t="n"/>
      <c r="IFR157" s="65" t="n"/>
      <c r="IFS157" s="65" t="n"/>
      <c r="IFT157" s="65" t="n"/>
      <c r="IFU157" s="65" t="n"/>
      <c r="IFV157" s="65" t="n"/>
      <c r="IFW157" s="65" t="n"/>
      <c r="IFX157" s="65" t="n"/>
      <c r="IFY157" s="65" t="n"/>
      <c r="IFZ157" s="65" t="n"/>
      <c r="IGA157" s="65" t="n"/>
      <c r="IGB157" s="65" t="n"/>
      <c r="IGC157" s="65" t="n"/>
      <c r="IGD157" s="65" t="n"/>
      <c r="IGE157" s="65" t="n"/>
      <c r="IGF157" s="65" t="n"/>
      <c r="IGG157" s="65" t="n"/>
      <c r="IGH157" s="65" t="n"/>
      <c r="IGI157" s="65" t="n"/>
      <c r="IGJ157" s="65" t="n"/>
      <c r="IGK157" s="65" t="n"/>
      <c r="IGL157" s="65" t="n"/>
      <c r="IGM157" s="65" t="n"/>
      <c r="IGN157" s="65" t="n"/>
      <c r="IGO157" s="65" t="n"/>
      <c r="IGP157" s="65" t="n"/>
      <c r="IGQ157" s="65" t="n"/>
      <c r="IGR157" s="65" t="n"/>
      <c r="IGS157" s="65" t="n"/>
      <c r="IGT157" s="65" t="n"/>
      <c r="IGU157" s="65" t="n"/>
      <c r="IGV157" s="65" t="n"/>
      <c r="IGW157" s="65" t="n"/>
      <c r="IGX157" s="65" t="n"/>
      <c r="IGY157" s="65" t="n"/>
      <c r="IGZ157" s="65" t="n"/>
      <c r="IHA157" s="65" t="n"/>
      <c r="IHB157" s="65" t="n"/>
      <c r="IHC157" s="65" t="n"/>
      <c r="IHD157" s="65" t="n"/>
      <c r="IHE157" s="65" t="n"/>
      <c r="IHF157" s="65" t="n"/>
      <c r="IHG157" s="65" t="n"/>
      <c r="IHH157" s="65" t="n"/>
      <c r="IHI157" s="65" t="n"/>
      <c r="IHJ157" s="65" t="n"/>
      <c r="IHK157" s="65" t="n"/>
      <c r="IHL157" s="65" t="n"/>
      <c r="IHM157" s="65" t="n"/>
      <c r="IHN157" s="65" t="n"/>
      <c r="IHO157" s="65" t="n"/>
      <c r="IHP157" s="65" t="n"/>
      <c r="IHQ157" s="65" t="n"/>
      <c r="IHR157" s="65" t="n"/>
      <c r="IHS157" s="65" t="n"/>
      <c r="IHT157" s="65" t="n"/>
      <c r="IHU157" s="65" t="n"/>
      <c r="IHV157" s="65" t="n"/>
      <c r="IHW157" s="65" t="n"/>
      <c r="IHX157" s="65" t="n"/>
      <c r="IHY157" s="65" t="n"/>
      <c r="IHZ157" s="65" t="n"/>
      <c r="IIA157" s="65" t="n"/>
      <c r="IIB157" s="65" t="n"/>
      <c r="IIC157" s="65" t="n"/>
      <c r="IID157" s="65" t="n"/>
      <c r="IIE157" s="65" t="n"/>
      <c r="IIF157" s="65" t="n"/>
      <c r="IIG157" s="65" t="n"/>
      <c r="IIH157" s="65" t="n"/>
      <c r="III157" s="65" t="n"/>
      <c r="IIJ157" s="65" t="n"/>
      <c r="IIK157" s="65" t="n"/>
      <c r="IIL157" s="65" t="n"/>
      <c r="IIM157" s="65" t="n"/>
      <c r="IIN157" s="65" t="n"/>
      <c r="IIO157" s="65" t="n"/>
      <c r="IIP157" s="65" t="n"/>
      <c r="IIQ157" s="65" t="n"/>
      <c r="IIR157" s="65" t="n"/>
      <c r="IIS157" s="65" t="n"/>
      <c r="IIT157" s="65" t="n"/>
      <c r="IIU157" s="65" t="n"/>
      <c r="IIV157" s="65" t="n"/>
      <c r="IIW157" s="65" t="n"/>
      <c r="IIX157" s="65" t="n"/>
      <c r="IIY157" s="65" t="n"/>
      <c r="IIZ157" s="65" t="n"/>
      <c r="IJA157" s="65" t="n"/>
      <c r="IJB157" s="65" t="n"/>
      <c r="IJC157" s="65" t="n"/>
      <c r="IJD157" s="65" t="n"/>
      <c r="IJE157" s="65" t="n"/>
      <c r="IJF157" s="65" t="n"/>
      <c r="IJG157" s="65" t="n"/>
      <c r="IJH157" s="65" t="n"/>
      <c r="IJI157" s="65" t="n"/>
      <c r="IJJ157" s="65" t="n"/>
      <c r="IJK157" s="65" t="n"/>
      <c r="IJL157" s="65" t="n"/>
      <c r="IJM157" s="65" t="n"/>
      <c r="IJN157" s="65" t="n"/>
      <c r="IJO157" s="65" t="n"/>
      <c r="IJP157" s="65" t="n"/>
      <c r="IJQ157" s="65" t="n"/>
      <c r="IJR157" s="65" t="n"/>
      <c r="IJS157" s="65" t="n"/>
      <c r="IJT157" s="65" t="n"/>
      <c r="IJU157" s="65" t="n"/>
      <c r="IJV157" s="65" t="n"/>
      <c r="IJW157" s="65" t="n"/>
      <c r="IJX157" s="65" t="n"/>
      <c r="IJY157" s="65" t="n"/>
      <c r="IJZ157" s="65" t="n"/>
      <c r="IKA157" s="65" t="n"/>
      <c r="IKB157" s="65" t="n"/>
      <c r="IKC157" s="65" t="n"/>
      <c r="IKD157" s="65" t="n"/>
      <c r="IKE157" s="65" t="n"/>
      <c r="IKF157" s="65" t="n"/>
      <c r="IKG157" s="65" t="n"/>
      <c r="IKH157" s="65" t="n"/>
      <c r="IKI157" s="65" t="n"/>
      <c r="IKJ157" s="65" t="n"/>
      <c r="IKK157" s="65" t="n"/>
      <c r="IKL157" s="65" t="n"/>
      <c r="IKM157" s="65" t="n"/>
      <c r="IKN157" s="65" t="n"/>
      <c r="IKO157" s="65" t="n"/>
      <c r="IKP157" s="65" t="n"/>
      <c r="IKQ157" s="65" t="n"/>
      <c r="IKR157" s="65" t="n"/>
      <c r="IKS157" s="65" t="n"/>
      <c r="IKT157" s="65" t="n"/>
      <c r="IKU157" s="65" t="n"/>
      <c r="IKV157" s="65" t="n"/>
      <c r="IKW157" s="65" t="n"/>
      <c r="IKX157" s="65" t="n"/>
      <c r="IKY157" s="65" t="n"/>
      <c r="IKZ157" s="65" t="n"/>
      <c r="ILA157" s="65" t="n"/>
      <c r="ILB157" s="65" t="n"/>
      <c r="ILC157" s="65" t="n"/>
      <c r="ILD157" s="65" t="n"/>
      <c r="ILE157" s="65" t="n"/>
      <c r="ILF157" s="65" t="n"/>
      <c r="ILG157" s="65" t="n"/>
      <c r="ILH157" s="65" t="n"/>
      <c r="ILI157" s="65" t="n"/>
      <c r="ILJ157" s="65" t="n"/>
      <c r="ILK157" s="65" t="n"/>
      <c r="ILL157" s="65" t="n"/>
      <c r="ILM157" s="65" t="n"/>
      <c r="ILN157" s="65" t="n"/>
      <c r="ILO157" s="65" t="n"/>
      <c r="ILP157" s="65" t="n"/>
      <c r="ILQ157" s="65" t="n"/>
      <c r="ILR157" s="65" t="n"/>
      <c r="ILS157" s="65" t="n"/>
      <c r="ILT157" s="65" t="n"/>
      <c r="ILU157" s="65" t="n"/>
      <c r="ILV157" s="65" t="n"/>
      <c r="ILW157" s="65" t="n"/>
      <c r="ILX157" s="65" t="n"/>
      <c r="ILY157" s="65" t="n"/>
      <c r="ILZ157" s="65" t="n"/>
      <c r="IMA157" s="65" t="n"/>
      <c r="IMB157" s="65" t="n"/>
      <c r="IMC157" s="65" t="n"/>
      <c r="IMD157" s="65" t="n"/>
      <c r="IME157" s="65" t="n"/>
      <c r="IMF157" s="65" t="n"/>
      <c r="IMG157" s="65" t="n"/>
      <c r="IMH157" s="65" t="n"/>
      <c r="IMI157" s="65" t="n"/>
      <c r="IMJ157" s="65" t="n"/>
      <c r="IMK157" s="65" t="n"/>
      <c r="IML157" s="65" t="n"/>
      <c r="IMM157" s="65" t="n"/>
      <c r="IMN157" s="65" t="n"/>
      <c r="IMO157" s="65" t="n"/>
      <c r="IMP157" s="65" t="n"/>
      <c r="IMQ157" s="65" t="n"/>
      <c r="IMR157" s="65" t="n"/>
      <c r="IMS157" s="65" t="n"/>
      <c r="IMT157" s="65" t="n"/>
      <c r="IMU157" s="65" t="n"/>
      <c r="IMV157" s="65" t="n"/>
      <c r="IMW157" s="65" t="n"/>
      <c r="IMX157" s="65" t="n"/>
      <c r="IMY157" s="65" t="n"/>
      <c r="IMZ157" s="65" t="n"/>
      <c r="INA157" s="65" t="n"/>
      <c r="INB157" s="65" t="n"/>
      <c r="INC157" s="65" t="n"/>
      <c r="IND157" s="65" t="n"/>
      <c r="INE157" s="65" t="n"/>
      <c r="INF157" s="65" t="n"/>
      <c r="ING157" s="65" t="n"/>
      <c r="INH157" s="65" t="n"/>
      <c r="INI157" s="65" t="n"/>
      <c r="INJ157" s="65" t="n"/>
      <c r="INK157" s="65" t="n"/>
      <c r="INL157" s="65" t="n"/>
      <c r="INM157" s="65" t="n"/>
      <c r="INN157" s="65" t="n"/>
      <c r="INO157" s="65" t="n"/>
      <c r="INP157" s="65" t="n"/>
      <c r="INQ157" s="65" t="n"/>
      <c r="INR157" s="65" t="n"/>
      <c r="INS157" s="65" t="n"/>
      <c r="INT157" s="65" t="n"/>
      <c r="INU157" s="65" t="n"/>
      <c r="INV157" s="65" t="n"/>
      <c r="INW157" s="65" t="n"/>
      <c r="INX157" s="65" t="n"/>
      <c r="INY157" s="65" t="n"/>
      <c r="INZ157" s="65" t="n"/>
      <c r="IOA157" s="65" t="n"/>
      <c r="IOB157" s="65" t="n"/>
      <c r="IOC157" s="65" t="n"/>
      <c r="IOD157" s="65" t="n"/>
      <c r="IOE157" s="65" t="n"/>
      <c r="IOF157" s="65" t="n"/>
      <c r="IOG157" s="65" t="n"/>
      <c r="IOH157" s="65" t="n"/>
      <c r="IOI157" s="65" t="n"/>
      <c r="IOJ157" s="65" t="n"/>
      <c r="IOK157" s="65" t="n"/>
      <c r="IOL157" s="65" t="n"/>
      <c r="IOM157" s="65" t="n"/>
      <c r="ION157" s="65" t="n"/>
      <c r="IOO157" s="65" t="n"/>
      <c r="IOP157" s="65" t="n"/>
      <c r="IOQ157" s="65" t="n"/>
      <c r="IOR157" s="65" t="n"/>
      <c r="IOS157" s="65" t="n"/>
      <c r="IOT157" s="65" t="n"/>
      <c r="IOU157" s="65" t="n"/>
      <c r="IOV157" s="65" t="n"/>
      <c r="IOW157" s="65" t="n"/>
      <c r="IOX157" s="65" t="n"/>
      <c r="IOY157" s="65" t="n"/>
      <c r="IOZ157" s="65" t="n"/>
      <c r="IPA157" s="65" t="n"/>
      <c r="IPB157" s="65" t="n"/>
      <c r="IPC157" s="65" t="n"/>
      <c r="IPD157" s="65" t="n"/>
      <c r="IPE157" s="65" t="n"/>
      <c r="IPF157" s="65" t="n"/>
      <c r="IPG157" s="65" t="n"/>
      <c r="IPH157" s="65" t="n"/>
      <c r="IPI157" s="65" t="n"/>
      <c r="IPJ157" s="65" t="n"/>
      <c r="IPK157" s="65" t="n"/>
      <c r="IPL157" s="65" t="n"/>
      <c r="IPM157" s="65" t="n"/>
      <c r="IPN157" s="65" t="n"/>
      <c r="IPO157" s="65" t="n"/>
      <c r="IPP157" s="65" t="n"/>
      <c r="IPQ157" s="65" t="n"/>
      <c r="IPR157" s="65" t="n"/>
      <c r="IPS157" s="65" t="n"/>
      <c r="IPT157" s="65" t="n"/>
      <c r="IPU157" s="65" t="n"/>
      <c r="IPV157" s="65" t="n"/>
      <c r="IPW157" s="65" t="n"/>
      <c r="IPX157" s="65" t="n"/>
      <c r="IPY157" s="65" t="n"/>
      <c r="IPZ157" s="65" t="n"/>
      <c r="IQA157" s="65" t="n"/>
      <c r="IQB157" s="65" t="n"/>
      <c r="IQC157" s="65" t="n"/>
      <c r="IQD157" s="65" t="n"/>
      <c r="IQE157" s="65" t="n"/>
      <c r="IQF157" s="65" t="n"/>
      <c r="IQG157" s="65" t="n"/>
      <c r="IQH157" s="65" t="n"/>
      <c r="IQI157" s="65" t="n"/>
      <c r="IQJ157" s="65" t="n"/>
      <c r="IQK157" s="65" t="n"/>
      <c r="IQL157" s="65" t="n"/>
      <c r="IQM157" s="65" t="n"/>
      <c r="IQN157" s="65" t="n"/>
      <c r="IQO157" s="65" t="n"/>
      <c r="IQP157" s="65" t="n"/>
      <c r="IQQ157" s="65" t="n"/>
      <c r="IQR157" s="65" t="n"/>
      <c r="IQS157" s="65" t="n"/>
      <c r="IQT157" s="65" t="n"/>
      <c r="IQU157" s="65" t="n"/>
      <c r="IQV157" s="65" t="n"/>
      <c r="IQW157" s="65" t="n"/>
      <c r="IQX157" s="65" t="n"/>
      <c r="IQY157" s="65" t="n"/>
      <c r="IQZ157" s="65" t="n"/>
      <c r="IRA157" s="65" t="n"/>
      <c r="IRB157" s="65" t="n"/>
      <c r="IRC157" s="65" t="n"/>
      <c r="IRD157" s="65" t="n"/>
      <c r="IRE157" s="65" t="n"/>
      <c r="IRF157" s="65" t="n"/>
      <c r="IRG157" s="65" t="n"/>
      <c r="IRH157" s="65" t="n"/>
      <c r="IRI157" s="65" t="n"/>
      <c r="IRJ157" s="65" t="n"/>
      <c r="IRK157" s="65" t="n"/>
      <c r="IRL157" s="65" t="n"/>
      <c r="IRM157" s="65" t="n"/>
      <c r="IRN157" s="65" t="n"/>
      <c r="IRO157" s="65" t="n"/>
      <c r="IRP157" s="65" t="n"/>
      <c r="IRQ157" s="65" t="n"/>
      <c r="IRR157" s="65" t="n"/>
      <c r="IRS157" s="65" t="n"/>
      <c r="IRT157" s="65" t="n"/>
      <c r="IRU157" s="65" t="n"/>
      <c r="IRV157" s="65" t="n"/>
      <c r="IRW157" s="65" t="n"/>
      <c r="IRX157" s="65" t="n"/>
      <c r="IRY157" s="65" t="n"/>
      <c r="IRZ157" s="65" t="n"/>
      <c r="ISA157" s="65" t="n"/>
      <c r="ISB157" s="65" t="n"/>
      <c r="ISC157" s="65" t="n"/>
      <c r="ISD157" s="65" t="n"/>
      <c r="ISE157" s="65" t="n"/>
      <c r="ISF157" s="65" t="n"/>
      <c r="ISG157" s="65" t="n"/>
      <c r="ISH157" s="65" t="n"/>
      <c r="ISI157" s="65" t="n"/>
      <c r="ISJ157" s="65" t="n"/>
      <c r="ISK157" s="65" t="n"/>
      <c r="ISL157" s="65" t="n"/>
      <c r="ISM157" s="65" t="n"/>
      <c r="ISN157" s="65" t="n"/>
      <c r="ISO157" s="65" t="n"/>
      <c r="ISP157" s="65" t="n"/>
      <c r="ISQ157" s="65" t="n"/>
      <c r="ISR157" s="65" t="n"/>
      <c r="ISS157" s="65" t="n"/>
      <c r="IST157" s="65" t="n"/>
      <c r="ISU157" s="65" t="n"/>
      <c r="ISV157" s="65" t="n"/>
      <c r="ISW157" s="65" t="n"/>
      <c r="ISX157" s="65" t="n"/>
      <c r="ISY157" s="65" t="n"/>
      <c r="ISZ157" s="65" t="n"/>
      <c r="ITA157" s="65" t="n"/>
      <c r="ITB157" s="65" t="n"/>
      <c r="ITC157" s="65" t="n"/>
      <c r="ITD157" s="65" t="n"/>
      <c r="ITE157" s="65" t="n"/>
      <c r="ITF157" s="65" t="n"/>
      <c r="ITG157" s="65" t="n"/>
      <c r="ITH157" s="65" t="n"/>
      <c r="ITI157" s="65" t="n"/>
      <c r="ITJ157" s="65" t="n"/>
      <c r="ITK157" s="65" t="n"/>
      <c r="ITL157" s="65" t="n"/>
      <c r="ITM157" s="65" t="n"/>
      <c r="ITN157" s="65" t="n"/>
      <c r="ITO157" s="65" t="n"/>
      <c r="ITP157" s="65" t="n"/>
      <c r="ITQ157" s="65" t="n"/>
      <c r="ITR157" s="65" t="n"/>
      <c r="ITS157" s="65" t="n"/>
      <c r="ITT157" s="65" t="n"/>
      <c r="ITU157" s="65" t="n"/>
      <c r="ITV157" s="65" t="n"/>
      <c r="ITW157" s="65" t="n"/>
      <c r="ITX157" s="65" t="n"/>
      <c r="ITY157" s="65" t="n"/>
      <c r="ITZ157" s="65" t="n"/>
      <c r="IUA157" s="65" t="n"/>
      <c r="IUB157" s="65" t="n"/>
      <c r="IUC157" s="65" t="n"/>
      <c r="IUD157" s="65" t="n"/>
      <c r="IUE157" s="65" t="n"/>
      <c r="IUF157" s="65" t="n"/>
      <c r="IUG157" s="65" t="n"/>
      <c r="IUH157" s="65" t="n"/>
      <c r="IUI157" s="65" t="n"/>
      <c r="IUJ157" s="65" t="n"/>
      <c r="IUK157" s="65" t="n"/>
      <c r="IUL157" s="65" t="n"/>
      <c r="IUM157" s="65" t="n"/>
      <c r="IUN157" s="65" t="n"/>
      <c r="IUO157" s="65" t="n"/>
      <c r="IUP157" s="65" t="n"/>
      <c r="IUQ157" s="65" t="n"/>
      <c r="IUR157" s="65" t="n"/>
      <c r="IUS157" s="65" t="n"/>
      <c r="IUT157" s="65" t="n"/>
      <c r="IUU157" s="65" t="n"/>
      <c r="IUV157" s="65" t="n"/>
      <c r="IUW157" s="65" t="n"/>
      <c r="IUX157" s="65" t="n"/>
      <c r="IUY157" s="65" t="n"/>
      <c r="IUZ157" s="65" t="n"/>
      <c r="IVA157" s="65" t="n"/>
      <c r="IVB157" s="65" t="n"/>
      <c r="IVC157" s="65" t="n"/>
      <c r="IVD157" s="65" t="n"/>
      <c r="IVE157" s="65" t="n"/>
      <c r="IVF157" s="65" t="n"/>
      <c r="IVG157" s="65" t="n"/>
      <c r="IVH157" s="65" t="n"/>
      <c r="IVI157" s="65" t="n"/>
      <c r="IVJ157" s="65" t="n"/>
      <c r="IVK157" s="65" t="n"/>
      <c r="IVL157" s="65" t="n"/>
      <c r="IVM157" s="65" t="n"/>
      <c r="IVN157" s="65" t="n"/>
      <c r="IVO157" s="65" t="n"/>
      <c r="IVP157" s="65" t="n"/>
      <c r="IVQ157" s="65" t="n"/>
      <c r="IVR157" s="65" t="n"/>
      <c r="IVS157" s="65" t="n"/>
      <c r="IVT157" s="65" t="n"/>
      <c r="IVU157" s="65" t="n"/>
      <c r="IVV157" s="65" t="n"/>
      <c r="IVW157" s="65" t="n"/>
      <c r="IVX157" s="65" t="n"/>
      <c r="IVY157" s="65" t="n"/>
      <c r="IVZ157" s="65" t="n"/>
      <c r="IWA157" s="65" t="n"/>
      <c r="IWB157" s="65" t="n"/>
      <c r="IWC157" s="65" t="n"/>
      <c r="IWD157" s="65" t="n"/>
      <c r="IWE157" s="65" t="n"/>
      <c r="IWF157" s="65" t="n"/>
      <c r="IWG157" s="65" t="n"/>
      <c r="IWH157" s="65" t="n"/>
      <c r="IWI157" s="65" t="n"/>
      <c r="IWJ157" s="65" t="n"/>
      <c r="IWK157" s="65" t="n"/>
      <c r="IWL157" s="65" t="n"/>
      <c r="IWM157" s="65" t="n"/>
      <c r="IWN157" s="65" t="n"/>
      <c r="IWO157" s="65" t="n"/>
      <c r="IWP157" s="65" t="n"/>
      <c r="IWQ157" s="65" t="n"/>
      <c r="IWR157" s="65" t="n"/>
      <c r="IWS157" s="65" t="n"/>
      <c r="IWT157" s="65" t="n"/>
      <c r="IWU157" s="65" t="n"/>
      <c r="IWV157" s="65" t="n"/>
      <c r="IWW157" s="65" t="n"/>
      <c r="IWX157" s="65" t="n"/>
      <c r="IWY157" s="65" t="n"/>
      <c r="IWZ157" s="65" t="n"/>
      <c r="IXA157" s="65" t="n"/>
      <c r="IXB157" s="65" t="n"/>
      <c r="IXC157" s="65" t="n"/>
      <c r="IXD157" s="65" t="n"/>
      <c r="IXE157" s="65" t="n"/>
      <c r="IXF157" s="65" t="n"/>
      <c r="IXG157" s="65" t="n"/>
      <c r="IXH157" s="65" t="n"/>
      <c r="IXI157" s="65" t="n"/>
      <c r="IXJ157" s="65" t="n"/>
      <c r="IXK157" s="65" t="n"/>
      <c r="IXL157" s="65" t="n"/>
      <c r="IXM157" s="65" t="n"/>
      <c r="IXN157" s="65" t="n"/>
      <c r="IXO157" s="65" t="n"/>
      <c r="IXP157" s="65" t="n"/>
      <c r="IXQ157" s="65" t="n"/>
      <c r="IXR157" s="65" t="n"/>
      <c r="IXS157" s="65" t="n"/>
      <c r="IXT157" s="65" t="n"/>
      <c r="IXU157" s="65" t="n"/>
      <c r="IXV157" s="65" t="n"/>
      <c r="IXW157" s="65" t="n"/>
      <c r="IXX157" s="65" t="n"/>
      <c r="IXY157" s="65" t="n"/>
      <c r="IXZ157" s="65" t="n"/>
      <c r="IYA157" s="65" t="n"/>
      <c r="IYB157" s="65" t="n"/>
      <c r="IYC157" s="65" t="n"/>
      <c r="IYD157" s="65" t="n"/>
      <c r="IYE157" s="65" t="n"/>
      <c r="IYF157" s="65" t="n"/>
      <c r="IYG157" s="65" t="n"/>
      <c r="IYH157" s="65" t="n"/>
      <c r="IYI157" s="65" t="n"/>
      <c r="IYJ157" s="65" t="n"/>
      <c r="IYK157" s="65" t="n"/>
      <c r="IYL157" s="65" t="n"/>
      <c r="IYM157" s="65" t="n"/>
      <c r="IYN157" s="65" t="n"/>
      <c r="IYO157" s="65" t="n"/>
      <c r="IYP157" s="65" t="n"/>
      <c r="IYQ157" s="65" t="n"/>
      <c r="IYR157" s="65" t="n"/>
      <c r="IYS157" s="65" t="n"/>
      <c r="IYT157" s="65" t="n"/>
      <c r="IYU157" s="65" t="n"/>
      <c r="IYV157" s="65" t="n"/>
      <c r="IYW157" s="65" t="n"/>
      <c r="IYX157" s="65" t="n"/>
      <c r="IYY157" s="65" t="n"/>
      <c r="IYZ157" s="65" t="n"/>
      <c r="IZA157" s="65" t="n"/>
      <c r="IZB157" s="65" t="n"/>
      <c r="IZC157" s="65" t="n"/>
      <c r="IZD157" s="65" t="n"/>
      <c r="IZE157" s="65" t="n"/>
      <c r="IZF157" s="65" t="n"/>
      <c r="IZG157" s="65" t="n"/>
      <c r="IZH157" s="65" t="n"/>
      <c r="IZI157" s="65" t="n"/>
      <c r="IZJ157" s="65" t="n"/>
      <c r="IZK157" s="65" t="n"/>
      <c r="IZL157" s="65" t="n"/>
      <c r="IZM157" s="65" t="n"/>
      <c r="IZN157" s="65" t="n"/>
      <c r="IZO157" s="65" t="n"/>
      <c r="IZP157" s="65" t="n"/>
      <c r="IZQ157" s="65" t="n"/>
      <c r="IZR157" s="65" t="n"/>
      <c r="IZS157" s="65" t="n"/>
      <c r="IZT157" s="65" t="n"/>
      <c r="IZU157" s="65" t="n"/>
      <c r="IZV157" s="65" t="n"/>
      <c r="IZW157" s="65" t="n"/>
      <c r="IZX157" s="65" t="n"/>
      <c r="IZY157" s="65" t="n"/>
      <c r="IZZ157" s="65" t="n"/>
      <c r="JAA157" s="65" t="n"/>
      <c r="JAB157" s="65" t="n"/>
      <c r="JAC157" s="65" t="n"/>
      <c r="JAD157" s="65" t="n"/>
      <c r="JAE157" s="65" t="n"/>
      <c r="JAF157" s="65" t="n"/>
      <c r="JAG157" s="65" t="n"/>
      <c r="JAH157" s="65" t="n"/>
      <c r="JAI157" s="65" t="n"/>
      <c r="JAJ157" s="65" t="n"/>
      <c r="JAK157" s="65" t="n"/>
      <c r="JAL157" s="65" t="n"/>
      <c r="JAM157" s="65" t="n"/>
      <c r="JAN157" s="65" t="n"/>
      <c r="JAO157" s="65" t="n"/>
      <c r="JAP157" s="65" t="n"/>
      <c r="JAQ157" s="65" t="n"/>
      <c r="JAR157" s="65" t="n"/>
      <c r="JAS157" s="65" t="n"/>
      <c r="JAT157" s="65" t="n"/>
      <c r="JAU157" s="65" t="n"/>
      <c r="JAV157" s="65" t="n"/>
      <c r="JAW157" s="65" t="n"/>
      <c r="JAX157" s="65" t="n"/>
      <c r="JAY157" s="65" t="n"/>
      <c r="JAZ157" s="65" t="n"/>
      <c r="JBA157" s="65" t="n"/>
      <c r="JBB157" s="65" t="n"/>
      <c r="JBC157" s="65" t="n"/>
      <c r="JBD157" s="65" t="n"/>
      <c r="JBE157" s="65" t="n"/>
      <c r="JBF157" s="65" t="n"/>
      <c r="JBG157" s="65" t="n"/>
      <c r="JBH157" s="65" t="n"/>
      <c r="JBI157" s="65" t="n"/>
      <c r="JBJ157" s="65" t="n"/>
      <c r="JBK157" s="65" t="n"/>
      <c r="JBL157" s="65" t="n"/>
      <c r="JBM157" s="65" t="n"/>
      <c r="JBN157" s="65" t="n"/>
      <c r="JBO157" s="65" t="n"/>
      <c r="JBP157" s="65" t="n"/>
      <c r="JBQ157" s="65" t="n"/>
      <c r="JBR157" s="65" t="n"/>
      <c r="JBS157" s="65" t="n"/>
      <c r="JBT157" s="65" t="n"/>
      <c r="JBU157" s="65" t="n"/>
      <c r="JBV157" s="65" t="n"/>
      <c r="JBW157" s="65" t="n"/>
      <c r="JBX157" s="65" t="n"/>
      <c r="JBY157" s="65" t="n"/>
      <c r="JBZ157" s="65" t="n"/>
      <c r="JCA157" s="65" t="n"/>
      <c r="JCB157" s="65" t="n"/>
      <c r="JCC157" s="65" t="n"/>
      <c r="JCD157" s="65" t="n"/>
      <c r="JCE157" s="65" t="n"/>
      <c r="JCF157" s="65" t="n"/>
      <c r="JCG157" s="65" t="n"/>
      <c r="JCH157" s="65" t="n"/>
      <c r="JCI157" s="65" t="n"/>
      <c r="JCJ157" s="65" t="n"/>
      <c r="JCK157" s="65" t="n"/>
      <c r="JCL157" s="65" t="n"/>
      <c r="JCM157" s="65" t="n"/>
      <c r="JCN157" s="65" t="n"/>
      <c r="JCO157" s="65" t="n"/>
      <c r="JCP157" s="65" t="n"/>
      <c r="JCQ157" s="65" t="n"/>
      <c r="JCR157" s="65" t="n"/>
      <c r="JCS157" s="65" t="n"/>
      <c r="JCT157" s="65" t="n"/>
      <c r="JCU157" s="65" t="n"/>
      <c r="JCV157" s="65" t="n"/>
      <c r="JCW157" s="65" t="n"/>
      <c r="JCX157" s="65" t="n"/>
      <c r="JCY157" s="65" t="n"/>
      <c r="JCZ157" s="65" t="n"/>
      <c r="JDA157" s="65" t="n"/>
      <c r="JDB157" s="65" t="n"/>
      <c r="JDC157" s="65" t="n"/>
      <c r="JDD157" s="65" t="n"/>
      <c r="JDE157" s="65" t="n"/>
      <c r="JDF157" s="65" t="n"/>
      <c r="JDG157" s="65" t="n"/>
      <c r="JDH157" s="65" t="n"/>
      <c r="JDI157" s="65" t="n"/>
      <c r="JDJ157" s="65" t="n"/>
      <c r="JDK157" s="65" t="n"/>
      <c r="JDL157" s="65" t="n"/>
      <c r="JDM157" s="65" t="n"/>
      <c r="JDN157" s="65" t="n"/>
      <c r="JDO157" s="65" t="n"/>
      <c r="JDP157" s="65" t="n"/>
      <c r="JDQ157" s="65" t="n"/>
      <c r="JDR157" s="65" t="n"/>
      <c r="JDS157" s="65" t="n"/>
      <c r="JDT157" s="65" t="n"/>
      <c r="JDU157" s="65" t="n"/>
      <c r="JDV157" s="65" t="n"/>
      <c r="JDW157" s="65" t="n"/>
      <c r="JDX157" s="65" t="n"/>
      <c r="JDY157" s="65" t="n"/>
      <c r="JDZ157" s="65" t="n"/>
      <c r="JEA157" s="65" t="n"/>
      <c r="JEB157" s="65" t="n"/>
      <c r="JEC157" s="65" t="n"/>
      <c r="JED157" s="65" t="n"/>
      <c r="JEE157" s="65" t="n"/>
      <c r="JEF157" s="65" t="n"/>
      <c r="JEG157" s="65" t="n"/>
      <c r="JEH157" s="65" t="n"/>
      <c r="JEI157" s="65" t="n"/>
      <c r="JEJ157" s="65" t="n"/>
      <c r="JEK157" s="65" t="n"/>
      <c r="JEL157" s="65" t="n"/>
      <c r="JEM157" s="65" t="n"/>
      <c r="JEN157" s="65" t="n"/>
      <c r="JEO157" s="65" t="n"/>
      <c r="JEP157" s="65" t="n"/>
      <c r="JEQ157" s="65" t="n"/>
      <c r="JER157" s="65" t="n"/>
      <c r="JES157" s="65" t="n"/>
      <c r="JET157" s="65" t="n"/>
      <c r="JEU157" s="65" t="n"/>
      <c r="JEV157" s="65" t="n"/>
      <c r="JEW157" s="65" t="n"/>
      <c r="JEX157" s="65" t="n"/>
      <c r="JEY157" s="65" t="n"/>
      <c r="JEZ157" s="65" t="n"/>
      <c r="JFA157" s="65" t="n"/>
      <c r="JFB157" s="65" t="n"/>
      <c r="JFC157" s="65" t="n"/>
      <c r="JFD157" s="65" t="n"/>
      <c r="JFE157" s="65" t="n"/>
      <c r="JFF157" s="65" t="n"/>
      <c r="JFG157" s="65" t="n"/>
      <c r="JFH157" s="65" t="n"/>
      <c r="JFI157" s="65" t="n"/>
      <c r="JFJ157" s="65" t="n"/>
      <c r="JFK157" s="65" t="n"/>
      <c r="JFL157" s="65" t="n"/>
      <c r="JFM157" s="65" t="n"/>
      <c r="JFN157" s="65" t="n"/>
      <c r="JFO157" s="65" t="n"/>
      <c r="JFP157" s="65" t="n"/>
      <c r="JFQ157" s="65" t="n"/>
      <c r="JFR157" s="65" t="n"/>
      <c r="JFS157" s="65" t="n"/>
      <c r="JFT157" s="65" t="n"/>
      <c r="JFU157" s="65" t="n"/>
      <c r="JFV157" s="65" t="n"/>
      <c r="JFW157" s="65" t="n"/>
      <c r="JFX157" s="65" t="n"/>
      <c r="JFY157" s="65" t="n"/>
      <c r="JFZ157" s="65" t="n"/>
      <c r="JGA157" s="65" t="n"/>
      <c r="JGB157" s="65" t="n"/>
      <c r="JGC157" s="65" t="n"/>
      <c r="JGD157" s="65" t="n"/>
      <c r="JGE157" s="65" t="n"/>
      <c r="JGF157" s="65" t="n"/>
      <c r="JGG157" s="65" t="n"/>
      <c r="JGH157" s="65" t="n"/>
      <c r="JGI157" s="65" t="n"/>
      <c r="JGJ157" s="65" t="n"/>
      <c r="JGK157" s="65" t="n"/>
      <c r="JGL157" s="65" t="n"/>
      <c r="JGM157" s="65" t="n"/>
      <c r="JGN157" s="65" t="n"/>
      <c r="JGO157" s="65" t="n"/>
      <c r="JGP157" s="65" t="n"/>
      <c r="JGQ157" s="65" t="n"/>
      <c r="JGR157" s="65" t="n"/>
      <c r="JGS157" s="65" t="n"/>
      <c r="JGT157" s="65" t="n"/>
      <c r="JGU157" s="65" t="n"/>
      <c r="JGV157" s="65" t="n"/>
      <c r="JGW157" s="65" t="n"/>
      <c r="JGX157" s="65" t="n"/>
      <c r="JGY157" s="65" t="n"/>
      <c r="JGZ157" s="65" t="n"/>
      <c r="JHA157" s="65" t="n"/>
      <c r="JHB157" s="65" t="n"/>
      <c r="JHC157" s="65" t="n"/>
      <c r="JHD157" s="65" t="n"/>
      <c r="JHE157" s="65" t="n"/>
      <c r="JHF157" s="65" t="n"/>
      <c r="JHG157" s="65" t="n"/>
      <c r="JHH157" s="65" t="n"/>
      <c r="JHI157" s="65" t="n"/>
      <c r="JHJ157" s="65" t="n"/>
      <c r="JHK157" s="65" t="n"/>
      <c r="JHL157" s="65" t="n"/>
      <c r="JHM157" s="65" t="n"/>
      <c r="JHN157" s="65" t="n"/>
      <c r="JHO157" s="65" t="n"/>
      <c r="JHP157" s="65" t="n"/>
      <c r="JHQ157" s="65" t="n"/>
      <c r="JHR157" s="65" t="n"/>
      <c r="JHS157" s="65" t="n"/>
      <c r="JHT157" s="65" t="n"/>
      <c r="JHU157" s="65" t="n"/>
      <c r="JHV157" s="65" t="n"/>
      <c r="JHW157" s="65" t="n"/>
      <c r="JHX157" s="65" t="n"/>
      <c r="JHY157" s="65" t="n"/>
      <c r="JHZ157" s="65" t="n"/>
      <c r="JIA157" s="65" t="n"/>
      <c r="JIB157" s="65" t="n"/>
      <c r="JIC157" s="65" t="n"/>
      <c r="JID157" s="65" t="n"/>
      <c r="JIE157" s="65" t="n"/>
      <c r="JIF157" s="65" t="n"/>
      <c r="JIG157" s="65" t="n"/>
      <c r="JIH157" s="65" t="n"/>
      <c r="JII157" s="65" t="n"/>
      <c r="JIJ157" s="65" t="n"/>
      <c r="JIK157" s="65" t="n"/>
      <c r="JIL157" s="65" t="n"/>
      <c r="JIM157" s="65" t="n"/>
      <c r="JIN157" s="65" t="n"/>
      <c r="JIO157" s="65" t="n"/>
      <c r="JIP157" s="65" t="n"/>
      <c r="JIQ157" s="65" t="n"/>
      <c r="JIR157" s="65" t="n"/>
      <c r="JIS157" s="65" t="n"/>
      <c r="JIT157" s="65" t="n"/>
      <c r="JIU157" s="65" t="n"/>
      <c r="JIV157" s="65" t="n"/>
      <c r="JIW157" s="65" t="n"/>
      <c r="JIX157" s="65" t="n"/>
      <c r="JIY157" s="65" t="n"/>
      <c r="JIZ157" s="65" t="n"/>
      <c r="JJA157" s="65" t="n"/>
      <c r="JJB157" s="65" t="n"/>
      <c r="JJC157" s="65" t="n"/>
      <c r="JJD157" s="65" t="n"/>
      <c r="JJE157" s="65" t="n"/>
      <c r="JJF157" s="65" t="n"/>
      <c r="JJG157" s="65" t="n"/>
      <c r="JJH157" s="65" t="n"/>
      <c r="JJI157" s="65" t="n"/>
      <c r="JJJ157" s="65" t="n"/>
      <c r="JJK157" s="65" t="n"/>
      <c r="JJL157" s="65" t="n"/>
      <c r="JJM157" s="65" t="n"/>
      <c r="JJN157" s="65" t="n"/>
      <c r="JJO157" s="65" t="n"/>
      <c r="JJP157" s="65" t="n"/>
      <c r="JJQ157" s="65" t="n"/>
      <c r="JJR157" s="65" t="n"/>
      <c r="JJS157" s="65" t="n"/>
      <c r="JJT157" s="65" t="n"/>
      <c r="JJU157" s="65" t="n"/>
      <c r="JJV157" s="65" t="n"/>
      <c r="JJW157" s="65" t="n"/>
      <c r="JJX157" s="65" t="n"/>
      <c r="JJY157" s="65" t="n"/>
      <c r="JJZ157" s="65" t="n"/>
      <c r="JKA157" s="65" t="n"/>
      <c r="JKB157" s="65" t="n"/>
      <c r="JKC157" s="65" t="n"/>
      <c r="JKD157" s="65" t="n"/>
      <c r="JKE157" s="65" t="n"/>
      <c r="JKF157" s="65" t="n"/>
      <c r="JKG157" s="65" t="n"/>
      <c r="JKH157" s="65" t="n"/>
      <c r="JKI157" s="65" t="n"/>
      <c r="JKJ157" s="65" t="n"/>
      <c r="JKK157" s="65" t="n"/>
      <c r="JKL157" s="65" t="n"/>
      <c r="JKM157" s="65" t="n"/>
      <c r="JKN157" s="65" t="n"/>
      <c r="JKO157" s="65" t="n"/>
      <c r="JKP157" s="65" t="n"/>
      <c r="JKQ157" s="65" t="n"/>
      <c r="JKR157" s="65" t="n"/>
      <c r="JKS157" s="65" t="n"/>
      <c r="JKT157" s="65" t="n"/>
      <c r="JKU157" s="65" t="n"/>
      <c r="JKV157" s="65" t="n"/>
      <c r="JKW157" s="65" t="n"/>
      <c r="JKX157" s="65" t="n"/>
      <c r="JKY157" s="65" t="n"/>
      <c r="JKZ157" s="65" t="n"/>
      <c r="JLA157" s="65" t="n"/>
      <c r="JLB157" s="65" t="n"/>
      <c r="JLC157" s="65" t="n"/>
      <c r="JLD157" s="65" t="n"/>
      <c r="JLE157" s="65" t="n"/>
      <c r="JLF157" s="65" t="n"/>
      <c r="JLG157" s="65" t="n"/>
      <c r="JLH157" s="65" t="n"/>
      <c r="JLI157" s="65" t="n"/>
      <c r="JLJ157" s="65" t="n"/>
      <c r="JLK157" s="65" t="n"/>
      <c r="JLL157" s="65" t="n"/>
      <c r="JLM157" s="65" t="n"/>
      <c r="JLN157" s="65" t="n"/>
      <c r="JLO157" s="65" t="n"/>
      <c r="JLP157" s="65" t="n"/>
      <c r="JLQ157" s="65" t="n"/>
      <c r="JLR157" s="65" t="n"/>
      <c r="JLS157" s="65" t="n"/>
      <c r="JLT157" s="65" t="n"/>
      <c r="JLU157" s="65" t="n"/>
      <c r="JLV157" s="65" t="n"/>
      <c r="JLW157" s="65" t="n"/>
      <c r="JLX157" s="65" t="n"/>
      <c r="JLY157" s="65" t="n"/>
      <c r="JLZ157" s="65" t="n"/>
      <c r="JMA157" s="65" t="n"/>
      <c r="JMB157" s="65" t="n"/>
      <c r="JMC157" s="65" t="n"/>
      <c r="JMD157" s="65" t="n"/>
      <c r="JME157" s="65" t="n"/>
      <c r="JMF157" s="65" t="n"/>
      <c r="JMG157" s="65" t="n"/>
      <c r="JMH157" s="65" t="n"/>
      <c r="JMI157" s="65" t="n"/>
      <c r="JMJ157" s="65" t="n"/>
      <c r="JMK157" s="65" t="n"/>
      <c r="JML157" s="65" t="n"/>
      <c r="JMM157" s="65" t="n"/>
      <c r="JMN157" s="65" t="n"/>
      <c r="JMO157" s="65" t="n"/>
      <c r="JMP157" s="65" t="n"/>
      <c r="JMQ157" s="65" t="n"/>
      <c r="JMR157" s="65" t="n"/>
      <c r="JMS157" s="65" t="n"/>
      <c r="JMT157" s="65" t="n"/>
      <c r="JMU157" s="65" t="n"/>
      <c r="JMV157" s="65" t="n"/>
      <c r="JMW157" s="65" t="n"/>
      <c r="JMX157" s="65" t="n"/>
      <c r="JMY157" s="65" t="n"/>
      <c r="JMZ157" s="65" t="n"/>
      <c r="JNA157" s="65" t="n"/>
      <c r="JNB157" s="65" t="n"/>
      <c r="JNC157" s="65" t="n"/>
      <c r="JND157" s="65" t="n"/>
      <c r="JNE157" s="65" t="n"/>
      <c r="JNF157" s="65" t="n"/>
      <c r="JNG157" s="65" t="n"/>
      <c r="JNH157" s="65" t="n"/>
      <c r="JNI157" s="65" t="n"/>
      <c r="JNJ157" s="65" t="n"/>
      <c r="JNK157" s="65" t="n"/>
      <c r="JNL157" s="65" t="n"/>
      <c r="JNM157" s="65" t="n"/>
      <c r="JNN157" s="65" t="n"/>
      <c r="JNO157" s="65" t="n"/>
      <c r="JNP157" s="65" t="n"/>
      <c r="JNQ157" s="65" t="n"/>
      <c r="JNR157" s="65" t="n"/>
      <c r="JNS157" s="65" t="n"/>
      <c r="JNT157" s="65" t="n"/>
      <c r="JNU157" s="65" t="n"/>
      <c r="JNV157" s="65" t="n"/>
      <c r="JNW157" s="65" t="n"/>
      <c r="JNX157" s="65" t="n"/>
      <c r="JNY157" s="65" t="n"/>
      <c r="JNZ157" s="65" t="n"/>
      <c r="JOA157" s="65" t="n"/>
      <c r="JOB157" s="65" t="n"/>
      <c r="JOC157" s="65" t="n"/>
      <c r="JOD157" s="65" t="n"/>
      <c r="JOE157" s="65" t="n"/>
      <c r="JOF157" s="65" t="n"/>
      <c r="JOG157" s="65" t="n"/>
      <c r="JOH157" s="65" t="n"/>
      <c r="JOI157" s="65" t="n"/>
      <c r="JOJ157" s="65" t="n"/>
      <c r="JOK157" s="65" t="n"/>
      <c r="JOL157" s="65" t="n"/>
      <c r="JOM157" s="65" t="n"/>
      <c r="JON157" s="65" t="n"/>
      <c r="JOO157" s="65" t="n"/>
      <c r="JOP157" s="65" t="n"/>
      <c r="JOQ157" s="65" t="n"/>
      <c r="JOR157" s="65" t="n"/>
      <c r="JOS157" s="65" t="n"/>
      <c r="JOT157" s="65" t="n"/>
      <c r="JOU157" s="65" t="n"/>
      <c r="JOV157" s="65" t="n"/>
      <c r="JOW157" s="65" t="n"/>
      <c r="JOX157" s="65" t="n"/>
      <c r="JOY157" s="65" t="n"/>
      <c r="JOZ157" s="65" t="n"/>
      <c r="JPA157" s="65" t="n"/>
      <c r="JPB157" s="65" t="n"/>
      <c r="JPC157" s="65" t="n"/>
      <c r="JPD157" s="65" t="n"/>
      <c r="JPE157" s="65" t="n"/>
      <c r="JPF157" s="65" t="n"/>
      <c r="JPG157" s="65" t="n"/>
      <c r="JPH157" s="65" t="n"/>
      <c r="JPI157" s="65" t="n"/>
      <c r="JPJ157" s="65" t="n"/>
      <c r="JPK157" s="65" t="n"/>
      <c r="JPL157" s="65" t="n"/>
      <c r="JPM157" s="65" t="n"/>
      <c r="JPN157" s="65" t="n"/>
      <c r="JPO157" s="65" t="n"/>
      <c r="JPP157" s="65" t="n"/>
      <c r="JPQ157" s="65" t="n"/>
      <c r="JPR157" s="65" t="n"/>
      <c r="JPS157" s="65" t="n"/>
      <c r="JPT157" s="65" t="n"/>
      <c r="JPU157" s="65" t="n"/>
      <c r="JPV157" s="65" t="n"/>
      <c r="JPW157" s="65" t="n"/>
      <c r="JPX157" s="65" t="n"/>
      <c r="JPY157" s="65" t="n"/>
      <c r="JPZ157" s="65" t="n"/>
      <c r="JQA157" s="65" t="n"/>
      <c r="JQB157" s="65" t="n"/>
      <c r="JQC157" s="65" t="n"/>
      <c r="JQD157" s="65" t="n"/>
      <c r="JQE157" s="65" t="n"/>
      <c r="JQF157" s="65" t="n"/>
      <c r="JQG157" s="65" t="n"/>
      <c r="JQH157" s="65" t="n"/>
      <c r="JQI157" s="65" t="n"/>
      <c r="JQJ157" s="65" t="n"/>
      <c r="JQK157" s="65" t="n"/>
      <c r="JQL157" s="65" t="n"/>
      <c r="JQM157" s="65" t="n"/>
      <c r="JQN157" s="65" t="n"/>
      <c r="JQO157" s="65" t="n"/>
      <c r="JQP157" s="65" t="n"/>
      <c r="JQQ157" s="65" t="n"/>
      <c r="JQR157" s="65" t="n"/>
      <c r="JQS157" s="65" t="n"/>
      <c r="JQT157" s="65" t="n"/>
      <c r="JQU157" s="65" t="n"/>
      <c r="JQV157" s="65" t="n"/>
      <c r="JQW157" s="65" t="n"/>
      <c r="JQX157" s="65" t="n"/>
      <c r="JQY157" s="65" t="n"/>
      <c r="JQZ157" s="65" t="n"/>
      <c r="JRA157" s="65" t="n"/>
      <c r="JRB157" s="65" t="n"/>
      <c r="JRC157" s="65" t="n"/>
      <c r="JRD157" s="65" t="n"/>
      <c r="JRE157" s="65" t="n"/>
      <c r="JRF157" s="65" t="n"/>
      <c r="JRG157" s="65" t="n"/>
      <c r="JRH157" s="65" t="n"/>
      <c r="JRI157" s="65" t="n"/>
      <c r="JRJ157" s="65" t="n"/>
      <c r="JRK157" s="65" t="n"/>
      <c r="JRL157" s="65" t="n"/>
      <c r="JRM157" s="65" t="n"/>
      <c r="JRN157" s="65" t="n"/>
      <c r="JRO157" s="65" t="n"/>
      <c r="JRP157" s="65" t="n"/>
      <c r="JRQ157" s="65" t="n"/>
      <c r="JRR157" s="65" t="n"/>
      <c r="JRS157" s="65" t="n"/>
      <c r="JRT157" s="65" t="n"/>
      <c r="JRU157" s="65" t="n"/>
      <c r="JRV157" s="65" t="n"/>
      <c r="JRW157" s="65" t="n"/>
      <c r="JRX157" s="65" t="n"/>
      <c r="JRY157" s="65" t="n"/>
      <c r="JRZ157" s="65" t="n"/>
      <c r="JSA157" s="65" t="n"/>
      <c r="JSB157" s="65" t="n"/>
      <c r="JSC157" s="65" t="n"/>
      <c r="JSD157" s="65" t="n"/>
      <c r="JSE157" s="65" t="n"/>
      <c r="JSF157" s="65" t="n"/>
      <c r="JSG157" s="65" t="n"/>
      <c r="JSH157" s="65" t="n"/>
      <c r="JSI157" s="65" t="n"/>
      <c r="JSJ157" s="65" t="n"/>
      <c r="JSK157" s="65" t="n"/>
      <c r="JSL157" s="65" t="n"/>
      <c r="JSM157" s="65" t="n"/>
      <c r="JSN157" s="65" t="n"/>
      <c r="JSO157" s="65" t="n"/>
      <c r="JSP157" s="65" t="n"/>
      <c r="JSQ157" s="65" t="n"/>
      <c r="JSR157" s="65" t="n"/>
      <c r="JSS157" s="65" t="n"/>
      <c r="JST157" s="65" t="n"/>
      <c r="JSU157" s="65" t="n"/>
      <c r="JSV157" s="65" t="n"/>
      <c r="JSW157" s="65" t="n"/>
      <c r="JSX157" s="65" t="n"/>
      <c r="JSY157" s="65" t="n"/>
      <c r="JSZ157" s="65" t="n"/>
      <c r="JTA157" s="65" t="n"/>
      <c r="JTB157" s="65" t="n"/>
      <c r="JTC157" s="65" t="n"/>
      <c r="JTD157" s="65" t="n"/>
      <c r="JTE157" s="65" t="n"/>
      <c r="JTF157" s="65" t="n"/>
      <c r="JTG157" s="65" t="n"/>
      <c r="JTH157" s="65" t="n"/>
      <c r="JTI157" s="65" t="n"/>
      <c r="JTJ157" s="65" t="n"/>
      <c r="JTK157" s="65" t="n"/>
      <c r="JTL157" s="65" t="n"/>
      <c r="JTM157" s="65" t="n"/>
      <c r="JTN157" s="65" t="n"/>
      <c r="JTO157" s="65" t="n"/>
      <c r="JTP157" s="65" t="n"/>
      <c r="JTQ157" s="65" t="n"/>
      <c r="JTR157" s="65" t="n"/>
      <c r="JTS157" s="65" t="n"/>
      <c r="JTT157" s="65" t="n"/>
      <c r="JTU157" s="65" t="n"/>
      <c r="JTV157" s="65" t="n"/>
      <c r="JTW157" s="65" t="n"/>
      <c r="JTX157" s="65" t="n"/>
      <c r="JTY157" s="65" t="n"/>
      <c r="JTZ157" s="65" t="n"/>
      <c r="JUA157" s="65" t="n"/>
      <c r="JUB157" s="65" t="n"/>
      <c r="JUC157" s="65" t="n"/>
      <c r="JUD157" s="65" t="n"/>
      <c r="JUE157" s="65" t="n"/>
      <c r="JUF157" s="65" t="n"/>
      <c r="JUG157" s="65" t="n"/>
      <c r="JUH157" s="65" t="n"/>
      <c r="JUI157" s="65" t="n"/>
      <c r="JUJ157" s="65" t="n"/>
      <c r="JUK157" s="65" t="n"/>
      <c r="JUL157" s="65" t="n"/>
      <c r="JUM157" s="65" t="n"/>
      <c r="JUN157" s="65" t="n"/>
      <c r="JUO157" s="65" t="n"/>
      <c r="JUP157" s="65" t="n"/>
      <c r="JUQ157" s="65" t="n"/>
      <c r="JUR157" s="65" t="n"/>
      <c r="JUS157" s="65" t="n"/>
      <c r="JUT157" s="65" t="n"/>
      <c r="JUU157" s="65" t="n"/>
      <c r="JUV157" s="65" t="n"/>
      <c r="JUW157" s="65" t="n"/>
      <c r="JUX157" s="65" t="n"/>
      <c r="JUY157" s="65" t="n"/>
      <c r="JUZ157" s="65" t="n"/>
      <c r="JVA157" s="65" t="n"/>
      <c r="JVB157" s="65" t="n"/>
      <c r="JVC157" s="65" t="n"/>
      <c r="JVD157" s="65" t="n"/>
      <c r="JVE157" s="65" t="n"/>
      <c r="JVF157" s="65" t="n"/>
      <c r="JVG157" s="65" t="n"/>
      <c r="JVH157" s="65" t="n"/>
      <c r="JVI157" s="65" t="n"/>
      <c r="JVJ157" s="65" t="n"/>
      <c r="JVK157" s="65" t="n"/>
      <c r="JVL157" s="65" t="n"/>
      <c r="JVM157" s="65" t="n"/>
      <c r="JVN157" s="65" t="n"/>
      <c r="JVO157" s="65" t="n"/>
      <c r="JVP157" s="65" t="n"/>
      <c r="JVQ157" s="65" t="n"/>
      <c r="JVR157" s="65" t="n"/>
      <c r="JVS157" s="65" t="n"/>
      <c r="JVT157" s="65" t="n"/>
      <c r="JVU157" s="65" t="n"/>
      <c r="JVV157" s="65" t="n"/>
      <c r="JVW157" s="65" t="n"/>
      <c r="JVX157" s="65" t="n"/>
      <c r="JVY157" s="65" t="n"/>
      <c r="JVZ157" s="65" t="n"/>
      <c r="JWA157" s="65" t="n"/>
      <c r="JWB157" s="65" t="n"/>
      <c r="JWC157" s="65" t="n"/>
      <c r="JWD157" s="65" t="n"/>
      <c r="JWE157" s="65" t="n"/>
      <c r="JWF157" s="65" t="n"/>
      <c r="JWG157" s="65" t="n"/>
      <c r="JWH157" s="65" t="n"/>
      <c r="JWI157" s="65" t="n"/>
      <c r="JWJ157" s="65" t="n"/>
      <c r="JWK157" s="65" t="n"/>
      <c r="JWL157" s="65" t="n"/>
      <c r="JWM157" s="65" t="n"/>
      <c r="JWN157" s="65" t="n"/>
      <c r="JWO157" s="65" t="n"/>
      <c r="JWP157" s="65" t="n"/>
      <c r="JWQ157" s="65" t="n"/>
      <c r="JWR157" s="65" t="n"/>
      <c r="JWS157" s="65" t="n"/>
      <c r="JWT157" s="65" t="n"/>
      <c r="JWU157" s="65" t="n"/>
      <c r="JWV157" s="65" t="n"/>
      <c r="JWW157" s="65" t="n"/>
      <c r="JWX157" s="65" t="n"/>
      <c r="JWY157" s="65" t="n"/>
      <c r="JWZ157" s="65" t="n"/>
      <c r="JXA157" s="65" t="n"/>
      <c r="JXB157" s="65" t="n"/>
      <c r="JXC157" s="65" t="n"/>
      <c r="JXD157" s="65" t="n"/>
      <c r="JXE157" s="65" t="n"/>
      <c r="JXF157" s="65" t="n"/>
      <c r="JXG157" s="65" t="n"/>
      <c r="JXH157" s="65" t="n"/>
      <c r="JXI157" s="65" t="n"/>
      <c r="JXJ157" s="65" t="n"/>
      <c r="JXK157" s="65" t="n"/>
      <c r="JXL157" s="65" t="n"/>
      <c r="JXM157" s="65" t="n"/>
      <c r="JXN157" s="65" t="n"/>
      <c r="JXO157" s="65" t="n"/>
      <c r="JXP157" s="65" t="n"/>
      <c r="JXQ157" s="65" t="n"/>
      <c r="JXR157" s="65" t="n"/>
      <c r="JXS157" s="65" t="n"/>
      <c r="JXT157" s="65" t="n"/>
      <c r="JXU157" s="65" t="n"/>
      <c r="JXV157" s="65" t="n"/>
      <c r="JXW157" s="65" t="n"/>
      <c r="JXX157" s="65" t="n"/>
      <c r="JXY157" s="65" t="n"/>
      <c r="JXZ157" s="65" t="n"/>
      <c r="JYA157" s="65" t="n"/>
      <c r="JYB157" s="65" t="n"/>
      <c r="JYC157" s="65" t="n"/>
      <c r="JYD157" s="65" t="n"/>
      <c r="JYE157" s="65" t="n"/>
      <c r="JYF157" s="65" t="n"/>
      <c r="JYG157" s="65" t="n"/>
      <c r="JYH157" s="65" t="n"/>
      <c r="JYI157" s="65" t="n"/>
      <c r="JYJ157" s="65" t="n"/>
      <c r="JYK157" s="65" t="n"/>
      <c r="JYL157" s="65" t="n"/>
      <c r="JYM157" s="65" t="n"/>
      <c r="JYN157" s="65" t="n"/>
      <c r="JYO157" s="65" t="n"/>
      <c r="JYP157" s="65" t="n"/>
      <c r="JYQ157" s="65" t="n"/>
      <c r="JYR157" s="65" t="n"/>
      <c r="JYS157" s="65" t="n"/>
      <c r="JYT157" s="65" t="n"/>
      <c r="JYU157" s="65" t="n"/>
      <c r="JYV157" s="65" t="n"/>
      <c r="JYW157" s="65" t="n"/>
      <c r="JYX157" s="65" t="n"/>
      <c r="JYY157" s="65" t="n"/>
      <c r="JYZ157" s="65" t="n"/>
      <c r="JZA157" s="65" t="n"/>
      <c r="JZB157" s="65" t="n"/>
      <c r="JZC157" s="65" t="n"/>
      <c r="JZD157" s="65" t="n"/>
      <c r="JZE157" s="65" t="n"/>
      <c r="JZF157" s="65" t="n"/>
      <c r="JZG157" s="65" t="n"/>
      <c r="JZH157" s="65" t="n"/>
      <c r="JZI157" s="65" t="n"/>
      <c r="JZJ157" s="65" t="n"/>
      <c r="JZK157" s="65" t="n"/>
      <c r="JZL157" s="65" t="n"/>
      <c r="JZM157" s="65" t="n"/>
      <c r="JZN157" s="65" t="n"/>
      <c r="JZO157" s="65" t="n"/>
      <c r="JZP157" s="65" t="n"/>
      <c r="JZQ157" s="65" t="n"/>
      <c r="JZR157" s="65" t="n"/>
      <c r="JZS157" s="65" t="n"/>
      <c r="JZT157" s="65" t="n"/>
      <c r="JZU157" s="65" t="n"/>
      <c r="JZV157" s="65" t="n"/>
      <c r="JZW157" s="65" t="n"/>
      <c r="JZX157" s="65" t="n"/>
      <c r="JZY157" s="65" t="n"/>
      <c r="JZZ157" s="65" t="n"/>
      <c r="KAA157" s="65" t="n"/>
      <c r="KAB157" s="65" t="n"/>
      <c r="KAC157" s="65" t="n"/>
      <c r="KAD157" s="65" t="n"/>
      <c r="KAE157" s="65" t="n"/>
      <c r="KAF157" s="65" t="n"/>
      <c r="KAG157" s="65" t="n"/>
      <c r="KAH157" s="65" t="n"/>
      <c r="KAI157" s="65" t="n"/>
      <c r="KAJ157" s="65" t="n"/>
      <c r="KAK157" s="65" t="n"/>
      <c r="KAL157" s="65" t="n"/>
      <c r="KAM157" s="65" t="n"/>
      <c r="KAN157" s="65" t="n"/>
      <c r="KAO157" s="65" t="n"/>
      <c r="KAP157" s="65" t="n"/>
      <c r="KAQ157" s="65" t="n"/>
      <c r="KAR157" s="65" t="n"/>
      <c r="KAS157" s="65" t="n"/>
      <c r="KAT157" s="65" t="n"/>
      <c r="KAU157" s="65" t="n"/>
      <c r="KAV157" s="65" t="n"/>
      <c r="KAW157" s="65" t="n"/>
      <c r="KAX157" s="65" t="n"/>
      <c r="KAY157" s="65" t="n"/>
      <c r="KAZ157" s="65" t="n"/>
      <c r="KBA157" s="65" t="n"/>
      <c r="KBB157" s="65" t="n"/>
      <c r="KBC157" s="65" t="n"/>
      <c r="KBD157" s="65" t="n"/>
      <c r="KBE157" s="65" t="n"/>
      <c r="KBF157" s="65" t="n"/>
      <c r="KBG157" s="65" t="n"/>
      <c r="KBH157" s="65" t="n"/>
      <c r="KBI157" s="65" t="n"/>
      <c r="KBJ157" s="65" t="n"/>
      <c r="KBK157" s="65" t="n"/>
      <c r="KBL157" s="65" t="n"/>
      <c r="KBM157" s="65" t="n"/>
      <c r="KBN157" s="65" t="n"/>
      <c r="KBO157" s="65" t="n"/>
      <c r="KBP157" s="65" t="n"/>
      <c r="KBQ157" s="65" t="n"/>
      <c r="KBR157" s="65" t="n"/>
      <c r="KBS157" s="65" t="n"/>
      <c r="KBT157" s="65" t="n"/>
      <c r="KBU157" s="65" t="n"/>
      <c r="KBV157" s="65" t="n"/>
      <c r="KBW157" s="65" t="n"/>
      <c r="KBX157" s="65" t="n"/>
      <c r="KBY157" s="65" t="n"/>
      <c r="KBZ157" s="65" t="n"/>
      <c r="KCA157" s="65" t="n"/>
      <c r="KCB157" s="65" t="n"/>
      <c r="KCC157" s="65" t="n"/>
      <c r="KCD157" s="65" t="n"/>
      <c r="KCE157" s="65" t="n"/>
      <c r="KCF157" s="65" t="n"/>
      <c r="KCG157" s="65" t="n"/>
      <c r="KCH157" s="65" t="n"/>
      <c r="KCI157" s="65" t="n"/>
      <c r="KCJ157" s="65" t="n"/>
      <c r="KCK157" s="65" t="n"/>
      <c r="KCL157" s="65" t="n"/>
      <c r="KCM157" s="65" t="n"/>
      <c r="KCN157" s="65" t="n"/>
      <c r="KCO157" s="65" t="n"/>
      <c r="KCP157" s="65" t="n"/>
      <c r="KCQ157" s="65" t="n"/>
      <c r="KCR157" s="65" t="n"/>
      <c r="KCS157" s="65" t="n"/>
      <c r="KCT157" s="65" t="n"/>
      <c r="KCU157" s="65" t="n"/>
      <c r="KCV157" s="65" t="n"/>
      <c r="KCW157" s="65" t="n"/>
      <c r="KCX157" s="65" t="n"/>
      <c r="KCY157" s="65" t="n"/>
      <c r="KCZ157" s="65" t="n"/>
      <c r="KDA157" s="65" t="n"/>
      <c r="KDB157" s="65" t="n"/>
      <c r="KDC157" s="65" t="n"/>
      <c r="KDD157" s="65" t="n"/>
      <c r="KDE157" s="65" t="n"/>
      <c r="KDF157" s="65" t="n"/>
      <c r="KDG157" s="65" t="n"/>
      <c r="KDH157" s="65" t="n"/>
      <c r="KDI157" s="65" t="n"/>
      <c r="KDJ157" s="65" t="n"/>
      <c r="KDK157" s="65" t="n"/>
      <c r="KDL157" s="65" t="n"/>
      <c r="KDM157" s="65" t="n"/>
      <c r="KDN157" s="65" t="n"/>
      <c r="KDO157" s="65" t="n"/>
      <c r="KDP157" s="65" t="n"/>
      <c r="KDQ157" s="65" t="n"/>
      <c r="KDR157" s="65" t="n"/>
      <c r="KDS157" s="65" t="n"/>
      <c r="KDT157" s="65" t="n"/>
      <c r="KDU157" s="65" t="n"/>
      <c r="KDV157" s="65" t="n"/>
      <c r="KDW157" s="65" t="n"/>
      <c r="KDX157" s="65" t="n"/>
      <c r="KDY157" s="65" t="n"/>
      <c r="KDZ157" s="65" t="n"/>
      <c r="KEA157" s="65" t="n"/>
      <c r="KEB157" s="65" t="n"/>
      <c r="KEC157" s="65" t="n"/>
      <c r="KED157" s="65" t="n"/>
      <c r="KEE157" s="65" t="n"/>
      <c r="KEF157" s="65" t="n"/>
      <c r="KEG157" s="65" t="n"/>
      <c r="KEH157" s="65" t="n"/>
      <c r="KEI157" s="65" t="n"/>
      <c r="KEJ157" s="65" t="n"/>
      <c r="KEK157" s="65" t="n"/>
      <c r="KEL157" s="65" t="n"/>
      <c r="KEM157" s="65" t="n"/>
      <c r="KEN157" s="65" t="n"/>
      <c r="KEO157" s="65" t="n"/>
      <c r="KEP157" s="65" t="n"/>
      <c r="KEQ157" s="65" t="n"/>
      <c r="KER157" s="65" t="n"/>
      <c r="KES157" s="65" t="n"/>
      <c r="KET157" s="65" t="n"/>
      <c r="KEU157" s="65" t="n"/>
      <c r="KEV157" s="65" t="n"/>
      <c r="KEW157" s="65" t="n"/>
      <c r="KEX157" s="65" t="n"/>
      <c r="KEY157" s="65" t="n"/>
      <c r="KEZ157" s="65" t="n"/>
      <c r="KFA157" s="65" t="n"/>
      <c r="KFB157" s="65" t="n"/>
      <c r="KFC157" s="65" t="n"/>
      <c r="KFD157" s="65" t="n"/>
      <c r="KFE157" s="65" t="n"/>
      <c r="KFF157" s="65" t="n"/>
      <c r="KFG157" s="65" t="n"/>
      <c r="KFH157" s="65" t="n"/>
      <c r="KFI157" s="65" t="n"/>
      <c r="KFJ157" s="65" t="n"/>
      <c r="KFK157" s="65" t="n"/>
      <c r="KFL157" s="65" t="n"/>
      <c r="KFM157" s="65" t="n"/>
      <c r="KFN157" s="65" t="n"/>
      <c r="KFO157" s="65" t="n"/>
      <c r="KFP157" s="65" t="n"/>
      <c r="KFQ157" s="65" t="n"/>
      <c r="KFR157" s="65" t="n"/>
      <c r="KFS157" s="65" t="n"/>
      <c r="KFT157" s="65" t="n"/>
      <c r="KFU157" s="65" t="n"/>
      <c r="KFV157" s="65" t="n"/>
      <c r="KFW157" s="65" t="n"/>
      <c r="KFX157" s="65" t="n"/>
      <c r="KFY157" s="65" t="n"/>
      <c r="KFZ157" s="65" t="n"/>
      <c r="KGA157" s="65" t="n"/>
      <c r="KGB157" s="65" t="n"/>
      <c r="KGC157" s="65" t="n"/>
      <c r="KGD157" s="65" t="n"/>
      <c r="KGE157" s="65" t="n"/>
      <c r="KGF157" s="65" t="n"/>
      <c r="KGG157" s="65" t="n"/>
      <c r="KGH157" s="65" t="n"/>
      <c r="KGI157" s="65" t="n"/>
      <c r="KGJ157" s="65" t="n"/>
      <c r="KGK157" s="65" t="n"/>
      <c r="KGL157" s="65" t="n"/>
      <c r="KGM157" s="65" t="n"/>
      <c r="KGN157" s="65" t="n"/>
      <c r="KGO157" s="65" t="n"/>
      <c r="KGP157" s="65" t="n"/>
      <c r="KGQ157" s="65" t="n"/>
      <c r="KGR157" s="65" t="n"/>
      <c r="KGS157" s="65" t="n"/>
      <c r="KGT157" s="65" t="n"/>
      <c r="KGU157" s="65" t="n"/>
      <c r="KGV157" s="65" t="n"/>
      <c r="KGW157" s="65" t="n"/>
      <c r="KGX157" s="65" t="n"/>
      <c r="KGY157" s="65" t="n"/>
      <c r="KGZ157" s="65" t="n"/>
      <c r="KHA157" s="65" t="n"/>
      <c r="KHB157" s="65" t="n"/>
      <c r="KHC157" s="65" t="n"/>
      <c r="KHD157" s="65" t="n"/>
      <c r="KHE157" s="65" t="n"/>
      <c r="KHF157" s="65" t="n"/>
      <c r="KHG157" s="65" t="n"/>
      <c r="KHH157" s="65" t="n"/>
      <c r="KHI157" s="65" t="n"/>
      <c r="KHJ157" s="65" t="n"/>
      <c r="KHK157" s="65" t="n"/>
      <c r="KHL157" s="65" t="n"/>
      <c r="KHM157" s="65" t="n"/>
      <c r="KHN157" s="65" t="n"/>
      <c r="KHO157" s="65" t="n"/>
      <c r="KHP157" s="65" t="n"/>
      <c r="KHQ157" s="65" t="n"/>
      <c r="KHR157" s="65" t="n"/>
      <c r="KHS157" s="65" t="n"/>
      <c r="KHT157" s="65" t="n"/>
      <c r="KHU157" s="65" t="n"/>
      <c r="KHV157" s="65" t="n"/>
      <c r="KHW157" s="65" t="n"/>
      <c r="KHX157" s="65" t="n"/>
      <c r="KHY157" s="65" t="n"/>
      <c r="KHZ157" s="65" t="n"/>
      <c r="KIA157" s="65" t="n"/>
      <c r="KIB157" s="65" t="n"/>
      <c r="KIC157" s="65" t="n"/>
      <c r="KID157" s="65" t="n"/>
      <c r="KIE157" s="65" t="n"/>
      <c r="KIF157" s="65" t="n"/>
      <c r="KIG157" s="65" t="n"/>
      <c r="KIH157" s="65" t="n"/>
      <c r="KII157" s="65" t="n"/>
      <c r="KIJ157" s="65" t="n"/>
      <c r="KIK157" s="65" t="n"/>
      <c r="KIL157" s="65" t="n"/>
      <c r="KIM157" s="65" t="n"/>
      <c r="KIN157" s="65" t="n"/>
      <c r="KIO157" s="65" t="n"/>
      <c r="KIP157" s="65" t="n"/>
      <c r="KIQ157" s="65" t="n"/>
      <c r="KIR157" s="65" t="n"/>
      <c r="KIS157" s="65" t="n"/>
      <c r="KIT157" s="65" t="n"/>
      <c r="KIU157" s="65" t="n"/>
      <c r="KIV157" s="65" t="n"/>
      <c r="KIW157" s="65" t="n"/>
      <c r="KIX157" s="65" t="n"/>
      <c r="KIY157" s="65" t="n"/>
      <c r="KIZ157" s="65" t="n"/>
      <c r="KJA157" s="65" t="n"/>
      <c r="KJB157" s="65" t="n"/>
      <c r="KJC157" s="65" t="n"/>
      <c r="KJD157" s="65" t="n"/>
      <c r="KJE157" s="65" t="n"/>
      <c r="KJF157" s="65" t="n"/>
      <c r="KJG157" s="65" t="n"/>
      <c r="KJH157" s="65" t="n"/>
      <c r="KJI157" s="65" t="n"/>
      <c r="KJJ157" s="65" t="n"/>
      <c r="KJK157" s="65" t="n"/>
      <c r="KJL157" s="65" t="n"/>
      <c r="KJM157" s="65" t="n"/>
      <c r="KJN157" s="65" t="n"/>
      <c r="KJO157" s="65" t="n"/>
      <c r="KJP157" s="65" t="n"/>
      <c r="KJQ157" s="65" t="n"/>
      <c r="KJR157" s="65" t="n"/>
      <c r="KJS157" s="65" t="n"/>
      <c r="KJT157" s="65" t="n"/>
      <c r="KJU157" s="65" t="n"/>
      <c r="KJV157" s="65" t="n"/>
      <c r="KJW157" s="65" t="n"/>
      <c r="KJX157" s="65" t="n"/>
      <c r="KJY157" s="65" t="n"/>
      <c r="KJZ157" s="65" t="n"/>
      <c r="KKA157" s="65" t="n"/>
      <c r="KKB157" s="65" t="n"/>
      <c r="KKC157" s="65" t="n"/>
      <c r="KKD157" s="65" t="n"/>
      <c r="KKE157" s="65" t="n"/>
      <c r="KKF157" s="65" t="n"/>
      <c r="KKG157" s="65" t="n"/>
      <c r="KKH157" s="65" t="n"/>
      <c r="KKI157" s="65" t="n"/>
      <c r="KKJ157" s="65" t="n"/>
      <c r="KKK157" s="65" t="n"/>
      <c r="KKL157" s="65" t="n"/>
      <c r="KKM157" s="65" t="n"/>
      <c r="KKN157" s="65" t="n"/>
      <c r="KKO157" s="65" t="n"/>
      <c r="KKP157" s="65" t="n"/>
      <c r="KKQ157" s="65" t="n"/>
      <c r="KKR157" s="65" t="n"/>
      <c r="KKS157" s="65" t="n"/>
      <c r="KKT157" s="65" t="n"/>
      <c r="KKU157" s="65" t="n"/>
      <c r="KKV157" s="65" t="n"/>
      <c r="KKW157" s="65" t="n"/>
      <c r="KKX157" s="65" t="n"/>
      <c r="KKY157" s="65" t="n"/>
      <c r="KKZ157" s="65" t="n"/>
      <c r="KLA157" s="65" t="n"/>
      <c r="KLB157" s="65" t="n"/>
      <c r="KLC157" s="65" t="n"/>
      <c r="KLD157" s="65" t="n"/>
      <c r="KLE157" s="65" t="n"/>
      <c r="KLF157" s="65" t="n"/>
      <c r="KLG157" s="65" t="n"/>
      <c r="KLH157" s="65" t="n"/>
      <c r="KLI157" s="65" t="n"/>
      <c r="KLJ157" s="65" t="n"/>
      <c r="KLK157" s="65" t="n"/>
      <c r="KLL157" s="65" t="n"/>
      <c r="KLM157" s="65" t="n"/>
      <c r="KLN157" s="65" t="n"/>
      <c r="KLO157" s="65" t="n"/>
      <c r="KLP157" s="65" t="n"/>
      <c r="KLQ157" s="65" t="n"/>
      <c r="KLR157" s="65" t="n"/>
      <c r="KLS157" s="65" t="n"/>
      <c r="KLT157" s="65" t="n"/>
      <c r="KLU157" s="65" t="n"/>
      <c r="KLV157" s="65" t="n"/>
      <c r="KLW157" s="65" t="n"/>
      <c r="KLX157" s="65" t="n"/>
      <c r="KLY157" s="65" t="n"/>
      <c r="KLZ157" s="65" t="n"/>
      <c r="KMA157" s="65" t="n"/>
      <c r="KMB157" s="65" t="n"/>
      <c r="KMC157" s="65" t="n"/>
      <c r="KMD157" s="65" t="n"/>
      <c r="KME157" s="65" t="n"/>
      <c r="KMF157" s="65" t="n"/>
      <c r="KMG157" s="65" t="n"/>
      <c r="KMH157" s="65" t="n"/>
      <c r="KMI157" s="65" t="n"/>
      <c r="KMJ157" s="65" t="n"/>
      <c r="KMK157" s="65" t="n"/>
      <c r="KML157" s="65" t="n"/>
      <c r="KMM157" s="65" t="n"/>
      <c r="KMN157" s="65" t="n"/>
      <c r="KMO157" s="65" t="n"/>
      <c r="KMP157" s="65" t="n"/>
      <c r="KMQ157" s="65" t="n"/>
      <c r="KMR157" s="65" t="n"/>
      <c r="KMS157" s="65" t="n"/>
      <c r="KMT157" s="65" t="n"/>
      <c r="KMU157" s="65" t="n"/>
      <c r="KMV157" s="65" t="n"/>
      <c r="KMW157" s="65" t="n"/>
      <c r="KMX157" s="65" t="n"/>
      <c r="KMY157" s="65" t="n"/>
      <c r="KMZ157" s="65" t="n"/>
      <c r="KNA157" s="65" t="n"/>
      <c r="KNB157" s="65" t="n"/>
      <c r="KNC157" s="65" t="n"/>
      <c r="KND157" s="65" t="n"/>
      <c r="KNE157" s="65" t="n"/>
      <c r="KNF157" s="65" t="n"/>
      <c r="KNG157" s="65" t="n"/>
      <c r="KNH157" s="65" t="n"/>
      <c r="KNI157" s="65" t="n"/>
      <c r="KNJ157" s="65" t="n"/>
      <c r="KNK157" s="65" t="n"/>
      <c r="KNL157" s="65" t="n"/>
      <c r="KNM157" s="65" t="n"/>
      <c r="KNN157" s="65" t="n"/>
      <c r="KNO157" s="65" t="n"/>
      <c r="KNP157" s="65" t="n"/>
      <c r="KNQ157" s="65" t="n"/>
      <c r="KNR157" s="65" t="n"/>
      <c r="KNS157" s="65" t="n"/>
      <c r="KNT157" s="65" t="n"/>
      <c r="KNU157" s="65" t="n"/>
      <c r="KNV157" s="65" t="n"/>
      <c r="KNW157" s="65" t="n"/>
      <c r="KNX157" s="65" t="n"/>
      <c r="KNY157" s="65" t="n"/>
      <c r="KNZ157" s="65" t="n"/>
      <c r="KOA157" s="65" t="n"/>
      <c r="KOB157" s="65" t="n"/>
      <c r="KOC157" s="65" t="n"/>
      <c r="KOD157" s="65" t="n"/>
      <c r="KOE157" s="65" t="n"/>
      <c r="KOF157" s="65" t="n"/>
      <c r="KOG157" s="65" t="n"/>
      <c r="KOH157" s="65" t="n"/>
      <c r="KOI157" s="65" t="n"/>
      <c r="KOJ157" s="65" t="n"/>
      <c r="KOK157" s="65" t="n"/>
      <c r="KOL157" s="65" t="n"/>
      <c r="KOM157" s="65" t="n"/>
      <c r="KON157" s="65" t="n"/>
      <c r="KOO157" s="65" t="n"/>
      <c r="KOP157" s="65" t="n"/>
      <c r="KOQ157" s="65" t="n"/>
      <c r="KOR157" s="65" t="n"/>
      <c r="KOS157" s="65" t="n"/>
      <c r="KOT157" s="65" t="n"/>
      <c r="KOU157" s="65" t="n"/>
      <c r="KOV157" s="65" t="n"/>
      <c r="KOW157" s="65" t="n"/>
      <c r="KOX157" s="65" t="n"/>
      <c r="KOY157" s="65" t="n"/>
      <c r="KOZ157" s="65" t="n"/>
      <c r="KPA157" s="65" t="n"/>
      <c r="KPB157" s="65" t="n"/>
      <c r="KPC157" s="65" t="n"/>
      <c r="KPD157" s="65" t="n"/>
      <c r="KPE157" s="65" t="n"/>
      <c r="KPF157" s="65" t="n"/>
      <c r="KPG157" s="65" t="n"/>
      <c r="KPH157" s="65" t="n"/>
      <c r="KPI157" s="65" t="n"/>
      <c r="KPJ157" s="65" t="n"/>
      <c r="KPK157" s="65" t="n"/>
      <c r="KPL157" s="65" t="n"/>
      <c r="KPM157" s="65" t="n"/>
      <c r="KPN157" s="65" t="n"/>
      <c r="KPO157" s="65" t="n"/>
      <c r="KPP157" s="65" t="n"/>
      <c r="KPQ157" s="65" t="n"/>
      <c r="KPR157" s="65" t="n"/>
      <c r="KPS157" s="65" t="n"/>
      <c r="KPT157" s="65" t="n"/>
      <c r="KPU157" s="65" t="n"/>
      <c r="KPV157" s="65" t="n"/>
      <c r="KPW157" s="65" t="n"/>
      <c r="KPX157" s="65" t="n"/>
      <c r="KPY157" s="65" t="n"/>
      <c r="KPZ157" s="65" t="n"/>
      <c r="KQA157" s="65" t="n"/>
      <c r="KQB157" s="65" t="n"/>
      <c r="KQC157" s="65" t="n"/>
      <c r="KQD157" s="65" t="n"/>
      <c r="KQE157" s="65" t="n"/>
      <c r="KQF157" s="65" t="n"/>
      <c r="KQG157" s="65" t="n"/>
      <c r="KQH157" s="65" t="n"/>
      <c r="KQI157" s="65" t="n"/>
      <c r="KQJ157" s="65" t="n"/>
      <c r="KQK157" s="65" t="n"/>
      <c r="KQL157" s="65" t="n"/>
      <c r="KQM157" s="65" t="n"/>
      <c r="KQN157" s="65" t="n"/>
      <c r="KQO157" s="65" t="n"/>
      <c r="KQP157" s="65" t="n"/>
      <c r="KQQ157" s="65" t="n"/>
      <c r="KQR157" s="65" t="n"/>
      <c r="KQS157" s="65" t="n"/>
      <c r="KQT157" s="65" t="n"/>
      <c r="KQU157" s="65" t="n"/>
      <c r="KQV157" s="65" t="n"/>
      <c r="KQW157" s="65" t="n"/>
      <c r="KQX157" s="65" t="n"/>
      <c r="KQY157" s="65" t="n"/>
      <c r="KQZ157" s="65" t="n"/>
      <c r="KRA157" s="65" t="n"/>
      <c r="KRB157" s="65" t="n"/>
      <c r="KRC157" s="65" t="n"/>
      <c r="KRD157" s="65" t="n"/>
      <c r="KRE157" s="65" t="n"/>
      <c r="KRF157" s="65" t="n"/>
      <c r="KRG157" s="65" t="n"/>
      <c r="KRH157" s="65" t="n"/>
      <c r="KRI157" s="65" t="n"/>
      <c r="KRJ157" s="65" t="n"/>
      <c r="KRK157" s="65" t="n"/>
      <c r="KRL157" s="65" t="n"/>
      <c r="KRM157" s="65" t="n"/>
      <c r="KRN157" s="65" t="n"/>
      <c r="KRO157" s="65" t="n"/>
      <c r="KRP157" s="65" t="n"/>
      <c r="KRQ157" s="65" t="n"/>
      <c r="KRR157" s="65" t="n"/>
      <c r="KRS157" s="65" t="n"/>
      <c r="KRT157" s="65" t="n"/>
      <c r="KRU157" s="65" t="n"/>
      <c r="KRV157" s="65" t="n"/>
      <c r="KRW157" s="65" t="n"/>
      <c r="KRX157" s="65" t="n"/>
      <c r="KRY157" s="65" t="n"/>
      <c r="KRZ157" s="65" t="n"/>
      <c r="KSA157" s="65" t="n"/>
      <c r="KSB157" s="65" t="n"/>
      <c r="KSC157" s="65" t="n"/>
      <c r="KSD157" s="65" t="n"/>
      <c r="KSE157" s="65" t="n"/>
      <c r="KSF157" s="65" t="n"/>
      <c r="KSG157" s="65" t="n"/>
      <c r="KSH157" s="65" t="n"/>
      <c r="KSI157" s="65" t="n"/>
      <c r="KSJ157" s="65" t="n"/>
      <c r="KSK157" s="65" t="n"/>
      <c r="KSL157" s="65" t="n"/>
      <c r="KSM157" s="65" t="n"/>
      <c r="KSN157" s="65" t="n"/>
      <c r="KSO157" s="65" t="n"/>
      <c r="KSP157" s="65" t="n"/>
      <c r="KSQ157" s="65" t="n"/>
      <c r="KSR157" s="65" t="n"/>
      <c r="KSS157" s="65" t="n"/>
      <c r="KST157" s="65" t="n"/>
      <c r="KSU157" s="65" t="n"/>
      <c r="KSV157" s="65" t="n"/>
      <c r="KSW157" s="65" t="n"/>
      <c r="KSX157" s="65" t="n"/>
      <c r="KSY157" s="65" t="n"/>
      <c r="KSZ157" s="65" t="n"/>
      <c r="KTA157" s="65" t="n"/>
      <c r="KTB157" s="65" t="n"/>
      <c r="KTC157" s="65" t="n"/>
      <c r="KTD157" s="65" t="n"/>
      <c r="KTE157" s="65" t="n"/>
      <c r="KTF157" s="65" t="n"/>
      <c r="KTG157" s="65" t="n"/>
      <c r="KTH157" s="65" t="n"/>
      <c r="KTI157" s="65" t="n"/>
      <c r="KTJ157" s="65" t="n"/>
      <c r="KTK157" s="65" t="n"/>
      <c r="KTL157" s="65" t="n"/>
      <c r="KTM157" s="65" t="n"/>
      <c r="KTN157" s="65" t="n"/>
      <c r="KTO157" s="65" t="n"/>
      <c r="KTP157" s="65" t="n"/>
      <c r="KTQ157" s="65" t="n"/>
      <c r="KTR157" s="65" t="n"/>
      <c r="KTS157" s="65" t="n"/>
      <c r="KTT157" s="65" t="n"/>
      <c r="KTU157" s="65" t="n"/>
      <c r="KTV157" s="65" t="n"/>
      <c r="KTW157" s="65" t="n"/>
      <c r="KTX157" s="65" t="n"/>
      <c r="KTY157" s="65" t="n"/>
      <c r="KTZ157" s="65" t="n"/>
      <c r="KUA157" s="65" t="n"/>
      <c r="KUB157" s="65" t="n"/>
      <c r="KUC157" s="65" t="n"/>
      <c r="KUD157" s="65" t="n"/>
      <c r="KUE157" s="65" t="n"/>
      <c r="KUF157" s="65" t="n"/>
      <c r="KUG157" s="65" t="n"/>
      <c r="KUH157" s="65" t="n"/>
      <c r="KUI157" s="65" t="n"/>
      <c r="KUJ157" s="65" t="n"/>
      <c r="KUK157" s="65" t="n"/>
      <c r="KUL157" s="65" t="n"/>
      <c r="KUM157" s="65" t="n"/>
      <c r="KUN157" s="65" t="n"/>
      <c r="KUO157" s="65" t="n"/>
      <c r="KUP157" s="65" t="n"/>
      <c r="KUQ157" s="65" t="n"/>
      <c r="KUR157" s="65" t="n"/>
      <c r="KUS157" s="65" t="n"/>
      <c r="KUT157" s="65" t="n"/>
      <c r="KUU157" s="65" t="n"/>
      <c r="KUV157" s="65" t="n"/>
      <c r="KUW157" s="65" t="n"/>
      <c r="KUX157" s="65" t="n"/>
      <c r="KUY157" s="65" t="n"/>
      <c r="KUZ157" s="65" t="n"/>
      <c r="KVA157" s="65" t="n"/>
      <c r="KVB157" s="65" t="n"/>
      <c r="KVC157" s="65" t="n"/>
      <c r="KVD157" s="65" t="n"/>
      <c r="KVE157" s="65" t="n"/>
      <c r="KVF157" s="65" t="n"/>
      <c r="KVG157" s="65" t="n"/>
      <c r="KVH157" s="65" t="n"/>
      <c r="KVI157" s="65" t="n"/>
      <c r="KVJ157" s="65" t="n"/>
      <c r="KVK157" s="65" t="n"/>
      <c r="KVL157" s="65" t="n"/>
      <c r="KVM157" s="65" t="n"/>
      <c r="KVN157" s="65" t="n"/>
      <c r="KVO157" s="65" t="n"/>
      <c r="KVP157" s="65" t="n"/>
      <c r="KVQ157" s="65" t="n"/>
      <c r="KVR157" s="65" t="n"/>
      <c r="KVS157" s="65" t="n"/>
      <c r="KVT157" s="65" t="n"/>
      <c r="KVU157" s="65" t="n"/>
      <c r="KVV157" s="65" t="n"/>
      <c r="KVW157" s="65" t="n"/>
      <c r="KVX157" s="65" t="n"/>
      <c r="KVY157" s="65" t="n"/>
      <c r="KVZ157" s="65" t="n"/>
      <c r="KWA157" s="65" t="n"/>
      <c r="KWB157" s="65" t="n"/>
      <c r="KWC157" s="65" t="n"/>
      <c r="KWD157" s="65" t="n"/>
      <c r="KWE157" s="65" t="n"/>
      <c r="KWF157" s="65" t="n"/>
      <c r="KWG157" s="65" t="n"/>
      <c r="KWH157" s="65" t="n"/>
      <c r="KWI157" s="65" t="n"/>
      <c r="KWJ157" s="65" t="n"/>
      <c r="KWK157" s="65" t="n"/>
      <c r="KWL157" s="65" t="n"/>
      <c r="KWM157" s="65" t="n"/>
      <c r="KWN157" s="65" t="n"/>
      <c r="KWO157" s="65" t="n"/>
      <c r="KWP157" s="65" t="n"/>
      <c r="KWQ157" s="65" t="n"/>
      <c r="KWR157" s="65" t="n"/>
      <c r="KWS157" s="65" t="n"/>
      <c r="KWT157" s="65" t="n"/>
      <c r="KWU157" s="65" t="n"/>
      <c r="KWV157" s="65" t="n"/>
      <c r="KWW157" s="65" t="n"/>
      <c r="KWX157" s="65" t="n"/>
      <c r="KWY157" s="65" t="n"/>
      <c r="KWZ157" s="65" t="n"/>
      <c r="KXA157" s="65" t="n"/>
      <c r="KXB157" s="65" t="n"/>
      <c r="KXC157" s="65" t="n"/>
      <c r="KXD157" s="65" t="n"/>
      <c r="KXE157" s="65" t="n"/>
      <c r="KXF157" s="65" t="n"/>
      <c r="KXG157" s="65" t="n"/>
      <c r="KXH157" s="65" t="n"/>
      <c r="KXI157" s="65" t="n"/>
      <c r="KXJ157" s="65" t="n"/>
      <c r="KXK157" s="65" t="n"/>
      <c r="KXL157" s="65" t="n"/>
      <c r="KXM157" s="65" t="n"/>
      <c r="KXN157" s="65" t="n"/>
      <c r="KXO157" s="65" t="n"/>
      <c r="KXP157" s="65" t="n"/>
      <c r="KXQ157" s="65" t="n"/>
      <c r="KXR157" s="65" t="n"/>
      <c r="KXS157" s="65" t="n"/>
      <c r="KXT157" s="65" t="n"/>
      <c r="KXU157" s="65" t="n"/>
      <c r="KXV157" s="65" t="n"/>
      <c r="KXW157" s="65" t="n"/>
      <c r="KXX157" s="65" t="n"/>
      <c r="KXY157" s="65" t="n"/>
      <c r="KXZ157" s="65" t="n"/>
      <c r="KYA157" s="65" t="n"/>
      <c r="KYB157" s="65" t="n"/>
      <c r="KYC157" s="65" t="n"/>
      <c r="KYD157" s="65" t="n"/>
      <c r="KYE157" s="65" t="n"/>
      <c r="KYF157" s="65" t="n"/>
      <c r="KYG157" s="65" t="n"/>
      <c r="KYH157" s="65" t="n"/>
      <c r="KYI157" s="65" t="n"/>
      <c r="KYJ157" s="65" t="n"/>
      <c r="KYK157" s="65" t="n"/>
      <c r="KYL157" s="65" t="n"/>
      <c r="KYM157" s="65" t="n"/>
      <c r="KYN157" s="65" t="n"/>
      <c r="KYO157" s="65" t="n"/>
      <c r="KYP157" s="65" t="n"/>
      <c r="KYQ157" s="65" t="n"/>
      <c r="KYR157" s="65" t="n"/>
      <c r="KYS157" s="65" t="n"/>
      <c r="KYT157" s="65" t="n"/>
      <c r="KYU157" s="65" t="n"/>
      <c r="KYV157" s="65" t="n"/>
      <c r="KYW157" s="65" t="n"/>
      <c r="KYX157" s="65" t="n"/>
      <c r="KYY157" s="65" t="n"/>
      <c r="KYZ157" s="65" t="n"/>
      <c r="KZA157" s="65" t="n"/>
      <c r="KZB157" s="65" t="n"/>
      <c r="KZC157" s="65" t="n"/>
      <c r="KZD157" s="65" t="n"/>
      <c r="KZE157" s="65" t="n"/>
      <c r="KZF157" s="65" t="n"/>
      <c r="KZG157" s="65" t="n"/>
      <c r="KZH157" s="65" t="n"/>
      <c r="KZI157" s="65" t="n"/>
      <c r="KZJ157" s="65" t="n"/>
      <c r="KZK157" s="65" t="n"/>
      <c r="KZL157" s="65" t="n"/>
      <c r="KZM157" s="65" t="n"/>
      <c r="KZN157" s="65" t="n"/>
      <c r="KZO157" s="65" t="n"/>
      <c r="KZP157" s="65" t="n"/>
      <c r="KZQ157" s="65" t="n"/>
      <c r="KZR157" s="65" t="n"/>
      <c r="KZS157" s="65" t="n"/>
      <c r="KZT157" s="65" t="n"/>
      <c r="KZU157" s="65" t="n"/>
      <c r="KZV157" s="65" t="n"/>
      <c r="KZW157" s="65" t="n"/>
      <c r="KZX157" s="65" t="n"/>
      <c r="KZY157" s="65" t="n"/>
      <c r="KZZ157" s="65" t="n"/>
      <c r="LAA157" s="65" t="n"/>
      <c r="LAB157" s="65" t="n"/>
      <c r="LAC157" s="65" t="n"/>
      <c r="LAD157" s="65" t="n"/>
      <c r="LAE157" s="65" t="n"/>
      <c r="LAF157" s="65" t="n"/>
      <c r="LAG157" s="65" t="n"/>
      <c r="LAH157" s="65" t="n"/>
      <c r="LAI157" s="65" t="n"/>
      <c r="LAJ157" s="65" t="n"/>
      <c r="LAK157" s="65" t="n"/>
      <c r="LAL157" s="65" t="n"/>
      <c r="LAM157" s="65" t="n"/>
      <c r="LAN157" s="65" t="n"/>
      <c r="LAO157" s="65" t="n"/>
      <c r="LAP157" s="65" t="n"/>
      <c r="LAQ157" s="65" t="n"/>
      <c r="LAR157" s="65" t="n"/>
      <c r="LAS157" s="65" t="n"/>
      <c r="LAT157" s="65" t="n"/>
      <c r="LAU157" s="65" t="n"/>
      <c r="LAV157" s="65" t="n"/>
      <c r="LAW157" s="65" t="n"/>
      <c r="LAX157" s="65" t="n"/>
      <c r="LAY157" s="65" t="n"/>
      <c r="LAZ157" s="65" t="n"/>
      <c r="LBA157" s="65" t="n"/>
      <c r="LBB157" s="65" t="n"/>
      <c r="LBC157" s="65" t="n"/>
      <c r="LBD157" s="65" t="n"/>
      <c r="LBE157" s="65" t="n"/>
      <c r="LBF157" s="65" t="n"/>
      <c r="LBG157" s="65" t="n"/>
      <c r="LBH157" s="65" t="n"/>
      <c r="LBI157" s="65" t="n"/>
      <c r="LBJ157" s="65" t="n"/>
      <c r="LBK157" s="65" t="n"/>
      <c r="LBL157" s="65" t="n"/>
      <c r="LBM157" s="65" t="n"/>
      <c r="LBN157" s="65" t="n"/>
      <c r="LBO157" s="65" t="n"/>
      <c r="LBP157" s="65" t="n"/>
      <c r="LBQ157" s="65" t="n"/>
      <c r="LBR157" s="65" t="n"/>
      <c r="LBS157" s="65" t="n"/>
      <c r="LBT157" s="65" t="n"/>
      <c r="LBU157" s="65" t="n"/>
      <c r="LBV157" s="65" t="n"/>
      <c r="LBW157" s="65" t="n"/>
      <c r="LBX157" s="65" t="n"/>
      <c r="LBY157" s="65" t="n"/>
      <c r="LBZ157" s="65" t="n"/>
      <c r="LCA157" s="65" t="n"/>
      <c r="LCB157" s="65" t="n"/>
      <c r="LCC157" s="65" t="n"/>
      <c r="LCD157" s="65" t="n"/>
      <c r="LCE157" s="65" t="n"/>
      <c r="LCF157" s="65" t="n"/>
      <c r="LCG157" s="65" t="n"/>
      <c r="LCH157" s="65" t="n"/>
      <c r="LCI157" s="65" t="n"/>
      <c r="LCJ157" s="65" t="n"/>
      <c r="LCK157" s="65" t="n"/>
      <c r="LCL157" s="65" t="n"/>
      <c r="LCM157" s="65" t="n"/>
      <c r="LCN157" s="65" t="n"/>
      <c r="LCO157" s="65" t="n"/>
      <c r="LCP157" s="65" t="n"/>
      <c r="LCQ157" s="65" t="n"/>
      <c r="LCR157" s="65" t="n"/>
      <c r="LCS157" s="65" t="n"/>
      <c r="LCT157" s="65" t="n"/>
      <c r="LCU157" s="65" t="n"/>
      <c r="LCV157" s="65" t="n"/>
      <c r="LCW157" s="65" t="n"/>
      <c r="LCX157" s="65" t="n"/>
      <c r="LCY157" s="65" t="n"/>
      <c r="LCZ157" s="65" t="n"/>
      <c r="LDA157" s="65" t="n"/>
      <c r="LDB157" s="65" t="n"/>
      <c r="LDC157" s="65" t="n"/>
      <c r="LDD157" s="65" t="n"/>
      <c r="LDE157" s="65" t="n"/>
      <c r="LDF157" s="65" t="n"/>
      <c r="LDG157" s="65" t="n"/>
      <c r="LDH157" s="65" t="n"/>
      <c r="LDI157" s="65" t="n"/>
      <c r="LDJ157" s="65" t="n"/>
      <c r="LDK157" s="65" t="n"/>
      <c r="LDL157" s="65" t="n"/>
      <c r="LDM157" s="65" t="n"/>
      <c r="LDN157" s="65" t="n"/>
      <c r="LDO157" s="65" t="n"/>
      <c r="LDP157" s="65" t="n"/>
      <c r="LDQ157" s="65" t="n"/>
      <c r="LDR157" s="65" t="n"/>
      <c r="LDS157" s="65" t="n"/>
      <c r="LDT157" s="65" t="n"/>
      <c r="LDU157" s="65" t="n"/>
      <c r="LDV157" s="65" t="n"/>
      <c r="LDW157" s="65" t="n"/>
      <c r="LDX157" s="65" t="n"/>
      <c r="LDY157" s="65" t="n"/>
      <c r="LDZ157" s="65" t="n"/>
      <c r="LEA157" s="65" t="n"/>
      <c r="LEB157" s="65" t="n"/>
      <c r="LEC157" s="65" t="n"/>
      <c r="LED157" s="65" t="n"/>
      <c r="LEE157" s="65" t="n"/>
      <c r="LEF157" s="65" t="n"/>
      <c r="LEG157" s="65" t="n"/>
      <c r="LEH157" s="65" t="n"/>
      <c r="LEI157" s="65" t="n"/>
      <c r="LEJ157" s="65" t="n"/>
      <c r="LEK157" s="65" t="n"/>
      <c r="LEL157" s="65" t="n"/>
      <c r="LEM157" s="65" t="n"/>
      <c r="LEN157" s="65" t="n"/>
      <c r="LEO157" s="65" t="n"/>
      <c r="LEP157" s="65" t="n"/>
      <c r="LEQ157" s="65" t="n"/>
      <c r="LER157" s="65" t="n"/>
      <c r="LES157" s="65" t="n"/>
      <c r="LET157" s="65" t="n"/>
      <c r="LEU157" s="65" t="n"/>
      <c r="LEV157" s="65" t="n"/>
      <c r="LEW157" s="65" t="n"/>
      <c r="LEX157" s="65" t="n"/>
      <c r="LEY157" s="65" t="n"/>
      <c r="LEZ157" s="65" t="n"/>
      <c r="LFA157" s="65" t="n"/>
      <c r="LFB157" s="65" t="n"/>
      <c r="LFC157" s="65" t="n"/>
      <c r="LFD157" s="65" t="n"/>
      <c r="LFE157" s="65" t="n"/>
      <c r="LFF157" s="65" t="n"/>
      <c r="LFG157" s="65" t="n"/>
      <c r="LFH157" s="65" t="n"/>
      <c r="LFI157" s="65" t="n"/>
      <c r="LFJ157" s="65" t="n"/>
      <c r="LFK157" s="65" t="n"/>
      <c r="LFL157" s="65" t="n"/>
      <c r="LFM157" s="65" t="n"/>
      <c r="LFN157" s="65" t="n"/>
      <c r="LFO157" s="65" t="n"/>
      <c r="LFP157" s="65" t="n"/>
      <c r="LFQ157" s="65" t="n"/>
      <c r="LFR157" s="65" t="n"/>
      <c r="LFS157" s="65" t="n"/>
      <c r="LFT157" s="65" t="n"/>
      <c r="LFU157" s="65" t="n"/>
      <c r="LFV157" s="65" t="n"/>
      <c r="LFW157" s="65" t="n"/>
      <c r="LFX157" s="65" t="n"/>
      <c r="LFY157" s="65" t="n"/>
      <c r="LFZ157" s="65" t="n"/>
      <c r="LGA157" s="65" t="n"/>
      <c r="LGB157" s="65" t="n"/>
      <c r="LGC157" s="65" t="n"/>
      <c r="LGD157" s="65" t="n"/>
      <c r="LGE157" s="65" t="n"/>
      <c r="LGF157" s="65" t="n"/>
      <c r="LGG157" s="65" t="n"/>
      <c r="LGH157" s="65" t="n"/>
      <c r="LGI157" s="65" t="n"/>
      <c r="LGJ157" s="65" t="n"/>
      <c r="LGK157" s="65" t="n"/>
      <c r="LGL157" s="65" t="n"/>
      <c r="LGM157" s="65" t="n"/>
      <c r="LGN157" s="65" t="n"/>
      <c r="LGO157" s="65" t="n"/>
      <c r="LGP157" s="65" t="n"/>
      <c r="LGQ157" s="65" t="n"/>
      <c r="LGR157" s="65" t="n"/>
      <c r="LGS157" s="65" t="n"/>
      <c r="LGT157" s="65" t="n"/>
      <c r="LGU157" s="65" t="n"/>
      <c r="LGV157" s="65" t="n"/>
      <c r="LGW157" s="65" t="n"/>
      <c r="LGX157" s="65" t="n"/>
      <c r="LGY157" s="65" t="n"/>
      <c r="LGZ157" s="65" t="n"/>
      <c r="LHA157" s="65" t="n"/>
      <c r="LHB157" s="65" t="n"/>
      <c r="LHC157" s="65" t="n"/>
      <c r="LHD157" s="65" t="n"/>
      <c r="LHE157" s="65" t="n"/>
      <c r="LHF157" s="65" t="n"/>
      <c r="LHG157" s="65" t="n"/>
      <c r="LHH157" s="65" t="n"/>
      <c r="LHI157" s="65" t="n"/>
      <c r="LHJ157" s="65" t="n"/>
      <c r="LHK157" s="65" t="n"/>
      <c r="LHL157" s="65" t="n"/>
      <c r="LHM157" s="65" t="n"/>
      <c r="LHN157" s="65" t="n"/>
      <c r="LHO157" s="65" t="n"/>
      <c r="LHP157" s="65" t="n"/>
      <c r="LHQ157" s="65" t="n"/>
      <c r="LHR157" s="65" t="n"/>
      <c r="LHS157" s="65" t="n"/>
      <c r="LHT157" s="65" t="n"/>
      <c r="LHU157" s="65" t="n"/>
      <c r="LHV157" s="65" t="n"/>
      <c r="LHW157" s="65" t="n"/>
      <c r="LHX157" s="65" t="n"/>
      <c r="LHY157" s="65" t="n"/>
      <c r="LHZ157" s="65" t="n"/>
      <c r="LIA157" s="65" t="n"/>
      <c r="LIB157" s="65" t="n"/>
      <c r="LIC157" s="65" t="n"/>
      <c r="LID157" s="65" t="n"/>
      <c r="LIE157" s="65" t="n"/>
      <c r="LIF157" s="65" t="n"/>
      <c r="LIG157" s="65" t="n"/>
      <c r="LIH157" s="65" t="n"/>
      <c r="LII157" s="65" t="n"/>
      <c r="LIJ157" s="65" t="n"/>
      <c r="LIK157" s="65" t="n"/>
      <c r="LIL157" s="65" t="n"/>
      <c r="LIM157" s="65" t="n"/>
      <c r="LIN157" s="65" t="n"/>
      <c r="LIO157" s="65" t="n"/>
      <c r="LIP157" s="65" t="n"/>
      <c r="LIQ157" s="65" t="n"/>
      <c r="LIR157" s="65" t="n"/>
      <c r="LIS157" s="65" t="n"/>
      <c r="LIT157" s="65" t="n"/>
      <c r="LIU157" s="65" t="n"/>
      <c r="LIV157" s="65" t="n"/>
      <c r="LIW157" s="65" t="n"/>
      <c r="LIX157" s="65" t="n"/>
      <c r="LIY157" s="65" t="n"/>
      <c r="LIZ157" s="65" t="n"/>
      <c r="LJA157" s="65" t="n"/>
      <c r="LJB157" s="65" t="n"/>
      <c r="LJC157" s="65" t="n"/>
      <c r="LJD157" s="65" t="n"/>
      <c r="LJE157" s="65" t="n"/>
      <c r="LJF157" s="65" t="n"/>
      <c r="LJG157" s="65" t="n"/>
      <c r="LJH157" s="65" t="n"/>
      <c r="LJI157" s="65" t="n"/>
      <c r="LJJ157" s="65" t="n"/>
      <c r="LJK157" s="65" t="n"/>
      <c r="LJL157" s="65" t="n"/>
      <c r="LJM157" s="65" t="n"/>
      <c r="LJN157" s="65" t="n"/>
      <c r="LJO157" s="65" t="n"/>
      <c r="LJP157" s="65" t="n"/>
      <c r="LJQ157" s="65" t="n"/>
      <c r="LJR157" s="65" t="n"/>
      <c r="LJS157" s="65" t="n"/>
      <c r="LJT157" s="65" t="n"/>
      <c r="LJU157" s="65" t="n"/>
      <c r="LJV157" s="65" t="n"/>
      <c r="LJW157" s="65" t="n"/>
      <c r="LJX157" s="65" t="n"/>
      <c r="LJY157" s="65" t="n"/>
      <c r="LJZ157" s="65" t="n"/>
      <c r="LKA157" s="65" t="n"/>
      <c r="LKB157" s="65" t="n"/>
      <c r="LKC157" s="65" t="n"/>
      <c r="LKD157" s="65" t="n"/>
      <c r="LKE157" s="65" t="n"/>
      <c r="LKF157" s="65" t="n"/>
      <c r="LKG157" s="65" t="n"/>
      <c r="LKH157" s="65" t="n"/>
      <c r="LKI157" s="65" t="n"/>
      <c r="LKJ157" s="65" t="n"/>
      <c r="LKK157" s="65" t="n"/>
      <c r="LKL157" s="65" t="n"/>
      <c r="LKM157" s="65" t="n"/>
      <c r="LKN157" s="65" t="n"/>
      <c r="LKO157" s="65" t="n"/>
      <c r="LKP157" s="65" t="n"/>
      <c r="LKQ157" s="65" t="n"/>
      <c r="LKR157" s="65" t="n"/>
      <c r="LKS157" s="65" t="n"/>
      <c r="LKT157" s="65" t="n"/>
      <c r="LKU157" s="65" t="n"/>
      <c r="LKV157" s="65" t="n"/>
      <c r="LKW157" s="65" t="n"/>
      <c r="LKX157" s="65" t="n"/>
      <c r="LKY157" s="65" t="n"/>
      <c r="LKZ157" s="65" t="n"/>
      <c r="LLA157" s="65" t="n"/>
      <c r="LLB157" s="65" t="n"/>
      <c r="LLC157" s="65" t="n"/>
      <c r="LLD157" s="65" t="n"/>
      <c r="LLE157" s="65" t="n"/>
      <c r="LLF157" s="65" t="n"/>
      <c r="LLG157" s="65" t="n"/>
      <c r="LLH157" s="65" t="n"/>
      <c r="LLI157" s="65" t="n"/>
      <c r="LLJ157" s="65" t="n"/>
      <c r="LLK157" s="65" t="n"/>
      <c r="LLL157" s="65" t="n"/>
      <c r="LLM157" s="65" t="n"/>
      <c r="LLN157" s="65" t="n"/>
      <c r="LLO157" s="65" t="n"/>
      <c r="LLP157" s="65" t="n"/>
      <c r="LLQ157" s="65" t="n"/>
      <c r="LLR157" s="65" t="n"/>
      <c r="LLS157" s="65" t="n"/>
      <c r="LLT157" s="65" t="n"/>
      <c r="LLU157" s="65" t="n"/>
      <c r="LLV157" s="65" t="n"/>
      <c r="LLW157" s="65" t="n"/>
      <c r="LLX157" s="65" t="n"/>
      <c r="LLY157" s="65" t="n"/>
      <c r="LLZ157" s="65" t="n"/>
      <c r="LMA157" s="65" t="n"/>
      <c r="LMB157" s="65" t="n"/>
      <c r="LMC157" s="65" t="n"/>
      <c r="LMD157" s="65" t="n"/>
      <c r="LME157" s="65" t="n"/>
      <c r="LMF157" s="65" t="n"/>
      <c r="LMG157" s="65" t="n"/>
      <c r="LMH157" s="65" t="n"/>
      <c r="LMI157" s="65" t="n"/>
      <c r="LMJ157" s="65" t="n"/>
      <c r="LMK157" s="65" t="n"/>
      <c r="LML157" s="65" t="n"/>
      <c r="LMM157" s="65" t="n"/>
      <c r="LMN157" s="65" t="n"/>
      <c r="LMO157" s="65" t="n"/>
      <c r="LMP157" s="65" t="n"/>
      <c r="LMQ157" s="65" t="n"/>
      <c r="LMR157" s="65" t="n"/>
      <c r="LMS157" s="65" t="n"/>
      <c r="LMT157" s="65" t="n"/>
      <c r="LMU157" s="65" t="n"/>
      <c r="LMV157" s="65" t="n"/>
      <c r="LMW157" s="65" t="n"/>
      <c r="LMX157" s="65" t="n"/>
      <c r="LMY157" s="65" t="n"/>
      <c r="LMZ157" s="65" t="n"/>
      <c r="LNA157" s="65" t="n"/>
      <c r="LNB157" s="65" t="n"/>
      <c r="LNC157" s="65" t="n"/>
      <c r="LND157" s="65" t="n"/>
      <c r="LNE157" s="65" t="n"/>
      <c r="LNF157" s="65" t="n"/>
      <c r="LNG157" s="65" t="n"/>
      <c r="LNH157" s="65" t="n"/>
      <c r="LNI157" s="65" t="n"/>
      <c r="LNJ157" s="65" t="n"/>
      <c r="LNK157" s="65" t="n"/>
      <c r="LNL157" s="65" t="n"/>
      <c r="LNM157" s="65" t="n"/>
      <c r="LNN157" s="65" t="n"/>
      <c r="LNO157" s="65" t="n"/>
      <c r="LNP157" s="65" t="n"/>
      <c r="LNQ157" s="65" t="n"/>
      <c r="LNR157" s="65" t="n"/>
      <c r="LNS157" s="65" t="n"/>
      <c r="LNT157" s="65" t="n"/>
      <c r="LNU157" s="65" t="n"/>
      <c r="LNV157" s="65" t="n"/>
      <c r="LNW157" s="65" t="n"/>
      <c r="LNX157" s="65" t="n"/>
      <c r="LNY157" s="65" t="n"/>
      <c r="LNZ157" s="65" t="n"/>
      <c r="LOA157" s="65" t="n"/>
      <c r="LOB157" s="65" t="n"/>
      <c r="LOC157" s="65" t="n"/>
      <c r="LOD157" s="65" t="n"/>
      <c r="LOE157" s="65" t="n"/>
      <c r="LOF157" s="65" t="n"/>
      <c r="LOG157" s="65" t="n"/>
      <c r="LOH157" s="65" t="n"/>
      <c r="LOI157" s="65" t="n"/>
      <c r="LOJ157" s="65" t="n"/>
      <c r="LOK157" s="65" t="n"/>
      <c r="LOL157" s="65" t="n"/>
      <c r="LOM157" s="65" t="n"/>
      <c r="LON157" s="65" t="n"/>
      <c r="LOO157" s="65" t="n"/>
      <c r="LOP157" s="65" t="n"/>
      <c r="LOQ157" s="65" t="n"/>
      <c r="LOR157" s="65" t="n"/>
      <c r="LOS157" s="65" t="n"/>
      <c r="LOT157" s="65" t="n"/>
      <c r="LOU157" s="65" t="n"/>
      <c r="LOV157" s="65" t="n"/>
      <c r="LOW157" s="65" t="n"/>
      <c r="LOX157" s="65" t="n"/>
      <c r="LOY157" s="65" t="n"/>
      <c r="LOZ157" s="65" t="n"/>
      <c r="LPA157" s="65" t="n"/>
      <c r="LPB157" s="65" t="n"/>
      <c r="LPC157" s="65" t="n"/>
      <c r="LPD157" s="65" t="n"/>
      <c r="LPE157" s="65" t="n"/>
      <c r="LPF157" s="65" t="n"/>
      <c r="LPG157" s="65" t="n"/>
      <c r="LPH157" s="65" t="n"/>
      <c r="LPI157" s="65" t="n"/>
      <c r="LPJ157" s="65" t="n"/>
      <c r="LPK157" s="65" t="n"/>
      <c r="LPL157" s="65" t="n"/>
      <c r="LPM157" s="65" t="n"/>
      <c r="LPN157" s="65" t="n"/>
      <c r="LPO157" s="65" t="n"/>
      <c r="LPP157" s="65" t="n"/>
      <c r="LPQ157" s="65" t="n"/>
      <c r="LPR157" s="65" t="n"/>
      <c r="LPS157" s="65" t="n"/>
      <c r="LPT157" s="65" t="n"/>
      <c r="LPU157" s="65" t="n"/>
      <c r="LPV157" s="65" t="n"/>
      <c r="LPW157" s="65" t="n"/>
      <c r="LPX157" s="65" t="n"/>
      <c r="LPY157" s="65" t="n"/>
      <c r="LPZ157" s="65" t="n"/>
      <c r="LQA157" s="65" t="n"/>
      <c r="LQB157" s="65" t="n"/>
      <c r="LQC157" s="65" t="n"/>
      <c r="LQD157" s="65" t="n"/>
      <c r="LQE157" s="65" t="n"/>
      <c r="LQF157" s="65" t="n"/>
      <c r="LQG157" s="65" t="n"/>
      <c r="LQH157" s="65" t="n"/>
      <c r="LQI157" s="65" t="n"/>
      <c r="LQJ157" s="65" t="n"/>
      <c r="LQK157" s="65" t="n"/>
      <c r="LQL157" s="65" t="n"/>
      <c r="LQM157" s="65" t="n"/>
      <c r="LQN157" s="65" t="n"/>
      <c r="LQO157" s="65" t="n"/>
      <c r="LQP157" s="65" t="n"/>
      <c r="LQQ157" s="65" t="n"/>
      <c r="LQR157" s="65" t="n"/>
      <c r="LQS157" s="65" t="n"/>
      <c r="LQT157" s="65" t="n"/>
      <c r="LQU157" s="65" t="n"/>
      <c r="LQV157" s="65" t="n"/>
      <c r="LQW157" s="65" t="n"/>
      <c r="LQX157" s="65" t="n"/>
      <c r="LQY157" s="65" t="n"/>
      <c r="LQZ157" s="65" t="n"/>
      <c r="LRA157" s="65" t="n"/>
      <c r="LRB157" s="65" t="n"/>
      <c r="LRC157" s="65" t="n"/>
      <c r="LRD157" s="65" t="n"/>
      <c r="LRE157" s="65" t="n"/>
      <c r="LRF157" s="65" t="n"/>
      <c r="LRG157" s="65" t="n"/>
      <c r="LRH157" s="65" t="n"/>
      <c r="LRI157" s="65" t="n"/>
      <c r="LRJ157" s="65" t="n"/>
      <c r="LRK157" s="65" t="n"/>
      <c r="LRL157" s="65" t="n"/>
      <c r="LRM157" s="65" t="n"/>
      <c r="LRN157" s="65" t="n"/>
      <c r="LRO157" s="65" t="n"/>
      <c r="LRP157" s="65" t="n"/>
      <c r="LRQ157" s="65" t="n"/>
      <c r="LRR157" s="65" t="n"/>
      <c r="LRS157" s="65" t="n"/>
      <c r="LRT157" s="65" t="n"/>
      <c r="LRU157" s="65" t="n"/>
      <c r="LRV157" s="65" t="n"/>
      <c r="LRW157" s="65" t="n"/>
      <c r="LRX157" s="65" t="n"/>
      <c r="LRY157" s="65" t="n"/>
      <c r="LRZ157" s="65" t="n"/>
      <c r="LSA157" s="65" t="n"/>
      <c r="LSB157" s="65" t="n"/>
      <c r="LSC157" s="65" t="n"/>
      <c r="LSD157" s="65" t="n"/>
      <c r="LSE157" s="65" t="n"/>
      <c r="LSF157" s="65" t="n"/>
      <c r="LSG157" s="65" t="n"/>
      <c r="LSH157" s="65" t="n"/>
      <c r="LSI157" s="65" t="n"/>
      <c r="LSJ157" s="65" t="n"/>
      <c r="LSK157" s="65" t="n"/>
      <c r="LSL157" s="65" t="n"/>
      <c r="LSM157" s="65" t="n"/>
      <c r="LSN157" s="65" t="n"/>
      <c r="LSO157" s="65" t="n"/>
      <c r="LSP157" s="65" t="n"/>
      <c r="LSQ157" s="65" t="n"/>
      <c r="LSR157" s="65" t="n"/>
      <c r="LSS157" s="65" t="n"/>
      <c r="LST157" s="65" t="n"/>
      <c r="LSU157" s="65" t="n"/>
      <c r="LSV157" s="65" t="n"/>
      <c r="LSW157" s="65" t="n"/>
      <c r="LSX157" s="65" t="n"/>
      <c r="LSY157" s="65" t="n"/>
      <c r="LSZ157" s="65" t="n"/>
      <c r="LTA157" s="65" t="n"/>
      <c r="LTB157" s="65" t="n"/>
      <c r="LTC157" s="65" t="n"/>
      <c r="LTD157" s="65" t="n"/>
      <c r="LTE157" s="65" t="n"/>
      <c r="LTF157" s="65" t="n"/>
      <c r="LTG157" s="65" t="n"/>
      <c r="LTH157" s="65" t="n"/>
      <c r="LTI157" s="65" t="n"/>
      <c r="LTJ157" s="65" t="n"/>
      <c r="LTK157" s="65" t="n"/>
      <c r="LTL157" s="65" t="n"/>
      <c r="LTM157" s="65" t="n"/>
      <c r="LTN157" s="65" t="n"/>
      <c r="LTO157" s="65" t="n"/>
      <c r="LTP157" s="65" t="n"/>
      <c r="LTQ157" s="65" t="n"/>
      <c r="LTR157" s="65" t="n"/>
      <c r="LTS157" s="65" t="n"/>
      <c r="LTT157" s="65" t="n"/>
      <c r="LTU157" s="65" t="n"/>
      <c r="LTV157" s="65" t="n"/>
      <c r="LTW157" s="65" t="n"/>
      <c r="LTX157" s="65" t="n"/>
      <c r="LTY157" s="65" t="n"/>
      <c r="LTZ157" s="65" t="n"/>
      <c r="LUA157" s="65" t="n"/>
      <c r="LUB157" s="65" t="n"/>
      <c r="LUC157" s="65" t="n"/>
      <c r="LUD157" s="65" t="n"/>
      <c r="LUE157" s="65" t="n"/>
      <c r="LUF157" s="65" t="n"/>
      <c r="LUG157" s="65" t="n"/>
      <c r="LUH157" s="65" t="n"/>
      <c r="LUI157" s="65" t="n"/>
      <c r="LUJ157" s="65" t="n"/>
      <c r="LUK157" s="65" t="n"/>
      <c r="LUL157" s="65" t="n"/>
      <c r="LUM157" s="65" t="n"/>
      <c r="LUN157" s="65" t="n"/>
      <c r="LUO157" s="65" t="n"/>
      <c r="LUP157" s="65" t="n"/>
      <c r="LUQ157" s="65" t="n"/>
      <c r="LUR157" s="65" t="n"/>
      <c r="LUS157" s="65" t="n"/>
      <c r="LUT157" s="65" t="n"/>
      <c r="LUU157" s="65" t="n"/>
      <c r="LUV157" s="65" t="n"/>
      <c r="LUW157" s="65" t="n"/>
      <c r="LUX157" s="65" t="n"/>
      <c r="LUY157" s="65" t="n"/>
      <c r="LUZ157" s="65" t="n"/>
      <c r="LVA157" s="65" t="n"/>
      <c r="LVB157" s="65" t="n"/>
      <c r="LVC157" s="65" t="n"/>
      <c r="LVD157" s="65" t="n"/>
      <c r="LVE157" s="65" t="n"/>
      <c r="LVF157" s="65" t="n"/>
      <c r="LVG157" s="65" t="n"/>
      <c r="LVH157" s="65" t="n"/>
      <c r="LVI157" s="65" t="n"/>
      <c r="LVJ157" s="65" t="n"/>
      <c r="LVK157" s="65" t="n"/>
      <c r="LVL157" s="65" t="n"/>
      <c r="LVM157" s="65" t="n"/>
      <c r="LVN157" s="65" t="n"/>
      <c r="LVO157" s="65" t="n"/>
      <c r="LVP157" s="65" t="n"/>
      <c r="LVQ157" s="65" t="n"/>
      <c r="LVR157" s="65" t="n"/>
      <c r="LVS157" s="65" t="n"/>
      <c r="LVT157" s="65" t="n"/>
      <c r="LVU157" s="65" t="n"/>
      <c r="LVV157" s="65" t="n"/>
      <c r="LVW157" s="65" t="n"/>
      <c r="LVX157" s="65" t="n"/>
      <c r="LVY157" s="65" t="n"/>
      <c r="LVZ157" s="65" t="n"/>
      <c r="LWA157" s="65" t="n"/>
      <c r="LWB157" s="65" t="n"/>
      <c r="LWC157" s="65" t="n"/>
      <c r="LWD157" s="65" t="n"/>
      <c r="LWE157" s="65" t="n"/>
      <c r="LWF157" s="65" t="n"/>
      <c r="LWG157" s="65" t="n"/>
      <c r="LWH157" s="65" t="n"/>
      <c r="LWI157" s="65" t="n"/>
      <c r="LWJ157" s="65" t="n"/>
      <c r="LWK157" s="65" t="n"/>
      <c r="LWL157" s="65" t="n"/>
      <c r="LWM157" s="65" t="n"/>
      <c r="LWN157" s="65" t="n"/>
      <c r="LWO157" s="65" t="n"/>
      <c r="LWP157" s="65" t="n"/>
      <c r="LWQ157" s="65" t="n"/>
      <c r="LWR157" s="65" t="n"/>
      <c r="LWS157" s="65" t="n"/>
      <c r="LWT157" s="65" t="n"/>
      <c r="LWU157" s="65" t="n"/>
      <c r="LWV157" s="65" t="n"/>
      <c r="LWW157" s="65" t="n"/>
      <c r="LWX157" s="65" t="n"/>
      <c r="LWY157" s="65" t="n"/>
      <c r="LWZ157" s="65" t="n"/>
      <c r="LXA157" s="65" t="n"/>
      <c r="LXB157" s="65" t="n"/>
      <c r="LXC157" s="65" t="n"/>
      <c r="LXD157" s="65" t="n"/>
      <c r="LXE157" s="65" t="n"/>
      <c r="LXF157" s="65" t="n"/>
      <c r="LXG157" s="65" t="n"/>
      <c r="LXH157" s="65" t="n"/>
      <c r="LXI157" s="65" t="n"/>
      <c r="LXJ157" s="65" t="n"/>
      <c r="LXK157" s="65" t="n"/>
      <c r="LXL157" s="65" t="n"/>
      <c r="LXM157" s="65" t="n"/>
      <c r="LXN157" s="65" t="n"/>
      <c r="LXO157" s="65" t="n"/>
      <c r="LXP157" s="65" t="n"/>
      <c r="LXQ157" s="65" t="n"/>
      <c r="LXR157" s="65" t="n"/>
      <c r="LXS157" s="65" t="n"/>
      <c r="LXT157" s="65" t="n"/>
      <c r="LXU157" s="65" t="n"/>
      <c r="LXV157" s="65" t="n"/>
      <c r="LXW157" s="65" t="n"/>
      <c r="LXX157" s="65" t="n"/>
      <c r="LXY157" s="65" t="n"/>
      <c r="LXZ157" s="65" t="n"/>
      <c r="LYA157" s="65" t="n"/>
      <c r="LYB157" s="65" t="n"/>
      <c r="LYC157" s="65" t="n"/>
      <c r="LYD157" s="65" t="n"/>
      <c r="LYE157" s="65" t="n"/>
      <c r="LYF157" s="65" t="n"/>
      <c r="LYG157" s="65" t="n"/>
      <c r="LYH157" s="65" t="n"/>
      <c r="LYI157" s="65" t="n"/>
      <c r="LYJ157" s="65" t="n"/>
      <c r="LYK157" s="65" t="n"/>
      <c r="LYL157" s="65" t="n"/>
      <c r="LYM157" s="65" t="n"/>
      <c r="LYN157" s="65" t="n"/>
      <c r="LYO157" s="65" t="n"/>
      <c r="LYP157" s="65" t="n"/>
      <c r="LYQ157" s="65" t="n"/>
      <c r="LYR157" s="65" t="n"/>
      <c r="LYS157" s="65" t="n"/>
      <c r="LYT157" s="65" t="n"/>
      <c r="LYU157" s="65" t="n"/>
      <c r="LYV157" s="65" t="n"/>
      <c r="LYW157" s="65" t="n"/>
      <c r="LYX157" s="65" t="n"/>
      <c r="LYY157" s="65" t="n"/>
      <c r="LYZ157" s="65" t="n"/>
      <c r="LZA157" s="65" t="n"/>
      <c r="LZB157" s="65" t="n"/>
      <c r="LZC157" s="65" t="n"/>
      <c r="LZD157" s="65" t="n"/>
      <c r="LZE157" s="65" t="n"/>
      <c r="LZF157" s="65" t="n"/>
      <c r="LZG157" s="65" t="n"/>
      <c r="LZH157" s="65" t="n"/>
      <c r="LZI157" s="65" t="n"/>
      <c r="LZJ157" s="65" t="n"/>
      <c r="LZK157" s="65" t="n"/>
      <c r="LZL157" s="65" t="n"/>
      <c r="LZM157" s="65" t="n"/>
      <c r="LZN157" s="65" t="n"/>
      <c r="LZO157" s="65" t="n"/>
      <c r="LZP157" s="65" t="n"/>
      <c r="LZQ157" s="65" t="n"/>
      <c r="LZR157" s="65" t="n"/>
      <c r="LZS157" s="65" t="n"/>
      <c r="LZT157" s="65" t="n"/>
      <c r="LZU157" s="65" t="n"/>
      <c r="LZV157" s="65" t="n"/>
      <c r="LZW157" s="65" t="n"/>
      <c r="LZX157" s="65" t="n"/>
      <c r="LZY157" s="65" t="n"/>
      <c r="LZZ157" s="65" t="n"/>
      <c r="MAA157" s="65" t="n"/>
      <c r="MAB157" s="65" t="n"/>
      <c r="MAC157" s="65" t="n"/>
      <c r="MAD157" s="65" t="n"/>
      <c r="MAE157" s="65" t="n"/>
      <c r="MAF157" s="65" t="n"/>
      <c r="MAG157" s="65" t="n"/>
      <c r="MAH157" s="65" t="n"/>
      <c r="MAI157" s="65" t="n"/>
      <c r="MAJ157" s="65" t="n"/>
      <c r="MAK157" s="65" t="n"/>
      <c r="MAL157" s="65" t="n"/>
      <c r="MAM157" s="65" t="n"/>
      <c r="MAN157" s="65" t="n"/>
      <c r="MAO157" s="65" t="n"/>
      <c r="MAP157" s="65" t="n"/>
      <c r="MAQ157" s="65" t="n"/>
      <c r="MAR157" s="65" t="n"/>
      <c r="MAS157" s="65" t="n"/>
      <c r="MAT157" s="65" t="n"/>
      <c r="MAU157" s="65" t="n"/>
      <c r="MAV157" s="65" t="n"/>
      <c r="MAW157" s="65" t="n"/>
      <c r="MAX157" s="65" t="n"/>
      <c r="MAY157" s="65" t="n"/>
      <c r="MAZ157" s="65" t="n"/>
      <c r="MBA157" s="65" t="n"/>
      <c r="MBB157" s="65" t="n"/>
      <c r="MBC157" s="65" t="n"/>
      <c r="MBD157" s="65" t="n"/>
      <c r="MBE157" s="65" t="n"/>
      <c r="MBF157" s="65" t="n"/>
      <c r="MBG157" s="65" t="n"/>
      <c r="MBH157" s="65" t="n"/>
      <c r="MBI157" s="65" t="n"/>
      <c r="MBJ157" s="65" t="n"/>
      <c r="MBK157" s="65" t="n"/>
      <c r="MBL157" s="65" t="n"/>
      <c r="MBM157" s="65" t="n"/>
      <c r="MBN157" s="65" t="n"/>
      <c r="MBO157" s="65" t="n"/>
      <c r="MBP157" s="65" t="n"/>
      <c r="MBQ157" s="65" t="n"/>
      <c r="MBR157" s="65" t="n"/>
      <c r="MBS157" s="65" t="n"/>
      <c r="MBT157" s="65" t="n"/>
      <c r="MBU157" s="65" t="n"/>
      <c r="MBV157" s="65" t="n"/>
      <c r="MBW157" s="65" t="n"/>
      <c r="MBX157" s="65" t="n"/>
      <c r="MBY157" s="65" t="n"/>
      <c r="MBZ157" s="65" t="n"/>
      <c r="MCA157" s="65" t="n"/>
      <c r="MCB157" s="65" t="n"/>
      <c r="MCC157" s="65" t="n"/>
      <c r="MCD157" s="65" t="n"/>
      <c r="MCE157" s="65" t="n"/>
      <c r="MCF157" s="65" t="n"/>
      <c r="MCG157" s="65" t="n"/>
      <c r="MCH157" s="65" t="n"/>
      <c r="MCI157" s="65" t="n"/>
      <c r="MCJ157" s="65" t="n"/>
      <c r="MCK157" s="65" t="n"/>
      <c r="MCL157" s="65" t="n"/>
      <c r="MCM157" s="65" t="n"/>
      <c r="MCN157" s="65" t="n"/>
      <c r="MCO157" s="65" t="n"/>
      <c r="MCP157" s="65" t="n"/>
      <c r="MCQ157" s="65" t="n"/>
      <c r="MCR157" s="65" t="n"/>
      <c r="MCS157" s="65" t="n"/>
      <c r="MCT157" s="65" t="n"/>
      <c r="MCU157" s="65" t="n"/>
      <c r="MCV157" s="65" t="n"/>
      <c r="MCW157" s="65" t="n"/>
      <c r="MCX157" s="65" t="n"/>
      <c r="MCY157" s="65" t="n"/>
      <c r="MCZ157" s="65" t="n"/>
      <c r="MDA157" s="65" t="n"/>
      <c r="MDB157" s="65" t="n"/>
      <c r="MDC157" s="65" t="n"/>
      <c r="MDD157" s="65" t="n"/>
      <c r="MDE157" s="65" t="n"/>
      <c r="MDF157" s="65" t="n"/>
      <c r="MDG157" s="65" t="n"/>
      <c r="MDH157" s="65" t="n"/>
      <c r="MDI157" s="65" t="n"/>
      <c r="MDJ157" s="65" t="n"/>
      <c r="MDK157" s="65" t="n"/>
      <c r="MDL157" s="65" t="n"/>
      <c r="MDM157" s="65" t="n"/>
      <c r="MDN157" s="65" t="n"/>
      <c r="MDO157" s="65" t="n"/>
      <c r="MDP157" s="65" t="n"/>
      <c r="MDQ157" s="65" t="n"/>
      <c r="MDR157" s="65" t="n"/>
      <c r="MDS157" s="65" t="n"/>
      <c r="MDT157" s="65" t="n"/>
      <c r="MDU157" s="65" t="n"/>
      <c r="MDV157" s="65" t="n"/>
      <c r="MDW157" s="65" t="n"/>
      <c r="MDX157" s="65" t="n"/>
      <c r="MDY157" s="65" t="n"/>
      <c r="MDZ157" s="65" t="n"/>
      <c r="MEA157" s="65" t="n"/>
      <c r="MEB157" s="65" t="n"/>
      <c r="MEC157" s="65" t="n"/>
      <c r="MED157" s="65" t="n"/>
      <c r="MEE157" s="65" t="n"/>
      <c r="MEF157" s="65" t="n"/>
      <c r="MEG157" s="65" t="n"/>
      <c r="MEH157" s="65" t="n"/>
      <c r="MEI157" s="65" t="n"/>
      <c r="MEJ157" s="65" t="n"/>
      <c r="MEK157" s="65" t="n"/>
      <c r="MEL157" s="65" t="n"/>
      <c r="MEM157" s="65" t="n"/>
      <c r="MEN157" s="65" t="n"/>
      <c r="MEO157" s="65" t="n"/>
      <c r="MEP157" s="65" t="n"/>
      <c r="MEQ157" s="65" t="n"/>
      <c r="MER157" s="65" t="n"/>
      <c r="MES157" s="65" t="n"/>
      <c r="MET157" s="65" t="n"/>
      <c r="MEU157" s="65" t="n"/>
      <c r="MEV157" s="65" t="n"/>
      <c r="MEW157" s="65" t="n"/>
      <c r="MEX157" s="65" t="n"/>
      <c r="MEY157" s="65" t="n"/>
      <c r="MEZ157" s="65" t="n"/>
      <c r="MFA157" s="65" t="n"/>
      <c r="MFB157" s="65" t="n"/>
      <c r="MFC157" s="65" t="n"/>
      <c r="MFD157" s="65" t="n"/>
      <c r="MFE157" s="65" t="n"/>
      <c r="MFF157" s="65" t="n"/>
      <c r="MFG157" s="65" t="n"/>
      <c r="MFH157" s="65" t="n"/>
      <c r="MFI157" s="65" t="n"/>
      <c r="MFJ157" s="65" t="n"/>
      <c r="MFK157" s="65" t="n"/>
      <c r="MFL157" s="65" t="n"/>
      <c r="MFM157" s="65" t="n"/>
      <c r="MFN157" s="65" t="n"/>
      <c r="MFO157" s="65" t="n"/>
      <c r="MFP157" s="65" t="n"/>
      <c r="MFQ157" s="65" t="n"/>
      <c r="MFR157" s="65" t="n"/>
      <c r="MFS157" s="65" t="n"/>
      <c r="MFT157" s="65" t="n"/>
      <c r="MFU157" s="65" t="n"/>
      <c r="MFV157" s="65" t="n"/>
      <c r="MFW157" s="65" t="n"/>
      <c r="MFX157" s="65" t="n"/>
      <c r="MFY157" s="65" t="n"/>
      <c r="MFZ157" s="65" t="n"/>
      <c r="MGA157" s="65" t="n"/>
      <c r="MGB157" s="65" t="n"/>
      <c r="MGC157" s="65" t="n"/>
      <c r="MGD157" s="65" t="n"/>
      <c r="MGE157" s="65" t="n"/>
      <c r="MGF157" s="65" t="n"/>
      <c r="MGG157" s="65" t="n"/>
      <c r="MGH157" s="65" t="n"/>
      <c r="MGI157" s="65" t="n"/>
      <c r="MGJ157" s="65" t="n"/>
      <c r="MGK157" s="65" t="n"/>
      <c r="MGL157" s="65" t="n"/>
      <c r="MGM157" s="65" t="n"/>
      <c r="MGN157" s="65" t="n"/>
      <c r="MGO157" s="65" t="n"/>
      <c r="MGP157" s="65" t="n"/>
      <c r="MGQ157" s="65" t="n"/>
      <c r="MGR157" s="65" t="n"/>
      <c r="MGS157" s="65" t="n"/>
      <c r="MGT157" s="65" t="n"/>
      <c r="MGU157" s="65" t="n"/>
      <c r="MGV157" s="65" t="n"/>
      <c r="MGW157" s="65" t="n"/>
      <c r="MGX157" s="65" t="n"/>
      <c r="MGY157" s="65" t="n"/>
      <c r="MGZ157" s="65" t="n"/>
      <c r="MHA157" s="65" t="n"/>
      <c r="MHB157" s="65" t="n"/>
      <c r="MHC157" s="65" t="n"/>
      <c r="MHD157" s="65" t="n"/>
      <c r="MHE157" s="65" t="n"/>
      <c r="MHF157" s="65" t="n"/>
      <c r="MHG157" s="65" t="n"/>
      <c r="MHH157" s="65" t="n"/>
      <c r="MHI157" s="65" t="n"/>
      <c r="MHJ157" s="65" t="n"/>
      <c r="MHK157" s="65" t="n"/>
      <c r="MHL157" s="65" t="n"/>
      <c r="MHM157" s="65" t="n"/>
      <c r="MHN157" s="65" t="n"/>
      <c r="MHO157" s="65" t="n"/>
      <c r="MHP157" s="65" t="n"/>
      <c r="MHQ157" s="65" t="n"/>
      <c r="MHR157" s="65" t="n"/>
      <c r="MHS157" s="65" t="n"/>
      <c r="MHT157" s="65" t="n"/>
      <c r="MHU157" s="65" t="n"/>
      <c r="MHV157" s="65" t="n"/>
      <c r="MHW157" s="65" t="n"/>
      <c r="MHX157" s="65" t="n"/>
      <c r="MHY157" s="65" t="n"/>
      <c r="MHZ157" s="65" t="n"/>
      <c r="MIA157" s="65" t="n"/>
      <c r="MIB157" s="65" t="n"/>
      <c r="MIC157" s="65" t="n"/>
      <c r="MID157" s="65" t="n"/>
      <c r="MIE157" s="65" t="n"/>
      <c r="MIF157" s="65" t="n"/>
      <c r="MIG157" s="65" t="n"/>
      <c r="MIH157" s="65" t="n"/>
      <c r="MII157" s="65" t="n"/>
      <c r="MIJ157" s="65" t="n"/>
      <c r="MIK157" s="65" t="n"/>
      <c r="MIL157" s="65" t="n"/>
      <c r="MIM157" s="65" t="n"/>
      <c r="MIN157" s="65" t="n"/>
      <c r="MIO157" s="65" t="n"/>
      <c r="MIP157" s="65" t="n"/>
      <c r="MIQ157" s="65" t="n"/>
      <c r="MIR157" s="65" t="n"/>
      <c r="MIS157" s="65" t="n"/>
      <c r="MIT157" s="65" t="n"/>
      <c r="MIU157" s="65" t="n"/>
      <c r="MIV157" s="65" t="n"/>
      <c r="MIW157" s="65" t="n"/>
      <c r="MIX157" s="65" t="n"/>
      <c r="MIY157" s="65" t="n"/>
      <c r="MIZ157" s="65" t="n"/>
      <c r="MJA157" s="65" t="n"/>
      <c r="MJB157" s="65" t="n"/>
      <c r="MJC157" s="65" t="n"/>
      <c r="MJD157" s="65" t="n"/>
      <c r="MJE157" s="65" t="n"/>
      <c r="MJF157" s="65" t="n"/>
      <c r="MJG157" s="65" t="n"/>
      <c r="MJH157" s="65" t="n"/>
      <c r="MJI157" s="65" t="n"/>
      <c r="MJJ157" s="65" t="n"/>
      <c r="MJK157" s="65" t="n"/>
      <c r="MJL157" s="65" t="n"/>
      <c r="MJM157" s="65" t="n"/>
      <c r="MJN157" s="65" t="n"/>
      <c r="MJO157" s="65" t="n"/>
      <c r="MJP157" s="65" t="n"/>
      <c r="MJQ157" s="65" t="n"/>
      <c r="MJR157" s="65" t="n"/>
      <c r="MJS157" s="65" t="n"/>
      <c r="MJT157" s="65" t="n"/>
      <c r="MJU157" s="65" t="n"/>
      <c r="MJV157" s="65" t="n"/>
      <c r="MJW157" s="65" t="n"/>
      <c r="MJX157" s="65" t="n"/>
      <c r="MJY157" s="65" t="n"/>
      <c r="MJZ157" s="65" t="n"/>
      <c r="MKA157" s="65" t="n"/>
      <c r="MKB157" s="65" t="n"/>
      <c r="MKC157" s="65" t="n"/>
      <c r="MKD157" s="65" t="n"/>
      <c r="MKE157" s="65" t="n"/>
      <c r="MKF157" s="65" t="n"/>
      <c r="MKG157" s="65" t="n"/>
      <c r="MKH157" s="65" t="n"/>
      <c r="MKI157" s="65" t="n"/>
      <c r="MKJ157" s="65" t="n"/>
      <c r="MKK157" s="65" t="n"/>
      <c r="MKL157" s="65" t="n"/>
      <c r="MKM157" s="65" t="n"/>
      <c r="MKN157" s="65" t="n"/>
      <c r="MKO157" s="65" t="n"/>
      <c r="MKP157" s="65" t="n"/>
      <c r="MKQ157" s="65" t="n"/>
      <c r="MKR157" s="65" t="n"/>
      <c r="MKS157" s="65" t="n"/>
      <c r="MKT157" s="65" t="n"/>
      <c r="MKU157" s="65" t="n"/>
      <c r="MKV157" s="65" t="n"/>
      <c r="MKW157" s="65" t="n"/>
      <c r="MKX157" s="65" t="n"/>
      <c r="MKY157" s="65" t="n"/>
      <c r="MKZ157" s="65" t="n"/>
      <c r="MLA157" s="65" t="n"/>
      <c r="MLB157" s="65" t="n"/>
      <c r="MLC157" s="65" t="n"/>
      <c r="MLD157" s="65" t="n"/>
      <c r="MLE157" s="65" t="n"/>
      <c r="MLF157" s="65" t="n"/>
      <c r="MLG157" s="65" t="n"/>
      <c r="MLH157" s="65" t="n"/>
      <c r="MLI157" s="65" t="n"/>
      <c r="MLJ157" s="65" t="n"/>
      <c r="MLK157" s="65" t="n"/>
      <c r="MLL157" s="65" t="n"/>
      <c r="MLM157" s="65" t="n"/>
      <c r="MLN157" s="65" t="n"/>
      <c r="MLO157" s="65" t="n"/>
      <c r="MLP157" s="65" t="n"/>
      <c r="MLQ157" s="65" t="n"/>
      <c r="MLR157" s="65" t="n"/>
      <c r="MLS157" s="65" t="n"/>
      <c r="MLT157" s="65" t="n"/>
      <c r="MLU157" s="65" t="n"/>
      <c r="MLV157" s="65" t="n"/>
      <c r="MLW157" s="65" t="n"/>
      <c r="MLX157" s="65" t="n"/>
      <c r="MLY157" s="65" t="n"/>
      <c r="MLZ157" s="65" t="n"/>
      <c r="MMA157" s="65" t="n"/>
      <c r="MMB157" s="65" t="n"/>
      <c r="MMC157" s="65" t="n"/>
      <c r="MMD157" s="65" t="n"/>
      <c r="MME157" s="65" t="n"/>
      <c r="MMF157" s="65" t="n"/>
      <c r="MMG157" s="65" t="n"/>
      <c r="MMH157" s="65" t="n"/>
      <c r="MMI157" s="65" t="n"/>
      <c r="MMJ157" s="65" t="n"/>
      <c r="MMK157" s="65" t="n"/>
      <c r="MML157" s="65" t="n"/>
      <c r="MMM157" s="65" t="n"/>
      <c r="MMN157" s="65" t="n"/>
      <c r="MMO157" s="65" t="n"/>
      <c r="MMP157" s="65" t="n"/>
      <c r="MMQ157" s="65" t="n"/>
      <c r="MMR157" s="65" t="n"/>
      <c r="MMS157" s="65" t="n"/>
      <c r="MMT157" s="65" t="n"/>
      <c r="MMU157" s="65" t="n"/>
      <c r="MMV157" s="65" t="n"/>
      <c r="MMW157" s="65" t="n"/>
      <c r="MMX157" s="65" t="n"/>
      <c r="MMY157" s="65" t="n"/>
      <c r="MMZ157" s="65" t="n"/>
      <c r="MNA157" s="65" t="n"/>
      <c r="MNB157" s="65" t="n"/>
      <c r="MNC157" s="65" t="n"/>
      <c r="MND157" s="65" t="n"/>
      <c r="MNE157" s="65" t="n"/>
      <c r="MNF157" s="65" t="n"/>
      <c r="MNG157" s="65" t="n"/>
      <c r="MNH157" s="65" t="n"/>
      <c r="MNI157" s="65" t="n"/>
      <c r="MNJ157" s="65" t="n"/>
      <c r="MNK157" s="65" t="n"/>
      <c r="MNL157" s="65" t="n"/>
      <c r="MNM157" s="65" t="n"/>
      <c r="MNN157" s="65" t="n"/>
      <c r="MNO157" s="65" t="n"/>
      <c r="MNP157" s="65" t="n"/>
      <c r="MNQ157" s="65" t="n"/>
      <c r="MNR157" s="65" t="n"/>
      <c r="MNS157" s="65" t="n"/>
      <c r="MNT157" s="65" t="n"/>
      <c r="MNU157" s="65" t="n"/>
      <c r="MNV157" s="65" t="n"/>
      <c r="MNW157" s="65" t="n"/>
      <c r="MNX157" s="65" t="n"/>
      <c r="MNY157" s="65" t="n"/>
      <c r="MNZ157" s="65" t="n"/>
      <c r="MOA157" s="65" t="n"/>
      <c r="MOB157" s="65" t="n"/>
      <c r="MOC157" s="65" t="n"/>
      <c r="MOD157" s="65" t="n"/>
      <c r="MOE157" s="65" t="n"/>
      <c r="MOF157" s="65" t="n"/>
      <c r="MOG157" s="65" t="n"/>
      <c r="MOH157" s="65" t="n"/>
      <c r="MOI157" s="65" t="n"/>
      <c r="MOJ157" s="65" t="n"/>
      <c r="MOK157" s="65" t="n"/>
      <c r="MOL157" s="65" t="n"/>
      <c r="MOM157" s="65" t="n"/>
      <c r="MON157" s="65" t="n"/>
      <c r="MOO157" s="65" t="n"/>
      <c r="MOP157" s="65" t="n"/>
      <c r="MOQ157" s="65" t="n"/>
      <c r="MOR157" s="65" t="n"/>
      <c r="MOS157" s="65" t="n"/>
      <c r="MOT157" s="65" t="n"/>
      <c r="MOU157" s="65" t="n"/>
      <c r="MOV157" s="65" t="n"/>
      <c r="MOW157" s="65" t="n"/>
      <c r="MOX157" s="65" t="n"/>
      <c r="MOY157" s="65" t="n"/>
      <c r="MOZ157" s="65" t="n"/>
      <c r="MPA157" s="65" t="n"/>
      <c r="MPB157" s="65" t="n"/>
      <c r="MPC157" s="65" t="n"/>
      <c r="MPD157" s="65" t="n"/>
      <c r="MPE157" s="65" t="n"/>
      <c r="MPF157" s="65" t="n"/>
      <c r="MPG157" s="65" t="n"/>
      <c r="MPH157" s="65" t="n"/>
      <c r="MPI157" s="65" t="n"/>
      <c r="MPJ157" s="65" t="n"/>
      <c r="MPK157" s="65" t="n"/>
      <c r="MPL157" s="65" t="n"/>
      <c r="MPM157" s="65" t="n"/>
      <c r="MPN157" s="65" t="n"/>
      <c r="MPO157" s="65" t="n"/>
      <c r="MPP157" s="65" t="n"/>
      <c r="MPQ157" s="65" t="n"/>
      <c r="MPR157" s="65" t="n"/>
      <c r="MPS157" s="65" t="n"/>
      <c r="MPT157" s="65" t="n"/>
      <c r="MPU157" s="65" t="n"/>
      <c r="MPV157" s="65" t="n"/>
      <c r="MPW157" s="65" t="n"/>
      <c r="MPX157" s="65" t="n"/>
      <c r="MPY157" s="65" t="n"/>
      <c r="MPZ157" s="65" t="n"/>
      <c r="MQA157" s="65" t="n"/>
      <c r="MQB157" s="65" t="n"/>
      <c r="MQC157" s="65" t="n"/>
      <c r="MQD157" s="65" t="n"/>
      <c r="MQE157" s="65" t="n"/>
      <c r="MQF157" s="65" t="n"/>
      <c r="MQG157" s="65" t="n"/>
      <c r="MQH157" s="65" t="n"/>
      <c r="MQI157" s="65" t="n"/>
      <c r="MQJ157" s="65" t="n"/>
      <c r="MQK157" s="65" t="n"/>
      <c r="MQL157" s="65" t="n"/>
      <c r="MQM157" s="65" t="n"/>
      <c r="MQN157" s="65" t="n"/>
      <c r="MQO157" s="65" t="n"/>
      <c r="MQP157" s="65" t="n"/>
      <c r="MQQ157" s="65" t="n"/>
      <c r="MQR157" s="65" t="n"/>
      <c r="MQS157" s="65" t="n"/>
      <c r="MQT157" s="65" t="n"/>
      <c r="MQU157" s="65" t="n"/>
      <c r="MQV157" s="65" t="n"/>
      <c r="MQW157" s="65" t="n"/>
      <c r="MQX157" s="65" t="n"/>
      <c r="MQY157" s="65" t="n"/>
      <c r="MQZ157" s="65" t="n"/>
      <c r="MRA157" s="65" t="n"/>
      <c r="MRB157" s="65" t="n"/>
      <c r="MRC157" s="65" t="n"/>
      <c r="MRD157" s="65" t="n"/>
      <c r="MRE157" s="65" t="n"/>
      <c r="MRF157" s="65" t="n"/>
      <c r="MRG157" s="65" t="n"/>
      <c r="MRH157" s="65" t="n"/>
      <c r="MRI157" s="65" t="n"/>
      <c r="MRJ157" s="65" t="n"/>
      <c r="MRK157" s="65" t="n"/>
      <c r="MRL157" s="65" t="n"/>
      <c r="MRM157" s="65" t="n"/>
      <c r="MRN157" s="65" t="n"/>
      <c r="MRO157" s="65" t="n"/>
      <c r="MRP157" s="65" t="n"/>
      <c r="MRQ157" s="65" t="n"/>
      <c r="MRR157" s="65" t="n"/>
      <c r="MRS157" s="65" t="n"/>
      <c r="MRT157" s="65" t="n"/>
      <c r="MRU157" s="65" t="n"/>
      <c r="MRV157" s="65" t="n"/>
      <c r="MRW157" s="65" t="n"/>
      <c r="MRX157" s="65" t="n"/>
      <c r="MRY157" s="65" t="n"/>
      <c r="MRZ157" s="65" t="n"/>
      <c r="MSA157" s="65" t="n"/>
      <c r="MSB157" s="65" t="n"/>
      <c r="MSC157" s="65" t="n"/>
      <c r="MSD157" s="65" t="n"/>
      <c r="MSE157" s="65" t="n"/>
      <c r="MSF157" s="65" t="n"/>
      <c r="MSG157" s="65" t="n"/>
      <c r="MSH157" s="65" t="n"/>
      <c r="MSI157" s="65" t="n"/>
      <c r="MSJ157" s="65" t="n"/>
      <c r="MSK157" s="65" t="n"/>
      <c r="MSL157" s="65" t="n"/>
      <c r="MSM157" s="65" t="n"/>
      <c r="MSN157" s="65" t="n"/>
      <c r="MSO157" s="65" t="n"/>
      <c r="MSP157" s="65" t="n"/>
      <c r="MSQ157" s="65" t="n"/>
      <c r="MSR157" s="65" t="n"/>
      <c r="MSS157" s="65" t="n"/>
      <c r="MST157" s="65" t="n"/>
      <c r="MSU157" s="65" t="n"/>
      <c r="MSV157" s="65" t="n"/>
      <c r="MSW157" s="65" t="n"/>
      <c r="MSX157" s="65" t="n"/>
      <c r="MSY157" s="65" t="n"/>
      <c r="MSZ157" s="65" t="n"/>
      <c r="MTA157" s="65" t="n"/>
      <c r="MTB157" s="65" t="n"/>
      <c r="MTC157" s="65" t="n"/>
      <c r="MTD157" s="65" t="n"/>
      <c r="MTE157" s="65" t="n"/>
      <c r="MTF157" s="65" t="n"/>
      <c r="MTG157" s="65" t="n"/>
      <c r="MTH157" s="65" t="n"/>
      <c r="MTI157" s="65" t="n"/>
      <c r="MTJ157" s="65" t="n"/>
      <c r="MTK157" s="65" t="n"/>
      <c r="MTL157" s="65" t="n"/>
      <c r="MTM157" s="65" t="n"/>
      <c r="MTN157" s="65" t="n"/>
      <c r="MTO157" s="65" t="n"/>
      <c r="MTP157" s="65" t="n"/>
      <c r="MTQ157" s="65" t="n"/>
      <c r="MTR157" s="65" t="n"/>
      <c r="MTS157" s="65" t="n"/>
      <c r="MTT157" s="65" t="n"/>
      <c r="MTU157" s="65" t="n"/>
      <c r="MTV157" s="65" t="n"/>
      <c r="MTW157" s="65" t="n"/>
      <c r="MTX157" s="65" t="n"/>
      <c r="MTY157" s="65" t="n"/>
      <c r="MTZ157" s="65" t="n"/>
      <c r="MUA157" s="65" t="n"/>
      <c r="MUB157" s="65" t="n"/>
      <c r="MUC157" s="65" t="n"/>
      <c r="MUD157" s="65" t="n"/>
      <c r="MUE157" s="65" t="n"/>
      <c r="MUF157" s="65" t="n"/>
      <c r="MUG157" s="65" t="n"/>
      <c r="MUH157" s="65" t="n"/>
      <c r="MUI157" s="65" t="n"/>
      <c r="MUJ157" s="65" t="n"/>
      <c r="MUK157" s="65" t="n"/>
      <c r="MUL157" s="65" t="n"/>
      <c r="MUM157" s="65" t="n"/>
      <c r="MUN157" s="65" t="n"/>
      <c r="MUO157" s="65" t="n"/>
      <c r="MUP157" s="65" t="n"/>
      <c r="MUQ157" s="65" t="n"/>
      <c r="MUR157" s="65" t="n"/>
      <c r="MUS157" s="65" t="n"/>
      <c r="MUT157" s="65" t="n"/>
      <c r="MUU157" s="65" t="n"/>
      <c r="MUV157" s="65" t="n"/>
      <c r="MUW157" s="65" t="n"/>
      <c r="MUX157" s="65" t="n"/>
      <c r="MUY157" s="65" t="n"/>
      <c r="MUZ157" s="65" t="n"/>
      <c r="MVA157" s="65" t="n"/>
      <c r="MVB157" s="65" t="n"/>
      <c r="MVC157" s="65" t="n"/>
      <c r="MVD157" s="65" t="n"/>
      <c r="MVE157" s="65" t="n"/>
      <c r="MVF157" s="65" t="n"/>
      <c r="MVG157" s="65" t="n"/>
      <c r="MVH157" s="65" t="n"/>
      <c r="MVI157" s="65" t="n"/>
      <c r="MVJ157" s="65" t="n"/>
      <c r="MVK157" s="65" t="n"/>
      <c r="MVL157" s="65" t="n"/>
      <c r="MVM157" s="65" t="n"/>
      <c r="MVN157" s="65" t="n"/>
      <c r="MVO157" s="65" t="n"/>
      <c r="MVP157" s="65" t="n"/>
      <c r="MVQ157" s="65" t="n"/>
      <c r="MVR157" s="65" t="n"/>
      <c r="MVS157" s="65" t="n"/>
      <c r="MVT157" s="65" t="n"/>
      <c r="MVU157" s="65" t="n"/>
      <c r="MVV157" s="65" t="n"/>
      <c r="MVW157" s="65" t="n"/>
      <c r="MVX157" s="65" t="n"/>
      <c r="MVY157" s="65" t="n"/>
      <c r="MVZ157" s="65" t="n"/>
      <c r="MWA157" s="65" t="n"/>
      <c r="MWB157" s="65" t="n"/>
      <c r="MWC157" s="65" t="n"/>
      <c r="MWD157" s="65" t="n"/>
      <c r="MWE157" s="65" t="n"/>
      <c r="MWF157" s="65" t="n"/>
      <c r="MWG157" s="65" t="n"/>
      <c r="MWH157" s="65" t="n"/>
      <c r="MWI157" s="65" t="n"/>
      <c r="MWJ157" s="65" t="n"/>
      <c r="MWK157" s="65" t="n"/>
      <c r="MWL157" s="65" t="n"/>
      <c r="MWM157" s="65" t="n"/>
      <c r="MWN157" s="65" t="n"/>
      <c r="MWO157" s="65" t="n"/>
      <c r="MWP157" s="65" t="n"/>
      <c r="MWQ157" s="65" t="n"/>
      <c r="MWR157" s="65" t="n"/>
      <c r="MWS157" s="65" t="n"/>
      <c r="MWT157" s="65" t="n"/>
      <c r="MWU157" s="65" t="n"/>
      <c r="MWV157" s="65" t="n"/>
      <c r="MWW157" s="65" t="n"/>
      <c r="MWX157" s="65" t="n"/>
      <c r="MWY157" s="65" t="n"/>
      <c r="MWZ157" s="65" t="n"/>
      <c r="MXA157" s="65" t="n"/>
      <c r="MXB157" s="65" t="n"/>
      <c r="MXC157" s="65" t="n"/>
      <c r="MXD157" s="65" t="n"/>
      <c r="MXE157" s="65" t="n"/>
      <c r="MXF157" s="65" t="n"/>
      <c r="MXG157" s="65" t="n"/>
      <c r="MXH157" s="65" t="n"/>
      <c r="MXI157" s="65" t="n"/>
      <c r="MXJ157" s="65" t="n"/>
      <c r="MXK157" s="65" t="n"/>
      <c r="MXL157" s="65" t="n"/>
      <c r="MXM157" s="65" t="n"/>
      <c r="MXN157" s="65" t="n"/>
      <c r="MXO157" s="65" t="n"/>
      <c r="MXP157" s="65" t="n"/>
      <c r="MXQ157" s="65" t="n"/>
      <c r="MXR157" s="65" t="n"/>
      <c r="MXS157" s="65" t="n"/>
      <c r="MXT157" s="65" t="n"/>
      <c r="MXU157" s="65" t="n"/>
      <c r="MXV157" s="65" t="n"/>
      <c r="MXW157" s="65" t="n"/>
      <c r="MXX157" s="65" t="n"/>
      <c r="MXY157" s="65" t="n"/>
      <c r="MXZ157" s="65" t="n"/>
      <c r="MYA157" s="65" t="n"/>
      <c r="MYB157" s="65" t="n"/>
      <c r="MYC157" s="65" t="n"/>
      <c r="MYD157" s="65" t="n"/>
      <c r="MYE157" s="65" t="n"/>
      <c r="MYF157" s="65" t="n"/>
      <c r="MYG157" s="65" t="n"/>
      <c r="MYH157" s="65" t="n"/>
      <c r="MYI157" s="65" t="n"/>
      <c r="MYJ157" s="65" t="n"/>
      <c r="MYK157" s="65" t="n"/>
      <c r="MYL157" s="65" t="n"/>
      <c r="MYM157" s="65" t="n"/>
      <c r="MYN157" s="65" t="n"/>
      <c r="MYO157" s="65" t="n"/>
      <c r="MYP157" s="65" t="n"/>
      <c r="MYQ157" s="65" t="n"/>
      <c r="MYR157" s="65" t="n"/>
      <c r="MYS157" s="65" t="n"/>
      <c r="MYT157" s="65" t="n"/>
      <c r="MYU157" s="65" t="n"/>
      <c r="MYV157" s="65" t="n"/>
      <c r="MYW157" s="65" t="n"/>
      <c r="MYX157" s="65" t="n"/>
      <c r="MYY157" s="65" t="n"/>
      <c r="MYZ157" s="65" t="n"/>
      <c r="MZA157" s="65" t="n"/>
      <c r="MZB157" s="65" t="n"/>
      <c r="MZC157" s="65" t="n"/>
      <c r="MZD157" s="65" t="n"/>
      <c r="MZE157" s="65" t="n"/>
      <c r="MZF157" s="65" t="n"/>
      <c r="MZG157" s="65" t="n"/>
      <c r="MZH157" s="65" t="n"/>
      <c r="MZI157" s="65" t="n"/>
      <c r="MZJ157" s="65" t="n"/>
      <c r="MZK157" s="65" t="n"/>
      <c r="MZL157" s="65" t="n"/>
      <c r="MZM157" s="65" t="n"/>
      <c r="MZN157" s="65" t="n"/>
      <c r="MZO157" s="65" t="n"/>
      <c r="MZP157" s="65" t="n"/>
      <c r="MZQ157" s="65" t="n"/>
      <c r="MZR157" s="65" t="n"/>
      <c r="MZS157" s="65" t="n"/>
      <c r="MZT157" s="65" t="n"/>
      <c r="MZU157" s="65" t="n"/>
      <c r="MZV157" s="65" t="n"/>
      <c r="MZW157" s="65" t="n"/>
      <c r="MZX157" s="65" t="n"/>
      <c r="MZY157" s="65" t="n"/>
      <c r="MZZ157" s="65" t="n"/>
      <c r="NAA157" s="65" t="n"/>
      <c r="NAB157" s="65" t="n"/>
      <c r="NAC157" s="65" t="n"/>
      <c r="NAD157" s="65" t="n"/>
      <c r="NAE157" s="65" t="n"/>
      <c r="NAF157" s="65" t="n"/>
      <c r="NAG157" s="65" t="n"/>
      <c r="NAH157" s="65" t="n"/>
      <c r="NAI157" s="65" t="n"/>
      <c r="NAJ157" s="65" t="n"/>
      <c r="NAK157" s="65" t="n"/>
      <c r="NAL157" s="65" t="n"/>
      <c r="NAM157" s="65" t="n"/>
      <c r="NAN157" s="65" t="n"/>
      <c r="NAO157" s="65" t="n"/>
      <c r="NAP157" s="65" t="n"/>
      <c r="NAQ157" s="65" t="n"/>
      <c r="NAR157" s="65" t="n"/>
      <c r="NAS157" s="65" t="n"/>
      <c r="NAT157" s="65" t="n"/>
      <c r="NAU157" s="65" t="n"/>
      <c r="NAV157" s="65" t="n"/>
      <c r="NAW157" s="65" t="n"/>
      <c r="NAX157" s="65" t="n"/>
      <c r="NAY157" s="65" t="n"/>
      <c r="NAZ157" s="65" t="n"/>
      <c r="NBA157" s="65" t="n"/>
      <c r="NBB157" s="65" t="n"/>
      <c r="NBC157" s="65" t="n"/>
      <c r="NBD157" s="65" t="n"/>
      <c r="NBE157" s="65" t="n"/>
      <c r="NBF157" s="65" t="n"/>
      <c r="NBG157" s="65" t="n"/>
      <c r="NBH157" s="65" t="n"/>
      <c r="NBI157" s="65" t="n"/>
      <c r="NBJ157" s="65" t="n"/>
      <c r="NBK157" s="65" t="n"/>
      <c r="NBL157" s="65" t="n"/>
      <c r="NBM157" s="65" t="n"/>
      <c r="NBN157" s="65" t="n"/>
      <c r="NBO157" s="65" t="n"/>
      <c r="NBP157" s="65" t="n"/>
      <c r="NBQ157" s="65" t="n"/>
      <c r="NBR157" s="65" t="n"/>
      <c r="NBS157" s="65" t="n"/>
      <c r="NBT157" s="65" t="n"/>
      <c r="NBU157" s="65" t="n"/>
      <c r="NBV157" s="65" t="n"/>
      <c r="NBW157" s="65" t="n"/>
      <c r="NBX157" s="65" t="n"/>
      <c r="NBY157" s="65" t="n"/>
      <c r="NBZ157" s="65" t="n"/>
      <c r="NCA157" s="65" t="n"/>
      <c r="NCB157" s="65" t="n"/>
      <c r="NCC157" s="65" t="n"/>
      <c r="NCD157" s="65" t="n"/>
      <c r="NCE157" s="65" t="n"/>
      <c r="NCF157" s="65" t="n"/>
      <c r="NCG157" s="65" t="n"/>
      <c r="NCH157" s="65" t="n"/>
      <c r="NCI157" s="65" t="n"/>
      <c r="NCJ157" s="65" t="n"/>
      <c r="NCK157" s="65" t="n"/>
      <c r="NCL157" s="65" t="n"/>
      <c r="NCM157" s="65" t="n"/>
      <c r="NCN157" s="65" t="n"/>
      <c r="NCO157" s="65" t="n"/>
      <c r="NCP157" s="65" t="n"/>
      <c r="NCQ157" s="65" t="n"/>
      <c r="NCR157" s="65" t="n"/>
      <c r="NCS157" s="65" t="n"/>
      <c r="NCT157" s="65" t="n"/>
      <c r="NCU157" s="65" t="n"/>
      <c r="NCV157" s="65" t="n"/>
      <c r="NCW157" s="65" t="n"/>
      <c r="NCX157" s="65" t="n"/>
      <c r="NCY157" s="65" t="n"/>
      <c r="NCZ157" s="65" t="n"/>
      <c r="NDA157" s="65" t="n"/>
      <c r="NDB157" s="65" t="n"/>
      <c r="NDC157" s="65" t="n"/>
      <c r="NDD157" s="65" t="n"/>
      <c r="NDE157" s="65" t="n"/>
      <c r="NDF157" s="65" t="n"/>
      <c r="NDG157" s="65" t="n"/>
      <c r="NDH157" s="65" t="n"/>
      <c r="NDI157" s="65" t="n"/>
      <c r="NDJ157" s="65" t="n"/>
      <c r="NDK157" s="65" t="n"/>
      <c r="NDL157" s="65" t="n"/>
      <c r="NDM157" s="65" t="n"/>
      <c r="NDN157" s="65" t="n"/>
      <c r="NDO157" s="65" t="n"/>
      <c r="NDP157" s="65" t="n"/>
      <c r="NDQ157" s="65" t="n"/>
      <c r="NDR157" s="65" t="n"/>
      <c r="NDS157" s="65" t="n"/>
      <c r="NDT157" s="65" t="n"/>
      <c r="NDU157" s="65" t="n"/>
      <c r="NDV157" s="65" t="n"/>
      <c r="NDW157" s="65" t="n"/>
      <c r="NDX157" s="65" t="n"/>
      <c r="NDY157" s="65" t="n"/>
      <c r="NDZ157" s="65" t="n"/>
      <c r="NEA157" s="65" t="n"/>
      <c r="NEB157" s="65" t="n"/>
      <c r="NEC157" s="65" t="n"/>
      <c r="NED157" s="65" t="n"/>
      <c r="NEE157" s="65" t="n"/>
      <c r="NEF157" s="65" t="n"/>
      <c r="NEG157" s="65" t="n"/>
      <c r="NEH157" s="65" t="n"/>
      <c r="NEI157" s="65" t="n"/>
      <c r="NEJ157" s="65" t="n"/>
      <c r="NEK157" s="65" t="n"/>
      <c r="NEL157" s="65" t="n"/>
      <c r="NEM157" s="65" t="n"/>
      <c r="NEN157" s="65" t="n"/>
      <c r="NEO157" s="65" t="n"/>
      <c r="NEP157" s="65" t="n"/>
      <c r="NEQ157" s="65" t="n"/>
      <c r="NER157" s="65" t="n"/>
      <c r="NES157" s="65" t="n"/>
      <c r="NET157" s="65" t="n"/>
      <c r="NEU157" s="65" t="n"/>
      <c r="NEV157" s="65" t="n"/>
      <c r="NEW157" s="65" t="n"/>
      <c r="NEX157" s="65" t="n"/>
      <c r="NEY157" s="65" t="n"/>
      <c r="NEZ157" s="65" t="n"/>
      <c r="NFA157" s="65" t="n"/>
      <c r="NFB157" s="65" t="n"/>
      <c r="NFC157" s="65" t="n"/>
      <c r="NFD157" s="65" t="n"/>
      <c r="NFE157" s="65" t="n"/>
      <c r="NFF157" s="65" t="n"/>
      <c r="NFG157" s="65" t="n"/>
      <c r="NFH157" s="65" t="n"/>
      <c r="NFI157" s="65" t="n"/>
      <c r="NFJ157" s="65" t="n"/>
      <c r="NFK157" s="65" t="n"/>
      <c r="NFL157" s="65" t="n"/>
      <c r="NFM157" s="65" t="n"/>
      <c r="NFN157" s="65" t="n"/>
      <c r="NFO157" s="65" t="n"/>
      <c r="NFP157" s="65" t="n"/>
      <c r="NFQ157" s="65" t="n"/>
      <c r="NFR157" s="65" t="n"/>
      <c r="NFS157" s="65" t="n"/>
      <c r="NFT157" s="65" t="n"/>
      <c r="NFU157" s="65" t="n"/>
      <c r="NFV157" s="65" t="n"/>
      <c r="NFW157" s="65" t="n"/>
      <c r="NFX157" s="65" t="n"/>
      <c r="NFY157" s="65" t="n"/>
      <c r="NFZ157" s="65" t="n"/>
      <c r="NGA157" s="65" t="n"/>
      <c r="NGB157" s="65" t="n"/>
      <c r="NGC157" s="65" t="n"/>
      <c r="NGD157" s="65" t="n"/>
      <c r="NGE157" s="65" t="n"/>
      <c r="NGF157" s="65" t="n"/>
      <c r="NGG157" s="65" t="n"/>
      <c r="NGH157" s="65" t="n"/>
      <c r="NGI157" s="65" t="n"/>
      <c r="NGJ157" s="65" t="n"/>
      <c r="NGK157" s="65" t="n"/>
      <c r="NGL157" s="65" t="n"/>
      <c r="NGM157" s="65" t="n"/>
      <c r="NGN157" s="65" t="n"/>
      <c r="NGO157" s="65" t="n"/>
      <c r="NGP157" s="65" t="n"/>
      <c r="NGQ157" s="65" t="n"/>
      <c r="NGR157" s="65" t="n"/>
      <c r="NGS157" s="65" t="n"/>
      <c r="NGT157" s="65" t="n"/>
      <c r="NGU157" s="65" t="n"/>
      <c r="NGV157" s="65" t="n"/>
      <c r="NGW157" s="65" t="n"/>
      <c r="NGX157" s="65" t="n"/>
      <c r="NGY157" s="65" t="n"/>
      <c r="NGZ157" s="65" t="n"/>
      <c r="NHA157" s="65" t="n"/>
      <c r="NHB157" s="65" t="n"/>
      <c r="NHC157" s="65" t="n"/>
      <c r="NHD157" s="65" t="n"/>
      <c r="NHE157" s="65" t="n"/>
      <c r="NHF157" s="65" t="n"/>
      <c r="NHG157" s="65" t="n"/>
      <c r="NHH157" s="65" t="n"/>
      <c r="NHI157" s="65" t="n"/>
      <c r="NHJ157" s="65" t="n"/>
      <c r="NHK157" s="65" t="n"/>
      <c r="NHL157" s="65" t="n"/>
      <c r="NHM157" s="65" t="n"/>
      <c r="NHN157" s="65" t="n"/>
      <c r="NHO157" s="65" t="n"/>
      <c r="NHP157" s="65" t="n"/>
      <c r="NHQ157" s="65" t="n"/>
      <c r="NHR157" s="65" t="n"/>
      <c r="NHS157" s="65" t="n"/>
      <c r="NHT157" s="65" t="n"/>
      <c r="NHU157" s="65" t="n"/>
      <c r="NHV157" s="65" t="n"/>
      <c r="NHW157" s="65" t="n"/>
      <c r="NHX157" s="65" t="n"/>
      <c r="NHY157" s="65" t="n"/>
      <c r="NHZ157" s="65" t="n"/>
      <c r="NIA157" s="65" t="n"/>
      <c r="NIB157" s="65" t="n"/>
      <c r="NIC157" s="65" t="n"/>
      <c r="NID157" s="65" t="n"/>
      <c r="NIE157" s="65" t="n"/>
      <c r="NIF157" s="65" t="n"/>
      <c r="NIG157" s="65" t="n"/>
      <c r="NIH157" s="65" t="n"/>
      <c r="NII157" s="65" t="n"/>
      <c r="NIJ157" s="65" t="n"/>
      <c r="NIK157" s="65" t="n"/>
      <c r="NIL157" s="65" t="n"/>
      <c r="NIM157" s="65" t="n"/>
      <c r="NIN157" s="65" t="n"/>
      <c r="NIO157" s="65" t="n"/>
      <c r="NIP157" s="65" t="n"/>
      <c r="NIQ157" s="65" t="n"/>
      <c r="NIR157" s="65" t="n"/>
      <c r="NIS157" s="65" t="n"/>
      <c r="NIT157" s="65" t="n"/>
      <c r="NIU157" s="65" t="n"/>
      <c r="NIV157" s="65" t="n"/>
      <c r="NIW157" s="65" t="n"/>
      <c r="NIX157" s="65" t="n"/>
      <c r="NIY157" s="65" t="n"/>
      <c r="NIZ157" s="65" t="n"/>
      <c r="NJA157" s="65" t="n"/>
      <c r="NJB157" s="65" t="n"/>
      <c r="NJC157" s="65" t="n"/>
      <c r="NJD157" s="65" t="n"/>
      <c r="NJE157" s="65" t="n"/>
      <c r="NJF157" s="65" t="n"/>
      <c r="NJG157" s="65" t="n"/>
      <c r="NJH157" s="65" t="n"/>
      <c r="NJI157" s="65" t="n"/>
      <c r="NJJ157" s="65" t="n"/>
      <c r="NJK157" s="65" t="n"/>
      <c r="NJL157" s="65" t="n"/>
      <c r="NJM157" s="65" t="n"/>
      <c r="NJN157" s="65" t="n"/>
      <c r="NJO157" s="65" t="n"/>
      <c r="NJP157" s="65" t="n"/>
      <c r="NJQ157" s="65" t="n"/>
      <c r="NJR157" s="65" t="n"/>
      <c r="NJS157" s="65" t="n"/>
      <c r="NJT157" s="65" t="n"/>
      <c r="NJU157" s="65" t="n"/>
      <c r="NJV157" s="65" t="n"/>
      <c r="NJW157" s="65" t="n"/>
      <c r="NJX157" s="65" t="n"/>
      <c r="NJY157" s="65" t="n"/>
      <c r="NJZ157" s="65" t="n"/>
      <c r="NKA157" s="65" t="n"/>
      <c r="NKB157" s="65" t="n"/>
      <c r="NKC157" s="65" t="n"/>
      <c r="NKD157" s="65" t="n"/>
      <c r="NKE157" s="65" t="n"/>
      <c r="NKF157" s="65" t="n"/>
      <c r="NKG157" s="65" t="n"/>
      <c r="NKH157" s="65" t="n"/>
      <c r="NKI157" s="65" t="n"/>
      <c r="NKJ157" s="65" t="n"/>
      <c r="NKK157" s="65" t="n"/>
      <c r="NKL157" s="65" t="n"/>
      <c r="NKM157" s="65" t="n"/>
      <c r="NKN157" s="65" t="n"/>
      <c r="NKO157" s="65" t="n"/>
      <c r="NKP157" s="65" t="n"/>
      <c r="NKQ157" s="65" t="n"/>
      <c r="NKR157" s="65" t="n"/>
      <c r="NKS157" s="65" t="n"/>
      <c r="NKT157" s="65" t="n"/>
      <c r="NKU157" s="65" t="n"/>
      <c r="NKV157" s="65" t="n"/>
      <c r="NKW157" s="65" t="n"/>
      <c r="NKX157" s="65" t="n"/>
      <c r="NKY157" s="65" t="n"/>
      <c r="NKZ157" s="65" t="n"/>
      <c r="NLA157" s="65" t="n"/>
      <c r="NLB157" s="65" t="n"/>
      <c r="NLC157" s="65" t="n"/>
      <c r="NLD157" s="65" t="n"/>
      <c r="NLE157" s="65" t="n"/>
      <c r="NLF157" s="65" t="n"/>
      <c r="NLG157" s="65" t="n"/>
      <c r="NLH157" s="65" t="n"/>
      <c r="NLI157" s="65" t="n"/>
      <c r="NLJ157" s="65" t="n"/>
      <c r="NLK157" s="65" t="n"/>
      <c r="NLL157" s="65" t="n"/>
      <c r="NLM157" s="65" t="n"/>
      <c r="NLN157" s="65" t="n"/>
      <c r="NLO157" s="65" t="n"/>
      <c r="NLP157" s="65" t="n"/>
      <c r="NLQ157" s="65" t="n"/>
      <c r="NLR157" s="65" t="n"/>
      <c r="NLS157" s="65" t="n"/>
      <c r="NLT157" s="65" t="n"/>
      <c r="NLU157" s="65" t="n"/>
      <c r="NLV157" s="65" t="n"/>
      <c r="NLW157" s="65" t="n"/>
      <c r="NLX157" s="65" t="n"/>
      <c r="NLY157" s="65" t="n"/>
      <c r="NLZ157" s="65" t="n"/>
      <c r="NMA157" s="65" t="n"/>
      <c r="NMB157" s="65" t="n"/>
      <c r="NMC157" s="65" t="n"/>
      <c r="NMD157" s="65" t="n"/>
      <c r="NME157" s="65" t="n"/>
      <c r="NMF157" s="65" t="n"/>
      <c r="NMG157" s="65" t="n"/>
      <c r="NMH157" s="65" t="n"/>
      <c r="NMI157" s="65" t="n"/>
      <c r="NMJ157" s="65" t="n"/>
      <c r="NMK157" s="65" t="n"/>
      <c r="NML157" s="65" t="n"/>
      <c r="NMM157" s="65" t="n"/>
      <c r="NMN157" s="65" t="n"/>
      <c r="NMO157" s="65" t="n"/>
      <c r="NMP157" s="65" t="n"/>
      <c r="NMQ157" s="65" t="n"/>
      <c r="NMR157" s="65" t="n"/>
      <c r="NMS157" s="65" t="n"/>
      <c r="NMT157" s="65" t="n"/>
      <c r="NMU157" s="65" t="n"/>
      <c r="NMV157" s="65" t="n"/>
      <c r="NMW157" s="65" t="n"/>
      <c r="NMX157" s="65" t="n"/>
      <c r="NMY157" s="65" t="n"/>
      <c r="NMZ157" s="65" t="n"/>
      <c r="NNA157" s="65" t="n"/>
      <c r="NNB157" s="65" t="n"/>
      <c r="NNC157" s="65" t="n"/>
      <c r="NND157" s="65" t="n"/>
      <c r="NNE157" s="65" t="n"/>
      <c r="NNF157" s="65" t="n"/>
      <c r="NNG157" s="65" t="n"/>
      <c r="NNH157" s="65" t="n"/>
      <c r="NNI157" s="65" t="n"/>
      <c r="NNJ157" s="65" t="n"/>
      <c r="NNK157" s="65" t="n"/>
      <c r="NNL157" s="65" t="n"/>
      <c r="NNM157" s="65" t="n"/>
      <c r="NNN157" s="65" t="n"/>
      <c r="NNO157" s="65" t="n"/>
      <c r="NNP157" s="65" t="n"/>
      <c r="NNQ157" s="65" t="n"/>
      <c r="NNR157" s="65" t="n"/>
      <c r="NNS157" s="65" t="n"/>
      <c r="NNT157" s="65" t="n"/>
      <c r="NNU157" s="65" t="n"/>
      <c r="NNV157" s="65" t="n"/>
      <c r="NNW157" s="65" t="n"/>
      <c r="NNX157" s="65" t="n"/>
      <c r="NNY157" s="65" t="n"/>
      <c r="NNZ157" s="65" t="n"/>
      <c r="NOA157" s="65" t="n"/>
      <c r="NOB157" s="65" t="n"/>
      <c r="NOC157" s="65" t="n"/>
      <c r="NOD157" s="65" t="n"/>
      <c r="NOE157" s="65" t="n"/>
      <c r="NOF157" s="65" t="n"/>
      <c r="NOG157" s="65" t="n"/>
      <c r="NOH157" s="65" t="n"/>
      <c r="NOI157" s="65" t="n"/>
      <c r="NOJ157" s="65" t="n"/>
      <c r="NOK157" s="65" t="n"/>
      <c r="NOL157" s="65" t="n"/>
      <c r="NOM157" s="65" t="n"/>
      <c r="NON157" s="65" t="n"/>
      <c r="NOO157" s="65" t="n"/>
      <c r="NOP157" s="65" t="n"/>
      <c r="NOQ157" s="65" t="n"/>
      <c r="NOR157" s="65" t="n"/>
      <c r="NOS157" s="65" t="n"/>
      <c r="NOT157" s="65" t="n"/>
      <c r="NOU157" s="65" t="n"/>
      <c r="NOV157" s="65" t="n"/>
      <c r="NOW157" s="65" t="n"/>
      <c r="NOX157" s="65" t="n"/>
      <c r="NOY157" s="65" t="n"/>
      <c r="NOZ157" s="65" t="n"/>
      <c r="NPA157" s="65" t="n"/>
      <c r="NPB157" s="65" t="n"/>
      <c r="NPC157" s="65" t="n"/>
      <c r="NPD157" s="65" t="n"/>
      <c r="NPE157" s="65" t="n"/>
      <c r="NPF157" s="65" t="n"/>
      <c r="NPG157" s="65" t="n"/>
      <c r="NPH157" s="65" t="n"/>
      <c r="NPI157" s="65" t="n"/>
      <c r="NPJ157" s="65" t="n"/>
      <c r="NPK157" s="65" t="n"/>
      <c r="NPL157" s="65" t="n"/>
      <c r="NPM157" s="65" t="n"/>
      <c r="NPN157" s="65" t="n"/>
      <c r="NPO157" s="65" t="n"/>
      <c r="NPP157" s="65" t="n"/>
      <c r="NPQ157" s="65" t="n"/>
      <c r="NPR157" s="65" t="n"/>
      <c r="NPS157" s="65" t="n"/>
      <c r="NPT157" s="65" t="n"/>
      <c r="NPU157" s="65" t="n"/>
      <c r="NPV157" s="65" t="n"/>
      <c r="NPW157" s="65" t="n"/>
      <c r="NPX157" s="65" t="n"/>
      <c r="NPY157" s="65" t="n"/>
      <c r="NPZ157" s="65" t="n"/>
      <c r="NQA157" s="65" t="n"/>
      <c r="NQB157" s="65" t="n"/>
      <c r="NQC157" s="65" t="n"/>
      <c r="NQD157" s="65" t="n"/>
      <c r="NQE157" s="65" t="n"/>
      <c r="NQF157" s="65" t="n"/>
      <c r="NQG157" s="65" t="n"/>
      <c r="NQH157" s="65" t="n"/>
      <c r="NQI157" s="65" t="n"/>
      <c r="NQJ157" s="65" t="n"/>
      <c r="NQK157" s="65" t="n"/>
      <c r="NQL157" s="65" t="n"/>
      <c r="NQM157" s="65" t="n"/>
      <c r="NQN157" s="65" t="n"/>
      <c r="NQO157" s="65" t="n"/>
      <c r="NQP157" s="65" t="n"/>
      <c r="NQQ157" s="65" t="n"/>
      <c r="NQR157" s="65" t="n"/>
      <c r="NQS157" s="65" t="n"/>
      <c r="NQT157" s="65" t="n"/>
      <c r="NQU157" s="65" t="n"/>
      <c r="NQV157" s="65" t="n"/>
      <c r="NQW157" s="65" t="n"/>
      <c r="NQX157" s="65" t="n"/>
      <c r="NQY157" s="65" t="n"/>
      <c r="NQZ157" s="65" t="n"/>
      <c r="NRA157" s="65" t="n"/>
      <c r="NRB157" s="65" t="n"/>
      <c r="NRC157" s="65" t="n"/>
      <c r="NRD157" s="65" t="n"/>
      <c r="NRE157" s="65" t="n"/>
      <c r="NRF157" s="65" t="n"/>
      <c r="NRG157" s="65" t="n"/>
      <c r="NRH157" s="65" t="n"/>
      <c r="NRI157" s="65" t="n"/>
      <c r="NRJ157" s="65" t="n"/>
      <c r="NRK157" s="65" t="n"/>
      <c r="NRL157" s="65" t="n"/>
      <c r="NRM157" s="65" t="n"/>
      <c r="NRN157" s="65" t="n"/>
      <c r="NRO157" s="65" t="n"/>
      <c r="NRP157" s="65" t="n"/>
      <c r="NRQ157" s="65" t="n"/>
      <c r="NRR157" s="65" t="n"/>
      <c r="NRS157" s="65" t="n"/>
      <c r="NRT157" s="65" t="n"/>
      <c r="NRU157" s="65" t="n"/>
      <c r="NRV157" s="65" t="n"/>
      <c r="NRW157" s="65" t="n"/>
      <c r="NRX157" s="65" t="n"/>
      <c r="NRY157" s="65" t="n"/>
      <c r="NRZ157" s="65" t="n"/>
      <c r="NSA157" s="65" t="n"/>
      <c r="NSB157" s="65" t="n"/>
      <c r="NSC157" s="65" t="n"/>
      <c r="NSD157" s="65" t="n"/>
      <c r="NSE157" s="65" t="n"/>
      <c r="NSF157" s="65" t="n"/>
      <c r="NSG157" s="65" t="n"/>
      <c r="NSH157" s="65" t="n"/>
      <c r="NSI157" s="65" t="n"/>
      <c r="NSJ157" s="65" t="n"/>
      <c r="NSK157" s="65" t="n"/>
      <c r="NSL157" s="65" t="n"/>
      <c r="NSM157" s="65" t="n"/>
      <c r="NSN157" s="65" t="n"/>
      <c r="NSO157" s="65" t="n"/>
      <c r="NSP157" s="65" t="n"/>
      <c r="NSQ157" s="65" t="n"/>
      <c r="NSR157" s="65" t="n"/>
      <c r="NSS157" s="65" t="n"/>
      <c r="NST157" s="65" t="n"/>
      <c r="NSU157" s="65" t="n"/>
      <c r="NSV157" s="65" t="n"/>
      <c r="NSW157" s="65" t="n"/>
      <c r="NSX157" s="65" t="n"/>
      <c r="NSY157" s="65" t="n"/>
      <c r="NSZ157" s="65" t="n"/>
      <c r="NTA157" s="65" t="n"/>
      <c r="NTB157" s="65" t="n"/>
      <c r="NTC157" s="65" t="n"/>
      <c r="NTD157" s="65" t="n"/>
      <c r="NTE157" s="65" t="n"/>
      <c r="NTF157" s="65" t="n"/>
      <c r="NTG157" s="65" t="n"/>
      <c r="NTH157" s="65" t="n"/>
      <c r="NTI157" s="65" t="n"/>
      <c r="NTJ157" s="65" t="n"/>
      <c r="NTK157" s="65" t="n"/>
      <c r="NTL157" s="65" t="n"/>
      <c r="NTM157" s="65" t="n"/>
      <c r="NTN157" s="65" t="n"/>
      <c r="NTO157" s="65" t="n"/>
      <c r="NTP157" s="65" t="n"/>
      <c r="NTQ157" s="65" t="n"/>
      <c r="NTR157" s="65" t="n"/>
      <c r="NTS157" s="65" t="n"/>
      <c r="NTT157" s="65" t="n"/>
      <c r="NTU157" s="65" t="n"/>
      <c r="NTV157" s="65" t="n"/>
      <c r="NTW157" s="65" t="n"/>
      <c r="NTX157" s="65" t="n"/>
      <c r="NTY157" s="65" t="n"/>
      <c r="NTZ157" s="65" t="n"/>
      <c r="NUA157" s="65" t="n"/>
      <c r="NUB157" s="65" t="n"/>
      <c r="NUC157" s="65" t="n"/>
      <c r="NUD157" s="65" t="n"/>
      <c r="NUE157" s="65" t="n"/>
      <c r="NUF157" s="65" t="n"/>
      <c r="NUG157" s="65" t="n"/>
      <c r="NUH157" s="65" t="n"/>
      <c r="NUI157" s="65" t="n"/>
      <c r="NUJ157" s="65" t="n"/>
      <c r="NUK157" s="65" t="n"/>
      <c r="NUL157" s="65" t="n"/>
      <c r="NUM157" s="65" t="n"/>
      <c r="NUN157" s="65" t="n"/>
      <c r="NUO157" s="65" t="n"/>
      <c r="NUP157" s="65" t="n"/>
      <c r="NUQ157" s="65" t="n"/>
      <c r="NUR157" s="65" t="n"/>
      <c r="NUS157" s="65" t="n"/>
      <c r="NUT157" s="65" t="n"/>
      <c r="NUU157" s="65" t="n"/>
      <c r="NUV157" s="65" t="n"/>
      <c r="NUW157" s="65" t="n"/>
      <c r="NUX157" s="65" t="n"/>
      <c r="NUY157" s="65" t="n"/>
      <c r="NUZ157" s="65" t="n"/>
      <c r="NVA157" s="65" t="n"/>
      <c r="NVB157" s="65" t="n"/>
      <c r="NVC157" s="65" t="n"/>
      <c r="NVD157" s="65" t="n"/>
      <c r="NVE157" s="65" t="n"/>
      <c r="NVF157" s="65" t="n"/>
      <c r="NVG157" s="65" t="n"/>
      <c r="NVH157" s="65" t="n"/>
      <c r="NVI157" s="65" t="n"/>
      <c r="NVJ157" s="65" t="n"/>
      <c r="NVK157" s="65" t="n"/>
      <c r="NVL157" s="65" t="n"/>
      <c r="NVM157" s="65" t="n"/>
      <c r="NVN157" s="65" t="n"/>
      <c r="NVO157" s="65" t="n"/>
      <c r="NVP157" s="65" t="n"/>
      <c r="NVQ157" s="65" t="n"/>
      <c r="NVR157" s="65" t="n"/>
      <c r="NVS157" s="65" t="n"/>
      <c r="NVT157" s="65" t="n"/>
      <c r="NVU157" s="65" t="n"/>
      <c r="NVV157" s="65" t="n"/>
      <c r="NVW157" s="65" t="n"/>
      <c r="NVX157" s="65" t="n"/>
      <c r="NVY157" s="65" t="n"/>
      <c r="NVZ157" s="65" t="n"/>
      <c r="NWA157" s="65" t="n"/>
      <c r="NWB157" s="65" t="n"/>
      <c r="NWC157" s="65" t="n"/>
      <c r="NWD157" s="65" t="n"/>
      <c r="NWE157" s="65" t="n"/>
      <c r="NWF157" s="65" t="n"/>
      <c r="NWG157" s="65" t="n"/>
      <c r="NWH157" s="65" t="n"/>
      <c r="NWI157" s="65" t="n"/>
      <c r="NWJ157" s="65" t="n"/>
      <c r="NWK157" s="65" t="n"/>
      <c r="NWL157" s="65" t="n"/>
      <c r="NWM157" s="65" t="n"/>
      <c r="NWN157" s="65" t="n"/>
      <c r="NWO157" s="65" t="n"/>
      <c r="NWP157" s="65" t="n"/>
      <c r="NWQ157" s="65" t="n"/>
      <c r="NWR157" s="65" t="n"/>
      <c r="NWS157" s="65" t="n"/>
      <c r="NWT157" s="65" t="n"/>
      <c r="NWU157" s="65" t="n"/>
      <c r="NWV157" s="65" t="n"/>
      <c r="NWW157" s="65" t="n"/>
      <c r="NWX157" s="65" t="n"/>
      <c r="NWY157" s="65" t="n"/>
      <c r="NWZ157" s="65" t="n"/>
      <c r="NXA157" s="65" t="n"/>
      <c r="NXB157" s="65" t="n"/>
      <c r="NXC157" s="65" t="n"/>
      <c r="NXD157" s="65" t="n"/>
      <c r="NXE157" s="65" t="n"/>
      <c r="NXF157" s="65" t="n"/>
      <c r="NXG157" s="65" t="n"/>
      <c r="NXH157" s="65" t="n"/>
      <c r="NXI157" s="65" t="n"/>
      <c r="NXJ157" s="65" t="n"/>
      <c r="NXK157" s="65" t="n"/>
      <c r="NXL157" s="65" t="n"/>
      <c r="NXM157" s="65" t="n"/>
      <c r="NXN157" s="65" t="n"/>
      <c r="NXO157" s="65" t="n"/>
      <c r="NXP157" s="65" t="n"/>
      <c r="NXQ157" s="65" t="n"/>
      <c r="NXR157" s="65" t="n"/>
      <c r="NXS157" s="65" t="n"/>
      <c r="NXT157" s="65" t="n"/>
      <c r="NXU157" s="65" t="n"/>
      <c r="NXV157" s="65" t="n"/>
      <c r="NXW157" s="65" t="n"/>
      <c r="NXX157" s="65" t="n"/>
      <c r="NXY157" s="65" t="n"/>
      <c r="NXZ157" s="65" t="n"/>
      <c r="NYA157" s="65" t="n"/>
      <c r="NYB157" s="65" t="n"/>
      <c r="NYC157" s="65" t="n"/>
      <c r="NYD157" s="65" t="n"/>
      <c r="NYE157" s="65" t="n"/>
      <c r="NYF157" s="65" t="n"/>
      <c r="NYG157" s="65" t="n"/>
      <c r="NYH157" s="65" t="n"/>
      <c r="NYI157" s="65" t="n"/>
      <c r="NYJ157" s="65" t="n"/>
      <c r="NYK157" s="65" t="n"/>
      <c r="NYL157" s="65" t="n"/>
      <c r="NYM157" s="65" t="n"/>
      <c r="NYN157" s="65" t="n"/>
      <c r="NYO157" s="65" t="n"/>
      <c r="NYP157" s="65" t="n"/>
      <c r="NYQ157" s="65" t="n"/>
      <c r="NYR157" s="65" t="n"/>
      <c r="NYS157" s="65" t="n"/>
      <c r="NYT157" s="65" t="n"/>
      <c r="NYU157" s="65" t="n"/>
      <c r="NYV157" s="65" t="n"/>
      <c r="NYW157" s="65" t="n"/>
      <c r="NYX157" s="65" t="n"/>
      <c r="NYY157" s="65" t="n"/>
      <c r="NYZ157" s="65" t="n"/>
      <c r="NZA157" s="65" t="n"/>
      <c r="NZB157" s="65" t="n"/>
      <c r="NZC157" s="65" t="n"/>
      <c r="NZD157" s="65" t="n"/>
      <c r="NZE157" s="65" t="n"/>
      <c r="NZF157" s="65" t="n"/>
      <c r="NZG157" s="65" t="n"/>
      <c r="NZH157" s="65" t="n"/>
      <c r="NZI157" s="65" t="n"/>
      <c r="NZJ157" s="65" t="n"/>
      <c r="NZK157" s="65" t="n"/>
      <c r="NZL157" s="65" t="n"/>
      <c r="NZM157" s="65" t="n"/>
      <c r="NZN157" s="65" t="n"/>
      <c r="NZO157" s="65" t="n"/>
      <c r="NZP157" s="65" t="n"/>
      <c r="NZQ157" s="65" t="n"/>
      <c r="NZR157" s="65" t="n"/>
      <c r="NZS157" s="65" t="n"/>
      <c r="NZT157" s="65" t="n"/>
      <c r="NZU157" s="65" t="n"/>
      <c r="NZV157" s="65" t="n"/>
      <c r="NZW157" s="65" t="n"/>
      <c r="NZX157" s="65" t="n"/>
      <c r="NZY157" s="65" t="n"/>
      <c r="NZZ157" s="65" t="n"/>
      <c r="OAA157" s="65" t="n"/>
      <c r="OAB157" s="65" t="n"/>
      <c r="OAC157" s="65" t="n"/>
      <c r="OAD157" s="65" t="n"/>
      <c r="OAE157" s="65" t="n"/>
      <c r="OAF157" s="65" t="n"/>
      <c r="OAG157" s="65" t="n"/>
      <c r="OAH157" s="65" t="n"/>
      <c r="OAI157" s="65" t="n"/>
      <c r="OAJ157" s="65" t="n"/>
      <c r="OAK157" s="65" t="n"/>
      <c r="OAL157" s="65" t="n"/>
      <c r="OAM157" s="65" t="n"/>
      <c r="OAN157" s="65" t="n"/>
      <c r="OAO157" s="65" t="n"/>
      <c r="OAP157" s="65" t="n"/>
      <c r="OAQ157" s="65" t="n"/>
      <c r="OAR157" s="65" t="n"/>
      <c r="OAS157" s="65" t="n"/>
      <c r="OAT157" s="65" t="n"/>
      <c r="OAU157" s="65" t="n"/>
      <c r="OAV157" s="65" t="n"/>
      <c r="OAW157" s="65" t="n"/>
      <c r="OAX157" s="65" t="n"/>
      <c r="OAY157" s="65" t="n"/>
      <c r="OAZ157" s="65" t="n"/>
      <c r="OBA157" s="65" t="n"/>
      <c r="OBB157" s="65" t="n"/>
      <c r="OBC157" s="65" t="n"/>
      <c r="OBD157" s="65" t="n"/>
      <c r="OBE157" s="65" t="n"/>
      <c r="OBF157" s="65" t="n"/>
      <c r="OBG157" s="65" t="n"/>
      <c r="OBH157" s="65" t="n"/>
      <c r="OBI157" s="65" t="n"/>
      <c r="OBJ157" s="65" t="n"/>
      <c r="OBK157" s="65" t="n"/>
      <c r="OBL157" s="65" t="n"/>
      <c r="OBM157" s="65" t="n"/>
      <c r="OBN157" s="65" t="n"/>
      <c r="OBO157" s="65" t="n"/>
      <c r="OBP157" s="65" t="n"/>
      <c r="OBQ157" s="65" t="n"/>
      <c r="OBR157" s="65" t="n"/>
      <c r="OBS157" s="65" t="n"/>
      <c r="OBT157" s="65" t="n"/>
      <c r="OBU157" s="65" t="n"/>
      <c r="OBV157" s="65" t="n"/>
      <c r="OBW157" s="65" t="n"/>
      <c r="OBX157" s="65" t="n"/>
      <c r="OBY157" s="65" t="n"/>
      <c r="OBZ157" s="65" t="n"/>
      <c r="OCA157" s="65" t="n"/>
      <c r="OCB157" s="65" t="n"/>
      <c r="OCC157" s="65" t="n"/>
      <c r="OCD157" s="65" t="n"/>
      <c r="OCE157" s="65" t="n"/>
      <c r="OCF157" s="65" t="n"/>
      <c r="OCG157" s="65" t="n"/>
      <c r="OCH157" s="65" t="n"/>
      <c r="OCI157" s="65" t="n"/>
      <c r="OCJ157" s="65" t="n"/>
      <c r="OCK157" s="65" t="n"/>
      <c r="OCL157" s="65" t="n"/>
      <c r="OCM157" s="65" t="n"/>
      <c r="OCN157" s="65" t="n"/>
      <c r="OCO157" s="65" t="n"/>
      <c r="OCP157" s="65" t="n"/>
      <c r="OCQ157" s="65" t="n"/>
      <c r="OCR157" s="65" t="n"/>
      <c r="OCS157" s="65" t="n"/>
      <c r="OCT157" s="65" t="n"/>
      <c r="OCU157" s="65" t="n"/>
      <c r="OCV157" s="65" t="n"/>
      <c r="OCW157" s="65" t="n"/>
      <c r="OCX157" s="65" t="n"/>
      <c r="OCY157" s="65" t="n"/>
      <c r="OCZ157" s="65" t="n"/>
      <c r="ODA157" s="65" t="n"/>
      <c r="ODB157" s="65" t="n"/>
      <c r="ODC157" s="65" t="n"/>
      <c r="ODD157" s="65" t="n"/>
      <c r="ODE157" s="65" t="n"/>
      <c r="ODF157" s="65" t="n"/>
      <c r="ODG157" s="65" t="n"/>
      <c r="ODH157" s="65" t="n"/>
      <c r="ODI157" s="65" t="n"/>
      <c r="ODJ157" s="65" t="n"/>
      <c r="ODK157" s="65" t="n"/>
      <c r="ODL157" s="65" t="n"/>
      <c r="ODM157" s="65" t="n"/>
      <c r="ODN157" s="65" t="n"/>
      <c r="ODO157" s="65" t="n"/>
      <c r="ODP157" s="65" t="n"/>
      <c r="ODQ157" s="65" t="n"/>
      <c r="ODR157" s="65" t="n"/>
      <c r="ODS157" s="65" t="n"/>
      <c r="ODT157" s="65" t="n"/>
      <c r="ODU157" s="65" t="n"/>
      <c r="ODV157" s="65" t="n"/>
      <c r="ODW157" s="65" t="n"/>
      <c r="ODX157" s="65" t="n"/>
      <c r="ODY157" s="65" t="n"/>
      <c r="ODZ157" s="65" t="n"/>
      <c r="OEA157" s="65" t="n"/>
      <c r="OEB157" s="65" t="n"/>
      <c r="OEC157" s="65" t="n"/>
      <c r="OED157" s="65" t="n"/>
      <c r="OEE157" s="65" t="n"/>
      <c r="OEF157" s="65" t="n"/>
      <c r="OEG157" s="65" t="n"/>
      <c r="OEH157" s="65" t="n"/>
      <c r="OEI157" s="65" t="n"/>
      <c r="OEJ157" s="65" t="n"/>
      <c r="OEK157" s="65" t="n"/>
      <c r="OEL157" s="65" t="n"/>
      <c r="OEM157" s="65" t="n"/>
      <c r="OEN157" s="65" t="n"/>
      <c r="OEO157" s="65" t="n"/>
      <c r="OEP157" s="65" t="n"/>
      <c r="OEQ157" s="65" t="n"/>
      <c r="OER157" s="65" t="n"/>
      <c r="OES157" s="65" t="n"/>
      <c r="OET157" s="65" t="n"/>
      <c r="OEU157" s="65" t="n"/>
      <c r="OEV157" s="65" t="n"/>
      <c r="OEW157" s="65" t="n"/>
      <c r="OEX157" s="65" t="n"/>
      <c r="OEY157" s="65" t="n"/>
      <c r="OEZ157" s="65" t="n"/>
      <c r="OFA157" s="65" t="n"/>
      <c r="OFB157" s="65" t="n"/>
      <c r="OFC157" s="65" t="n"/>
      <c r="OFD157" s="65" t="n"/>
      <c r="OFE157" s="65" t="n"/>
      <c r="OFF157" s="65" t="n"/>
      <c r="OFG157" s="65" t="n"/>
      <c r="OFH157" s="65" t="n"/>
      <c r="OFI157" s="65" t="n"/>
      <c r="OFJ157" s="65" t="n"/>
      <c r="OFK157" s="65" t="n"/>
      <c r="OFL157" s="65" t="n"/>
      <c r="OFM157" s="65" t="n"/>
      <c r="OFN157" s="65" t="n"/>
      <c r="OFO157" s="65" t="n"/>
      <c r="OFP157" s="65" t="n"/>
      <c r="OFQ157" s="65" t="n"/>
      <c r="OFR157" s="65" t="n"/>
      <c r="OFS157" s="65" t="n"/>
      <c r="OFT157" s="65" t="n"/>
      <c r="OFU157" s="65" t="n"/>
      <c r="OFV157" s="65" t="n"/>
      <c r="OFW157" s="65" t="n"/>
      <c r="OFX157" s="65" t="n"/>
      <c r="OFY157" s="65" t="n"/>
      <c r="OFZ157" s="65" t="n"/>
      <c r="OGA157" s="65" t="n"/>
      <c r="OGB157" s="65" t="n"/>
      <c r="OGC157" s="65" t="n"/>
      <c r="OGD157" s="65" t="n"/>
      <c r="OGE157" s="65" t="n"/>
      <c r="OGF157" s="65" t="n"/>
      <c r="OGG157" s="65" t="n"/>
      <c r="OGH157" s="65" t="n"/>
      <c r="OGI157" s="65" t="n"/>
      <c r="OGJ157" s="65" t="n"/>
      <c r="OGK157" s="65" t="n"/>
      <c r="OGL157" s="65" t="n"/>
      <c r="OGM157" s="65" t="n"/>
      <c r="OGN157" s="65" t="n"/>
      <c r="OGO157" s="65" t="n"/>
      <c r="OGP157" s="65" t="n"/>
      <c r="OGQ157" s="65" t="n"/>
      <c r="OGR157" s="65" t="n"/>
      <c r="OGS157" s="65" t="n"/>
      <c r="OGT157" s="65" t="n"/>
      <c r="OGU157" s="65" t="n"/>
      <c r="OGV157" s="65" t="n"/>
      <c r="OGW157" s="65" t="n"/>
      <c r="OGX157" s="65" t="n"/>
      <c r="OGY157" s="65" t="n"/>
      <c r="OGZ157" s="65" t="n"/>
      <c r="OHA157" s="65" t="n"/>
      <c r="OHB157" s="65" t="n"/>
      <c r="OHC157" s="65" t="n"/>
      <c r="OHD157" s="65" t="n"/>
      <c r="OHE157" s="65" t="n"/>
      <c r="OHF157" s="65" t="n"/>
      <c r="OHG157" s="65" t="n"/>
      <c r="OHH157" s="65" t="n"/>
      <c r="OHI157" s="65" t="n"/>
      <c r="OHJ157" s="65" t="n"/>
      <c r="OHK157" s="65" t="n"/>
      <c r="OHL157" s="65" t="n"/>
      <c r="OHM157" s="65" t="n"/>
      <c r="OHN157" s="65" t="n"/>
      <c r="OHO157" s="65" t="n"/>
      <c r="OHP157" s="65" t="n"/>
      <c r="OHQ157" s="65" t="n"/>
      <c r="OHR157" s="65" t="n"/>
      <c r="OHS157" s="65" t="n"/>
      <c r="OHT157" s="65" t="n"/>
      <c r="OHU157" s="65" t="n"/>
      <c r="OHV157" s="65" t="n"/>
      <c r="OHW157" s="65" t="n"/>
      <c r="OHX157" s="65" t="n"/>
      <c r="OHY157" s="65" t="n"/>
      <c r="OHZ157" s="65" t="n"/>
      <c r="OIA157" s="65" t="n"/>
      <c r="OIB157" s="65" t="n"/>
      <c r="OIC157" s="65" t="n"/>
      <c r="OID157" s="65" t="n"/>
      <c r="OIE157" s="65" t="n"/>
      <c r="OIF157" s="65" t="n"/>
      <c r="OIG157" s="65" t="n"/>
      <c r="OIH157" s="65" t="n"/>
      <c r="OII157" s="65" t="n"/>
      <c r="OIJ157" s="65" t="n"/>
      <c r="OIK157" s="65" t="n"/>
      <c r="OIL157" s="65" t="n"/>
      <c r="OIM157" s="65" t="n"/>
      <c r="OIN157" s="65" t="n"/>
      <c r="OIO157" s="65" t="n"/>
      <c r="OIP157" s="65" t="n"/>
      <c r="OIQ157" s="65" t="n"/>
      <c r="OIR157" s="65" t="n"/>
      <c r="OIS157" s="65" t="n"/>
      <c r="OIT157" s="65" t="n"/>
      <c r="OIU157" s="65" t="n"/>
      <c r="OIV157" s="65" t="n"/>
      <c r="OIW157" s="65" t="n"/>
      <c r="OIX157" s="65" t="n"/>
      <c r="OIY157" s="65" t="n"/>
      <c r="OIZ157" s="65" t="n"/>
      <c r="OJA157" s="65" t="n"/>
      <c r="OJB157" s="65" t="n"/>
      <c r="OJC157" s="65" t="n"/>
      <c r="OJD157" s="65" t="n"/>
      <c r="OJE157" s="65" t="n"/>
      <c r="OJF157" s="65" t="n"/>
      <c r="OJG157" s="65" t="n"/>
      <c r="OJH157" s="65" t="n"/>
      <c r="OJI157" s="65" t="n"/>
      <c r="OJJ157" s="65" t="n"/>
      <c r="OJK157" s="65" t="n"/>
      <c r="OJL157" s="65" t="n"/>
      <c r="OJM157" s="65" t="n"/>
      <c r="OJN157" s="65" t="n"/>
      <c r="OJO157" s="65" t="n"/>
      <c r="OJP157" s="65" t="n"/>
      <c r="OJQ157" s="65" t="n"/>
      <c r="OJR157" s="65" t="n"/>
      <c r="OJS157" s="65" t="n"/>
      <c r="OJT157" s="65" t="n"/>
      <c r="OJU157" s="65" t="n"/>
      <c r="OJV157" s="65" t="n"/>
      <c r="OJW157" s="65" t="n"/>
      <c r="OJX157" s="65" t="n"/>
      <c r="OJY157" s="65" t="n"/>
      <c r="OJZ157" s="65" t="n"/>
      <c r="OKA157" s="65" t="n"/>
      <c r="OKB157" s="65" t="n"/>
      <c r="OKC157" s="65" t="n"/>
      <c r="OKD157" s="65" t="n"/>
      <c r="OKE157" s="65" t="n"/>
      <c r="OKF157" s="65" t="n"/>
      <c r="OKG157" s="65" t="n"/>
      <c r="OKH157" s="65" t="n"/>
      <c r="OKI157" s="65" t="n"/>
      <c r="OKJ157" s="65" t="n"/>
      <c r="OKK157" s="65" t="n"/>
      <c r="OKL157" s="65" t="n"/>
      <c r="OKM157" s="65" t="n"/>
      <c r="OKN157" s="65" t="n"/>
      <c r="OKO157" s="65" t="n"/>
      <c r="OKP157" s="65" t="n"/>
      <c r="OKQ157" s="65" t="n"/>
      <c r="OKR157" s="65" t="n"/>
      <c r="OKS157" s="65" t="n"/>
      <c r="OKT157" s="65" t="n"/>
      <c r="OKU157" s="65" t="n"/>
      <c r="OKV157" s="65" t="n"/>
      <c r="OKW157" s="65" t="n"/>
      <c r="OKX157" s="65" t="n"/>
      <c r="OKY157" s="65" t="n"/>
      <c r="OKZ157" s="65" t="n"/>
      <c r="OLA157" s="65" t="n"/>
      <c r="OLB157" s="65" t="n"/>
      <c r="OLC157" s="65" t="n"/>
      <c r="OLD157" s="65" t="n"/>
      <c r="OLE157" s="65" t="n"/>
      <c r="OLF157" s="65" t="n"/>
      <c r="OLG157" s="65" t="n"/>
      <c r="OLH157" s="65" t="n"/>
      <c r="OLI157" s="65" t="n"/>
      <c r="OLJ157" s="65" t="n"/>
      <c r="OLK157" s="65" t="n"/>
      <c r="OLL157" s="65" t="n"/>
      <c r="OLM157" s="65" t="n"/>
      <c r="OLN157" s="65" t="n"/>
      <c r="OLO157" s="65" t="n"/>
      <c r="OLP157" s="65" t="n"/>
      <c r="OLQ157" s="65" t="n"/>
      <c r="OLR157" s="65" t="n"/>
      <c r="OLS157" s="65" t="n"/>
      <c r="OLT157" s="65" t="n"/>
      <c r="OLU157" s="65" t="n"/>
      <c r="OLV157" s="65" t="n"/>
      <c r="OLW157" s="65" t="n"/>
      <c r="OLX157" s="65" t="n"/>
      <c r="OLY157" s="65" t="n"/>
      <c r="OLZ157" s="65" t="n"/>
      <c r="OMA157" s="65" t="n"/>
      <c r="OMB157" s="65" t="n"/>
      <c r="OMC157" s="65" t="n"/>
      <c r="OMD157" s="65" t="n"/>
      <c r="OME157" s="65" t="n"/>
      <c r="OMF157" s="65" t="n"/>
      <c r="OMG157" s="65" t="n"/>
      <c r="OMH157" s="65" t="n"/>
      <c r="OMI157" s="65" t="n"/>
      <c r="OMJ157" s="65" t="n"/>
      <c r="OMK157" s="65" t="n"/>
      <c r="OML157" s="65" t="n"/>
      <c r="OMM157" s="65" t="n"/>
      <c r="OMN157" s="65" t="n"/>
      <c r="OMO157" s="65" t="n"/>
      <c r="OMP157" s="65" t="n"/>
      <c r="OMQ157" s="65" t="n"/>
      <c r="OMR157" s="65" t="n"/>
      <c r="OMS157" s="65" t="n"/>
      <c r="OMT157" s="65" t="n"/>
      <c r="OMU157" s="65" t="n"/>
      <c r="OMV157" s="65" t="n"/>
      <c r="OMW157" s="65" t="n"/>
      <c r="OMX157" s="65" t="n"/>
      <c r="OMY157" s="65" t="n"/>
      <c r="OMZ157" s="65" t="n"/>
      <c r="ONA157" s="65" t="n"/>
      <c r="ONB157" s="65" t="n"/>
      <c r="ONC157" s="65" t="n"/>
      <c r="OND157" s="65" t="n"/>
      <c r="ONE157" s="65" t="n"/>
      <c r="ONF157" s="65" t="n"/>
      <c r="ONG157" s="65" t="n"/>
      <c r="ONH157" s="65" t="n"/>
      <c r="ONI157" s="65" t="n"/>
      <c r="ONJ157" s="65" t="n"/>
      <c r="ONK157" s="65" t="n"/>
      <c r="ONL157" s="65" t="n"/>
      <c r="ONM157" s="65" t="n"/>
      <c r="ONN157" s="65" t="n"/>
      <c r="ONO157" s="65" t="n"/>
      <c r="ONP157" s="65" t="n"/>
      <c r="ONQ157" s="65" t="n"/>
      <c r="ONR157" s="65" t="n"/>
      <c r="ONS157" s="65" t="n"/>
      <c r="ONT157" s="65" t="n"/>
      <c r="ONU157" s="65" t="n"/>
      <c r="ONV157" s="65" t="n"/>
      <c r="ONW157" s="65" t="n"/>
      <c r="ONX157" s="65" t="n"/>
      <c r="ONY157" s="65" t="n"/>
      <c r="ONZ157" s="65" t="n"/>
      <c r="OOA157" s="65" t="n"/>
      <c r="OOB157" s="65" t="n"/>
      <c r="OOC157" s="65" t="n"/>
      <c r="OOD157" s="65" t="n"/>
      <c r="OOE157" s="65" t="n"/>
      <c r="OOF157" s="65" t="n"/>
      <c r="OOG157" s="65" t="n"/>
      <c r="OOH157" s="65" t="n"/>
      <c r="OOI157" s="65" t="n"/>
      <c r="OOJ157" s="65" t="n"/>
      <c r="OOK157" s="65" t="n"/>
      <c r="OOL157" s="65" t="n"/>
      <c r="OOM157" s="65" t="n"/>
      <c r="OON157" s="65" t="n"/>
      <c r="OOO157" s="65" t="n"/>
      <c r="OOP157" s="65" t="n"/>
      <c r="OOQ157" s="65" t="n"/>
      <c r="OOR157" s="65" t="n"/>
      <c r="OOS157" s="65" t="n"/>
      <c r="OOT157" s="65" t="n"/>
      <c r="OOU157" s="65" t="n"/>
      <c r="OOV157" s="65" t="n"/>
      <c r="OOW157" s="65" t="n"/>
      <c r="OOX157" s="65" t="n"/>
      <c r="OOY157" s="65" t="n"/>
      <c r="OOZ157" s="65" t="n"/>
      <c r="OPA157" s="65" t="n"/>
      <c r="OPB157" s="65" t="n"/>
      <c r="OPC157" s="65" t="n"/>
      <c r="OPD157" s="65" t="n"/>
      <c r="OPE157" s="65" t="n"/>
      <c r="OPF157" s="65" t="n"/>
      <c r="OPG157" s="65" t="n"/>
      <c r="OPH157" s="65" t="n"/>
      <c r="OPI157" s="65" t="n"/>
      <c r="OPJ157" s="65" t="n"/>
      <c r="OPK157" s="65" t="n"/>
      <c r="OPL157" s="65" t="n"/>
      <c r="OPM157" s="65" t="n"/>
      <c r="OPN157" s="65" t="n"/>
      <c r="OPO157" s="65" t="n"/>
      <c r="OPP157" s="65" t="n"/>
      <c r="OPQ157" s="65" t="n"/>
      <c r="OPR157" s="65" t="n"/>
      <c r="OPS157" s="65" t="n"/>
      <c r="OPT157" s="65" t="n"/>
      <c r="OPU157" s="65" t="n"/>
      <c r="OPV157" s="65" t="n"/>
      <c r="OPW157" s="65" t="n"/>
      <c r="OPX157" s="65" t="n"/>
      <c r="OPY157" s="65" t="n"/>
      <c r="OPZ157" s="65" t="n"/>
      <c r="OQA157" s="65" t="n"/>
      <c r="OQB157" s="65" t="n"/>
      <c r="OQC157" s="65" t="n"/>
      <c r="OQD157" s="65" t="n"/>
      <c r="OQE157" s="65" t="n"/>
      <c r="OQF157" s="65" t="n"/>
      <c r="OQG157" s="65" t="n"/>
      <c r="OQH157" s="65" t="n"/>
      <c r="OQI157" s="65" t="n"/>
      <c r="OQJ157" s="65" t="n"/>
      <c r="OQK157" s="65" t="n"/>
      <c r="OQL157" s="65" t="n"/>
      <c r="OQM157" s="65" t="n"/>
      <c r="OQN157" s="65" t="n"/>
      <c r="OQO157" s="65" t="n"/>
      <c r="OQP157" s="65" t="n"/>
      <c r="OQQ157" s="65" t="n"/>
      <c r="OQR157" s="65" t="n"/>
      <c r="OQS157" s="65" t="n"/>
      <c r="OQT157" s="65" t="n"/>
      <c r="OQU157" s="65" t="n"/>
      <c r="OQV157" s="65" t="n"/>
      <c r="OQW157" s="65" t="n"/>
      <c r="OQX157" s="65" t="n"/>
      <c r="OQY157" s="65" t="n"/>
      <c r="OQZ157" s="65" t="n"/>
      <c r="ORA157" s="65" t="n"/>
      <c r="ORB157" s="65" t="n"/>
      <c r="ORC157" s="65" t="n"/>
      <c r="ORD157" s="65" t="n"/>
      <c r="ORE157" s="65" t="n"/>
      <c r="ORF157" s="65" t="n"/>
      <c r="ORG157" s="65" t="n"/>
      <c r="ORH157" s="65" t="n"/>
      <c r="ORI157" s="65" t="n"/>
      <c r="ORJ157" s="65" t="n"/>
      <c r="ORK157" s="65" t="n"/>
      <c r="ORL157" s="65" t="n"/>
      <c r="ORM157" s="65" t="n"/>
      <c r="ORN157" s="65" t="n"/>
      <c r="ORO157" s="65" t="n"/>
      <c r="ORP157" s="65" t="n"/>
      <c r="ORQ157" s="65" t="n"/>
      <c r="ORR157" s="65" t="n"/>
      <c r="ORS157" s="65" t="n"/>
      <c r="ORT157" s="65" t="n"/>
      <c r="ORU157" s="65" t="n"/>
      <c r="ORV157" s="65" t="n"/>
      <c r="ORW157" s="65" t="n"/>
      <c r="ORX157" s="65" t="n"/>
      <c r="ORY157" s="65" t="n"/>
      <c r="ORZ157" s="65" t="n"/>
      <c r="OSA157" s="65" t="n"/>
      <c r="OSB157" s="65" t="n"/>
      <c r="OSC157" s="65" t="n"/>
      <c r="OSD157" s="65" t="n"/>
      <c r="OSE157" s="65" t="n"/>
      <c r="OSF157" s="65" t="n"/>
      <c r="OSG157" s="65" t="n"/>
      <c r="OSH157" s="65" t="n"/>
      <c r="OSI157" s="65" t="n"/>
      <c r="OSJ157" s="65" t="n"/>
      <c r="OSK157" s="65" t="n"/>
      <c r="OSL157" s="65" t="n"/>
      <c r="OSM157" s="65" t="n"/>
      <c r="OSN157" s="65" t="n"/>
      <c r="OSO157" s="65" t="n"/>
      <c r="OSP157" s="65" t="n"/>
      <c r="OSQ157" s="65" t="n"/>
      <c r="OSR157" s="65" t="n"/>
      <c r="OSS157" s="65" t="n"/>
      <c r="OST157" s="65" t="n"/>
      <c r="OSU157" s="65" t="n"/>
      <c r="OSV157" s="65" t="n"/>
      <c r="OSW157" s="65" t="n"/>
      <c r="OSX157" s="65" t="n"/>
      <c r="OSY157" s="65" t="n"/>
      <c r="OSZ157" s="65" t="n"/>
      <c r="OTA157" s="65" t="n"/>
      <c r="OTB157" s="65" t="n"/>
      <c r="OTC157" s="65" t="n"/>
      <c r="OTD157" s="65" t="n"/>
      <c r="OTE157" s="65" t="n"/>
      <c r="OTF157" s="65" t="n"/>
      <c r="OTG157" s="65" t="n"/>
      <c r="OTH157" s="65" t="n"/>
      <c r="OTI157" s="65" t="n"/>
      <c r="OTJ157" s="65" t="n"/>
      <c r="OTK157" s="65" t="n"/>
      <c r="OTL157" s="65" t="n"/>
      <c r="OTM157" s="65" t="n"/>
      <c r="OTN157" s="65" t="n"/>
      <c r="OTO157" s="65" t="n"/>
      <c r="OTP157" s="65" t="n"/>
      <c r="OTQ157" s="65" t="n"/>
      <c r="OTR157" s="65" t="n"/>
      <c r="OTS157" s="65" t="n"/>
      <c r="OTT157" s="65" t="n"/>
      <c r="OTU157" s="65" t="n"/>
      <c r="OTV157" s="65" t="n"/>
      <c r="OTW157" s="65" t="n"/>
      <c r="OTX157" s="65" t="n"/>
      <c r="OTY157" s="65" t="n"/>
      <c r="OTZ157" s="65" t="n"/>
      <c r="OUA157" s="65" t="n"/>
      <c r="OUB157" s="65" t="n"/>
      <c r="OUC157" s="65" t="n"/>
      <c r="OUD157" s="65" t="n"/>
      <c r="OUE157" s="65" t="n"/>
      <c r="OUF157" s="65" t="n"/>
      <c r="OUG157" s="65" t="n"/>
      <c r="OUH157" s="65" t="n"/>
      <c r="OUI157" s="65" t="n"/>
      <c r="OUJ157" s="65" t="n"/>
      <c r="OUK157" s="65" t="n"/>
      <c r="OUL157" s="65" t="n"/>
      <c r="OUM157" s="65" t="n"/>
      <c r="OUN157" s="65" t="n"/>
      <c r="OUO157" s="65" t="n"/>
      <c r="OUP157" s="65" t="n"/>
      <c r="OUQ157" s="65" t="n"/>
      <c r="OUR157" s="65" t="n"/>
      <c r="OUS157" s="65" t="n"/>
      <c r="OUT157" s="65" t="n"/>
      <c r="OUU157" s="65" t="n"/>
      <c r="OUV157" s="65" t="n"/>
      <c r="OUW157" s="65" t="n"/>
      <c r="OUX157" s="65" t="n"/>
      <c r="OUY157" s="65" t="n"/>
      <c r="OUZ157" s="65" t="n"/>
      <c r="OVA157" s="65" t="n"/>
      <c r="OVB157" s="65" t="n"/>
      <c r="OVC157" s="65" t="n"/>
      <c r="OVD157" s="65" t="n"/>
      <c r="OVE157" s="65" t="n"/>
      <c r="OVF157" s="65" t="n"/>
      <c r="OVG157" s="65" t="n"/>
      <c r="OVH157" s="65" t="n"/>
      <c r="OVI157" s="65" t="n"/>
      <c r="OVJ157" s="65" t="n"/>
      <c r="OVK157" s="65" t="n"/>
      <c r="OVL157" s="65" t="n"/>
      <c r="OVM157" s="65" t="n"/>
      <c r="OVN157" s="65" t="n"/>
      <c r="OVO157" s="65" t="n"/>
      <c r="OVP157" s="65" t="n"/>
      <c r="OVQ157" s="65" t="n"/>
      <c r="OVR157" s="65" t="n"/>
      <c r="OVS157" s="65" t="n"/>
      <c r="OVT157" s="65" t="n"/>
      <c r="OVU157" s="65" t="n"/>
      <c r="OVV157" s="65" t="n"/>
      <c r="OVW157" s="65" t="n"/>
      <c r="OVX157" s="65" t="n"/>
      <c r="OVY157" s="65" t="n"/>
      <c r="OVZ157" s="65" t="n"/>
      <c r="OWA157" s="65" t="n"/>
      <c r="OWB157" s="65" t="n"/>
      <c r="OWC157" s="65" t="n"/>
      <c r="OWD157" s="65" t="n"/>
      <c r="OWE157" s="65" t="n"/>
      <c r="OWF157" s="65" t="n"/>
      <c r="OWG157" s="65" t="n"/>
      <c r="OWH157" s="65" t="n"/>
      <c r="OWI157" s="65" t="n"/>
      <c r="OWJ157" s="65" t="n"/>
      <c r="OWK157" s="65" t="n"/>
      <c r="OWL157" s="65" t="n"/>
      <c r="OWM157" s="65" t="n"/>
      <c r="OWN157" s="65" t="n"/>
      <c r="OWO157" s="65" t="n"/>
      <c r="OWP157" s="65" t="n"/>
      <c r="OWQ157" s="65" t="n"/>
      <c r="OWR157" s="65" t="n"/>
      <c r="OWS157" s="65" t="n"/>
      <c r="OWT157" s="65" t="n"/>
      <c r="OWU157" s="65" t="n"/>
      <c r="OWV157" s="65" t="n"/>
      <c r="OWW157" s="65" t="n"/>
      <c r="OWX157" s="65" t="n"/>
      <c r="OWY157" s="65" t="n"/>
      <c r="OWZ157" s="65" t="n"/>
      <c r="OXA157" s="65" t="n"/>
      <c r="OXB157" s="65" t="n"/>
      <c r="OXC157" s="65" t="n"/>
      <c r="OXD157" s="65" t="n"/>
      <c r="OXE157" s="65" t="n"/>
      <c r="OXF157" s="65" t="n"/>
      <c r="OXG157" s="65" t="n"/>
      <c r="OXH157" s="65" t="n"/>
      <c r="OXI157" s="65" t="n"/>
      <c r="OXJ157" s="65" t="n"/>
      <c r="OXK157" s="65" t="n"/>
      <c r="OXL157" s="65" t="n"/>
      <c r="OXM157" s="65" t="n"/>
      <c r="OXN157" s="65" t="n"/>
      <c r="OXO157" s="65" t="n"/>
      <c r="OXP157" s="65" t="n"/>
      <c r="OXQ157" s="65" t="n"/>
      <c r="OXR157" s="65" t="n"/>
      <c r="OXS157" s="65" t="n"/>
      <c r="OXT157" s="65" t="n"/>
      <c r="OXU157" s="65" t="n"/>
      <c r="OXV157" s="65" t="n"/>
      <c r="OXW157" s="65" t="n"/>
      <c r="OXX157" s="65" t="n"/>
      <c r="OXY157" s="65" t="n"/>
      <c r="OXZ157" s="65" t="n"/>
      <c r="OYA157" s="65" t="n"/>
      <c r="OYB157" s="65" t="n"/>
      <c r="OYC157" s="65" t="n"/>
      <c r="OYD157" s="65" t="n"/>
      <c r="OYE157" s="65" t="n"/>
      <c r="OYF157" s="65" t="n"/>
      <c r="OYG157" s="65" t="n"/>
      <c r="OYH157" s="65" t="n"/>
      <c r="OYI157" s="65" t="n"/>
      <c r="OYJ157" s="65" t="n"/>
      <c r="OYK157" s="65" t="n"/>
      <c r="OYL157" s="65" t="n"/>
      <c r="OYM157" s="65" t="n"/>
      <c r="OYN157" s="65" t="n"/>
      <c r="OYO157" s="65" t="n"/>
      <c r="OYP157" s="65" t="n"/>
      <c r="OYQ157" s="65" t="n"/>
      <c r="OYR157" s="65" t="n"/>
      <c r="OYS157" s="65" t="n"/>
      <c r="OYT157" s="65" t="n"/>
      <c r="OYU157" s="65" t="n"/>
      <c r="OYV157" s="65" t="n"/>
      <c r="OYW157" s="65" t="n"/>
      <c r="OYX157" s="65" t="n"/>
      <c r="OYY157" s="65" t="n"/>
      <c r="OYZ157" s="65" t="n"/>
      <c r="OZA157" s="65" t="n"/>
      <c r="OZB157" s="65" t="n"/>
      <c r="OZC157" s="65" t="n"/>
      <c r="OZD157" s="65" t="n"/>
      <c r="OZE157" s="65" t="n"/>
      <c r="OZF157" s="65" t="n"/>
      <c r="OZG157" s="65" t="n"/>
      <c r="OZH157" s="65" t="n"/>
      <c r="OZI157" s="65" t="n"/>
      <c r="OZJ157" s="65" t="n"/>
      <c r="OZK157" s="65" t="n"/>
      <c r="OZL157" s="65" t="n"/>
      <c r="OZM157" s="65" t="n"/>
      <c r="OZN157" s="65" t="n"/>
      <c r="OZO157" s="65" t="n"/>
      <c r="OZP157" s="65" t="n"/>
      <c r="OZQ157" s="65" t="n"/>
      <c r="OZR157" s="65" t="n"/>
      <c r="OZS157" s="65" t="n"/>
      <c r="OZT157" s="65" t="n"/>
      <c r="OZU157" s="65" t="n"/>
      <c r="OZV157" s="65" t="n"/>
      <c r="OZW157" s="65" t="n"/>
      <c r="OZX157" s="65" t="n"/>
      <c r="OZY157" s="65" t="n"/>
      <c r="OZZ157" s="65" t="n"/>
      <c r="PAA157" s="65" t="n"/>
      <c r="PAB157" s="65" t="n"/>
      <c r="PAC157" s="65" t="n"/>
      <c r="PAD157" s="65" t="n"/>
      <c r="PAE157" s="65" t="n"/>
      <c r="PAF157" s="65" t="n"/>
      <c r="PAG157" s="65" t="n"/>
      <c r="PAH157" s="65" t="n"/>
      <c r="PAI157" s="65" t="n"/>
      <c r="PAJ157" s="65" t="n"/>
      <c r="PAK157" s="65" t="n"/>
      <c r="PAL157" s="65" t="n"/>
      <c r="PAM157" s="65" t="n"/>
      <c r="PAN157" s="65" t="n"/>
      <c r="PAO157" s="65" t="n"/>
      <c r="PAP157" s="65" t="n"/>
      <c r="PAQ157" s="65" t="n"/>
      <c r="PAR157" s="65" t="n"/>
      <c r="PAS157" s="65" t="n"/>
      <c r="PAT157" s="65" t="n"/>
      <c r="PAU157" s="65" t="n"/>
      <c r="PAV157" s="65" t="n"/>
      <c r="PAW157" s="65" t="n"/>
      <c r="PAX157" s="65" t="n"/>
      <c r="PAY157" s="65" t="n"/>
      <c r="PAZ157" s="65" t="n"/>
      <c r="PBA157" s="65" t="n"/>
      <c r="PBB157" s="65" t="n"/>
      <c r="PBC157" s="65" t="n"/>
      <c r="PBD157" s="65" t="n"/>
      <c r="PBE157" s="65" t="n"/>
      <c r="PBF157" s="65" t="n"/>
      <c r="PBG157" s="65" t="n"/>
      <c r="PBH157" s="65" t="n"/>
      <c r="PBI157" s="65" t="n"/>
      <c r="PBJ157" s="65" t="n"/>
      <c r="PBK157" s="65" t="n"/>
      <c r="PBL157" s="65" t="n"/>
      <c r="PBM157" s="65" t="n"/>
      <c r="PBN157" s="65" t="n"/>
      <c r="PBO157" s="65" t="n"/>
      <c r="PBP157" s="65" t="n"/>
      <c r="PBQ157" s="65" t="n"/>
      <c r="PBR157" s="65" t="n"/>
      <c r="PBS157" s="65" t="n"/>
      <c r="PBT157" s="65" t="n"/>
      <c r="PBU157" s="65" t="n"/>
      <c r="PBV157" s="65" t="n"/>
      <c r="PBW157" s="65" t="n"/>
      <c r="PBX157" s="65" t="n"/>
      <c r="PBY157" s="65" t="n"/>
      <c r="PBZ157" s="65" t="n"/>
      <c r="PCA157" s="65" t="n"/>
      <c r="PCB157" s="65" t="n"/>
      <c r="PCC157" s="65" t="n"/>
      <c r="PCD157" s="65" t="n"/>
      <c r="PCE157" s="65" t="n"/>
      <c r="PCF157" s="65" t="n"/>
      <c r="PCG157" s="65" t="n"/>
      <c r="PCH157" s="65" t="n"/>
      <c r="PCI157" s="65" t="n"/>
      <c r="PCJ157" s="65" t="n"/>
      <c r="PCK157" s="65" t="n"/>
      <c r="PCL157" s="65" t="n"/>
      <c r="PCM157" s="65" t="n"/>
      <c r="PCN157" s="65" t="n"/>
      <c r="PCO157" s="65" t="n"/>
      <c r="PCP157" s="65" t="n"/>
      <c r="PCQ157" s="65" t="n"/>
      <c r="PCR157" s="65" t="n"/>
      <c r="PCS157" s="65" t="n"/>
      <c r="PCT157" s="65" t="n"/>
      <c r="PCU157" s="65" t="n"/>
      <c r="PCV157" s="65" t="n"/>
      <c r="PCW157" s="65" t="n"/>
      <c r="PCX157" s="65" t="n"/>
      <c r="PCY157" s="65" t="n"/>
      <c r="PCZ157" s="65" t="n"/>
      <c r="PDA157" s="65" t="n"/>
      <c r="PDB157" s="65" t="n"/>
      <c r="PDC157" s="65" t="n"/>
      <c r="PDD157" s="65" t="n"/>
      <c r="PDE157" s="65" t="n"/>
      <c r="PDF157" s="65" t="n"/>
      <c r="PDG157" s="65" t="n"/>
      <c r="PDH157" s="65" t="n"/>
      <c r="PDI157" s="65" t="n"/>
      <c r="PDJ157" s="65" t="n"/>
      <c r="PDK157" s="65" t="n"/>
      <c r="PDL157" s="65" t="n"/>
      <c r="PDM157" s="65" t="n"/>
      <c r="PDN157" s="65" t="n"/>
      <c r="PDO157" s="65" t="n"/>
      <c r="PDP157" s="65" t="n"/>
      <c r="PDQ157" s="65" t="n"/>
      <c r="PDR157" s="65" t="n"/>
      <c r="PDS157" s="65" t="n"/>
      <c r="PDT157" s="65" t="n"/>
      <c r="PDU157" s="65" t="n"/>
      <c r="PDV157" s="65" t="n"/>
      <c r="PDW157" s="65" t="n"/>
      <c r="PDX157" s="65" t="n"/>
      <c r="PDY157" s="65" t="n"/>
      <c r="PDZ157" s="65" t="n"/>
      <c r="PEA157" s="65" t="n"/>
      <c r="PEB157" s="65" t="n"/>
      <c r="PEC157" s="65" t="n"/>
      <c r="PED157" s="65" t="n"/>
      <c r="PEE157" s="65" t="n"/>
      <c r="PEF157" s="65" t="n"/>
      <c r="PEG157" s="65" t="n"/>
      <c r="PEH157" s="65" t="n"/>
      <c r="PEI157" s="65" t="n"/>
      <c r="PEJ157" s="65" t="n"/>
      <c r="PEK157" s="65" t="n"/>
      <c r="PEL157" s="65" t="n"/>
      <c r="PEM157" s="65" t="n"/>
      <c r="PEN157" s="65" t="n"/>
      <c r="PEO157" s="65" t="n"/>
      <c r="PEP157" s="65" t="n"/>
      <c r="PEQ157" s="65" t="n"/>
      <c r="PER157" s="65" t="n"/>
      <c r="PES157" s="65" t="n"/>
      <c r="PET157" s="65" t="n"/>
      <c r="PEU157" s="65" t="n"/>
      <c r="PEV157" s="65" t="n"/>
      <c r="PEW157" s="65" t="n"/>
      <c r="PEX157" s="65" t="n"/>
      <c r="PEY157" s="65" t="n"/>
      <c r="PEZ157" s="65" t="n"/>
      <c r="PFA157" s="65" t="n"/>
      <c r="PFB157" s="65" t="n"/>
      <c r="PFC157" s="65" t="n"/>
      <c r="PFD157" s="65" t="n"/>
      <c r="PFE157" s="65" t="n"/>
      <c r="PFF157" s="65" t="n"/>
      <c r="PFG157" s="65" t="n"/>
      <c r="PFH157" s="65" t="n"/>
      <c r="PFI157" s="65" t="n"/>
      <c r="PFJ157" s="65" t="n"/>
      <c r="PFK157" s="65" t="n"/>
      <c r="PFL157" s="65" t="n"/>
      <c r="PFM157" s="65" t="n"/>
      <c r="PFN157" s="65" t="n"/>
      <c r="PFO157" s="65" t="n"/>
      <c r="PFP157" s="65" t="n"/>
      <c r="PFQ157" s="65" t="n"/>
      <c r="PFR157" s="65" t="n"/>
      <c r="PFS157" s="65" t="n"/>
      <c r="PFT157" s="65" t="n"/>
      <c r="PFU157" s="65" t="n"/>
      <c r="PFV157" s="65" t="n"/>
      <c r="PFW157" s="65" t="n"/>
      <c r="PFX157" s="65" t="n"/>
      <c r="PFY157" s="65" t="n"/>
      <c r="PFZ157" s="65" t="n"/>
      <c r="PGA157" s="65" t="n"/>
      <c r="PGB157" s="65" t="n"/>
      <c r="PGC157" s="65" t="n"/>
      <c r="PGD157" s="65" t="n"/>
      <c r="PGE157" s="65" t="n"/>
      <c r="PGF157" s="65" t="n"/>
      <c r="PGG157" s="65" t="n"/>
      <c r="PGH157" s="65" t="n"/>
      <c r="PGI157" s="65" t="n"/>
      <c r="PGJ157" s="65" t="n"/>
      <c r="PGK157" s="65" t="n"/>
      <c r="PGL157" s="65" t="n"/>
      <c r="PGM157" s="65" t="n"/>
      <c r="PGN157" s="65" t="n"/>
      <c r="PGO157" s="65" t="n"/>
      <c r="PGP157" s="65" t="n"/>
      <c r="PGQ157" s="65" t="n"/>
      <c r="PGR157" s="65" t="n"/>
      <c r="PGS157" s="65" t="n"/>
      <c r="PGT157" s="65" t="n"/>
      <c r="PGU157" s="65" t="n"/>
      <c r="PGV157" s="65" t="n"/>
      <c r="PGW157" s="65" t="n"/>
      <c r="PGX157" s="65" t="n"/>
      <c r="PGY157" s="65" t="n"/>
      <c r="PGZ157" s="65" t="n"/>
      <c r="PHA157" s="65" t="n"/>
      <c r="PHB157" s="65" t="n"/>
      <c r="PHC157" s="65" t="n"/>
      <c r="PHD157" s="65" t="n"/>
      <c r="PHE157" s="65" t="n"/>
      <c r="PHF157" s="65" t="n"/>
      <c r="PHG157" s="65" t="n"/>
      <c r="PHH157" s="65" t="n"/>
      <c r="PHI157" s="65" t="n"/>
      <c r="PHJ157" s="65" t="n"/>
      <c r="PHK157" s="65" t="n"/>
      <c r="PHL157" s="65" t="n"/>
      <c r="PHM157" s="65" t="n"/>
      <c r="PHN157" s="65" t="n"/>
      <c r="PHO157" s="65" t="n"/>
      <c r="PHP157" s="65" t="n"/>
      <c r="PHQ157" s="65" t="n"/>
      <c r="PHR157" s="65" t="n"/>
      <c r="PHS157" s="65" t="n"/>
      <c r="PHT157" s="65" t="n"/>
      <c r="PHU157" s="65" t="n"/>
      <c r="PHV157" s="65" t="n"/>
      <c r="PHW157" s="65" t="n"/>
      <c r="PHX157" s="65" t="n"/>
      <c r="PHY157" s="65" t="n"/>
      <c r="PHZ157" s="65" t="n"/>
      <c r="PIA157" s="65" t="n"/>
      <c r="PIB157" s="65" t="n"/>
      <c r="PIC157" s="65" t="n"/>
      <c r="PID157" s="65" t="n"/>
      <c r="PIE157" s="65" t="n"/>
      <c r="PIF157" s="65" t="n"/>
      <c r="PIG157" s="65" t="n"/>
      <c r="PIH157" s="65" t="n"/>
      <c r="PII157" s="65" t="n"/>
      <c r="PIJ157" s="65" t="n"/>
      <c r="PIK157" s="65" t="n"/>
      <c r="PIL157" s="65" t="n"/>
      <c r="PIM157" s="65" t="n"/>
      <c r="PIN157" s="65" t="n"/>
      <c r="PIO157" s="65" t="n"/>
      <c r="PIP157" s="65" t="n"/>
      <c r="PIQ157" s="65" t="n"/>
      <c r="PIR157" s="65" t="n"/>
      <c r="PIS157" s="65" t="n"/>
      <c r="PIT157" s="65" t="n"/>
      <c r="PIU157" s="65" t="n"/>
      <c r="PIV157" s="65" t="n"/>
      <c r="PIW157" s="65" t="n"/>
      <c r="PIX157" s="65" t="n"/>
      <c r="PIY157" s="65" t="n"/>
      <c r="PIZ157" s="65" t="n"/>
      <c r="PJA157" s="65" t="n"/>
      <c r="PJB157" s="65" t="n"/>
      <c r="PJC157" s="65" t="n"/>
      <c r="PJD157" s="65" t="n"/>
      <c r="PJE157" s="65" t="n"/>
      <c r="PJF157" s="65" t="n"/>
      <c r="PJG157" s="65" t="n"/>
      <c r="PJH157" s="65" t="n"/>
      <c r="PJI157" s="65" t="n"/>
      <c r="PJJ157" s="65" t="n"/>
      <c r="PJK157" s="65" t="n"/>
      <c r="PJL157" s="65" t="n"/>
      <c r="PJM157" s="65" t="n"/>
      <c r="PJN157" s="65" t="n"/>
      <c r="PJO157" s="65" t="n"/>
      <c r="PJP157" s="65" t="n"/>
      <c r="PJQ157" s="65" t="n"/>
      <c r="PJR157" s="65" t="n"/>
      <c r="PJS157" s="65" t="n"/>
      <c r="PJT157" s="65" t="n"/>
      <c r="PJU157" s="65" t="n"/>
      <c r="PJV157" s="65" t="n"/>
      <c r="PJW157" s="65" t="n"/>
      <c r="PJX157" s="65" t="n"/>
      <c r="PJY157" s="65" t="n"/>
      <c r="PJZ157" s="65" t="n"/>
      <c r="PKA157" s="65" t="n"/>
      <c r="PKB157" s="65" t="n"/>
      <c r="PKC157" s="65" t="n"/>
      <c r="PKD157" s="65" t="n"/>
      <c r="PKE157" s="65" t="n"/>
      <c r="PKF157" s="65" t="n"/>
      <c r="PKG157" s="65" t="n"/>
      <c r="PKH157" s="65" t="n"/>
      <c r="PKI157" s="65" t="n"/>
      <c r="PKJ157" s="65" t="n"/>
      <c r="PKK157" s="65" t="n"/>
      <c r="PKL157" s="65" t="n"/>
      <c r="PKM157" s="65" t="n"/>
      <c r="PKN157" s="65" t="n"/>
      <c r="PKO157" s="65" t="n"/>
      <c r="PKP157" s="65" t="n"/>
      <c r="PKQ157" s="65" t="n"/>
      <c r="PKR157" s="65" t="n"/>
      <c r="PKS157" s="65" t="n"/>
      <c r="PKT157" s="65" t="n"/>
      <c r="PKU157" s="65" t="n"/>
      <c r="PKV157" s="65" t="n"/>
      <c r="PKW157" s="65" t="n"/>
      <c r="PKX157" s="65" t="n"/>
      <c r="PKY157" s="65" t="n"/>
      <c r="PKZ157" s="65" t="n"/>
      <c r="PLA157" s="65" t="n"/>
      <c r="PLB157" s="65" t="n"/>
      <c r="PLC157" s="65" t="n"/>
      <c r="PLD157" s="65" t="n"/>
      <c r="PLE157" s="65" t="n"/>
      <c r="PLF157" s="65" t="n"/>
      <c r="PLG157" s="65" t="n"/>
      <c r="PLH157" s="65" t="n"/>
      <c r="PLI157" s="65" t="n"/>
      <c r="PLJ157" s="65" t="n"/>
      <c r="PLK157" s="65" t="n"/>
      <c r="PLL157" s="65" t="n"/>
      <c r="PLM157" s="65" t="n"/>
      <c r="PLN157" s="65" t="n"/>
      <c r="PLO157" s="65" t="n"/>
      <c r="PLP157" s="65" t="n"/>
      <c r="PLQ157" s="65" t="n"/>
      <c r="PLR157" s="65" t="n"/>
      <c r="PLS157" s="65" t="n"/>
      <c r="PLT157" s="65" t="n"/>
      <c r="PLU157" s="65" t="n"/>
      <c r="PLV157" s="65" t="n"/>
      <c r="PLW157" s="65" t="n"/>
      <c r="PLX157" s="65" t="n"/>
      <c r="PLY157" s="65" t="n"/>
      <c r="PLZ157" s="65" t="n"/>
      <c r="PMA157" s="65" t="n"/>
      <c r="PMB157" s="65" t="n"/>
      <c r="PMC157" s="65" t="n"/>
      <c r="PMD157" s="65" t="n"/>
      <c r="PME157" s="65" t="n"/>
      <c r="PMF157" s="65" t="n"/>
      <c r="PMG157" s="65" t="n"/>
      <c r="PMH157" s="65" t="n"/>
      <c r="PMI157" s="65" t="n"/>
      <c r="PMJ157" s="65" t="n"/>
      <c r="PMK157" s="65" t="n"/>
      <c r="PML157" s="65" t="n"/>
      <c r="PMM157" s="65" t="n"/>
      <c r="PMN157" s="65" t="n"/>
      <c r="PMO157" s="65" t="n"/>
      <c r="PMP157" s="65" t="n"/>
      <c r="PMQ157" s="65" t="n"/>
      <c r="PMR157" s="65" t="n"/>
      <c r="PMS157" s="65" t="n"/>
      <c r="PMT157" s="65" t="n"/>
      <c r="PMU157" s="65" t="n"/>
      <c r="PMV157" s="65" t="n"/>
      <c r="PMW157" s="65" t="n"/>
      <c r="PMX157" s="65" t="n"/>
      <c r="PMY157" s="65" t="n"/>
      <c r="PMZ157" s="65" t="n"/>
      <c r="PNA157" s="65" t="n"/>
      <c r="PNB157" s="65" t="n"/>
      <c r="PNC157" s="65" t="n"/>
      <c r="PND157" s="65" t="n"/>
      <c r="PNE157" s="65" t="n"/>
      <c r="PNF157" s="65" t="n"/>
      <c r="PNG157" s="65" t="n"/>
      <c r="PNH157" s="65" t="n"/>
      <c r="PNI157" s="65" t="n"/>
      <c r="PNJ157" s="65" t="n"/>
      <c r="PNK157" s="65" t="n"/>
      <c r="PNL157" s="65" t="n"/>
      <c r="PNM157" s="65" t="n"/>
      <c r="PNN157" s="65" t="n"/>
      <c r="PNO157" s="65" t="n"/>
      <c r="PNP157" s="65" t="n"/>
      <c r="PNQ157" s="65" t="n"/>
      <c r="PNR157" s="65" t="n"/>
      <c r="PNS157" s="65" t="n"/>
      <c r="PNT157" s="65" t="n"/>
      <c r="PNU157" s="65" t="n"/>
      <c r="PNV157" s="65" t="n"/>
      <c r="PNW157" s="65" t="n"/>
      <c r="PNX157" s="65" t="n"/>
      <c r="PNY157" s="65" t="n"/>
      <c r="PNZ157" s="65" t="n"/>
      <c r="POA157" s="65" t="n"/>
      <c r="POB157" s="65" t="n"/>
      <c r="POC157" s="65" t="n"/>
      <c r="POD157" s="65" t="n"/>
      <c r="POE157" s="65" t="n"/>
      <c r="POF157" s="65" t="n"/>
      <c r="POG157" s="65" t="n"/>
      <c r="POH157" s="65" t="n"/>
      <c r="POI157" s="65" t="n"/>
      <c r="POJ157" s="65" t="n"/>
      <c r="POK157" s="65" t="n"/>
      <c r="POL157" s="65" t="n"/>
      <c r="POM157" s="65" t="n"/>
      <c r="PON157" s="65" t="n"/>
      <c r="POO157" s="65" t="n"/>
      <c r="POP157" s="65" t="n"/>
      <c r="POQ157" s="65" t="n"/>
      <c r="POR157" s="65" t="n"/>
      <c r="POS157" s="65" t="n"/>
      <c r="POT157" s="65" t="n"/>
      <c r="POU157" s="65" t="n"/>
      <c r="POV157" s="65" t="n"/>
      <c r="POW157" s="65" t="n"/>
      <c r="POX157" s="65" t="n"/>
      <c r="POY157" s="65" t="n"/>
      <c r="POZ157" s="65" t="n"/>
      <c r="PPA157" s="65" t="n"/>
      <c r="PPB157" s="65" t="n"/>
      <c r="PPC157" s="65" t="n"/>
      <c r="PPD157" s="65" t="n"/>
      <c r="PPE157" s="65" t="n"/>
      <c r="PPF157" s="65" t="n"/>
      <c r="PPG157" s="65" t="n"/>
      <c r="PPH157" s="65" t="n"/>
      <c r="PPI157" s="65" t="n"/>
      <c r="PPJ157" s="65" t="n"/>
      <c r="PPK157" s="65" t="n"/>
      <c r="PPL157" s="65" t="n"/>
      <c r="PPM157" s="65" t="n"/>
      <c r="PPN157" s="65" t="n"/>
      <c r="PPO157" s="65" t="n"/>
      <c r="PPP157" s="65" t="n"/>
      <c r="PPQ157" s="65" t="n"/>
      <c r="PPR157" s="65" t="n"/>
      <c r="PPS157" s="65" t="n"/>
      <c r="PPT157" s="65" t="n"/>
      <c r="PPU157" s="65" t="n"/>
      <c r="PPV157" s="65" t="n"/>
      <c r="PPW157" s="65" t="n"/>
      <c r="PPX157" s="65" t="n"/>
      <c r="PPY157" s="65" t="n"/>
      <c r="PPZ157" s="65" t="n"/>
      <c r="PQA157" s="65" t="n"/>
      <c r="PQB157" s="65" t="n"/>
      <c r="PQC157" s="65" t="n"/>
      <c r="PQD157" s="65" t="n"/>
      <c r="PQE157" s="65" t="n"/>
      <c r="PQF157" s="65" t="n"/>
      <c r="PQG157" s="65" t="n"/>
      <c r="PQH157" s="65" t="n"/>
      <c r="PQI157" s="65" t="n"/>
      <c r="PQJ157" s="65" t="n"/>
      <c r="PQK157" s="65" t="n"/>
      <c r="PQL157" s="65" t="n"/>
      <c r="PQM157" s="65" t="n"/>
      <c r="PQN157" s="65" t="n"/>
      <c r="PQO157" s="65" t="n"/>
      <c r="PQP157" s="65" t="n"/>
      <c r="PQQ157" s="65" t="n"/>
      <c r="PQR157" s="65" t="n"/>
      <c r="PQS157" s="65" t="n"/>
      <c r="PQT157" s="65" t="n"/>
      <c r="PQU157" s="65" t="n"/>
      <c r="PQV157" s="65" t="n"/>
      <c r="PQW157" s="65" t="n"/>
      <c r="PQX157" s="65" t="n"/>
      <c r="PQY157" s="65" t="n"/>
      <c r="PQZ157" s="65" t="n"/>
      <c r="PRA157" s="65" t="n"/>
      <c r="PRB157" s="65" t="n"/>
      <c r="PRC157" s="65" t="n"/>
      <c r="PRD157" s="65" t="n"/>
      <c r="PRE157" s="65" t="n"/>
      <c r="PRF157" s="65" t="n"/>
      <c r="PRG157" s="65" t="n"/>
      <c r="PRH157" s="65" t="n"/>
      <c r="PRI157" s="65" t="n"/>
      <c r="PRJ157" s="65" t="n"/>
      <c r="PRK157" s="65" t="n"/>
      <c r="PRL157" s="65" t="n"/>
      <c r="PRM157" s="65" t="n"/>
      <c r="PRN157" s="65" t="n"/>
      <c r="PRO157" s="65" t="n"/>
      <c r="PRP157" s="65" t="n"/>
      <c r="PRQ157" s="65" t="n"/>
      <c r="PRR157" s="65" t="n"/>
      <c r="PRS157" s="65" t="n"/>
      <c r="PRT157" s="65" t="n"/>
      <c r="PRU157" s="65" t="n"/>
      <c r="PRV157" s="65" t="n"/>
      <c r="PRW157" s="65" t="n"/>
      <c r="PRX157" s="65" t="n"/>
      <c r="PRY157" s="65" t="n"/>
      <c r="PRZ157" s="65" t="n"/>
      <c r="PSA157" s="65" t="n"/>
      <c r="PSB157" s="65" t="n"/>
      <c r="PSC157" s="65" t="n"/>
      <c r="PSD157" s="65" t="n"/>
      <c r="PSE157" s="65" t="n"/>
      <c r="PSF157" s="65" t="n"/>
      <c r="PSG157" s="65" t="n"/>
      <c r="PSH157" s="65" t="n"/>
      <c r="PSI157" s="65" t="n"/>
      <c r="PSJ157" s="65" t="n"/>
      <c r="PSK157" s="65" t="n"/>
      <c r="PSL157" s="65" t="n"/>
      <c r="PSM157" s="65" t="n"/>
      <c r="PSN157" s="65" t="n"/>
      <c r="PSO157" s="65" t="n"/>
      <c r="PSP157" s="65" t="n"/>
      <c r="PSQ157" s="65" t="n"/>
      <c r="PSR157" s="65" t="n"/>
      <c r="PSS157" s="65" t="n"/>
      <c r="PST157" s="65" t="n"/>
      <c r="PSU157" s="65" t="n"/>
      <c r="PSV157" s="65" t="n"/>
      <c r="PSW157" s="65" t="n"/>
      <c r="PSX157" s="65" t="n"/>
      <c r="PSY157" s="65" t="n"/>
      <c r="PSZ157" s="65" t="n"/>
      <c r="PTA157" s="65" t="n"/>
      <c r="PTB157" s="65" t="n"/>
      <c r="PTC157" s="65" t="n"/>
      <c r="PTD157" s="65" t="n"/>
      <c r="PTE157" s="65" t="n"/>
      <c r="PTF157" s="65" t="n"/>
      <c r="PTG157" s="65" t="n"/>
      <c r="PTH157" s="65" t="n"/>
      <c r="PTI157" s="65" t="n"/>
      <c r="PTJ157" s="65" t="n"/>
      <c r="PTK157" s="65" t="n"/>
      <c r="PTL157" s="65" t="n"/>
      <c r="PTM157" s="65" t="n"/>
      <c r="PTN157" s="65" t="n"/>
      <c r="PTO157" s="65" t="n"/>
      <c r="PTP157" s="65" t="n"/>
      <c r="PTQ157" s="65" t="n"/>
      <c r="PTR157" s="65" t="n"/>
      <c r="PTS157" s="65" t="n"/>
      <c r="PTT157" s="65" t="n"/>
      <c r="PTU157" s="65" t="n"/>
      <c r="PTV157" s="65" t="n"/>
      <c r="PTW157" s="65" t="n"/>
      <c r="PTX157" s="65" t="n"/>
      <c r="PTY157" s="65" t="n"/>
      <c r="PTZ157" s="65" t="n"/>
      <c r="PUA157" s="65" t="n"/>
      <c r="PUB157" s="65" t="n"/>
      <c r="PUC157" s="65" t="n"/>
      <c r="PUD157" s="65" t="n"/>
      <c r="PUE157" s="65" t="n"/>
      <c r="PUF157" s="65" t="n"/>
      <c r="PUG157" s="65" t="n"/>
      <c r="PUH157" s="65" t="n"/>
      <c r="PUI157" s="65" t="n"/>
      <c r="PUJ157" s="65" t="n"/>
      <c r="PUK157" s="65" t="n"/>
      <c r="PUL157" s="65" t="n"/>
      <c r="PUM157" s="65" t="n"/>
      <c r="PUN157" s="65" t="n"/>
      <c r="PUO157" s="65" t="n"/>
      <c r="PUP157" s="65" t="n"/>
      <c r="PUQ157" s="65" t="n"/>
      <c r="PUR157" s="65" t="n"/>
      <c r="PUS157" s="65" t="n"/>
      <c r="PUT157" s="65" t="n"/>
      <c r="PUU157" s="65" t="n"/>
      <c r="PUV157" s="65" t="n"/>
      <c r="PUW157" s="65" t="n"/>
      <c r="PUX157" s="65" t="n"/>
      <c r="PUY157" s="65" t="n"/>
      <c r="PUZ157" s="65" t="n"/>
      <c r="PVA157" s="65" t="n"/>
      <c r="PVB157" s="65" t="n"/>
      <c r="PVC157" s="65" t="n"/>
      <c r="PVD157" s="65" t="n"/>
      <c r="PVE157" s="65" t="n"/>
      <c r="PVF157" s="65" t="n"/>
      <c r="PVG157" s="65" t="n"/>
      <c r="PVH157" s="65" t="n"/>
      <c r="PVI157" s="65" t="n"/>
      <c r="PVJ157" s="65" t="n"/>
      <c r="PVK157" s="65" t="n"/>
      <c r="PVL157" s="65" t="n"/>
      <c r="PVM157" s="65" t="n"/>
      <c r="PVN157" s="65" t="n"/>
      <c r="PVO157" s="65" t="n"/>
      <c r="PVP157" s="65" t="n"/>
      <c r="PVQ157" s="65" t="n"/>
      <c r="PVR157" s="65" t="n"/>
      <c r="PVS157" s="65" t="n"/>
      <c r="PVT157" s="65" t="n"/>
      <c r="PVU157" s="65" t="n"/>
      <c r="PVV157" s="65" t="n"/>
      <c r="PVW157" s="65" t="n"/>
      <c r="PVX157" s="65" t="n"/>
      <c r="PVY157" s="65" t="n"/>
      <c r="PVZ157" s="65" t="n"/>
      <c r="PWA157" s="65" t="n"/>
      <c r="PWB157" s="65" t="n"/>
      <c r="PWC157" s="65" t="n"/>
      <c r="PWD157" s="65" t="n"/>
      <c r="PWE157" s="65" t="n"/>
      <c r="PWF157" s="65" t="n"/>
      <c r="PWG157" s="65" t="n"/>
      <c r="PWH157" s="65" t="n"/>
      <c r="PWI157" s="65" t="n"/>
      <c r="PWJ157" s="65" t="n"/>
      <c r="PWK157" s="65" t="n"/>
      <c r="PWL157" s="65" t="n"/>
      <c r="PWM157" s="65" t="n"/>
      <c r="PWN157" s="65" t="n"/>
      <c r="PWO157" s="65" t="n"/>
      <c r="PWP157" s="65" t="n"/>
      <c r="PWQ157" s="65" t="n"/>
      <c r="PWR157" s="65" t="n"/>
      <c r="PWS157" s="65" t="n"/>
      <c r="PWT157" s="65" t="n"/>
      <c r="PWU157" s="65" t="n"/>
      <c r="PWV157" s="65" t="n"/>
      <c r="PWW157" s="65" t="n"/>
      <c r="PWX157" s="65" t="n"/>
      <c r="PWY157" s="65" t="n"/>
      <c r="PWZ157" s="65" t="n"/>
      <c r="PXA157" s="65" t="n"/>
      <c r="PXB157" s="65" t="n"/>
      <c r="PXC157" s="65" t="n"/>
      <c r="PXD157" s="65" t="n"/>
      <c r="PXE157" s="65" t="n"/>
      <c r="PXF157" s="65" t="n"/>
      <c r="PXG157" s="65" t="n"/>
      <c r="PXH157" s="65" t="n"/>
      <c r="PXI157" s="65" t="n"/>
      <c r="PXJ157" s="65" t="n"/>
      <c r="PXK157" s="65" t="n"/>
      <c r="PXL157" s="65" t="n"/>
      <c r="PXM157" s="65" t="n"/>
      <c r="PXN157" s="65" t="n"/>
      <c r="PXO157" s="65" t="n"/>
      <c r="PXP157" s="65" t="n"/>
      <c r="PXQ157" s="65" t="n"/>
      <c r="PXR157" s="65" t="n"/>
      <c r="PXS157" s="65" t="n"/>
      <c r="PXT157" s="65" t="n"/>
      <c r="PXU157" s="65" t="n"/>
      <c r="PXV157" s="65" t="n"/>
      <c r="PXW157" s="65" t="n"/>
      <c r="PXX157" s="65" t="n"/>
      <c r="PXY157" s="65" t="n"/>
      <c r="PXZ157" s="65" t="n"/>
      <c r="PYA157" s="65" t="n"/>
      <c r="PYB157" s="65" t="n"/>
      <c r="PYC157" s="65" t="n"/>
      <c r="PYD157" s="65" t="n"/>
      <c r="PYE157" s="65" t="n"/>
      <c r="PYF157" s="65" t="n"/>
      <c r="PYG157" s="65" t="n"/>
      <c r="PYH157" s="65" t="n"/>
      <c r="PYI157" s="65" t="n"/>
      <c r="PYJ157" s="65" t="n"/>
      <c r="PYK157" s="65" t="n"/>
      <c r="PYL157" s="65" t="n"/>
      <c r="PYM157" s="65" t="n"/>
      <c r="PYN157" s="65" t="n"/>
      <c r="PYO157" s="65" t="n"/>
      <c r="PYP157" s="65" t="n"/>
      <c r="PYQ157" s="65" t="n"/>
      <c r="PYR157" s="65" t="n"/>
      <c r="PYS157" s="65" t="n"/>
      <c r="PYT157" s="65" t="n"/>
      <c r="PYU157" s="65" t="n"/>
      <c r="PYV157" s="65" t="n"/>
      <c r="PYW157" s="65" t="n"/>
      <c r="PYX157" s="65" t="n"/>
      <c r="PYY157" s="65" t="n"/>
      <c r="PYZ157" s="65" t="n"/>
      <c r="PZA157" s="65" t="n"/>
      <c r="PZB157" s="65" t="n"/>
      <c r="PZC157" s="65" t="n"/>
      <c r="PZD157" s="65" t="n"/>
      <c r="PZE157" s="65" t="n"/>
      <c r="PZF157" s="65" t="n"/>
      <c r="PZG157" s="65" t="n"/>
      <c r="PZH157" s="65" t="n"/>
      <c r="PZI157" s="65" t="n"/>
      <c r="PZJ157" s="65" t="n"/>
      <c r="PZK157" s="65" t="n"/>
      <c r="PZL157" s="65" t="n"/>
      <c r="PZM157" s="65" t="n"/>
      <c r="PZN157" s="65" t="n"/>
      <c r="PZO157" s="65" t="n"/>
      <c r="PZP157" s="65" t="n"/>
      <c r="PZQ157" s="65" t="n"/>
      <c r="PZR157" s="65" t="n"/>
      <c r="PZS157" s="65" t="n"/>
      <c r="PZT157" s="65" t="n"/>
      <c r="PZU157" s="65" t="n"/>
      <c r="PZV157" s="65" t="n"/>
      <c r="PZW157" s="65" t="n"/>
      <c r="PZX157" s="65" t="n"/>
      <c r="PZY157" s="65" t="n"/>
      <c r="PZZ157" s="65" t="n"/>
      <c r="QAA157" s="65" t="n"/>
      <c r="QAB157" s="65" t="n"/>
      <c r="QAC157" s="65" t="n"/>
      <c r="QAD157" s="65" t="n"/>
      <c r="QAE157" s="65" t="n"/>
      <c r="QAF157" s="65" t="n"/>
      <c r="QAG157" s="65" t="n"/>
      <c r="QAH157" s="65" t="n"/>
      <c r="QAI157" s="65" t="n"/>
      <c r="QAJ157" s="65" t="n"/>
      <c r="QAK157" s="65" t="n"/>
      <c r="QAL157" s="65" t="n"/>
      <c r="QAM157" s="65" t="n"/>
      <c r="QAN157" s="65" t="n"/>
      <c r="QAO157" s="65" t="n"/>
      <c r="QAP157" s="65" t="n"/>
      <c r="QAQ157" s="65" t="n"/>
      <c r="QAR157" s="65" t="n"/>
      <c r="QAS157" s="65" t="n"/>
      <c r="QAT157" s="65" t="n"/>
      <c r="QAU157" s="65" t="n"/>
      <c r="QAV157" s="65" t="n"/>
      <c r="QAW157" s="65" t="n"/>
      <c r="QAX157" s="65" t="n"/>
      <c r="QAY157" s="65" t="n"/>
      <c r="QAZ157" s="65" t="n"/>
      <c r="QBA157" s="65" t="n"/>
      <c r="QBB157" s="65" t="n"/>
      <c r="QBC157" s="65" t="n"/>
      <c r="QBD157" s="65" t="n"/>
      <c r="QBE157" s="65" t="n"/>
      <c r="QBF157" s="65" t="n"/>
      <c r="QBG157" s="65" t="n"/>
      <c r="QBH157" s="65" t="n"/>
      <c r="QBI157" s="65" t="n"/>
      <c r="QBJ157" s="65" t="n"/>
      <c r="QBK157" s="65" t="n"/>
      <c r="QBL157" s="65" t="n"/>
      <c r="QBM157" s="65" t="n"/>
      <c r="QBN157" s="65" t="n"/>
      <c r="QBO157" s="65" t="n"/>
      <c r="QBP157" s="65" t="n"/>
      <c r="QBQ157" s="65" t="n"/>
      <c r="QBR157" s="65" t="n"/>
      <c r="QBS157" s="65" t="n"/>
      <c r="QBT157" s="65" t="n"/>
      <c r="QBU157" s="65" t="n"/>
      <c r="QBV157" s="65" t="n"/>
      <c r="QBW157" s="65" t="n"/>
      <c r="QBX157" s="65" t="n"/>
      <c r="QBY157" s="65" t="n"/>
      <c r="QBZ157" s="65" t="n"/>
      <c r="QCA157" s="65" t="n"/>
      <c r="QCB157" s="65" t="n"/>
      <c r="QCC157" s="65" t="n"/>
      <c r="QCD157" s="65" t="n"/>
      <c r="QCE157" s="65" t="n"/>
      <c r="QCF157" s="65" t="n"/>
      <c r="QCG157" s="65" t="n"/>
      <c r="QCH157" s="65" t="n"/>
      <c r="QCI157" s="65" t="n"/>
      <c r="QCJ157" s="65" t="n"/>
      <c r="QCK157" s="65" t="n"/>
      <c r="QCL157" s="65" t="n"/>
      <c r="QCM157" s="65" t="n"/>
      <c r="QCN157" s="65" t="n"/>
      <c r="QCO157" s="65" t="n"/>
      <c r="QCP157" s="65" t="n"/>
      <c r="QCQ157" s="65" t="n"/>
      <c r="QCR157" s="65" t="n"/>
      <c r="QCS157" s="65" t="n"/>
      <c r="QCT157" s="65" t="n"/>
      <c r="QCU157" s="65" t="n"/>
      <c r="QCV157" s="65" t="n"/>
      <c r="QCW157" s="65" t="n"/>
      <c r="QCX157" s="65" t="n"/>
      <c r="QCY157" s="65" t="n"/>
      <c r="QCZ157" s="65" t="n"/>
      <c r="QDA157" s="65" t="n"/>
      <c r="QDB157" s="65" t="n"/>
      <c r="QDC157" s="65" t="n"/>
      <c r="QDD157" s="65" t="n"/>
      <c r="QDE157" s="65" t="n"/>
      <c r="QDF157" s="65" t="n"/>
      <c r="QDG157" s="65" t="n"/>
      <c r="QDH157" s="65" t="n"/>
      <c r="QDI157" s="65" t="n"/>
      <c r="QDJ157" s="65" t="n"/>
      <c r="QDK157" s="65" t="n"/>
      <c r="QDL157" s="65" t="n"/>
      <c r="QDM157" s="65" t="n"/>
      <c r="QDN157" s="65" t="n"/>
      <c r="QDO157" s="65" t="n"/>
      <c r="QDP157" s="65" t="n"/>
      <c r="QDQ157" s="65" t="n"/>
      <c r="QDR157" s="65" t="n"/>
      <c r="QDS157" s="65" t="n"/>
      <c r="QDT157" s="65" t="n"/>
      <c r="QDU157" s="65" t="n"/>
      <c r="QDV157" s="65" t="n"/>
      <c r="QDW157" s="65" t="n"/>
      <c r="QDX157" s="65" t="n"/>
      <c r="QDY157" s="65" t="n"/>
      <c r="QDZ157" s="65" t="n"/>
      <c r="QEA157" s="65" t="n"/>
      <c r="QEB157" s="65" t="n"/>
      <c r="QEC157" s="65" t="n"/>
      <c r="QED157" s="65" t="n"/>
      <c r="QEE157" s="65" t="n"/>
      <c r="QEF157" s="65" t="n"/>
      <c r="QEG157" s="65" t="n"/>
      <c r="QEH157" s="65" t="n"/>
      <c r="QEI157" s="65" t="n"/>
      <c r="QEJ157" s="65" t="n"/>
      <c r="QEK157" s="65" t="n"/>
      <c r="QEL157" s="65" t="n"/>
      <c r="QEM157" s="65" t="n"/>
      <c r="QEN157" s="65" t="n"/>
      <c r="QEO157" s="65" t="n"/>
      <c r="QEP157" s="65" t="n"/>
      <c r="QEQ157" s="65" t="n"/>
      <c r="QER157" s="65" t="n"/>
      <c r="QES157" s="65" t="n"/>
      <c r="QET157" s="65" t="n"/>
      <c r="QEU157" s="65" t="n"/>
      <c r="QEV157" s="65" t="n"/>
      <c r="QEW157" s="65" t="n"/>
      <c r="QEX157" s="65" t="n"/>
      <c r="QEY157" s="65" t="n"/>
      <c r="QEZ157" s="65" t="n"/>
      <c r="QFA157" s="65" t="n"/>
      <c r="QFB157" s="65" t="n"/>
      <c r="QFC157" s="65" t="n"/>
      <c r="QFD157" s="65" t="n"/>
      <c r="QFE157" s="65" t="n"/>
      <c r="QFF157" s="65" t="n"/>
      <c r="QFG157" s="65" t="n"/>
      <c r="QFH157" s="65" t="n"/>
      <c r="QFI157" s="65" t="n"/>
      <c r="QFJ157" s="65" t="n"/>
      <c r="QFK157" s="65" t="n"/>
      <c r="QFL157" s="65" t="n"/>
      <c r="QFM157" s="65" t="n"/>
      <c r="QFN157" s="65" t="n"/>
      <c r="QFO157" s="65" t="n"/>
      <c r="QFP157" s="65" t="n"/>
      <c r="QFQ157" s="65" t="n"/>
      <c r="QFR157" s="65" t="n"/>
      <c r="QFS157" s="65" t="n"/>
      <c r="QFT157" s="65" t="n"/>
      <c r="QFU157" s="65" t="n"/>
      <c r="QFV157" s="65" t="n"/>
      <c r="QFW157" s="65" t="n"/>
      <c r="QFX157" s="65" t="n"/>
      <c r="QFY157" s="65" t="n"/>
      <c r="QFZ157" s="65" t="n"/>
      <c r="QGA157" s="65" t="n"/>
      <c r="QGB157" s="65" t="n"/>
      <c r="QGC157" s="65" t="n"/>
      <c r="QGD157" s="65" t="n"/>
      <c r="QGE157" s="65" t="n"/>
      <c r="QGF157" s="65" t="n"/>
      <c r="QGG157" s="65" t="n"/>
      <c r="QGH157" s="65" t="n"/>
      <c r="QGI157" s="65" t="n"/>
      <c r="QGJ157" s="65" t="n"/>
      <c r="QGK157" s="65" t="n"/>
      <c r="QGL157" s="65" t="n"/>
      <c r="QGM157" s="65" t="n"/>
      <c r="QGN157" s="65" t="n"/>
      <c r="QGO157" s="65" t="n"/>
      <c r="QGP157" s="65" t="n"/>
      <c r="QGQ157" s="65" t="n"/>
      <c r="QGR157" s="65" t="n"/>
      <c r="QGS157" s="65" t="n"/>
      <c r="QGT157" s="65" t="n"/>
      <c r="QGU157" s="65" t="n"/>
      <c r="QGV157" s="65" t="n"/>
      <c r="QGW157" s="65" t="n"/>
      <c r="QGX157" s="65" t="n"/>
      <c r="QGY157" s="65" t="n"/>
      <c r="QGZ157" s="65" t="n"/>
      <c r="QHA157" s="65" t="n"/>
      <c r="QHB157" s="65" t="n"/>
      <c r="QHC157" s="65" t="n"/>
      <c r="QHD157" s="65" t="n"/>
      <c r="QHE157" s="65" t="n"/>
      <c r="QHF157" s="65" t="n"/>
      <c r="QHG157" s="65" t="n"/>
      <c r="QHH157" s="65" t="n"/>
      <c r="QHI157" s="65" t="n"/>
      <c r="QHJ157" s="65" t="n"/>
      <c r="QHK157" s="65" t="n"/>
      <c r="QHL157" s="65" t="n"/>
      <c r="QHM157" s="65" t="n"/>
      <c r="QHN157" s="65" t="n"/>
      <c r="QHO157" s="65" t="n"/>
      <c r="QHP157" s="65" t="n"/>
      <c r="QHQ157" s="65" t="n"/>
      <c r="QHR157" s="65" t="n"/>
      <c r="QHS157" s="65" t="n"/>
      <c r="QHT157" s="65" t="n"/>
      <c r="QHU157" s="65" t="n"/>
      <c r="QHV157" s="65" t="n"/>
      <c r="QHW157" s="65" t="n"/>
      <c r="QHX157" s="65" t="n"/>
      <c r="QHY157" s="65" t="n"/>
      <c r="QHZ157" s="65" t="n"/>
      <c r="QIA157" s="65" t="n"/>
      <c r="QIB157" s="65" t="n"/>
      <c r="QIC157" s="65" t="n"/>
      <c r="QID157" s="65" t="n"/>
      <c r="QIE157" s="65" t="n"/>
      <c r="QIF157" s="65" t="n"/>
      <c r="QIG157" s="65" t="n"/>
      <c r="QIH157" s="65" t="n"/>
      <c r="QII157" s="65" t="n"/>
      <c r="QIJ157" s="65" t="n"/>
      <c r="QIK157" s="65" t="n"/>
      <c r="QIL157" s="65" t="n"/>
      <c r="QIM157" s="65" t="n"/>
      <c r="QIN157" s="65" t="n"/>
      <c r="QIO157" s="65" t="n"/>
      <c r="QIP157" s="65" t="n"/>
      <c r="QIQ157" s="65" t="n"/>
      <c r="QIR157" s="65" t="n"/>
      <c r="QIS157" s="65" t="n"/>
      <c r="QIT157" s="65" t="n"/>
      <c r="QIU157" s="65" t="n"/>
      <c r="QIV157" s="65" t="n"/>
      <c r="QIW157" s="65" t="n"/>
      <c r="QIX157" s="65" t="n"/>
      <c r="QIY157" s="65" t="n"/>
      <c r="QIZ157" s="65" t="n"/>
      <c r="QJA157" s="65" t="n"/>
      <c r="QJB157" s="65" t="n"/>
      <c r="QJC157" s="65" t="n"/>
      <c r="QJD157" s="65" t="n"/>
      <c r="QJE157" s="65" t="n"/>
      <c r="QJF157" s="65" t="n"/>
      <c r="QJG157" s="65" t="n"/>
      <c r="QJH157" s="65" t="n"/>
      <c r="QJI157" s="65" t="n"/>
      <c r="QJJ157" s="65" t="n"/>
      <c r="QJK157" s="65" t="n"/>
      <c r="QJL157" s="65" t="n"/>
      <c r="QJM157" s="65" t="n"/>
      <c r="QJN157" s="65" t="n"/>
      <c r="QJO157" s="65" t="n"/>
      <c r="QJP157" s="65" t="n"/>
      <c r="QJQ157" s="65" t="n"/>
      <c r="QJR157" s="65" t="n"/>
      <c r="QJS157" s="65" t="n"/>
      <c r="QJT157" s="65" t="n"/>
      <c r="QJU157" s="65" t="n"/>
      <c r="QJV157" s="65" t="n"/>
      <c r="QJW157" s="65" t="n"/>
      <c r="QJX157" s="65" t="n"/>
      <c r="QJY157" s="65" t="n"/>
      <c r="QJZ157" s="65" t="n"/>
      <c r="QKA157" s="65" t="n"/>
      <c r="QKB157" s="65" t="n"/>
      <c r="QKC157" s="65" t="n"/>
      <c r="QKD157" s="65" t="n"/>
      <c r="QKE157" s="65" t="n"/>
      <c r="QKF157" s="65" t="n"/>
      <c r="QKG157" s="65" t="n"/>
      <c r="QKH157" s="65" t="n"/>
      <c r="QKI157" s="65" t="n"/>
      <c r="QKJ157" s="65" t="n"/>
      <c r="QKK157" s="65" t="n"/>
      <c r="QKL157" s="65" t="n"/>
      <c r="QKM157" s="65" t="n"/>
      <c r="QKN157" s="65" t="n"/>
      <c r="QKO157" s="65" t="n"/>
      <c r="QKP157" s="65" t="n"/>
      <c r="QKQ157" s="65" t="n"/>
      <c r="QKR157" s="65" t="n"/>
      <c r="QKS157" s="65" t="n"/>
      <c r="QKT157" s="65" t="n"/>
      <c r="QKU157" s="65" t="n"/>
      <c r="QKV157" s="65" t="n"/>
      <c r="QKW157" s="65" t="n"/>
      <c r="QKX157" s="65" t="n"/>
      <c r="QKY157" s="65" t="n"/>
      <c r="QKZ157" s="65" t="n"/>
      <c r="QLA157" s="65" t="n"/>
      <c r="QLB157" s="65" t="n"/>
      <c r="QLC157" s="65" t="n"/>
      <c r="QLD157" s="65" t="n"/>
      <c r="QLE157" s="65" t="n"/>
      <c r="QLF157" s="65" t="n"/>
      <c r="QLG157" s="65" t="n"/>
      <c r="QLH157" s="65" t="n"/>
      <c r="QLI157" s="65" t="n"/>
      <c r="QLJ157" s="65" t="n"/>
      <c r="QLK157" s="65" t="n"/>
      <c r="QLL157" s="65" t="n"/>
      <c r="QLM157" s="65" t="n"/>
      <c r="QLN157" s="65" t="n"/>
      <c r="QLO157" s="65" t="n"/>
      <c r="QLP157" s="65" t="n"/>
      <c r="QLQ157" s="65" t="n"/>
      <c r="QLR157" s="65" t="n"/>
      <c r="QLS157" s="65" t="n"/>
      <c r="QLT157" s="65" t="n"/>
      <c r="QLU157" s="65" t="n"/>
      <c r="QLV157" s="65" t="n"/>
      <c r="QLW157" s="65" t="n"/>
      <c r="QLX157" s="65" t="n"/>
      <c r="QLY157" s="65" t="n"/>
      <c r="QLZ157" s="65" t="n"/>
      <c r="QMA157" s="65" t="n"/>
      <c r="QMB157" s="65" t="n"/>
      <c r="QMC157" s="65" t="n"/>
      <c r="QMD157" s="65" t="n"/>
      <c r="QME157" s="65" t="n"/>
      <c r="QMF157" s="65" t="n"/>
      <c r="QMG157" s="65" t="n"/>
      <c r="QMH157" s="65" t="n"/>
      <c r="QMI157" s="65" t="n"/>
      <c r="QMJ157" s="65" t="n"/>
      <c r="QMK157" s="65" t="n"/>
      <c r="QML157" s="65" t="n"/>
      <c r="QMM157" s="65" t="n"/>
      <c r="QMN157" s="65" t="n"/>
      <c r="QMO157" s="65" t="n"/>
      <c r="QMP157" s="65" t="n"/>
      <c r="QMQ157" s="65" t="n"/>
      <c r="QMR157" s="65" t="n"/>
      <c r="QMS157" s="65" t="n"/>
      <c r="QMT157" s="65" t="n"/>
      <c r="QMU157" s="65" t="n"/>
      <c r="QMV157" s="65" t="n"/>
      <c r="QMW157" s="65" t="n"/>
      <c r="QMX157" s="65" t="n"/>
      <c r="QMY157" s="65" t="n"/>
      <c r="QMZ157" s="65" t="n"/>
      <c r="QNA157" s="65" t="n"/>
      <c r="QNB157" s="65" t="n"/>
      <c r="QNC157" s="65" t="n"/>
      <c r="QND157" s="65" t="n"/>
      <c r="QNE157" s="65" t="n"/>
      <c r="QNF157" s="65" t="n"/>
      <c r="QNG157" s="65" t="n"/>
      <c r="QNH157" s="65" t="n"/>
      <c r="QNI157" s="65" t="n"/>
      <c r="QNJ157" s="65" t="n"/>
      <c r="QNK157" s="65" t="n"/>
      <c r="QNL157" s="65" t="n"/>
      <c r="QNM157" s="65" t="n"/>
      <c r="QNN157" s="65" t="n"/>
      <c r="QNO157" s="65" t="n"/>
      <c r="QNP157" s="65" t="n"/>
      <c r="QNQ157" s="65" t="n"/>
      <c r="QNR157" s="65" t="n"/>
      <c r="QNS157" s="65" t="n"/>
      <c r="QNT157" s="65" t="n"/>
      <c r="QNU157" s="65" t="n"/>
      <c r="QNV157" s="65" t="n"/>
      <c r="QNW157" s="65" t="n"/>
      <c r="QNX157" s="65" t="n"/>
      <c r="QNY157" s="65" t="n"/>
      <c r="QNZ157" s="65" t="n"/>
      <c r="QOA157" s="65" t="n"/>
      <c r="QOB157" s="65" t="n"/>
      <c r="QOC157" s="65" t="n"/>
      <c r="QOD157" s="65" t="n"/>
      <c r="QOE157" s="65" t="n"/>
      <c r="QOF157" s="65" t="n"/>
      <c r="QOG157" s="65" t="n"/>
      <c r="QOH157" s="65" t="n"/>
      <c r="QOI157" s="65" t="n"/>
      <c r="QOJ157" s="65" t="n"/>
      <c r="QOK157" s="65" t="n"/>
      <c r="QOL157" s="65" t="n"/>
      <c r="QOM157" s="65" t="n"/>
      <c r="QON157" s="65" t="n"/>
      <c r="QOO157" s="65" t="n"/>
      <c r="QOP157" s="65" t="n"/>
      <c r="QOQ157" s="65" t="n"/>
      <c r="QOR157" s="65" t="n"/>
      <c r="QOS157" s="65" t="n"/>
      <c r="QOT157" s="65" t="n"/>
      <c r="QOU157" s="65" t="n"/>
      <c r="QOV157" s="65" t="n"/>
      <c r="QOW157" s="65" t="n"/>
      <c r="QOX157" s="65" t="n"/>
      <c r="QOY157" s="65" t="n"/>
      <c r="QOZ157" s="65" t="n"/>
      <c r="QPA157" s="65" t="n"/>
      <c r="QPB157" s="65" t="n"/>
      <c r="QPC157" s="65" t="n"/>
      <c r="QPD157" s="65" t="n"/>
      <c r="QPE157" s="65" t="n"/>
      <c r="QPF157" s="65" t="n"/>
      <c r="QPG157" s="65" t="n"/>
      <c r="QPH157" s="65" t="n"/>
      <c r="QPI157" s="65" t="n"/>
      <c r="QPJ157" s="65" t="n"/>
      <c r="QPK157" s="65" t="n"/>
      <c r="QPL157" s="65" t="n"/>
      <c r="QPM157" s="65" t="n"/>
      <c r="QPN157" s="65" t="n"/>
      <c r="QPO157" s="65" t="n"/>
      <c r="QPP157" s="65" t="n"/>
      <c r="QPQ157" s="65" t="n"/>
      <c r="QPR157" s="65" t="n"/>
      <c r="QPS157" s="65" t="n"/>
      <c r="QPT157" s="65" t="n"/>
      <c r="QPU157" s="65" t="n"/>
      <c r="QPV157" s="65" t="n"/>
      <c r="QPW157" s="65" t="n"/>
      <c r="QPX157" s="65" t="n"/>
      <c r="QPY157" s="65" t="n"/>
      <c r="QPZ157" s="65" t="n"/>
      <c r="QQA157" s="65" t="n"/>
      <c r="QQB157" s="65" t="n"/>
      <c r="QQC157" s="65" t="n"/>
      <c r="QQD157" s="65" t="n"/>
      <c r="QQE157" s="65" t="n"/>
      <c r="QQF157" s="65" t="n"/>
      <c r="QQG157" s="65" t="n"/>
      <c r="QQH157" s="65" t="n"/>
      <c r="QQI157" s="65" t="n"/>
      <c r="QQJ157" s="65" t="n"/>
      <c r="QQK157" s="65" t="n"/>
      <c r="QQL157" s="65" t="n"/>
      <c r="QQM157" s="65" t="n"/>
      <c r="QQN157" s="65" t="n"/>
      <c r="QQO157" s="65" t="n"/>
      <c r="QQP157" s="65" t="n"/>
      <c r="QQQ157" s="65" t="n"/>
      <c r="QQR157" s="65" t="n"/>
      <c r="QQS157" s="65" t="n"/>
      <c r="QQT157" s="65" t="n"/>
      <c r="QQU157" s="65" t="n"/>
      <c r="QQV157" s="65" t="n"/>
      <c r="QQW157" s="65" t="n"/>
      <c r="QQX157" s="65" t="n"/>
      <c r="QQY157" s="65" t="n"/>
      <c r="QQZ157" s="65" t="n"/>
      <c r="QRA157" s="65" t="n"/>
      <c r="QRB157" s="65" t="n"/>
      <c r="QRC157" s="65" t="n"/>
      <c r="QRD157" s="65" t="n"/>
      <c r="QRE157" s="65" t="n"/>
      <c r="QRF157" s="65" t="n"/>
      <c r="QRG157" s="65" t="n"/>
      <c r="QRH157" s="65" t="n"/>
      <c r="QRI157" s="65" t="n"/>
      <c r="QRJ157" s="65" t="n"/>
      <c r="QRK157" s="65" t="n"/>
      <c r="QRL157" s="65" t="n"/>
      <c r="QRM157" s="65" t="n"/>
      <c r="QRN157" s="65" t="n"/>
      <c r="QRO157" s="65" t="n"/>
      <c r="QRP157" s="65" t="n"/>
      <c r="QRQ157" s="65" t="n"/>
      <c r="QRR157" s="65" t="n"/>
      <c r="QRS157" s="65" t="n"/>
      <c r="QRT157" s="65" t="n"/>
      <c r="QRU157" s="65" t="n"/>
      <c r="QRV157" s="65" t="n"/>
      <c r="QRW157" s="65" t="n"/>
      <c r="QRX157" s="65" t="n"/>
      <c r="QRY157" s="65" t="n"/>
      <c r="QRZ157" s="65" t="n"/>
      <c r="QSA157" s="65" t="n"/>
      <c r="QSB157" s="65" t="n"/>
      <c r="QSC157" s="65" t="n"/>
      <c r="QSD157" s="65" t="n"/>
      <c r="QSE157" s="65" t="n"/>
      <c r="QSF157" s="65" t="n"/>
      <c r="QSG157" s="65" t="n"/>
      <c r="QSH157" s="65" t="n"/>
      <c r="QSI157" s="65" t="n"/>
      <c r="QSJ157" s="65" t="n"/>
      <c r="QSK157" s="65" t="n"/>
      <c r="QSL157" s="65" t="n"/>
      <c r="QSM157" s="65" t="n"/>
      <c r="QSN157" s="65" t="n"/>
      <c r="QSO157" s="65" t="n"/>
      <c r="QSP157" s="65" t="n"/>
      <c r="QSQ157" s="65" t="n"/>
      <c r="QSR157" s="65" t="n"/>
      <c r="QSS157" s="65" t="n"/>
      <c r="QST157" s="65" t="n"/>
      <c r="QSU157" s="65" t="n"/>
      <c r="QSV157" s="65" t="n"/>
      <c r="QSW157" s="65" t="n"/>
      <c r="QSX157" s="65" t="n"/>
      <c r="QSY157" s="65" t="n"/>
      <c r="QSZ157" s="65" t="n"/>
      <c r="QTA157" s="65" t="n"/>
      <c r="QTB157" s="65" t="n"/>
      <c r="QTC157" s="65" t="n"/>
      <c r="QTD157" s="65" t="n"/>
      <c r="QTE157" s="65" t="n"/>
      <c r="QTF157" s="65" t="n"/>
      <c r="QTG157" s="65" t="n"/>
      <c r="QTH157" s="65" t="n"/>
      <c r="QTI157" s="65" t="n"/>
      <c r="QTJ157" s="65" t="n"/>
      <c r="QTK157" s="65" t="n"/>
      <c r="QTL157" s="65" t="n"/>
      <c r="QTM157" s="65" t="n"/>
      <c r="QTN157" s="65" t="n"/>
      <c r="QTO157" s="65" t="n"/>
      <c r="QTP157" s="65" t="n"/>
      <c r="QTQ157" s="65" t="n"/>
      <c r="QTR157" s="65" t="n"/>
      <c r="QTS157" s="65" t="n"/>
      <c r="QTT157" s="65" t="n"/>
      <c r="QTU157" s="65" t="n"/>
      <c r="QTV157" s="65" t="n"/>
      <c r="QTW157" s="65" t="n"/>
      <c r="QTX157" s="65" t="n"/>
      <c r="QTY157" s="65" t="n"/>
      <c r="QTZ157" s="65" t="n"/>
      <c r="QUA157" s="65" t="n"/>
      <c r="QUB157" s="65" t="n"/>
      <c r="QUC157" s="65" t="n"/>
      <c r="QUD157" s="65" t="n"/>
      <c r="QUE157" s="65" t="n"/>
      <c r="QUF157" s="65" t="n"/>
      <c r="QUG157" s="65" t="n"/>
      <c r="QUH157" s="65" t="n"/>
      <c r="QUI157" s="65" t="n"/>
      <c r="QUJ157" s="65" t="n"/>
      <c r="QUK157" s="65" t="n"/>
      <c r="QUL157" s="65" t="n"/>
      <c r="QUM157" s="65" t="n"/>
      <c r="QUN157" s="65" t="n"/>
      <c r="QUO157" s="65" t="n"/>
      <c r="QUP157" s="65" t="n"/>
      <c r="QUQ157" s="65" t="n"/>
      <c r="QUR157" s="65" t="n"/>
      <c r="QUS157" s="65" t="n"/>
      <c r="QUT157" s="65" t="n"/>
      <c r="QUU157" s="65" t="n"/>
      <c r="QUV157" s="65" t="n"/>
      <c r="QUW157" s="65" t="n"/>
      <c r="QUX157" s="65" t="n"/>
      <c r="QUY157" s="65" t="n"/>
      <c r="QUZ157" s="65" t="n"/>
      <c r="QVA157" s="65" t="n"/>
      <c r="QVB157" s="65" t="n"/>
      <c r="QVC157" s="65" t="n"/>
      <c r="QVD157" s="65" t="n"/>
      <c r="QVE157" s="65" t="n"/>
      <c r="QVF157" s="65" t="n"/>
      <c r="QVG157" s="65" t="n"/>
      <c r="QVH157" s="65" t="n"/>
      <c r="QVI157" s="65" t="n"/>
      <c r="QVJ157" s="65" t="n"/>
      <c r="QVK157" s="65" t="n"/>
      <c r="QVL157" s="65" t="n"/>
      <c r="QVM157" s="65" t="n"/>
      <c r="QVN157" s="65" t="n"/>
      <c r="QVO157" s="65" t="n"/>
      <c r="QVP157" s="65" t="n"/>
      <c r="QVQ157" s="65" t="n"/>
      <c r="QVR157" s="65" t="n"/>
      <c r="QVS157" s="65" t="n"/>
      <c r="QVT157" s="65" t="n"/>
      <c r="QVU157" s="65" t="n"/>
      <c r="QVV157" s="65" t="n"/>
      <c r="QVW157" s="65" t="n"/>
      <c r="QVX157" s="65" t="n"/>
      <c r="QVY157" s="65" t="n"/>
      <c r="QVZ157" s="65" t="n"/>
      <c r="QWA157" s="65" t="n"/>
      <c r="QWB157" s="65" t="n"/>
      <c r="QWC157" s="65" t="n"/>
      <c r="QWD157" s="65" t="n"/>
      <c r="QWE157" s="65" t="n"/>
      <c r="QWF157" s="65" t="n"/>
      <c r="QWG157" s="65" t="n"/>
      <c r="QWH157" s="65" t="n"/>
      <c r="QWI157" s="65" t="n"/>
      <c r="QWJ157" s="65" t="n"/>
      <c r="QWK157" s="65" t="n"/>
      <c r="QWL157" s="65" t="n"/>
      <c r="QWM157" s="65" t="n"/>
      <c r="QWN157" s="65" t="n"/>
      <c r="QWO157" s="65" t="n"/>
      <c r="QWP157" s="65" t="n"/>
      <c r="QWQ157" s="65" t="n"/>
      <c r="QWR157" s="65" t="n"/>
      <c r="QWS157" s="65" t="n"/>
      <c r="QWT157" s="65" t="n"/>
      <c r="QWU157" s="65" t="n"/>
      <c r="QWV157" s="65" t="n"/>
      <c r="QWW157" s="65" t="n"/>
      <c r="QWX157" s="65" t="n"/>
      <c r="QWY157" s="65" t="n"/>
      <c r="QWZ157" s="65" t="n"/>
      <c r="QXA157" s="65" t="n"/>
      <c r="QXB157" s="65" t="n"/>
      <c r="QXC157" s="65" t="n"/>
      <c r="QXD157" s="65" t="n"/>
      <c r="QXE157" s="65" t="n"/>
      <c r="QXF157" s="65" t="n"/>
      <c r="QXG157" s="65" t="n"/>
      <c r="QXH157" s="65" t="n"/>
      <c r="QXI157" s="65" t="n"/>
      <c r="QXJ157" s="65" t="n"/>
      <c r="QXK157" s="65" t="n"/>
      <c r="QXL157" s="65" t="n"/>
      <c r="QXM157" s="65" t="n"/>
      <c r="QXN157" s="65" t="n"/>
      <c r="QXO157" s="65" t="n"/>
      <c r="QXP157" s="65" t="n"/>
      <c r="QXQ157" s="65" t="n"/>
      <c r="QXR157" s="65" t="n"/>
      <c r="QXS157" s="65" t="n"/>
      <c r="QXT157" s="65" t="n"/>
      <c r="QXU157" s="65" t="n"/>
      <c r="QXV157" s="65" t="n"/>
      <c r="QXW157" s="65" t="n"/>
      <c r="QXX157" s="65" t="n"/>
      <c r="QXY157" s="65" t="n"/>
      <c r="QXZ157" s="65" t="n"/>
      <c r="QYA157" s="65" t="n"/>
      <c r="QYB157" s="65" t="n"/>
      <c r="QYC157" s="65" t="n"/>
      <c r="QYD157" s="65" t="n"/>
      <c r="QYE157" s="65" t="n"/>
      <c r="QYF157" s="65" t="n"/>
      <c r="QYG157" s="65" t="n"/>
      <c r="QYH157" s="65" t="n"/>
      <c r="QYI157" s="65" t="n"/>
      <c r="QYJ157" s="65" t="n"/>
      <c r="QYK157" s="65" t="n"/>
      <c r="QYL157" s="65" t="n"/>
      <c r="QYM157" s="65" t="n"/>
      <c r="QYN157" s="65" t="n"/>
      <c r="QYO157" s="65" t="n"/>
      <c r="QYP157" s="65" t="n"/>
      <c r="QYQ157" s="65" t="n"/>
      <c r="QYR157" s="65" t="n"/>
      <c r="QYS157" s="65" t="n"/>
      <c r="QYT157" s="65" t="n"/>
      <c r="QYU157" s="65" t="n"/>
      <c r="QYV157" s="65" t="n"/>
      <c r="QYW157" s="65" t="n"/>
      <c r="QYX157" s="65" t="n"/>
      <c r="QYY157" s="65" t="n"/>
      <c r="QYZ157" s="65" t="n"/>
      <c r="QZA157" s="65" t="n"/>
      <c r="QZB157" s="65" t="n"/>
      <c r="QZC157" s="65" t="n"/>
      <c r="QZD157" s="65" t="n"/>
      <c r="QZE157" s="65" t="n"/>
      <c r="QZF157" s="65" t="n"/>
      <c r="QZG157" s="65" t="n"/>
      <c r="QZH157" s="65" t="n"/>
      <c r="QZI157" s="65" t="n"/>
      <c r="QZJ157" s="65" t="n"/>
      <c r="QZK157" s="65" t="n"/>
      <c r="QZL157" s="65" t="n"/>
      <c r="QZM157" s="65" t="n"/>
      <c r="QZN157" s="65" t="n"/>
      <c r="QZO157" s="65" t="n"/>
      <c r="QZP157" s="65" t="n"/>
      <c r="QZQ157" s="65" t="n"/>
      <c r="QZR157" s="65" t="n"/>
      <c r="QZS157" s="65" t="n"/>
      <c r="QZT157" s="65" t="n"/>
      <c r="QZU157" s="65" t="n"/>
      <c r="QZV157" s="65" t="n"/>
      <c r="QZW157" s="65" t="n"/>
      <c r="QZX157" s="65" t="n"/>
      <c r="QZY157" s="65" t="n"/>
      <c r="QZZ157" s="65" t="n"/>
      <c r="RAA157" s="65" t="n"/>
      <c r="RAB157" s="65" t="n"/>
      <c r="RAC157" s="65" t="n"/>
      <c r="RAD157" s="65" t="n"/>
      <c r="RAE157" s="65" t="n"/>
      <c r="RAF157" s="65" t="n"/>
      <c r="RAG157" s="65" t="n"/>
      <c r="RAH157" s="65" t="n"/>
      <c r="RAI157" s="65" t="n"/>
      <c r="RAJ157" s="65" t="n"/>
      <c r="RAK157" s="65" t="n"/>
      <c r="RAL157" s="65" t="n"/>
      <c r="RAM157" s="65" t="n"/>
      <c r="RAN157" s="65" t="n"/>
      <c r="RAO157" s="65" t="n"/>
      <c r="RAP157" s="65" t="n"/>
      <c r="RAQ157" s="65" t="n"/>
      <c r="RAR157" s="65" t="n"/>
      <c r="RAS157" s="65" t="n"/>
      <c r="RAT157" s="65" t="n"/>
      <c r="RAU157" s="65" t="n"/>
      <c r="RAV157" s="65" t="n"/>
      <c r="RAW157" s="65" t="n"/>
      <c r="RAX157" s="65" t="n"/>
      <c r="RAY157" s="65" t="n"/>
      <c r="RAZ157" s="65" t="n"/>
      <c r="RBA157" s="65" t="n"/>
      <c r="RBB157" s="65" t="n"/>
      <c r="RBC157" s="65" t="n"/>
      <c r="RBD157" s="65" t="n"/>
      <c r="RBE157" s="65" t="n"/>
      <c r="RBF157" s="65" t="n"/>
      <c r="RBG157" s="65" t="n"/>
      <c r="RBH157" s="65" t="n"/>
      <c r="RBI157" s="65" t="n"/>
      <c r="RBJ157" s="65" t="n"/>
      <c r="RBK157" s="65" t="n"/>
      <c r="RBL157" s="65" t="n"/>
      <c r="RBM157" s="65" t="n"/>
      <c r="RBN157" s="65" t="n"/>
      <c r="RBO157" s="65" t="n"/>
      <c r="RBP157" s="65" t="n"/>
      <c r="RBQ157" s="65" t="n"/>
      <c r="RBR157" s="65" t="n"/>
      <c r="RBS157" s="65" t="n"/>
      <c r="RBT157" s="65" t="n"/>
      <c r="RBU157" s="65" t="n"/>
      <c r="RBV157" s="65" t="n"/>
      <c r="RBW157" s="65" t="n"/>
      <c r="RBX157" s="65" t="n"/>
      <c r="RBY157" s="65" t="n"/>
      <c r="RBZ157" s="65" t="n"/>
      <c r="RCA157" s="65" t="n"/>
      <c r="RCB157" s="65" t="n"/>
      <c r="RCC157" s="65" t="n"/>
      <c r="RCD157" s="65" t="n"/>
      <c r="RCE157" s="65" t="n"/>
      <c r="RCF157" s="65" t="n"/>
      <c r="RCG157" s="65" t="n"/>
      <c r="RCH157" s="65" t="n"/>
      <c r="RCI157" s="65" t="n"/>
      <c r="RCJ157" s="65" t="n"/>
      <c r="RCK157" s="65" t="n"/>
      <c r="RCL157" s="65" t="n"/>
      <c r="RCM157" s="65" t="n"/>
      <c r="RCN157" s="65" t="n"/>
      <c r="RCO157" s="65" t="n"/>
      <c r="RCP157" s="65" t="n"/>
      <c r="RCQ157" s="65" t="n"/>
      <c r="RCR157" s="65" t="n"/>
      <c r="RCS157" s="65" t="n"/>
      <c r="RCT157" s="65" t="n"/>
      <c r="RCU157" s="65" t="n"/>
      <c r="RCV157" s="65" t="n"/>
      <c r="RCW157" s="65" t="n"/>
      <c r="RCX157" s="65" t="n"/>
      <c r="RCY157" s="65" t="n"/>
      <c r="RCZ157" s="65" t="n"/>
      <c r="RDA157" s="65" t="n"/>
      <c r="RDB157" s="65" t="n"/>
      <c r="RDC157" s="65" t="n"/>
      <c r="RDD157" s="65" t="n"/>
      <c r="RDE157" s="65" t="n"/>
      <c r="RDF157" s="65" t="n"/>
      <c r="RDG157" s="65" t="n"/>
      <c r="RDH157" s="65" t="n"/>
      <c r="RDI157" s="65" t="n"/>
      <c r="RDJ157" s="65" t="n"/>
      <c r="RDK157" s="65" t="n"/>
      <c r="RDL157" s="65" t="n"/>
      <c r="RDM157" s="65" t="n"/>
      <c r="RDN157" s="65" t="n"/>
      <c r="RDO157" s="65" t="n"/>
      <c r="RDP157" s="65" t="n"/>
      <c r="RDQ157" s="65" t="n"/>
      <c r="RDR157" s="65" t="n"/>
      <c r="RDS157" s="65" t="n"/>
      <c r="RDT157" s="65" t="n"/>
      <c r="RDU157" s="65" t="n"/>
      <c r="RDV157" s="65" t="n"/>
      <c r="RDW157" s="65" t="n"/>
      <c r="RDX157" s="65" t="n"/>
      <c r="RDY157" s="65" t="n"/>
      <c r="RDZ157" s="65" t="n"/>
      <c r="REA157" s="65" t="n"/>
      <c r="REB157" s="65" t="n"/>
      <c r="REC157" s="65" t="n"/>
      <c r="RED157" s="65" t="n"/>
      <c r="REE157" s="65" t="n"/>
      <c r="REF157" s="65" t="n"/>
      <c r="REG157" s="65" t="n"/>
      <c r="REH157" s="65" t="n"/>
      <c r="REI157" s="65" t="n"/>
      <c r="REJ157" s="65" t="n"/>
      <c r="REK157" s="65" t="n"/>
      <c r="REL157" s="65" t="n"/>
      <c r="REM157" s="65" t="n"/>
      <c r="REN157" s="65" t="n"/>
      <c r="REO157" s="65" t="n"/>
      <c r="REP157" s="65" t="n"/>
      <c r="REQ157" s="65" t="n"/>
      <c r="RER157" s="65" t="n"/>
      <c r="RES157" s="65" t="n"/>
      <c r="RET157" s="65" t="n"/>
      <c r="REU157" s="65" t="n"/>
      <c r="REV157" s="65" t="n"/>
      <c r="REW157" s="65" t="n"/>
      <c r="REX157" s="65" t="n"/>
      <c r="REY157" s="65" t="n"/>
      <c r="REZ157" s="65" t="n"/>
      <c r="RFA157" s="65" t="n"/>
      <c r="RFB157" s="65" t="n"/>
      <c r="RFC157" s="65" t="n"/>
      <c r="RFD157" s="65" t="n"/>
      <c r="RFE157" s="65" t="n"/>
      <c r="RFF157" s="65" t="n"/>
      <c r="RFG157" s="65" t="n"/>
      <c r="RFH157" s="65" t="n"/>
      <c r="RFI157" s="65" t="n"/>
      <c r="RFJ157" s="65" t="n"/>
      <c r="RFK157" s="65" t="n"/>
      <c r="RFL157" s="65" t="n"/>
      <c r="RFM157" s="65" t="n"/>
      <c r="RFN157" s="65" t="n"/>
      <c r="RFO157" s="65" t="n"/>
      <c r="RFP157" s="65" t="n"/>
      <c r="RFQ157" s="65" t="n"/>
      <c r="RFR157" s="65" t="n"/>
      <c r="RFS157" s="65" t="n"/>
      <c r="RFT157" s="65" t="n"/>
      <c r="RFU157" s="65" t="n"/>
      <c r="RFV157" s="65" t="n"/>
      <c r="RFW157" s="65" t="n"/>
      <c r="RFX157" s="65" t="n"/>
      <c r="RFY157" s="65" t="n"/>
      <c r="RFZ157" s="65" t="n"/>
      <c r="RGA157" s="65" t="n"/>
      <c r="RGB157" s="65" t="n"/>
      <c r="RGC157" s="65" t="n"/>
      <c r="RGD157" s="65" t="n"/>
      <c r="RGE157" s="65" t="n"/>
      <c r="RGF157" s="65" t="n"/>
      <c r="RGG157" s="65" t="n"/>
      <c r="RGH157" s="65" t="n"/>
      <c r="RGI157" s="65" t="n"/>
      <c r="RGJ157" s="65" t="n"/>
      <c r="RGK157" s="65" t="n"/>
      <c r="RGL157" s="65" t="n"/>
      <c r="RGM157" s="65" t="n"/>
      <c r="RGN157" s="65" t="n"/>
      <c r="RGO157" s="65" t="n"/>
      <c r="RGP157" s="65" t="n"/>
      <c r="RGQ157" s="65" t="n"/>
      <c r="RGR157" s="65" t="n"/>
      <c r="RGS157" s="65" t="n"/>
      <c r="RGT157" s="65" t="n"/>
      <c r="RGU157" s="65" t="n"/>
      <c r="RGV157" s="65" t="n"/>
      <c r="RGW157" s="65" t="n"/>
      <c r="RGX157" s="65" t="n"/>
      <c r="RGY157" s="65" t="n"/>
      <c r="RGZ157" s="65" t="n"/>
      <c r="RHA157" s="65" t="n"/>
      <c r="RHB157" s="65" t="n"/>
      <c r="RHC157" s="65" t="n"/>
      <c r="RHD157" s="65" t="n"/>
      <c r="RHE157" s="65" t="n"/>
      <c r="RHF157" s="65" t="n"/>
      <c r="RHG157" s="65" t="n"/>
      <c r="RHH157" s="65" t="n"/>
      <c r="RHI157" s="65" t="n"/>
      <c r="RHJ157" s="65" t="n"/>
      <c r="RHK157" s="65" t="n"/>
      <c r="RHL157" s="65" t="n"/>
      <c r="RHM157" s="65" t="n"/>
      <c r="RHN157" s="65" t="n"/>
      <c r="RHO157" s="65" t="n"/>
      <c r="RHP157" s="65" t="n"/>
      <c r="RHQ157" s="65" t="n"/>
      <c r="RHR157" s="65" t="n"/>
      <c r="RHS157" s="65" t="n"/>
      <c r="RHT157" s="65" t="n"/>
      <c r="RHU157" s="65" t="n"/>
      <c r="RHV157" s="65" t="n"/>
      <c r="RHW157" s="65" t="n"/>
      <c r="RHX157" s="65" t="n"/>
      <c r="RHY157" s="65" t="n"/>
      <c r="RHZ157" s="65" t="n"/>
      <c r="RIA157" s="65" t="n"/>
      <c r="RIB157" s="65" t="n"/>
      <c r="RIC157" s="65" t="n"/>
      <c r="RID157" s="65" t="n"/>
      <c r="RIE157" s="65" t="n"/>
      <c r="RIF157" s="65" t="n"/>
      <c r="RIG157" s="65" t="n"/>
      <c r="RIH157" s="65" t="n"/>
      <c r="RII157" s="65" t="n"/>
      <c r="RIJ157" s="65" t="n"/>
      <c r="RIK157" s="65" t="n"/>
      <c r="RIL157" s="65" t="n"/>
      <c r="RIM157" s="65" t="n"/>
      <c r="RIN157" s="65" t="n"/>
      <c r="RIO157" s="65" t="n"/>
      <c r="RIP157" s="65" t="n"/>
      <c r="RIQ157" s="65" t="n"/>
      <c r="RIR157" s="65" t="n"/>
      <c r="RIS157" s="65" t="n"/>
      <c r="RIT157" s="65" t="n"/>
      <c r="RIU157" s="65" t="n"/>
      <c r="RIV157" s="65" t="n"/>
      <c r="RIW157" s="65" t="n"/>
      <c r="RIX157" s="65" t="n"/>
      <c r="RIY157" s="65" t="n"/>
      <c r="RIZ157" s="65" t="n"/>
      <c r="RJA157" s="65" t="n"/>
      <c r="RJB157" s="65" t="n"/>
      <c r="RJC157" s="65" t="n"/>
      <c r="RJD157" s="65" t="n"/>
      <c r="RJE157" s="65" t="n"/>
      <c r="RJF157" s="65" t="n"/>
      <c r="RJG157" s="65" t="n"/>
      <c r="RJH157" s="65" t="n"/>
      <c r="RJI157" s="65" t="n"/>
      <c r="RJJ157" s="65" t="n"/>
      <c r="RJK157" s="65" t="n"/>
      <c r="RJL157" s="65" t="n"/>
      <c r="RJM157" s="65" t="n"/>
      <c r="RJN157" s="65" t="n"/>
      <c r="RJO157" s="65" t="n"/>
      <c r="RJP157" s="65" t="n"/>
      <c r="RJQ157" s="65" t="n"/>
      <c r="RJR157" s="65" t="n"/>
      <c r="RJS157" s="65" t="n"/>
      <c r="RJT157" s="65" t="n"/>
      <c r="RJU157" s="65" t="n"/>
      <c r="RJV157" s="65" t="n"/>
      <c r="RJW157" s="65" t="n"/>
      <c r="RJX157" s="65" t="n"/>
      <c r="RJY157" s="65" t="n"/>
      <c r="RJZ157" s="65" t="n"/>
      <c r="RKA157" s="65" t="n"/>
      <c r="RKB157" s="65" t="n"/>
      <c r="RKC157" s="65" t="n"/>
      <c r="RKD157" s="65" t="n"/>
      <c r="RKE157" s="65" t="n"/>
      <c r="RKF157" s="65" t="n"/>
      <c r="RKG157" s="65" t="n"/>
      <c r="RKH157" s="65" t="n"/>
      <c r="RKI157" s="65" t="n"/>
      <c r="RKJ157" s="65" t="n"/>
      <c r="RKK157" s="65" t="n"/>
      <c r="RKL157" s="65" t="n"/>
      <c r="RKM157" s="65" t="n"/>
      <c r="RKN157" s="65" t="n"/>
      <c r="RKO157" s="65" t="n"/>
      <c r="RKP157" s="65" t="n"/>
      <c r="RKQ157" s="65" t="n"/>
      <c r="RKR157" s="65" t="n"/>
      <c r="RKS157" s="65" t="n"/>
      <c r="RKT157" s="65" t="n"/>
      <c r="RKU157" s="65" t="n"/>
      <c r="RKV157" s="65" t="n"/>
      <c r="RKW157" s="65" t="n"/>
      <c r="RKX157" s="65" t="n"/>
      <c r="RKY157" s="65" t="n"/>
      <c r="RKZ157" s="65" t="n"/>
      <c r="RLA157" s="65" t="n"/>
      <c r="RLB157" s="65" t="n"/>
      <c r="RLC157" s="65" t="n"/>
      <c r="RLD157" s="65" t="n"/>
      <c r="RLE157" s="65" t="n"/>
      <c r="RLF157" s="65" t="n"/>
      <c r="RLG157" s="65" t="n"/>
      <c r="RLH157" s="65" t="n"/>
      <c r="RLI157" s="65" t="n"/>
      <c r="RLJ157" s="65" t="n"/>
      <c r="RLK157" s="65" t="n"/>
      <c r="RLL157" s="65" t="n"/>
      <c r="RLM157" s="65" t="n"/>
      <c r="RLN157" s="65" t="n"/>
      <c r="RLO157" s="65" t="n"/>
      <c r="RLP157" s="65" t="n"/>
      <c r="RLQ157" s="65" t="n"/>
      <c r="RLR157" s="65" t="n"/>
      <c r="RLS157" s="65" t="n"/>
      <c r="RLT157" s="65" t="n"/>
      <c r="RLU157" s="65" t="n"/>
      <c r="RLV157" s="65" t="n"/>
      <c r="RLW157" s="65" t="n"/>
      <c r="RLX157" s="65" t="n"/>
      <c r="RLY157" s="65" t="n"/>
      <c r="RLZ157" s="65" t="n"/>
      <c r="RMA157" s="65" t="n"/>
      <c r="RMB157" s="65" t="n"/>
      <c r="RMC157" s="65" t="n"/>
      <c r="RMD157" s="65" t="n"/>
      <c r="RME157" s="65" t="n"/>
      <c r="RMF157" s="65" t="n"/>
      <c r="RMG157" s="65" t="n"/>
      <c r="RMH157" s="65" t="n"/>
      <c r="RMI157" s="65" t="n"/>
      <c r="RMJ157" s="65" t="n"/>
      <c r="RMK157" s="65" t="n"/>
      <c r="RML157" s="65" t="n"/>
      <c r="RMM157" s="65" t="n"/>
      <c r="RMN157" s="65" t="n"/>
      <c r="RMO157" s="65" t="n"/>
      <c r="RMP157" s="65" t="n"/>
      <c r="RMQ157" s="65" t="n"/>
      <c r="RMR157" s="65" t="n"/>
      <c r="RMS157" s="65" t="n"/>
      <c r="RMT157" s="65" t="n"/>
      <c r="RMU157" s="65" t="n"/>
      <c r="RMV157" s="65" t="n"/>
      <c r="RMW157" s="65" t="n"/>
      <c r="RMX157" s="65" t="n"/>
      <c r="RMY157" s="65" t="n"/>
      <c r="RMZ157" s="65" t="n"/>
      <c r="RNA157" s="65" t="n"/>
      <c r="RNB157" s="65" t="n"/>
      <c r="RNC157" s="65" t="n"/>
      <c r="RND157" s="65" t="n"/>
      <c r="RNE157" s="65" t="n"/>
      <c r="RNF157" s="65" t="n"/>
      <c r="RNG157" s="65" t="n"/>
      <c r="RNH157" s="65" t="n"/>
      <c r="RNI157" s="65" t="n"/>
      <c r="RNJ157" s="65" t="n"/>
      <c r="RNK157" s="65" t="n"/>
      <c r="RNL157" s="65" t="n"/>
      <c r="RNM157" s="65" t="n"/>
      <c r="RNN157" s="65" t="n"/>
      <c r="RNO157" s="65" t="n"/>
      <c r="RNP157" s="65" t="n"/>
      <c r="RNQ157" s="65" t="n"/>
      <c r="RNR157" s="65" t="n"/>
      <c r="RNS157" s="65" t="n"/>
      <c r="RNT157" s="65" t="n"/>
      <c r="RNU157" s="65" t="n"/>
      <c r="RNV157" s="65" t="n"/>
      <c r="RNW157" s="65" t="n"/>
      <c r="RNX157" s="65" t="n"/>
      <c r="RNY157" s="65" t="n"/>
      <c r="RNZ157" s="65" t="n"/>
      <c r="ROA157" s="65" t="n"/>
      <c r="ROB157" s="65" t="n"/>
      <c r="ROC157" s="65" t="n"/>
      <c r="ROD157" s="65" t="n"/>
      <c r="ROE157" s="65" t="n"/>
      <c r="ROF157" s="65" t="n"/>
      <c r="ROG157" s="65" t="n"/>
      <c r="ROH157" s="65" t="n"/>
      <c r="ROI157" s="65" t="n"/>
      <c r="ROJ157" s="65" t="n"/>
      <c r="ROK157" s="65" t="n"/>
      <c r="ROL157" s="65" t="n"/>
      <c r="ROM157" s="65" t="n"/>
      <c r="RON157" s="65" t="n"/>
      <c r="ROO157" s="65" t="n"/>
      <c r="ROP157" s="65" t="n"/>
      <c r="ROQ157" s="65" t="n"/>
      <c r="ROR157" s="65" t="n"/>
      <c r="ROS157" s="65" t="n"/>
      <c r="ROT157" s="65" t="n"/>
      <c r="ROU157" s="65" t="n"/>
      <c r="ROV157" s="65" t="n"/>
      <c r="ROW157" s="65" t="n"/>
      <c r="ROX157" s="65" t="n"/>
      <c r="ROY157" s="65" t="n"/>
      <c r="ROZ157" s="65" t="n"/>
      <c r="RPA157" s="65" t="n"/>
      <c r="RPB157" s="65" t="n"/>
      <c r="RPC157" s="65" t="n"/>
      <c r="RPD157" s="65" t="n"/>
      <c r="RPE157" s="65" t="n"/>
      <c r="RPF157" s="65" t="n"/>
      <c r="RPG157" s="65" t="n"/>
      <c r="RPH157" s="65" t="n"/>
      <c r="RPI157" s="65" t="n"/>
      <c r="RPJ157" s="65" t="n"/>
      <c r="RPK157" s="65" t="n"/>
      <c r="RPL157" s="65" t="n"/>
      <c r="RPM157" s="65" t="n"/>
      <c r="RPN157" s="65" t="n"/>
      <c r="RPO157" s="65" t="n"/>
      <c r="RPP157" s="65" t="n"/>
      <c r="RPQ157" s="65" t="n"/>
      <c r="RPR157" s="65" t="n"/>
      <c r="RPS157" s="65" t="n"/>
      <c r="RPT157" s="65" t="n"/>
      <c r="RPU157" s="65" t="n"/>
      <c r="RPV157" s="65" t="n"/>
      <c r="RPW157" s="65" t="n"/>
      <c r="RPX157" s="65" t="n"/>
      <c r="RPY157" s="65" t="n"/>
      <c r="RPZ157" s="65" t="n"/>
      <c r="RQA157" s="65" t="n"/>
      <c r="RQB157" s="65" t="n"/>
      <c r="RQC157" s="65" t="n"/>
      <c r="RQD157" s="65" t="n"/>
      <c r="RQE157" s="65" t="n"/>
      <c r="RQF157" s="65" t="n"/>
      <c r="RQG157" s="65" t="n"/>
      <c r="RQH157" s="65" t="n"/>
      <c r="RQI157" s="65" t="n"/>
      <c r="RQJ157" s="65" t="n"/>
      <c r="RQK157" s="65" t="n"/>
      <c r="RQL157" s="65" t="n"/>
      <c r="RQM157" s="65" t="n"/>
      <c r="RQN157" s="65" t="n"/>
      <c r="RQO157" s="65" t="n"/>
      <c r="RQP157" s="65" t="n"/>
      <c r="RQQ157" s="65" t="n"/>
      <c r="RQR157" s="65" t="n"/>
      <c r="RQS157" s="65" t="n"/>
      <c r="RQT157" s="65" t="n"/>
      <c r="RQU157" s="65" t="n"/>
      <c r="RQV157" s="65" t="n"/>
      <c r="RQW157" s="65" t="n"/>
      <c r="RQX157" s="65" t="n"/>
      <c r="RQY157" s="65" t="n"/>
      <c r="RQZ157" s="65" t="n"/>
      <c r="RRA157" s="65" t="n"/>
      <c r="RRB157" s="65" t="n"/>
      <c r="RRC157" s="65" t="n"/>
      <c r="RRD157" s="65" t="n"/>
      <c r="RRE157" s="65" t="n"/>
      <c r="RRF157" s="65" t="n"/>
      <c r="RRG157" s="65" t="n"/>
      <c r="RRH157" s="65" t="n"/>
      <c r="RRI157" s="65" t="n"/>
      <c r="RRJ157" s="65" t="n"/>
      <c r="RRK157" s="65" t="n"/>
      <c r="RRL157" s="65" t="n"/>
      <c r="RRM157" s="65" t="n"/>
      <c r="RRN157" s="65" t="n"/>
      <c r="RRO157" s="65" t="n"/>
      <c r="RRP157" s="65" t="n"/>
      <c r="RRQ157" s="65" t="n"/>
      <c r="RRR157" s="65" t="n"/>
      <c r="RRS157" s="65" t="n"/>
      <c r="RRT157" s="65" t="n"/>
      <c r="RRU157" s="65" t="n"/>
      <c r="RRV157" s="65" t="n"/>
      <c r="RRW157" s="65" t="n"/>
      <c r="RRX157" s="65" t="n"/>
      <c r="RRY157" s="65" t="n"/>
      <c r="RRZ157" s="65" t="n"/>
      <c r="RSA157" s="65" t="n"/>
      <c r="RSB157" s="65" t="n"/>
      <c r="RSC157" s="65" t="n"/>
      <c r="RSD157" s="65" t="n"/>
      <c r="RSE157" s="65" t="n"/>
      <c r="RSF157" s="65" t="n"/>
      <c r="RSG157" s="65" t="n"/>
      <c r="RSH157" s="65" t="n"/>
      <c r="RSI157" s="65" t="n"/>
      <c r="RSJ157" s="65" t="n"/>
      <c r="RSK157" s="65" t="n"/>
      <c r="RSL157" s="65" t="n"/>
      <c r="RSM157" s="65" t="n"/>
      <c r="RSN157" s="65" t="n"/>
      <c r="RSO157" s="65" t="n"/>
      <c r="RSP157" s="65" t="n"/>
      <c r="RSQ157" s="65" t="n"/>
      <c r="RSR157" s="65" t="n"/>
      <c r="RSS157" s="65" t="n"/>
      <c r="RST157" s="65" t="n"/>
      <c r="RSU157" s="65" t="n"/>
      <c r="RSV157" s="65" t="n"/>
      <c r="RSW157" s="65" t="n"/>
      <c r="RSX157" s="65" t="n"/>
      <c r="RSY157" s="65" t="n"/>
      <c r="RSZ157" s="65" t="n"/>
      <c r="RTA157" s="65" t="n"/>
      <c r="RTB157" s="65" t="n"/>
      <c r="RTC157" s="65" t="n"/>
      <c r="RTD157" s="65" t="n"/>
      <c r="RTE157" s="65" t="n"/>
      <c r="RTF157" s="65" t="n"/>
      <c r="RTG157" s="65" t="n"/>
      <c r="RTH157" s="65" t="n"/>
      <c r="RTI157" s="65" t="n"/>
      <c r="RTJ157" s="65" t="n"/>
      <c r="RTK157" s="65" t="n"/>
      <c r="RTL157" s="65" t="n"/>
      <c r="RTM157" s="65" t="n"/>
      <c r="RTN157" s="65" t="n"/>
      <c r="RTO157" s="65" t="n"/>
      <c r="RTP157" s="65" t="n"/>
      <c r="RTQ157" s="65" t="n"/>
      <c r="RTR157" s="65" t="n"/>
      <c r="RTS157" s="65" t="n"/>
      <c r="RTT157" s="65" t="n"/>
      <c r="RTU157" s="65" t="n"/>
      <c r="RTV157" s="65" t="n"/>
      <c r="RTW157" s="65" t="n"/>
      <c r="RTX157" s="65" t="n"/>
      <c r="RTY157" s="65" t="n"/>
      <c r="RTZ157" s="65" t="n"/>
      <c r="RUA157" s="65" t="n"/>
      <c r="RUB157" s="65" t="n"/>
      <c r="RUC157" s="65" t="n"/>
      <c r="RUD157" s="65" t="n"/>
      <c r="RUE157" s="65" t="n"/>
      <c r="RUF157" s="65" t="n"/>
      <c r="RUG157" s="65" t="n"/>
      <c r="RUH157" s="65" t="n"/>
      <c r="RUI157" s="65" t="n"/>
      <c r="RUJ157" s="65" t="n"/>
      <c r="RUK157" s="65" t="n"/>
      <c r="RUL157" s="65" t="n"/>
      <c r="RUM157" s="65" t="n"/>
      <c r="RUN157" s="65" t="n"/>
      <c r="RUO157" s="65" t="n"/>
      <c r="RUP157" s="65" t="n"/>
      <c r="RUQ157" s="65" t="n"/>
      <c r="RUR157" s="65" t="n"/>
      <c r="RUS157" s="65" t="n"/>
      <c r="RUT157" s="65" t="n"/>
      <c r="RUU157" s="65" t="n"/>
      <c r="RUV157" s="65" t="n"/>
      <c r="RUW157" s="65" t="n"/>
      <c r="RUX157" s="65" t="n"/>
      <c r="RUY157" s="65" t="n"/>
      <c r="RUZ157" s="65" t="n"/>
      <c r="RVA157" s="65" t="n"/>
      <c r="RVB157" s="65" t="n"/>
      <c r="RVC157" s="65" t="n"/>
      <c r="RVD157" s="65" t="n"/>
      <c r="RVE157" s="65" t="n"/>
      <c r="RVF157" s="65" t="n"/>
      <c r="RVG157" s="65" t="n"/>
      <c r="RVH157" s="65" t="n"/>
      <c r="RVI157" s="65" t="n"/>
      <c r="RVJ157" s="65" t="n"/>
      <c r="RVK157" s="65" t="n"/>
      <c r="RVL157" s="65" t="n"/>
      <c r="RVM157" s="65" t="n"/>
      <c r="RVN157" s="65" t="n"/>
      <c r="RVO157" s="65" t="n"/>
      <c r="RVP157" s="65" t="n"/>
      <c r="RVQ157" s="65" t="n"/>
      <c r="RVR157" s="65" t="n"/>
      <c r="RVS157" s="65" t="n"/>
      <c r="RVT157" s="65" t="n"/>
      <c r="RVU157" s="65" t="n"/>
      <c r="RVV157" s="65" t="n"/>
      <c r="RVW157" s="65" t="n"/>
      <c r="RVX157" s="65" t="n"/>
      <c r="RVY157" s="65" t="n"/>
      <c r="RVZ157" s="65" t="n"/>
      <c r="RWA157" s="65" t="n"/>
      <c r="RWB157" s="65" t="n"/>
      <c r="RWC157" s="65" t="n"/>
      <c r="RWD157" s="65" t="n"/>
      <c r="RWE157" s="65" t="n"/>
      <c r="RWF157" s="65" t="n"/>
      <c r="RWG157" s="65" t="n"/>
      <c r="RWH157" s="65" t="n"/>
      <c r="RWI157" s="65" t="n"/>
      <c r="RWJ157" s="65" t="n"/>
      <c r="RWK157" s="65" t="n"/>
      <c r="RWL157" s="65" t="n"/>
      <c r="RWM157" s="65" t="n"/>
      <c r="RWN157" s="65" t="n"/>
      <c r="RWO157" s="65" t="n"/>
      <c r="RWP157" s="65" t="n"/>
      <c r="RWQ157" s="65" t="n"/>
      <c r="RWR157" s="65" t="n"/>
      <c r="RWS157" s="65" t="n"/>
      <c r="RWT157" s="65" t="n"/>
      <c r="RWU157" s="65" t="n"/>
      <c r="RWV157" s="65" t="n"/>
      <c r="RWW157" s="65" t="n"/>
      <c r="RWX157" s="65" t="n"/>
      <c r="RWY157" s="65" t="n"/>
      <c r="RWZ157" s="65" t="n"/>
      <c r="RXA157" s="65" t="n"/>
      <c r="RXB157" s="65" t="n"/>
      <c r="RXC157" s="65" t="n"/>
      <c r="RXD157" s="65" t="n"/>
      <c r="RXE157" s="65" t="n"/>
      <c r="RXF157" s="65" t="n"/>
      <c r="RXG157" s="65" t="n"/>
      <c r="RXH157" s="65" t="n"/>
      <c r="RXI157" s="65" t="n"/>
      <c r="RXJ157" s="65" t="n"/>
      <c r="RXK157" s="65" t="n"/>
      <c r="RXL157" s="65" t="n"/>
      <c r="RXM157" s="65" t="n"/>
      <c r="RXN157" s="65" t="n"/>
      <c r="RXO157" s="65" t="n"/>
      <c r="RXP157" s="65" t="n"/>
      <c r="RXQ157" s="65" t="n"/>
      <c r="RXR157" s="65" t="n"/>
      <c r="RXS157" s="65" t="n"/>
      <c r="RXT157" s="65" t="n"/>
      <c r="RXU157" s="65" t="n"/>
      <c r="RXV157" s="65" t="n"/>
      <c r="RXW157" s="65" t="n"/>
      <c r="RXX157" s="65" t="n"/>
      <c r="RXY157" s="65" t="n"/>
      <c r="RXZ157" s="65" t="n"/>
      <c r="RYA157" s="65" t="n"/>
      <c r="RYB157" s="65" t="n"/>
      <c r="RYC157" s="65" t="n"/>
      <c r="RYD157" s="65" t="n"/>
      <c r="RYE157" s="65" t="n"/>
      <c r="RYF157" s="65" t="n"/>
      <c r="RYG157" s="65" t="n"/>
      <c r="RYH157" s="65" t="n"/>
      <c r="RYI157" s="65" t="n"/>
      <c r="RYJ157" s="65" t="n"/>
      <c r="RYK157" s="65" t="n"/>
      <c r="RYL157" s="65" t="n"/>
      <c r="RYM157" s="65" t="n"/>
      <c r="RYN157" s="65" t="n"/>
      <c r="RYO157" s="65" t="n"/>
      <c r="RYP157" s="65" t="n"/>
      <c r="RYQ157" s="65" t="n"/>
      <c r="RYR157" s="65" t="n"/>
      <c r="RYS157" s="65" t="n"/>
      <c r="RYT157" s="65" t="n"/>
      <c r="RYU157" s="65" t="n"/>
      <c r="RYV157" s="65" t="n"/>
      <c r="RYW157" s="65" t="n"/>
      <c r="RYX157" s="65" t="n"/>
      <c r="RYY157" s="65" t="n"/>
      <c r="RYZ157" s="65" t="n"/>
      <c r="RZA157" s="65" t="n"/>
      <c r="RZB157" s="65" t="n"/>
      <c r="RZC157" s="65" t="n"/>
      <c r="RZD157" s="65" t="n"/>
      <c r="RZE157" s="65" t="n"/>
      <c r="RZF157" s="65" t="n"/>
      <c r="RZG157" s="65" t="n"/>
      <c r="RZH157" s="65" t="n"/>
      <c r="RZI157" s="65" t="n"/>
      <c r="RZJ157" s="65" t="n"/>
      <c r="RZK157" s="65" t="n"/>
      <c r="RZL157" s="65" t="n"/>
      <c r="RZM157" s="65" t="n"/>
      <c r="RZN157" s="65" t="n"/>
      <c r="RZO157" s="65" t="n"/>
      <c r="RZP157" s="65" t="n"/>
      <c r="RZQ157" s="65" t="n"/>
      <c r="RZR157" s="65" t="n"/>
      <c r="RZS157" s="65" t="n"/>
      <c r="RZT157" s="65" t="n"/>
      <c r="RZU157" s="65" t="n"/>
      <c r="RZV157" s="65" t="n"/>
      <c r="RZW157" s="65" t="n"/>
      <c r="RZX157" s="65" t="n"/>
      <c r="RZY157" s="65" t="n"/>
      <c r="RZZ157" s="65" t="n"/>
      <c r="SAA157" s="65" t="n"/>
      <c r="SAB157" s="65" t="n"/>
      <c r="SAC157" s="65" t="n"/>
      <c r="SAD157" s="65" t="n"/>
      <c r="SAE157" s="65" t="n"/>
      <c r="SAF157" s="65" t="n"/>
      <c r="SAG157" s="65" t="n"/>
      <c r="SAH157" s="65" t="n"/>
      <c r="SAI157" s="65" t="n"/>
      <c r="SAJ157" s="65" t="n"/>
      <c r="SAK157" s="65" t="n"/>
      <c r="SAL157" s="65" t="n"/>
      <c r="SAM157" s="65" t="n"/>
      <c r="SAN157" s="65" t="n"/>
      <c r="SAO157" s="65" t="n"/>
      <c r="SAP157" s="65" t="n"/>
      <c r="SAQ157" s="65" t="n"/>
      <c r="SAR157" s="65" t="n"/>
      <c r="SAS157" s="65" t="n"/>
      <c r="SAT157" s="65" t="n"/>
      <c r="SAU157" s="65" t="n"/>
      <c r="SAV157" s="65" t="n"/>
      <c r="SAW157" s="65" t="n"/>
      <c r="SAX157" s="65" t="n"/>
      <c r="SAY157" s="65" t="n"/>
      <c r="SAZ157" s="65" t="n"/>
      <c r="SBA157" s="65" t="n"/>
      <c r="SBB157" s="65" t="n"/>
      <c r="SBC157" s="65" t="n"/>
      <c r="SBD157" s="65" t="n"/>
      <c r="SBE157" s="65" t="n"/>
      <c r="SBF157" s="65" t="n"/>
      <c r="SBG157" s="65" t="n"/>
      <c r="SBH157" s="65" t="n"/>
      <c r="SBI157" s="65" t="n"/>
      <c r="SBJ157" s="65" t="n"/>
      <c r="SBK157" s="65" t="n"/>
      <c r="SBL157" s="65" t="n"/>
      <c r="SBM157" s="65" t="n"/>
      <c r="SBN157" s="65" t="n"/>
      <c r="SBO157" s="65" t="n"/>
      <c r="SBP157" s="65" t="n"/>
      <c r="SBQ157" s="65" t="n"/>
      <c r="SBR157" s="65" t="n"/>
      <c r="SBS157" s="65" t="n"/>
      <c r="SBT157" s="65" t="n"/>
      <c r="SBU157" s="65" t="n"/>
      <c r="SBV157" s="65" t="n"/>
      <c r="SBW157" s="65" t="n"/>
      <c r="SBX157" s="65" t="n"/>
      <c r="SBY157" s="65" t="n"/>
      <c r="SBZ157" s="65" t="n"/>
      <c r="SCA157" s="65" t="n"/>
      <c r="SCB157" s="65" t="n"/>
      <c r="SCC157" s="65" t="n"/>
      <c r="SCD157" s="65" t="n"/>
      <c r="SCE157" s="65" t="n"/>
      <c r="SCF157" s="65" t="n"/>
      <c r="SCG157" s="65" t="n"/>
      <c r="SCH157" s="65" t="n"/>
      <c r="SCI157" s="65" t="n"/>
      <c r="SCJ157" s="65" t="n"/>
      <c r="SCK157" s="65" t="n"/>
      <c r="SCL157" s="65" t="n"/>
      <c r="SCM157" s="65" t="n"/>
      <c r="SCN157" s="65" t="n"/>
      <c r="SCO157" s="65" t="n"/>
      <c r="SCP157" s="65" t="n"/>
      <c r="SCQ157" s="65" t="n"/>
      <c r="SCR157" s="65" t="n"/>
      <c r="SCS157" s="65" t="n"/>
      <c r="SCT157" s="65" t="n"/>
      <c r="SCU157" s="65" t="n"/>
      <c r="SCV157" s="65" t="n"/>
      <c r="SCW157" s="65" t="n"/>
      <c r="SCX157" s="65" t="n"/>
      <c r="SCY157" s="65" t="n"/>
      <c r="SCZ157" s="65" t="n"/>
      <c r="SDA157" s="65" t="n"/>
      <c r="SDB157" s="65" t="n"/>
      <c r="SDC157" s="65" t="n"/>
      <c r="SDD157" s="65" t="n"/>
      <c r="SDE157" s="65" t="n"/>
      <c r="SDF157" s="65" t="n"/>
      <c r="SDG157" s="65" t="n"/>
      <c r="SDH157" s="65" t="n"/>
      <c r="SDI157" s="65" t="n"/>
      <c r="SDJ157" s="65" t="n"/>
      <c r="SDK157" s="65" t="n"/>
      <c r="SDL157" s="65" t="n"/>
      <c r="SDM157" s="65" t="n"/>
      <c r="SDN157" s="65" t="n"/>
      <c r="SDO157" s="65" t="n"/>
      <c r="SDP157" s="65" t="n"/>
      <c r="SDQ157" s="65" t="n"/>
      <c r="SDR157" s="65" t="n"/>
      <c r="SDS157" s="65" t="n"/>
      <c r="SDT157" s="65" t="n"/>
      <c r="SDU157" s="65" t="n"/>
      <c r="SDV157" s="65" t="n"/>
      <c r="SDW157" s="65" t="n"/>
      <c r="SDX157" s="65" t="n"/>
      <c r="SDY157" s="65" t="n"/>
      <c r="SDZ157" s="65" t="n"/>
      <c r="SEA157" s="65" t="n"/>
      <c r="SEB157" s="65" t="n"/>
      <c r="SEC157" s="65" t="n"/>
      <c r="SED157" s="65" t="n"/>
      <c r="SEE157" s="65" t="n"/>
      <c r="SEF157" s="65" t="n"/>
      <c r="SEG157" s="65" t="n"/>
      <c r="SEH157" s="65" t="n"/>
      <c r="SEI157" s="65" t="n"/>
      <c r="SEJ157" s="65" t="n"/>
      <c r="SEK157" s="65" t="n"/>
      <c r="SEL157" s="65" t="n"/>
      <c r="SEM157" s="65" t="n"/>
      <c r="SEN157" s="65" t="n"/>
      <c r="SEO157" s="65" t="n"/>
      <c r="SEP157" s="65" t="n"/>
      <c r="SEQ157" s="65" t="n"/>
      <c r="SER157" s="65" t="n"/>
      <c r="SES157" s="65" t="n"/>
      <c r="SET157" s="65" t="n"/>
      <c r="SEU157" s="65" t="n"/>
      <c r="SEV157" s="65" t="n"/>
      <c r="SEW157" s="65" t="n"/>
      <c r="SEX157" s="65" t="n"/>
      <c r="SEY157" s="65" t="n"/>
      <c r="SEZ157" s="65" t="n"/>
      <c r="SFA157" s="65" t="n"/>
      <c r="SFB157" s="65" t="n"/>
      <c r="SFC157" s="65" t="n"/>
      <c r="SFD157" s="65" t="n"/>
      <c r="SFE157" s="65" t="n"/>
      <c r="SFF157" s="65" t="n"/>
      <c r="SFG157" s="65" t="n"/>
      <c r="SFH157" s="65" t="n"/>
      <c r="SFI157" s="65" t="n"/>
      <c r="SFJ157" s="65" t="n"/>
      <c r="SFK157" s="65" t="n"/>
      <c r="SFL157" s="65" t="n"/>
      <c r="SFM157" s="65" t="n"/>
      <c r="SFN157" s="65" t="n"/>
      <c r="SFO157" s="65" t="n"/>
      <c r="SFP157" s="65" t="n"/>
      <c r="SFQ157" s="65" t="n"/>
      <c r="SFR157" s="65" t="n"/>
      <c r="SFS157" s="65" t="n"/>
      <c r="SFT157" s="65" t="n"/>
      <c r="SFU157" s="65" t="n"/>
      <c r="SFV157" s="65" t="n"/>
      <c r="SFW157" s="65" t="n"/>
      <c r="SFX157" s="65" t="n"/>
      <c r="SFY157" s="65" t="n"/>
      <c r="SFZ157" s="65" t="n"/>
      <c r="SGA157" s="65" t="n"/>
      <c r="SGB157" s="65" t="n"/>
      <c r="SGC157" s="65" t="n"/>
      <c r="SGD157" s="65" t="n"/>
      <c r="SGE157" s="65" t="n"/>
      <c r="SGF157" s="65" t="n"/>
      <c r="SGG157" s="65" t="n"/>
      <c r="SGH157" s="65" t="n"/>
      <c r="SGI157" s="65" t="n"/>
      <c r="SGJ157" s="65" t="n"/>
      <c r="SGK157" s="65" t="n"/>
      <c r="SGL157" s="65" t="n"/>
      <c r="SGM157" s="65" t="n"/>
      <c r="SGN157" s="65" t="n"/>
      <c r="SGO157" s="65" t="n"/>
      <c r="SGP157" s="65" t="n"/>
      <c r="SGQ157" s="65" t="n"/>
      <c r="SGR157" s="65" t="n"/>
      <c r="SGS157" s="65" t="n"/>
      <c r="SGT157" s="65" t="n"/>
      <c r="SGU157" s="65" t="n"/>
      <c r="SGV157" s="65" t="n"/>
      <c r="SGW157" s="65" t="n"/>
      <c r="SGX157" s="65" t="n"/>
      <c r="SGY157" s="65" t="n"/>
      <c r="SGZ157" s="65" t="n"/>
      <c r="SHA157" s="65" t="n"/>
      <c r="SHB157" s="65" t="n"/>
      <c r="SHC157" s="65" t="n"/>
      <c r="SHD157" s="65" t="n"/>
      <c r="SHE157" s="65" t="n"/>
      <c r="SHF157" s="65" t="n"/>
      <c r="SHG157" s="65" t="n"/>
      <c r="SHH157" s="65" t="n"/>
      <c r="SHI157" s="65" t="n"/>
      <c r="SHJ157" s="65" t="n"/>
      <c r="SHK157" s="65" t="n"/>
      <c r="SHL157" s="65" t="n"/>
      <c r="SHM157" s="65" t="n"/>
      <c r="SHN157" s="65" t="n"/>
      <c r="SHO157" s="65" t="n"/>
      <c r="SHP157" s="65" t="n"/>
      <c r="SHQ157" s="65" t="n"/>
      <c r="SHR157" s="65" t="n"/>
      <c r="SHS157" s="65" t="n"/>
      <c r="SHT157" s="65" t="n"/>
      <c r="SHU157" s="65" t="n"/>
      <c r="SHV157" s="65" t="n"/>
      <c r="SHW157" s="65" t="n"/>
      <c r="SHX157" s="65" t="n"/>
      <c r="SHY157" s="65" t="n"/>
      <c r="SHZ157" s="65" t="n"/>
      <c r="SIA157" s="65" t="n"/>
      <c r="SIB157" s="65" t="n"/>
      <c r="SIC157" s="65" t="n"/>
      <c r="SID157" s="65" t="n"/>
      <c r="SIE157" s="65" t="n"/>
      <c r="SIF157" s="65" t="n"/>
      <c r="SIG157" s="65" t="n"/>
      <c r="SIH157" s="65" t="n"/>
      <c r="SII157" s="65" t="n"/>
      <c r="SIJ157" s="65" t="n"/>
      <c r="SIK157" s="65" t="n"/>
      <c r="SIL157" s="65" t="n"/>
      <c r="SIM157" s="65" t="n"/>
      <c r="SIN157" s="65" t="n"/>
      <c r="SIO157" s="65" t="n"/>
      <c r="SIP157" s="65" t="n"/>
      <c r="SIQ157" s="65" t="n"/>
      <c r="SIR157" s="65" t="n"/>
      <c r="SIS157" s="65" t="n"/>
      <c r="SIT157" s="65" t="n"/>
      <c r="SIU157" s="65" t="n"/>
      <c r="SIV157" s="65" t="n"/>
      <c r="SIW157" s="65" t="n"/>
      <c r="SIX157" s="65" t="n"/>
      <c r="SIY157" s="65" t="n"/>
      <c r="SIZ157" s="65" t="n"/>
      <c r="SJA157" s="65" t="n"/>
      <c r="SJB157" s="65" t="n"/>
      <c r="SJC157" s="65" t="n"/>
      <c r="SJD157" s="65" t="n"/>
      <c r="SJE157" s="65" t="n"/>
      <c r="SJF157" s="65" t="n"/>
      <c r="SJG157" s="65" t="n"/>
      <c r="SJH157" s="65" t="n"/>
      <c r="SJI157" s="65" t="n"/>
      <c r="SJJ157" s="65" t="n"/>
      <c r="SJK157" s="65" t="n"/>
      <c r="SJL157" s="65" t="n"/>
      <c r="SJM157" s="65" t="n"/>
      <c r="SJN157" s="65" t="n"/>
      <c r="SJO157" s="65" t="n"/>
      <c r="SJP157" s="65" t="n"/>
      <c r="SJQ157" s="65" t="n"/>
      <c r="SJR157" s="65" t="n"/>
      <c r="SJS157" s="65" t="n"/>
      <c r="SJT157" s="65" t="n"/>
      <c r="SJU157" s="65" t="n"/>
      <c r="SJV157" s="65" t="n"/>
      <c r="SJW157" s="65" t="n"/>
      <c r="SJX157" s="65" t="n"/>
      <c r="SJY157" s="65" t="n"/>
      <c r="SJZ157" s="65" t="n"/>
      <c r="SKA157" s="65" t="n"/>
      <c r="SKB157" s="65" t="n"/>
      <c r="SKC157" s="65" t="n"/>
      <c r="SKD157" s="65" t="n"/>
      <c r="SKE157" s="65" t="n"/>
      <c r="SKF157" s="65" t="n"/>
      <c r="SKG157" s="65" t="n"/>
      <c r="SKH157" s="65" t="n"/>
      <c r="SKI157" s="65" t="n"/>
      <c r="SKJ157" s="65" t="n"/>
      <c r="SKK157" s="65" t="n"/>
      <c r="SKL157" s="65" t="n"/>
      <c r="SKM157" s="65" t="n"/>
      <c r="SKN157" s="65" t="n"/>
      <c r="SKO157" s="65" t="n"/>
      <c r="SKP157" s="65" t="n"/>
      <c r="SKQ157" s="65" t="n"/>
      <c r="SKR157" s="65" t="n"/>
      <c r="SKS157" s="65" t="n"/>
      <c r="SKT157" s="65" t="n"/>
      <c r="SKU157" s="65" t="n"/>
      <c r="SKV157" s="65" t="n"/>
      <c r="SKW157" s="65" t="n"/>
      <c r="SKX157" s="65" t="n"/>
      <c r="SKY157" s="65" t="n"/>
      <c r="SKZ157" s="65" t="n"/>
      <c r="SLA157" s="65" t="n"/>
      <c r="SLB157" s="65" t="n"/>
      <c r="SLC157" s="65" t="n"/>
      <c r="SLD157" s="65" t="n"/>
      <c r="SLE157" s="65" t="n"/>
      <c r="SLF157" s="65" t="n"/>
      <c r="SLG157" s="65" t="n"/>
      <c r="SLH157" s="65" t="n"/>
      <c r="SLI157" s="65" t="n"/>
      <c r="SLJ157" s="65" t="n"/>
      <c r="SLK157" s="65" t="n"/>
      <c r="SLL157" s="65" t="n"/>
      <c r="SLM157" s="65" t="n"/>
      <c r="SLN157" s="65" t="n"/>
      <c r="SLO157" s="65" t="n"/>
      <c r="SLP157" s="65" t="n"/>
      <c r="SLQ157" s="65" t="n"/>
      <c r="SLR157" s="65" t="n"/>
      <c r="SLS157" s="65" t="n"/>
      <c r="SLT157" s="65" t="n"/>
      <c r="SLU157" s="65" t="n"/>
      <c r="SLV157" s="65" t="n"/>
      <c r="SLW157" s="65" t="n"/>
      <c r="SLX157" s="65" t="n"/>
      <c r="SLY157" s="65" t="n"/>
      <c r="SLZ157" s="65" t="n"/>
      <c r="SMA157" s="65" t="n"/>
      <c r="SMB157" s="65" t="n"/>
      <c r="SMC157" s="65" t="n"/>
      <c r="SMD157" s="65" t="n"/>
      <c r="SME157" s="65" t="n"/>
      <c r="SMF157" s="65" t="n"/>
      <c r="SMG157" s="65" t="n"/>
      <c r="SMH157" s="65" t="n"/>
      <c r="SMI157" s="65" t="n"/>
      <c r="SMJ157" s="65" t="n"/>
      <c r="SMK157" s="65" t="n"/>
      <c r="SML157" s="65" t="n"/>
      <c r="SMM157" s="65" t="n"/>
      <c r="SMN157" s="65" t="n"/>
      <c r="SMO157" s="65" t="n"/>
      <c r="SMP157" s="65" t="n"/>
      <c r="SMQ157" s="65" t="n"/>
      <c r="SMR157" s="65" t="n"/>
      <c r="SMS157" s="65" t="n"/>
      <c r="SMT157" s="65" t="n"/>
      <c r="SMU157" s="65" t="n"/>
      <c r="SMV157" s="65" t="n"/>
      <c r="SMW157" s="65" t="n"/>
      <c r="SMX157" s="65" t="n"/>
      <c r="SMY157" s="65" t="n"/>
      <c r="SMZ157" s="65" t="n"/>
      <c r="SNA157" s="65" t="n"/>
      <c r="SNB157" s="65" t="n"/>
      <c r="SNC157" s="65" t="n"/>
      <c r="SND157" s="65" t="n"/>
      <c r="SNE157" s="65" t="n"/>
      <c r="SNF157" s="65" t="n"/>
      <c r="SNG157" s="65" t="n"/>
      <c r="SNH157" s="65" t="n"/>
      <c r="SNI157" s="65" t="n"/>
      <c r="SNJ157" s="65" t="n"/>
      <c r="SNK157" s="65" t="n"/>
      <c r="SNL157" s="65" t="n"/>
      <c r="SNM157" s="65" t="n"/>
      <c r="SNN157" s="65" t="n"/>
      <c r="SNO157" s="65" t="n"/>
      <c r="SNP157" s="65" t="n"/>
      <c r="SNQ157" s="65" t="n"/>
      <c r="SNR157" s="65" t="n"/>
      <c r="SNS157" s="65" t="n"/>
      <c r="SNT157" s="65" t="n"/>
      <c r="SNU157" s="65" t="n"/>
      <c r="SNV157" s="65" t="n"/>
      <c r="SNW157" s="65" t="n"/>
      <c r="SNX157" s="65" t="n"/>
      <c r="SNY157" s="65" t="n"/>
      <c r="SNZ157" s="65" t="n"/>
      <c r="SOA157" s="65" t="n"/>
      <c r="SOB157" s="65" t="n"/>
      <c r="SOC157" s="65" t="n"/>
      <c r="SOD157" s="65" t="n"/>
      <c r="SOE157" s="65" t="n"/>
      <c r="SOF157" s="65" t="n"/>
      <c r="SOG157" s="65" t="n"/>
      <c r="SOH157" s="65" t="n"/>
      <c r="SOI157" s="65" t="n"/>
      <c r="SOJ157" s="65" t="n"/>
      <c r="SOK157" s="65" t="n"/>
      <c r="SOL157" s="65" t="n"/>
      <c r="SOM157" s="65" t="n"/>
      <c r="SON157" s="65" t="n"/>
      <c r="SOO157" s="65" t="n"/>
      <c r="SOP157" s="65" t="n"/>
      <c r="SOQ157" s="65" t="n"/>
      <c r="SOR157" s="65" t="n"/>
      <c r="SOS157" s="65" t="n"/>
      <c r="SOT157" s="65" t="n"/>
      <c r="SOU157" s="65" t="n"/>
      <c r="SOV157" s="65" t="n"/>
      <c r="SOW157" s="65" t="n"/>
      <c r="SOX157" s="65" t="n"/>
      <c r="SOY157" s="65" t="n"/>
      <c r="SOZ157" s="65" t="n"/>
      <c r="SPA157" s="65" t="n"/>
      <c r="SPB157" s="65" t="n"/>
      <c r="SPC157" s="65" t="n"/>
      <c r="SPD157" s="65" t="n"/>
      <c r="SPE157" s="65" t="n"/>
      <c r="SPF157" s="65" t="n"/>
      <c r="SPG157" s="65" t="n"/>
      <c r="SPH157" s="65" t="n"/>
      <c r="SPI157" s="65" t="n"/>
      <c r="SPJ157" s="65" t="n"/>
      <c r="SPK157" s="65" t="n"/>
      <c r="SPL157" s="65" t="n"/>
      <c r="SPM157" s="65" t="n"/>
      <c r="SPN157" s="65" t="n"/>
      <c r="SPO157" s="65" t="n"/>
      <c r="SPP157" s="65" t="n"/>
      <c r="SPQ157" s="65" t="n"/>
      <c r="SPR157" s="65" t="n"/>
      <c r="SPS157" s="65" t="n"/>
      <c r="SPT157" s="65" t="n"/>
      <c r="SPU157" s="65" t="n"/>
      <c r="SPV157" s="65" t="n"/>
      <c r="SPW157" s="65" t="n"/>
      <c r="SPX157" s="65" t="n"/>
      <c r="SPY157" s="65" t="n"/>
      <c r="SPZ157" s="65" t="n"/>
      <c r="SQA157" s="65" t="n"/>
      <c r="SQB157" s="65" t="n"/>
      <c r="SQC157" s="65" t="n"/>
      <c r="SQD157" s="65" t="n"/>
      <c r="SQE157" s="65" t="n"/>
      <c r="SQF157" s="65" t="n"/>
      <c r="SQG157" s="65" t="n"/>
      <c r="SQH157" s="65" t="n"/>
      <c r="SQI157" s="65" t="n"/>
      <c r="SQJ157" s="65" t="n"/>
      <c r="SQK157" s="65" t="n"/>
      <c r="SQL157" s="65" t="n"/>
      <c r="SQM157" s="65" t="n"/>
      <c r="SQN157" s="65" t="n"/>
      <c r="SQO157" s="65" t="n"/>
      <c r="SQP157" s="65" t="n"/>
      <c r="SQQ157" s="65" t="n"/>
      <c r="SQR157" s="65" t="n"/>
      <c r="SQS157" s="65" t="n"/>
      <c r="SQT157" s="65" t="n"/>
      <c r="SQU157" s="65" t="n"/>
      <c r="SQV157" s="65" t="n"/>
      <c r="SQW157" s="65" t="n"/>
      <c r="SQX157" s="65" t="n"/>
      <c r="SQY157" s="65" t="n"/>
      <c r="SQZ157" s="65" t="n"/>
      <c r="SRA157" s="65" t="n"/>
      <c r="SRB157" s="65" t="n"/>
      <c r="SRC157" s="65" t="n"/>
      <c r="SRD157" s="65" t="n"/>
      <c r="SRE157" s="65" t="n"/>
      <c r="SRF157" s="65" t="n"/>
      <c r="SRG157" s="65" t="n"/>
      <c r="SRH157" s="65" t="n"/>
      <c r="SRI157" s="65" t="n"/>
      <c r="SRJ157" s="65" t="n"/>
      <c r="SRK157" s="65" t="n"/>
      <c r="SRL157" s="65" t="n"/>
      <c r="SRM157" s="65" t="n"/>
      <c r="SRN157" s="65" t="n"/>
      <c r="SRO157" s="65" t="n"/>
      <c r="SRP157" s="65" t="n"/>
      <c r="SRQ157" s="65" t="n"/>
      <c r="SRR157" s="65" t="n"/>
      <c r="SRS157" s="65" t="n"/>
      <c r="SRT157" s="65" t="n"/>
      <c r="SRU157" s="65" t="n"/>
      <c r="SRV157" s="65" t="n"/>
      <c r="SRW157" s="65" t="n"/>
      <c r="SRX157" s="65" t="n"/>
      <c r="SRY157" s="65" t="n"/>
      <c r="SRZ157" s="65" t="n"/>
      <c r="SSA157" s="65" t="n"/>
      <c r="SSB157" s="65" t="n"/>
      <c r="SSC157" s="65" t="n"/>
      <c r="SSD157" s="65" t="n"/>
      <c r="SSE157" s="65" t="n"/>
      <c r="SSF157" s="65" t="n"/>
      <c r="SSG157" s="65" t="n"/>
      <c r="SSH157" s="65" t="n"/>
      <c r="SSI157" s="65" t="n"/>
      <c r="SSJ157" s="65" t="n"/>
      <c r="SSK157" s="65" t="n"/>
      <c r="SSL157" s="65" t="n"/>
      <c r="SSM157" s="65" t="n"/>
      <c r="SSN157" s="65" t="n"/>
      <c r="SSO157" s="65" t="n"/>
      <c r="SSP157" s="65" t="n"/>
      <c r="SSQ157" s="65" t="n"/>
      <c r="SSR157" s="65" t="n"/>
      <c r="SSS157" s="65" t="n"/>
      <c r="SST157" s="65" t="n"/>
      <c r="SSU157" s="65" t="n"/>
      <c r="SSV157" s="65" t="n"/>
      <c r="SSW157" s="65" t="n"/>
      <c r="SSX157" s="65" t="n"/>
      <c r="SSY157" s="65" t="n"/>
      <c r="SSZ157" s="65" t="n"/>
      <c r="STA157" s="65" t="n"/>
      <c r="STB157" s="65" t="n"/>
      <c r="STC157" s="65" t="n"/>
      <c r="STD157" s="65" t="n"/>
      <c r="STE157" s="65" t="n"/>
      <c r="STF157" s="65" t="n"/>
      <c r="STG157" s="65" t="n"/>
      <c r="STH157" s="65" t="n"/>
      <c r="STI157" s="65" t="n"/>
      <c r="STJ157" s="65" t="n"/>
      <c r="STK157" s="65" t="n"/>
      <c r="STL157" s="65" t="n"/>
      <c r="STM157" s="65" t="n"/>
      <c r="STN157" s="65" t="n"/>
      <c r="STO157" s="65" t="n"/>
      <c r="STP157" s="65" t="n"/>
      <c r="STQ157" s="65" t="n"/>
      <c r="STR157" s="65" t="n"/>
      <c r="STS157" s="65" t="n"/>
      <c r="STT157" s="65" t="n"/>
      <c r="STU157" s="65" t="n"/>
      <c r="STV157" s="65" t="n"/>
      <c r="STW157" s="65" t="n"/>
      <c r="STX157" s="65" t="n"/>
      <c r="STY157" s="65" t="n"/>
      <c r="STZ157" s="65" t="n"/>
      <c r="SUA157" s="65" t="n"/>
      <c r="SUB157" s="65" t="n"/>
      <c r="SUC157" s="65" t="n"/>
      <c r="SUD157" s="65" t="n"/>
      <c r="SUE157" s="65" t="n"/>
      <c r="SUF157" s="65" t="n"/>
      <c r="SUG157" s="65" t="n"/>
      <c r="SUH157" s="65" t="n"/>
      <c r="SUI157" s="65" t="n"/>
      <c r="SUJ157" s="65" t="n"/>
      <c r="SUK157" s="65" t="n"/>
      <c r="SUL157" s="65" t="n"/>
      <c r="SUM157" s="65" t="n"/>
      <c r="SUN157" s="65" t="n"/>
      <c r="SUO157" s="65" t="n"/>
      <c r="SUP157" s="65" t="n"/>
      <c r="SUQ157" s="65" t="n"/>
      <c r="SUR157" s="65" t="n"/>
      <c r="SUS157" s="65" t="n"/>
      <c r="SUT157" s="65" t="n"/>
      <c r="SUU157" s="65" t="n"/>
      <c r="SUV157" s="65" t="n"/>
      <c r="SUW157" s="65" t="n"/>
      <c r="SUX157" s="65" t="n"/>
      <c r="SUY157" s="65" t="n"/>
      <c r="SUZ157" s="65" t="n"/>
      <c r="SVA157" s="65" t="n"/>
      <c r="SVB157" s="65" t="n"/>
      <c r="SVC157" s="65" t="n"/>
      <c r="SVD157" s="65" t="n"/>
      <c r="SVE157" s="65" t="n"/>
      <c r="SVF157" s="65" t="n"/>
      <c r="SVG157" s="65" t="n"/>
      <c r="SVH157" s="65" t="n"/>
      <c r="SVI157" s="65" t="n"/>
      <c r="SVJ157" s="65" t="n"/>
      <c r="SVK157" s="65" t="n"/>
      <c r="SVL157" s="65" t="n"/>
      <c r="SVM157" s="65" t="n"/>
      <c r="SVN157" s="65" t="n"/>
      <c r="SVO157" s="65" t="n"/>
      <c r="SVP157" s="65" t="n"/>
      <c r="SVQ157" s="65" t="n"/>
      <c r="SVR157" s="65" t="n"/>
      <c r="SVS157" s="65" t="n"/>
      <c r="SVT157" s="65" t="n"/>
      <c r="SVU157" s="65" t="n"/>
      <c r="SVV157" s="65" t="n"/>
      <c r="SVW157" s="65" t="n"/>
      <c r="SVX157" s="65" t="n"/>
      <c r="SVY157" s="65" t="n"/>
      <c r="SVZ157" s="65" t="n"/>
      <c r="SWA157" s="65" t="n"/>
      <c r="SWB157" s="65" t="n"/>
      <c r="SWC157" s="65" t="n"/>
      <c r="SWD157" s="65" t="n"/>
      <c r="SWE157" s="65" t="n"/>
      <c r="SWF157" s="65" t="n"/>
      <c r="SWG157" s="65" t="n"/>
      <c r="SWH157" s="65" t="n"/>
      <c r="SWI157" s="65" t="n"/>
      <c r="SWJ157" s="65" t="n"/>
      <c r="SWK157" s="65" t="n"/>
      <c r="SWL157" s="65" t="n"/>
      <c r="SWM157" s="65" t="n"/>
      <c r="SWN157" s="65" t="n"/>
      <c r="SWO157" s="65" t="n"/>
      <c r="SWP157" s="65" t="n"/>
      <c r="SWQ157" s="65" t="n"/>
      <c r="SWR157" s="65" t="n"/>
      <c r="SWS157" s="65" t="n"/>
      <c r="SWT157" s="65" t="n"/>
      <c r="SWU157" s="65" t="n"/>
      <c r="SWV157" s="65" t="n"/>
      <c r="SWW157" s="65" t="n"/>
      <c r="SWX157" s="65" t="n"/>
      <c r="SWY157" s="65" t="n"/>
      <c r="SWZ157" s="65" t="n"/>
      <c r="SXA157" s="65" t="n"/>
      <c r="SXB157" s="65" t="n"/>
      <c r="SXC157" s="65" t="n"/>
      <c r="SXD157" s="65" t="n"/>
      <c r="SXE157" s="65" t="n"/>
      <c r="SXF157" s="65" t="n"/>
      <c r="SXG157" s="65" t="n"/>
      <c r="SXH157" s="65" t="n"/>
      <c r="SXI157" s="65" t="n"/>
      <c r="SXJ157" s="65" t="n"/>
      <c r="SXK157" s="65" t="n"/>
      <c r="SXL157" s="65" t="n"/>
      <c r="SXM157" s="65" t="n"/>
      <c r="SXN157" s="65" t="n"/>
      <c r="SXO157" s="65" t="n"/>
      <c r="SXP157" s="65" t="n"/>
      <c r="SXQ157" s="65" t="n"/>
      <c r="SXR157" s="65" t="n"/>
      <c r="SXS157" s="65" t="n"/>
      <c r="SXT157" s="65" t="n"/>
      <c r="SXU157" s="65" t="n"/>
      <c r="SXV157" s="65" t="n"/>
      <c r="SXW157" s="65" t="n"/>
      <c r="SXX157" s="65" t="n"/>
      <c r="SXY157" s="65" t="n"/>
      <c r="SXZ157" s="65" t="n"/>
      <c r="SYA157" s="65" t="n"/>
      <c r="SYB157" s="65" t="n"/>
      <c r="SYC157" s="65" t="n"/>
      <c r="SYD157" s="65" t="n"/>
      <c r="SYE157" s="65" t="n"/>
      <c r="SYF157" s="65" t="n"/>
      <c r="SYG157" s="65" t="n"/>
      <c r="SYH157" s="65" t="n"/>
      <c r="SYI157" s="65" t="n"/>
      <c r="SYJ157" s="65" t="n"/>
      <c r="SYK157" s="65" t="n"/>
      <c r="SYL157" s="65" t="n"/>
      <c r="SYM157" s="65" t="n"/>
      <c r="SYN157" s="65" t="n"/>
      <c r="SYO157" s="65" t="n"/>
      <c r="SYP157" s="65" t="n"/>
      <c r="SYQ157" s="65" t="n"/>
      <c r="SYR157" s="65" t="n"/>
      <c r="SYS157" s="65" t="n"/>
      <c r="SYT157" s="65" t="n"/>
      <c r="SYU157" s="65" t="n"/>
      <c r="SYV157" s="65" t="n"/>
      <c r="SYW157" s="65" t="n"/>
      <c r="SYX157" s="65" t="n"/>
      <c r="SYY157" s="65" t="n"/>
      <c r="SYZ157" s="65" t="n"/>
      <c r="SZA157" s="65" t="n"/>
      <c r="SZB157" s="65" t="n"/>
      <c r="SZC157" s="65" t="n"/>
      <c r="SZD157" s="65" t="n"/>
      <c r="SZE157" s="65" t="n"/>
      <c r="SZF157" s="65" t="n"/>
      <c r="SZG157" s="65" t="n"/>
      <c r="SZH157" s="65" t="n"/>
      <c r="SZI157" s="65" t="n"/>
      <c r="SZJ157" s="65" t="n"/>
      <c r="SZK157" s="65" t="n"/>
      <c r="SZL157" s="65" t="n"/>
      <c r="SZM157" s="65" t="n"/>
      <c r="SZN157" s="65" t="n"/>
      <c r="SZO157" s="65" t="n"/>
      <c r="SZP157" s="65" t="n"/>
      <c r="SZQ157" s="65" t="n"/>
      <c r="SZR157" s="65" t="n"/>
      <c r="SZS157" s="65" t="n"/>
      <c r="SZT157" s="65" t="n"/>
      <c r="SZU157" s="65" t="n"/>
      <c r="SZV157" s="65" t="n"/>
      <c r="SZW157" s="65" t="n"/>
      <c r="SZX157" s="65" t="n"/>
      <c r="SZY157" s="65" t="n"/>
      <c r="SZZ157" s="65" t="n"/>
      <c r="TAA157" s="65" t="n"/>
      <c r="TAB157" s="65" t="n"/>
      <c r="TAC157" s="65" t="n"/>
      <c r="TAD157" s="65" t="n"/>
      <c r="TAE157" s="65" t="n"/>
      <c r="TAF157" s="65" t="n"/>
      <c r="TAG157" s="65" t="n"/>
      <c r="TAH157" s="65" t="n"/>
      <c r="TAI157" s="65" t="n"/>
      <c r="TAJ157" s="65" t="n"/>
      <c r="TAK157" s="65" t="n"/>
      <c r="TAL157" s="65" t="n"/>
      <c r="TAM157" s="65" t="n"/>
      <c r="TAN157" s="65" t="n"/>
      <c r="TAO157" s="65" t="n"/>
      <c r="TAP157" s="65" t="n"/>
      <c r="TAQ157" s="65" t="n"/>
      <c r="TAR157" s="65" t="n"/>
      <c r="TAS157" s="65" t="n"/>
      <c r="TAT157" s="65" t="n"/>
      <c r="TAU157" s="65" t="n"/>
      <c r="TAV157" s="65" t="n"/>
      <c r="TAW157" s="65" t="n"/>
      <c r="TAX157" s="65" t="n"/>
      <c r="TAY157" s="65" t="n"/>
      <c r="TAZ157" s="65" t="n"/>
      <c r="TBA157" s="65" t="n"/>
      <c r="TBB157" s="65" t="n"/>
      <c r="TBC157" s="65" t="n"/>
      <c r="TBD157" s="65" t="n"/>
      <c r="TBE157" s="65" t="n"/>
      <c r="TBF157" s="65" t="n"/>
      <c r="TBG157" s="65" t="n"/>
      <c r="TBH157" s="65" t="n"/>
      <c r="TBI157" s="65" t="n"/>
      <c r="TBJ157" s="65" t="n"/>
      <c r="TBK157" s="65" t="n"/>
      <c r="TBL157" s="65" t="n"/>
      <c r="TBM157" s="65" t="n"/>
      <c r="TBN157" s="65" t="n"/>
      <c r="TBO157" s="65" t="n"/>
      <c r="TBP157" s="65" t="n"/>
      <c r="TBQ157" s="65" t="n"/>
      <c r="TBR157" s="65" t="n"/>
      <c r="TBS157" s="65" t="n"/>
      <c r="TBT157" s="65" t="n"/>
      <c r="TBU157" s="65" t="n"/>
      <c r="TBV157" s="65" t="n"/>
      <c r="TBW157" s="65" t="n"/>
      <c r="TBX157" s="65" t="n"/>
      <c r="TBY157" s="65" t="n"/>
      <c r="TBZ157" s="65" t="n"/>
      <c r="TCA157" s="65" t="n"/>
      <c r="TCB157" s="65" t="n"/>
      <c r="TCC157" s="65" t="n"/>
      <c r="TCD157" s="65" t="n"/>
      <c r="TCE157" s="65" t="n"/>
      <c r="TCF157" s="65" t="n"/>
      <c r="TCG157" s="65" t="n"/>
      <c r="TCH157" s="65" t="n"/>
      <c r="TCI157" s="65" t="n"/>
      <c r="TCJ157" s="65" t="n"/>
      <c r="TCK157" s="65" t="n"/>
      <c r="TCL157" s="65" t="n"/>
      <c r="TCM157" s="65" t="n"/>
      <c r="TCN157" s="65" t="n"/>
      <c r="TCO157" s="65" t="n"/>
      <c r="TCP157" s="65" t="n"/>
      <c r="TCQ157" s="65" t="n"/>
      <c r="TCR157" s="65" t="n"/>
      <c r="TCS157" s="65" t="n"/>
      <c r="TCT157" s="65" t="n"/>
      <c r="TCU157" s="65" t="n"/>
      <c r="TCV157" s="65" t="n"/>
      <c r="TCW157" s="65" t="n"/>
      <c r="TCX157" s="65" t="n"/>
      <c r="TCY157" s="65" t="n"/>
      <c r="TCZ157" s="65" t="n"/>
      <c r="TDA157" s="65" t="n"/>
      <c r="TDB157" s="65" t="n"/>
      <c r="TDC157" s="65" t="n"/>
      <c r="TDD157" s="65" t="n"/>
      <c r="TDE157" s="65" t="n"/>
      <c r="TDF157" s="65" t="n"/>
      <c r="TDG157" s="65" t="n"/>
      <c r="TDH157" s="65" t="n"/>
      <c r="TDI157" s="65" t="n"/>
      <c r="TDJ157" s="65" t="n"/>
      <c r="TDK157" s="65" t="n"/>
      <c r="TDL157" s="65" t="n"/>
      <c r="TDM157" s="65" t="n"/>
      <c r="TDN157" s="65" t="n"/>
      <c r="TDO157" s="65" t="n"/>
      <c r="TDP157" s="65" t="n"/>
      <c r="TDQ157" s="65" t="n"/>
      <c r="TDR157" s="65" t="n"/>
      <c r="TDS157" s="65" t="n"/>
      <c r="TDT157" s="65" t="n"/>
      <c r="TDU157" s="65" t="n"/>
      <c r="TDV157" s="65" t="n"/>
      <c r="TDW157" s="65" t="n"/>
      <c r="TDX157" s="65" t="n"/>
      <c r="TDY157" s="65" t="n"/>
      <c r="TDZ157" s="65" t="n"/>
      <c r="TEA157" s="65" t="n"/>
      <c r="TEB157" s="65" t="n"/>
      <c r="TEC157" s="65" t="n"/>
      <c r="TED157" s="65" t="n"/>
      <c r="TEE157" s="65" t="n"/>
      <c r="TEF157" s="65" t="n"/>
      <c r="TEG157" s="65" t="n"/>
      <c r="TEH157" s="65" t="n"/>
      <c r="TEI157" s="65" t="n"/>
      <c r="TEJ157" s="65" t="n"/>
      <c r="TEK157" s="65" t="n"/>
      <c r="TEL157" s="65" t="n"/>
      <c r="TEM157" s="65" t="n"/>
      <c r="TEN157" s="65" t="n"/>
      <c r="TEO157" s="65" t="n"/>
      <c r="TEP157" s="65" t="n"/>
      <c r="TEQ157" s="65" t="n"/>
      <c r="TER157" s="65" t="n"/>
      <c r="TES157" s="65" t="n"/>
      <c r="TET157" s="65" t="n"/>
      <c r="TEU157" s="65" t="n"/>
      <c r="TEV157" s="65" t="n"/>
      <c r="TEW157" s="65" t="n"/>
      <c r="TEX157" s="65" t="n"/>
      <c r="TEY157" s="65" t="n"/>
      <c r="TEZ157" s="65" t="n"/>
      <c r="TFA157" s="65" t="n"/>
      <c r="TFB157" s="65" t="n"/>
      <c r="TFC157" s="65" t="n"/>
      <c r="TFD157" s="65" t="n"/>
      <c r="TFE157" s="65" t="n"/>
      <c r="TFF157" s="65" t="n"/>
      <c r="TFG157" s="65" t="n"/>
      <c r="TFH157" s="65" t="n"/>
      <c r="TFI157" s="65" t="n"/>
      <c r="TFJ157" s="65" t="n"/>
      <c r="TFK157" s="65" t="n"/>
      <c r="TFL157" s="65" t="n"/>
      <c r="TFM157" s="65" t="n"/>
      <c r="TFN157" s="65" t="n"/>
      <c r="TFO157" s="65" t="n"/>
      <c r="TFP157" s="65" t="n"/>
      <c r="TFQ157" s="65" t="n"/>
      <c r="TFR157" s="65" t="n"/>
      <c r="TFS157" s="65" t="n"/>
      <c r="TFT157" s="65" t="n"/>
      <c r="TFU157" s="65" t="n"/>
      <c r="TFV157" s="65" t="n"/>
      <c r="TFW157" s="65" t="n"/>
      <c r="TFX157" s="65" t="n"/>
      <c r="TFY157" s="65" t="n"/>
      <c r="TFZ157" s="65" t="n"/>
      <c r="TGA157" s="65" t="n"/>
      <c r="TGB157" s="65" t="n"/>
      <c r="TGC157" s="65" t="n"/>
      <c r="TGD157" s="65" t="n"/>
      <c r="TGE157" s="65" t="n"/>
      <c r="TGF157" s="65" t="n"/>
      <c r="TGG157" s="65" t="n"/>
      <c r="TGH157" s="65" t="n"/>
      <c r="TGI157" s="65" t="n"/>
      <c r="TGJ157" s="65" t="n"/>
      <c r="TGK157" s="65" t="n"/>
      <c r="TGL157" s="65" t="n"/>
      <c r="TGM157" s="65" t="n"/>
      <c r="TGN157" s="65" t="n"/>
      <c r="TGO157" s="65" t="n"/>
      <c r="TGP157" s="65" t="n"/>
      <c r="TGQ157" s="65" t="n"/>
      <c r="TGR157" s="65" t="n"/>
      <c r="TGS157" s="65" t="n"/>
      <c r="TGT157" s="65" t="n"/>
      <c r="TGU157" s="65" t="n"/>
      <c r="TGV157" s="65" t="n"/>
      <c r="TGW157" s="65" t="n"/>
      <c r="TGX157" s="65" t="n"/>
      <c r="TGY157" s="65" t="n"/>
      <c r="TGZ157" s="65" t="n"/>
      <c r="THA157" s="65" t="n"/>
      <c r="THB157" s="65" t="n"/>
      <c r="THC157" s="65" t="n"/>
      <c r="THD157" s="65" t="n"/>
      <c r="THE157" s="65" t="n"/>
      <c r="THF157" s="65" t="n"/>
      <c r="THG157" s="65" t="n"/>
      <c r="THH157" s="65" t="n"/>
      <c r="THI157" s="65" t="n"/>
      <c r="THJ157" s="65" t="n"/>
      <c r="THK157" s="65" t="n"/>
      <c r="THL157" s="65" t="n"/>
      <c r="THM157" s="65" t="n"/>
      <c r="THN157" s="65" t="n"/>
      <c r="THO157" s="65" t="n"/>
      <c r="THP157" s="65" t="n"/>
      <c r="THQ157" s="65" t="n"/>
      <c r="THR157" s="65" t="n"/>
      <c r="THS157" s="65" t="n"/>
      <c r="THT157" s="65" t="n"/>
      <c r="THU157" s="65" t="n"/>
      <c r="THV157" s="65" t="n"/>
      <c r="THW157" s="65" t="n"/>
      <c r="THX157" s="65" t="n"/>
      <c r="THY157" s="65" t="n"/>
      <c r="THZ157" s="65" t="n"/>
      <c r="TIA157" s="65" t="n"/>
      <c r="TIB157" s="65" t="n"/>
      <c r="TIC157" s="65" t="n"/>
      <c r="TID157" s="65" t="n"/>
      <c r="TIE157" s="65" t="n"/>
      <c r="TIF157" s="65" t="n"/>
      <c r="TIG157" s="65" t="n"/>
      <c r="TIH157" s="65" t="n"/>
      <c r="TII157" s="65" t="n"/>
      <c r="TIJ157" s="65" t="n"/>
      <c r="TIK157" s="65" t="n"/>
      <c r="TIL157" s="65" t="n"/>
      <c r="TIM157" s="65" t="n"/>
      <c r="TIN157" s="65" t="n"/>
      <c r="TIO157" s="65" t="n"/>
      <c r="TIP157" s="65" t="n"/>
      <c r="TIQ157" s="65" t="n"/>
      <c r="TIR157" s="65" t="n"/>
      <c r="TIS157" s="65" t="n"/>
      <c r="TIT157" s="65" t="n"/>
      <c r="TIU157" s="65" t="n"/>
      <c r="TIV157" s="65" t="n"/>
      <c r="TIW157" s="65" t="n"/>
      <c r="TIX157" s="65" t="n"/>
      <c r="TIY157" s="65" t="n"/>
      <c r="TIZ157" s="65" t="n"/>
      <c r="TJA157" s="65" t="n"/>
      <c r="TJB157" s="65" t="n"/>
      <c r="TJC157" s="65" t="n"/>
      <c r="TJD157" s="65" t="n"/>
      <c r="TJE157" s="65" t="n"/>
      <c r="TJF157" s="65" t="n"/>
      <c r="TJG157" s="65" t="n"/>
      <c r="TJH157" s="65" t="n"/>
      <c r="TJI157" s="65" t="n"/>
      <c r="TJJ157" s="65" t="n"/>
      <c r="TJK157" s="65" t="n"/>
      <c r="TJL157" s="65" t="n"/>
      <c r="TJM157" s="65" t="n"/>
      <c r="TJN157" s="65" t="n"/>
      <c r="TJO157" s="65" t="n"/>
      <c r="TJP157" s="65" t="n"/>
      <c r="TJQ157" s="65" t="n"/>
      <c r="TJR157" s="65" t="n"/>
      <c r="TJS157" s="65" t="n"/>
      <c r="TJT157" s="65" t="n"/>
      <c r="TJU157" s="65" t="n"/>
      <c r="TJV157" s="65" t="n"/>
      <c r="TJW157" s="65" t="n"/>
      <c r="TJX157" s="65" t="n"/>
      <c r="TJY157" s="65" t="n"/>
      <c r="TJZ157" s="65" t="n"/>
      <c r="TKA157" s="65" t="n"/>
      <c r="TKB157" s="65" t="n"/>
      <c r="TKC157" s="65" t="n"/>
      <c r="TKD157" s="65" t="n"/>
      <c r="TKE157" s="65" t="n"/>
      <c r="TKF157" s="65" t="n"/>
      <c r="TKG157" s="65" t="n"/>
      <c r="TKH157" s="65" t="n"/>
      <c r="TKI157" s="65" t="n"/>
      <c r="TKJ157" s="65" t="n"/>
      <c r="TKK157" s="65" t="n"/>
      <c r="TKL157" s="65" t="n"/>
      <c r="TKM157" s="65" t="n"/>
      <c r="TKN157" s="65" t="n"/>
      <c r="TKO157" s="65" t="n"/>
      <c r="TKP157" s="65" t="n"/>
      <c r="TKQ157" s="65" t="n"/>
      <c r="TKR157" s="65" t="n"/>
      <c r="TKS157" s="65" t="n"/>
      <c r="TKT157" s="65" t="n"/>
      <c r="TKU157" s="65" t="n"/>
      <c r="TKV157" s="65" t="n"/>
      <c r="TKW157" s="65" t="n"/>
      <c r="TKX157" s="65" t="n"/>
      <c r="TKY157" s="65" t="n"/>
      <c r="TKZ157" s="65" t="n"/>
      <c r="TLA157" s="65" t="n"/>
      <c r="TLB157" s="65" t="n"/>
      <c r="TLC157" s="65" t="n"/>
      <c r="TLD157" s="65" t="n"/>
      <c r="TLE157" s="65" t="n"/>
      <c r="TLF157" s="65" t="n"/>
      <c r="TLG157" s="65" t="n"/>
      <c r="TLH157" s="65" t="n"/>
      <c r="TLI157" s="65" t="n"/>
      <c r="TLJ157" s="65" t="n"/>
      <c r="TLK157" s="65" t="n"/>
      <c r="TLL157" s="65" t="n"/>
      <c r="TLM157" s="65" t="n"/>
      <c r="TLN157" s="65" t="n"/>
      <c r="TLO157" s="65" t="n"/>
      <c r="TLP157" s="65" t="n"/>
      <c r="TLQ157" s="65" t="n"/>
      <c r="TLR157" s="65" t="n"/>
      <c r="TLS157" s="65" t="n"/>
      <c r="TLT157" s="65" t="n"/>
      <c r="TLU157" s="65" t="n"/>
      <c r="TLV157" s="65" t="n"/>
      <c r="TLW157" s="65" t="n"/>
      <c r="TLX157" s="65" t="n"/>
      <c r="TLY157" s="65" t="n"/>
      <c r="TLZ157" s="65" t="n"/>
      <c r="TMA157" s="65" t="n"/>
      <c r="TMB157" s="65" t="n"/>
      <c r="TMC157" s="65" t="n"/>
      <c r="TMD157" s="65" t="n"/>
      <c r="TME157" s="65" t="n"/>
      <c r="TMF157" s="65" t="n"/>
      <c r="TMG157" s="65" t="n"/>
      <c r="TMH157" s="65" t="n"/>
      <c r="TMI157" s="65" t="n"/>
      <c r="TMJ157" s="65" t="n"/>
      <c r="TMK157" s="65" t="n"/>
      <c r="TML157" s="65" t="n"/>
      <c r="TMM157" s="65" t="n"/>
      <c r="TMN157" s="65" t="n"/>
      <c r="TMO157" s="65" t="n"/>
      <c r="TMP157" s="65" t="n"/>
      <c r="TMQ157" s="65" t="n"/>
      <c r="TMR157" s="65" t="n"/>
      <c r="TMS157" s="65" t="n"/>
      <c r="TMT157" s="65" t="n"/>
      <c r="TMU157" s="65" t="n"/>
      <c r="TMV157" s="65" t="n"/>
      <c r="TMW157" s="65" t="n"/>
      <c r="TMX157" s="65" t="n"/>
      <c r="TMY157" s="65" t="n"/>
      <c r="TMZ157" s="65" t="n"/>
      <c r="TNA157" s="65" t="n"/>
      <c r="TNB157" s="65" t="n"/>
      <c r="TNC157" s="65" t="n"/>
      <c r="TND157" s="65" t="n"/>
      <c r="TNE157" s="65" t="n"/>
      <c r="TNF157" s="65" t="n"/>
      <c r="TNG157" s="65" t="n"/>
      <c r="TNH157" s="65" t="n"/>
      <c r="TNI157" s="65" t="n"/>
      <c r="TNJ157" s="65" t="n"/>
      <c r="TNK157" s="65" t="n"/>
      <c r="TNL157" s="65" t="n"/>
      <c r="TNM157" s="65" t="n"/>
      <c r="TNN157" s="65" t="n"/>
      <c r="TNO157" s="65" t="n"/>
      <c r="TNP157" s="65" t="n"/>
      <c r="TNQ157" s="65" t="n"/>
      <c r="TNR157" s="65" t="n"/>
      <c r="TNS157" s="65" t="n"/>
      <c r="TNT157" s="65" t="n"/>
      <c r="TNU157" s="65" t="n"/>
      <c r="TNV157" s="65" t="n"/>
      <c r="TNW157" s="65" t="n"/>
      <c r="TNX157" s="65" t="n"/>
      <c r="TNY157" s="65" t="n"/>
      <c r="TNZ157" s="65" t="n"/>
      <c r="TOA157" s="65" t="n"/>
      <c r="TOB157" s="65" t="n"/>
      <c r="TOC157" s="65" t="n"/>
      <c r="TOD157" s="65" t="n"/>
      <c r="TOE157" s="65" t="n"/>
      <c r="TOF157" s="65" t="n"/>
      <c r="TOG157" s="65" t="n"/>
      <c r="TOH157" s="65" t="n"/>
      <c r="TOI157" s="65" t="n"/>
      <c r="TOJ157" s="65" t="n"/>
      <c r="TOK157" s="65" t="n"/>
      <c r="TOL157" s="65" t="n"/>
      <c r="TOM157" s="65" t="n"/>
      <c r="TON157" s="65" t="n"/>
      <c r="TOO157" s="65" t="n"/>
      <c r="TOP157" s="65" t="n"/>
      <c r="TOQ157" s="65" t="n"/>
      <c r="TOR157" s="65" t="n"/>
      <c r="TOS157" s="65" t="n"/>
      <c r="TOT157" s="65" t="n"/>
      <c r="TOU157" s="65" t="n"/>
      <c r="TOV157" s="65" t="n"/>
      <c r="TOW157" s="65" t="n"/>
      <c r="TOX157" s="65" t="n"/>
      <c r="TOY157" s="65" t="n"/>
      <c r="TOZ157" s="65" t="n"/>
      <c r="TPA157" s="65" t="n"/>
      <c r="TPB157" s="65" t="n"/>
      <c r="TPC157" s="65" t="n"/>
      <c r="TPD157" s="65" t="n"/>
      <c r="TPE157" s="65" t="n"/>
      <c r="TPF157" s="65" t="n"/>
      <c r="TPG157" s="65" t="n"/>
      <c r="TPH157" s="65" t="n"/>
      <c r="TPI157" s="65" t="n"/>
      <c r="TPJ157" s="65" t="n"/>
      <c r="TPK157" s="65" t="n"/>
      <c r="TPL157" s="65" t="n"/>
      <c r="TPM157" s="65" t="n"/>
      <c r="TPN157" s="65" t="n"/>
      <c r="TPO157" s="65" t="n"/>
      <c r="TPP157" s="65" t="n"/>
      <c r="TPQ157" s="65" t="n"/>
      <c r="TPR157" s="65" t="n"/>
      <c r="TPS157" s="65" t="n"/>
      <c r="TPT157" s="65" t="n"/>
      <c r="TPU157" s="65" t="n"/>
      <c r="TPV157" s="65" t="n"/>
      <c r="TPW157" s="65" t="n"/>
      <c r="TPX157" s="65" t="n"/>
      <c r="TPY157" s="65" t="n"/>
      <c r="TPZ157" s="65" t="n"/>
      <c r="TQA157" s="65" t="n"/>
      <c r="TQB157" s="65" t="n"/>
      <c r="TQC157" s="65" t="n"/>
      <c r="TQD157" s="65" t="n"/>
      <c r="TQE157" s="65" t="n"/>
      <c r="TQF157" s="65" t="n"/>
      <c r="TQG157" s="65" t="n"/>
      <c r="TQH157" s="65" t="n"/>
      <c r="TQI157" s="65" t="n"/>
      <c r="TQJ157" s="65" t="n"/>
      <c r="TQK157" s="65" t="n"/>
      <c r="TQL157" s="65" t="n"/>
      <c r="TQM157" s="65" t="n"/>
      <c r="TQN157" s="65" t="n"/>
      <c r="TQO157" s="65" t="n"/>
      <c r="TQP157" s="65" t="n"/>
      <c r="TQQ157" s="65" t="n"/>
      <c r="TQR157" s="65" t="n"/>
      <c r="TQS157" s="65" t="n"/>
      <c r="TQT157" s="65" t="n"/>
      <c r="TQU157" s="65" t="n"/>
      <c r="TQV157" s="65" t="n"/>
      <c r="TQW157" s="65" t="n"/>
      <c r="TQX157" s="65" t="n"/>
      <c r="TQY157" s="65" t="n"/>
      <c r="TQZ157" s="65" t="n"/>
      <c r="TRA157" s="65" t="n"/>
      <c r="TRB157" s="65" t="n"/>
      <c r="TRC157" s="65" t="n"/>
      <c r="TRD157" s="65" t="n"/>
      <c r="TRE157" s="65" t="n"/>
      <c r="TRF157" s="65" t="n"/>
      <c r="TRG157" s="65" t="n"/>
      <c r="TRH157" s="65" t="n"/>
      <c r="TRI157" s="65" t="n"/>
      <c r="TRJ157" s="65" t="n"/>
      <c r="TRK157" s="65" t="n"/>
      <c r="TRL157" s="65" t="n"/>
      <c r="TRM157" s="65" t="n"/>
      <c r="TRN157" s="65" t="n"/>
      <c r="TRO157" s="65" t="n"/>
      <c r="TRP157" s="65" t="n"/>
      <c r="TRQ157" s="65" t="n"/>
      <c r="TRR157" s="65" t="n"/>
      <c r="TRS157" s="65" t="n"/>
      <c r="TRT157" s="65" t="n"/>
      <c r="TRU157" s="65" t="n"/>
      <c r="TRV157" s="65" t="n"/>
      <c r="TRW157" s="65" t="n"/>
      <c r="TRX157" s="65" t="n"/>
      <c r="TRY157" s="65" t="n"/>
      <c r="TRZ157" s="65" t="n"/>
      <c r="TSA157" s="65" t="n"/>
      <c r="TSB157" s="65" t="n"/>
      <c r="TSC157" s="65" t="n"/>
      <c r="TSD157" s="65" t="n"/>
      <c r="TSE157" s="65" t="n"/>
      <c r="TSF157" s="65" t="n"/>
      <c r="TSG157" s="65" t="n"/>
      <c r="TSH157" s="65" t="n"/>
      <c r="TSI157" s="65" t="n"/>
      <c r="TSJ157" s="65" t="n"/>
      <c r="TSK157" s="65" t="n"/>
      <c r="TSL157" s="65" t="n"/>
      <c r="TSM157" s="65" t="n"/>
      <c r="TSN157" s="65" t="n"/>
      <c r="TSO157" s="65" t="n"/>
      <c r="TSP157" s="65" t="n"/>
      <c r="TSQ157" s="65" t="n"/>
      <c r="TSR157" s="65" t="n"/>
      <c r="TSS157" s="65" t="n"/>
      <c r="TST157" s="65" t="n"/>
      <c r="TSU157" s="65" t="n"/>
      <c r="TSV157" s="65" t="n"/>
      <c r="TSW157" s="65" t="n"/>
      <c r="TSX157" s="65" t="n"/>
      <c r="TSY157" s="65" t="n"/>
      <c r="TSZ157" s="65" t="n"/>
      <c r="TTA157" s="65" t="n"/>
      <c r="TTB157" s="65" t="n"/>
      <c r="TTC157" s="65" t="n"/>
      <c r="TTD157" s="65" t="n"/>
      <c r="TTE157" s="65" t="n"/>
      <c r="TTF157" s="65" t="n"/>
      <c r="TTG157" s="65" t="n"/>
      <c r="TTH157" s="65" t="n"/>
      <c r="TTI157" s="65" t="n"/>
      <c r="TTJ157" s="65" t="n"/>
      <c r="TTK157" s="65" t="n"/>
      <c r="TTL157" s="65" t="n"/>
      <c r="TTM157" s="65" t="n"/>
      <c r="TTN157" s="65" t="n"/>
      <c r="TTO157" s="65" t="n"/>
      <c r="TTP157" s="65" t="n"/>
      <c r="TTQ157" s="65" t="n"/>
      <c r="TTR157" s="65" t="n"/>
      <c r="TTS157" s="65" t="n"/>
      <c r="TTT157" s="65" t="n"/>
      <c r="TTU157" s="65" t="n"/>
      <c r="TTV157" s="65" t="n"/>
      <c r="TTW157" s="65" t="n"/>
      <c r="TTX157" s="65" t="n"/>
      <c r="TTY157" s="65" t="n"/>
      <c r="TTZ157" s="65" t="n"/>
      <c r="TUA157" s="65" t="n"/>
      <c r="TUB157" s="65" t="n"/>
      <c r="TUC157" s="65" t="n"/>
      <c r="TUD157" s="65" t="n"/>
      <c r="TUE157" s="65" t="n"/>
      <c r="TUF157" s="65" t="n"/>
      <c r="TUG157" s="65" t="n"/>
      <c r="TUH157" s="65" t="n"/>
      <c r="TUI157" s="65" t="n"/>
      <c r="TUJ157" s="65" t="n"/>
      <c r="TUK157" s="65" t="n"/>
      <c r="TUL157" s="65" t="n"/>
      <c r="TUM157" s="65" t="n"/>
      <c r="TUN157" s="65" t="n"/>
      <c r="TUO157" s="65" t="n"/>
      <c r="TUP157" s="65" t="n"/>
      <c r="TUQ157" s="65" t="n"/>
      <c r="TUR157" s="65" t="n"/>
      <c r="TUS157" s="65" t="n"/>
      <c r="TUT157" s="65" t="n"/>
      <c r="TUU157" s="65" t="n"/>
      <c r="TUV157" s="65" t="n"/>
      <c r="TUW157" s="65" t="n"/>
      <c r="TUX157" s="65" t="n"/>
      <c r="TUY157" s="65" t="n"/>
      <c r="TUZ157" s="65" t="n"/>
      <c r="TVA157" s="65" t="n"/>
      <c r="TVB157" s="65" t="n"/>
      <c r="TVC157" s="65" t="n"/>
      <c r="TVD157" s="65" t="n"/>
      <c r="TVE157" s="65" t="n"/>
      <c r="TVF157" s="65" t="n"/>
      <c r="TVG157" s="65" t="n"/>
      <c r="TVH157" s="65" t="n"/>
      <c r="TVI157" s="65" t="n"/>
      <c r="TVJ157" s="65" t="n"/>
      <c r="TVK157" s="65" t="n"/>
      <c r="TVL157" s="65" t="n"/>
      <c r="TVM157" s="65" t="n"/>
      <c r="TVN157" s="65" t="n"/>
      <c r="TVO157" s="65" t="n"/>
      <c r="TVP157" s="65" t="n"/>
      <c r="TVQ157" s="65" t="n"/>
      <c r="TVR157" s="65" t="n"/>
      <c r="TVS157" s="65" t="n"/>
      <c r="TVT157" s="65" t="n"/>
      <c r="TVU157" s="65" t="n"/>
      <c r="TVV157" s="65" t="n"/>
      <c r="TVW157" s="65" t="n"/>
      <c r="TVX157" s="65" t="n"/>
      <c r="TVY157" s="65" t="n"/>
      <c r="TVZ157" s="65" t="n"/>
      <c r="TWA157" s="65" t="n"/>
      <c r="TWB157" s="65" t="n"/>
      <c r="TWC157" s="65" t="n"/>
      <c r="TWD157" s="65" t="n"/>
      <c r="TWE157" s="65" t="n"/>
      <c r="TWF157" s="65" t="n"/>
      <c r="TWG157" s="65" t="n"/>
      <c r="TWH157" s="65" t="n"/>
      <c r="TWI157" s="65" t="n"/>
      <c r="TWJ157" s="65" t="n"/>
      <c r="TWK157" s="65" t="n"/>
      <c r="TWL157" s="65" t="n"/>
      <c r="TWM157" s="65" t="n"/>
      <c r="TWN157" s="65" t="n"/>
      <c r="TWO157" s="65" t="n"/>
      <c r="TWP157" s="65" t="n"/>
      <c r="TWQ157" s="65" t="n"/>
      <c r="TWR157" s="65" t="n"/>
      <c r="TWS157" s="65" t="n"/>
      <c r="TWT157" s="65" t="n"/>
      <c r="TWU157" s="65" t="n"/>
      <c r="TWV157" s="65" t="n"/>
      <c r="TWW157" s="65" t="n"/>
      <c r="TWX157" s="65" t="n"/>
      <c r="TWY157" s="65" t="n"/>
      <c r="TWZ157" s="65" t="n"/>
      <c r="TXA157" s="65" t="n"/>
      <c r="TXB157" s="65" t="n"/>
      <c r="TXC157" s="65" t="n"/>
      <c r="TXD157" s="65" t="n"/>
      <c r="TXE157" s="65" t="n"/>
      <c r="TXF157" s="65" t="n"/>
      <c r="TXG157" s="65" t="n"/>
      <c r="TXH157" s="65" t="n"/>
      <c r="TXI157" s="65" t="n"/>
      <c r="TXJ157" s="65" t="n"/>
      <c r="TXK157" s="65" t="n"/>
      <c r="TXL157" s="65" t="n"/>
      <c r="TXM157" s="65" t="n"/>
      <c r="TXN157" s="65" t="n"/>
      <c r="TXO157" s="65" t="n"/>
      <c r="TXP157" s="65" t="n"/>
      <c r="TXQ157" s="65" t="n"/>
      <c r="TXR157" s="65" t="n"/>
      <c r="TXS157" s="65" t="n"/>
      <c r="TXT157" s="65" t="n"/>
      <c r="TXU157" s="65" t="n"/>
      <c r="TXV157" s="65" t="n"/>
      <c r="TXW157" s="65" t="n"/>
      <c r="TXX157" s="65" t="n"/>
      <c r="TXY157" s="65" t="n"/>
      <c r="TXZ157" s="65" t="n"/>
      <c r="TYA157" s="65" t="n"/>
      <c r="TYB157" s="65" t="n"/>
      <c r="TYC157" s="65" t="n"/>
      <c r="TYD157" s="65" t="n"/>
      <c r="TYE157" s="65" t="n"/>
      <c r="TYF157" s="65" t="n"/>
      <c r="TYG157" s="65" t="n"/>
      <c r="TYH157" s="65" t="n"/>
      <c r="TYI157" s="65" t="n"/>
      <c r="TYJ157" s="65" t="n"/>
      <c r="TYK157" s="65" t="n"/>
      <c r="TYL157" s="65" t="n"/>
      <c r="TYM157" s="65" t="n"/>
      <c r="TYN157" s="65" t="n"/>
      <c r="TYO157" s="65" t="n"/>
      <c r="TYP157" s="65" t="n"/>
      <c r="TYQ157" s="65" t="n"/>
      <c r="TYR157" s="65" t="n"/>
      <c r="TYS157" s="65" t="n"/>
      <c r="TYT157" s="65" t="n"/>
      <c r="TYU157" s="65" t="n"/>
      <c r="TYV157" s="65" t="n"/>
      <c r="TYW157" s="65" t="n"/>
      <c r="TYX157" s="65" t="n"/>
      <c r="TYY157" s="65" t="n"/>
      <c r="TYZ157" s="65" t="n"/>
      <c r="TZA157" s="65" t="n"/>
      <c r="TZB157" s="65" t="n"/>
      <c r="TZC157" s="65" t="n"/>
      <c r="TZD157" s="65" t="n"/>
      <c r="TZE157" s="65" t="n"/>
      <c r="TZF157" s="65" t="n"/>
      <c r="TZG157" s="65" t="n"/>
      <c r="TZH157" s="65" t="n"/>
      <c r="TZI157" s="65" t="n"/>
      <c r="TZJ157" s="65" t="n"/>
      <c r="TZK157" s="65" t="n"/>
      <c r="TZL157" s="65" t="n"/>
      <c r="TZM157" s="65" t="n"/>
      <c r="TZN157" s="65" t="n"/>
      <c r="TZO157" s="65" t="n"/>
      <c r="TZP157" s="65" t="n"/>
      <c r="TZQ157" s="65" t="n"/>
      <c r="TZR157" s="65" t="n"/>
      <c r="TZS157" s="65" t="n"/>
      <c r="TZT157" s="65" t="n"/>
      <c r="TZU157" s="65" t="n"/>
      <c r="TZV157" s="65" t="n"/>
      <c r="TZW157" s="65" t="n"/>
      <c r="TZX157" s="65" t="n"/>
      <c r="TZY157" s="65" t="n"/>
      <c r="TZZ157" s="65" t="n"/>
      <c r="UAA157" s="65" t="n"/>
      <c r="UAB157" s="65" t="n"/>
      <c r="UAC157" s="65" t="n"/>
      <c r="UAD157" s="65" t="n"/>
      <c r="UAE157" s="65" t="n"/>
      <c r="UAF157" s="65" t="n"/>
      <c r="UAG157" s="65" t="n"/>
      <c r="UAH157" s="65" t="n"/>
      <c r="UAI157" s="65" t="n"/>
      <c r="UAJ157" s="65" t="n"/>
      <c r="UAK157" s="65" t="n"/>
      <c r="UAL157" s="65" t="n"/>
      <c r="UAM157" s="65" t="n"/>
      <c r="UAN157" s="65" t="n"/>
      <c r="UAO157" s="65" t="n"/>
      <c r="UAP157" s="65" t="n"/>
      <c r="UAQ157" s="65" t="n"/>
      <c r="UAR157" s="65" t="n"/>
      <c r="UAS157" s="65" t="n"/>
      <c r="UAT157" s="65" t="n"/>
      <c r="UAU157" s="65" t="n"/>
      <c r="UAV157" s="65" t="n"/>
      <c r="UAW157" s="65" t="n"/>
      <c r="UAX157" s="65" t="n"/>
      <c r="UAY157" s="65" t="n"/>
      <c r="UAZ157" s="65" t="n"/>
      <c r="UBA157" s="65" t="n"/>
      <c r="UBB157" s="65" t="n"/>
      <c r="UBC157" s="65" t="n"/>
      <c r="UBD157" s="65" t="n"/>
      <c r="UBE157" s="65" t="n"/>
      <c r="UBF157" s="65" t="n"/>
      <c r="UBG157" s="65" t="n"/>
      <c r="UBH157" s="65" t="n"/>
      <c r="UBI157" s="65" t="n"/>
      <c r="UBJ157" s="65" t="n"/>
      <c r="UBK157" s="65" t="n"/>
      <c r="UBL157" s="65" t="n"/>
      <c r="UBM157" s="65" t="n"/>
      <c r="UBN157" s="65" t="n"/>
      <c r="UBO157" s="65" t="n"/>
      <c r="UBP157" s="65" t="n"/>
      <c r="UBQ157" s="65" t="n"/>
      <c r="UBR157" s="65" t="n"/>
      <c r="UBS157" s="65" t="n"/>
      <c r="UBT157" s="65" t="n"/>
      <c r="UBU157" s="65" t="n"/>
      <c r="UBV157" s="65" t="n"/>
      <c r="UBW157" s="65" t="n"/>
      <c r="UBX157" s="65" t="n"/>
      <c r="UBY157" s="65" t="n"/>
      <c r="UBZ157" s="65" t="n"/>
      <c r="UCA157" s="65" t="n"/>
      <c r="UCB157" s="65" t="n"/>
      <c r="UCC157" s="65" t="n"/>
      <c r="UCD157" s="65" t="n"/>
      <c r="UCE157" s="65" t="n"/>
      <c r="UCF157" s="65" t="n"/>
      <c r="UCG157" s="65" t="n"/>
      <c r="UCH157" s="65" t="n"/>
      <c r="UCI157" s="65" t="n"/>
      <c r="UCJ157" s="65" t="n"/>
      <c r="UCK157" s="65" t="n"/>
      <c r="UCL157" s="65" t="n"/>
      <c r="UCM157" s="65" t="n"/>
      <c r="UCN157" s="65" t="n"/>
      <c r="UCO157" s="65" t="n"/>
      <c r="UCP157" s="65" t="n"/>
      <c r="UCQ157" s="65" t="n"/>
      <c r="UCR157" s="65" t="n"/>
      <c r="UCS157" s="65" t="n"/>
      <c r="UCT157" s="65" t="n"/>
      <c r="UCU157" s="65" t="n"/>
      <c r="UCV157" s="65" t="n"/>
      <c r="UCW157" s="65" t="n"/>
      <c r="UCX157" s="65" t="n"/>
      <c r="UCY157" s="65" t="n"/>
      <c r="UCZ157" s="65" t="n"/>
      <c r="UDA157" s="65" t="n"/>
      <c r="UDB157" s="65" t="n"/>
      <c r="UDC157" s="65" t="n"/>
      <c r="UDD157" s="65" t="n"/>
      <c r="UDE157" s="65" t="n"/>
      <c r="UDF157" s="65" t="n"/>
      <c r="UDG157" s="65" t="n"/>
      <c r="UDH157" s="65" t="n"/>
      <c r="UDI157" s="65" t="n"/>
      <c r="UDJ157" s="65" t="n"/>
      <c r="UDK157" s="65" t="n"/>
      <c r="UDL157" s="65" t="n"/>
      <c r="UDM157" s="65" t="n"/>
      <c r="UDN157" s="65" t="n"/>
      <c r="UDO157" s="65" t="n"/>
      <c r="UDP157" s="65" t="n"/>
      <c r="UDQ157" s="65" t="n"/>
      <c r="UDR157" s="65" t="n"/>
      <c r="UDS157" s="65" t="n"/>
      <c r="UDT157" s="65" t="n"/>
      <c r="UDU157" s="65" t="n"/>
      <c r="UDV157" s="65" t="n"/>
      <c r="UDW157" s="65" t="n"/>
      <c r="UDX157" s="65" t="n"/>
      <c r="UDY157" s="65" t="n"/>
      <c r="UDZ157" s="65" t="n"/>
      <c r="UEA157" s="65" t="n"/>
      <c r="UEB157" s="65" t="n"/>
      <c r="UEC157" s="65" t="n"/>
      <c r="UED157" s="65" t="n"/>
      <c r="UEE157" s="65" t="n"/>
      <c r="UEF157" s="65" t="n"/>
      <c r="UEG157" s="65" t="n"/>
      <c r="UEH157" s="65" t="n"/>
      <c r="UEI157" s="65" t="n"/>
      <c r="UEJ157" s="65" t="n"/>
      <c r="UEK157" s="65" t="n"/>
      <c r="UEL157" s="65" t="n"/>
      <c r="UEM157" s="65" t="n"/>
      <c r="UEN157" s="65" t="n"/>
      <c r="UEO157" s="65" t="n"/>
      <c r="UEP157" s="65" t="n"/>
      <c r="UEQ157" s="65" t="n"/>
      <c r="UER157" s="65" t="n"/>
      <c r="UES157" s="65" t="n"/>
      <c r="UET157" s="65" t="n"/>
      <c r="UEU157" s="65" t="n"/>
      <c r="UEV157" s="65" t="n"/>
      <c r="UEW157" s="65" t="n"/>
      <c r="UEX157" s="65" t="n"/>
      <c r="UEY157" s="65" t="n"/>
      <c r="UEZ157" s="65" t="n"/>
      <c r="UFA157" s="65" t="n"/>
      <c r="UFB157" s="65" t="n"/>
      <c r="UFC157" s="65" t="n"/>
      <c r="UFD157" s="65" t="n"/>
      <c r="UFE157" s="65" t="n"/>
      <c r="UFF157" s="65" t="n"/>
      <c r="UFG157" s="65" t="n"/>
      <c r="UFH157" s="65" t="n"/>
      <c r="UFI157" s="65" t="n"/>
      <c r="UFJ157" s="65" t="n"/>
      <c r="UFK157" s="65" t="n"/>
      <c r="UFL157" s="65" t="n"/>
      <c r="UFM157" s="65" t="n"/>
      <c r="UFN157" s="65" t="n"/>
      <c r="UFO157" s="65" t="n"/>
      <c r="UFP157" s="65" t="n"/>
      <c r="UFQ157" s="65" t="n"/>
      <c r="UFR157" s="65" t="n"/>
      <c r="UFS157" s="65" t="n"/>
      <c r="UFT157" s="65" t="n"/>
      <c r="UFU157" s="65" t="n"/>
      <c r="UFV157" s="65" t="n"/>
      <c r="UFW157" s="65" t="n"/>
      <c r="UFX157" s="65" t="n"/>
      <c r="UFY157" s="65" t="n"/>
      <c r="UFZ157" s="65" t="n"/>
      <c r="UGA157" s="65" t="n"/>
      <c r="UGB157" s="65" t="n"/>
      <c r="UGC157" s="65" t="n"/>
      <c r="UGD157" s="65" t="n"/>
      <c r="UGE157" s="65" t="n"/>
      <c r="UGF157" s="65" t="n"/>
      <c r="UGG157" s="65" t="n"/>
      <c r="UGH157" s="65" t="n"/>
      <c r="UGI157" s="65" t="n"/>
      <c r="UGJ157" s="65" t="n"/>
      <c r="UGK157" s="65" t="n"/>
      <c r="UGL157" s="65" t="n"/>
      <c r="UGM157" s="65" t="n"/>
      <c r="UGN157" s="65" t="n"/>
      <c r="UGO157" s="65" t="n"/>
      <c r="UGP157" s="65" t="n"/>
      <c r="UGQ157" s="65" t="n"/>
      <c r="UGR157" s="65" t="n"/>
      <c r="UGS157" s="65" t="n"/>
      <c r="UGT157" s="65" t="n"/>
      <c r="UGU157" s="65" t="n"/>
      <c r="UGV157" s="65" t="n"/>
      <c r="UGW157" s="65" t="n"/>
      <c r="UGX157" s="65" t="n"/>
      <c r="UGY157" s="65" t="n"/>
      <c r="UGZ157" s="65" t="n"/>
      <c r="UHA157" s="65" t="n"/>
      <c r="UHB157" s="65" t="n"/>
      <c r="UHC157" s="65" t="n"/>
      <c r="UHD157" s="65" t="n"/>
      <c r="UHE157" s="65" t="n"/>
      <c r="UHF157" s="65" t="n"/>
      <c r="UHG157" s="65" t="n"/>
      <c r="UHH157" s="65" t="n"/>
      <c r="UHI157" s="65" t="n"/>
      <c r="UHJ157" s="65" t="n"/>
      <c r="UHK157" s="65" t="n"/>
      <c r="UHL157" s="65" t="n"/>
      <c r="UHM157" s="65" t="n"/>
      <c r="UHN157" s="65" t="n"/>
      <c r="UHO157" s="65" t="n"/>
      <c r="UHP157" s="65" t="n"/>
      <c r="UHQ157" s="65" t="n"/>
      <c r="UHR157" s="65" t="n"/>
      <c r="UHS157" s="65" t="n"/>
      <c r="UHT157" s="65" t="n"/>
      <c r="UHU157" s="65" t="n"/>
      <c r="UHV157" s="65" t="n"/>
      <c r="UHW157" s="65" t="n"/>
      <c r="UHX157" s="65" t="n"/>
      <c r="UHY157" s="65" t="n"/>
      <c r="UHZ157" s="65" t="n"/>
      <c r="UIA157" s="65" t="n"/>
      <c r="UIB157" s="65" t="n"/>
      <c r="UIC157" s="65" t="n"/>
      <c r="UID157" s="65" t="n"/>
      <c r="UIE157" s="65" t="n"/>
      <c r="UIF157" s="65" t="n"/>
      <c r="UIG157" s="65" t="n"/>
      <c r="UIH157" s="65" t="n"/>
      <c r="UII157" s="65" t="n"/>
      <c r="UIJ157" s="65" t="n"/>
      <c r="UIK157" s="65" t="n"/>
      <c r="UIL157" s="65" t="n"/>
      <c r="UIM157" s="65" t="n"/>
      <c r="UIN157" s="65" t="n"/>
      <c r="UIO157" s="65" t="n"/>
      <c r="UIP157" s="65" t="n"/>
      <c r="UIQ157" s="65" t="n"/>
      <c r="UIR157" s="65" t="n"/>
      <c r="UIS157" s="65" t="n"/>
      <c r="UIT157" s="65" t="n"/>
      <c r="UIU157" s="65" t="n"/>
      <c r="UIV157" s="65" t="n"/>
      <c r="UIW157" s="65" t="n"/>
      <c r="UIX157" s="65" t="n"/>
      <c r="UIY157" s="65" t="n"/>
      <c r="UIZ157" s="65" t="n"/>
      <c r="UJA157" s="65" t="n"/>
      <c r="UJB157" s="65" t="n"/>
      <c r="UJC157" s="65" t="n"/>
      <c r="UJD157" s="65" t="n"/>
      <c r="UJE157" s="65" t="n"/>
      <c r="UJF157" s="65" t="n"/>
      <c r="UJG157" s="65" t="n"/>
      <c r="UJH157" s="65" t="n"/>
      <c r="UJI157" s="65" t="n"/>
      <c r="UJJ157" s="65" t="n"/>
      <c r="UJK157" s="65" t="n"/>
      <c r="UJL157" s="65" t="n"/>
      <c r="UJM157" s="65" t="n"/>
      <c r="UJN157" s="65" t="n"/>
      <c r="UJO157" s="65" t="n"/>
      <c r="UJP157" s="65" t="n"/>
      <c r="UJQ157" s="65" t="n"/>
      <c r="UJR157" s="65" t="n"/>
      <c r="UJS157" s="65" t="n"/>
      <c r="UJT157" s="65" t="n"/>
      <c r="UJU157" s="65" t="n"/>
      <c r="UJV157" s="65" t="n"/>
      <c r="UJW157" s="65" t="n"/>
      <c r="UJX157" s="65" t="n"/>
      <c r="UJY157" s="65" t="n"/>
      <c r="UJZ157" s="65" t="n"/>
      <c r="UKA157" s="65" t="n"/>
      <c r="UKB157" s="65" t="n"/>
      <c r="UKC157" s="65" t="n"/>
      <c r="UKD157" s="65" t="n"/>
      <c r="UKE157" s="65" t="n"/>
      <c r="UKF157" s="65" t="n"/>
      <c r="UKG157" s="65" t="n"/>
      <c r="UKH157" s="65" t="n"/>
      <c r="UKI157" s="65" t="n"/>
      <c r="UKJ157" s="65" t="n"/>
      <c r="UKK157" s="65" t="n"/>
      <c r="UKL157" s="65" t="n"/>
      <c r="UKM157" s="65" t="n"/>
      <c r="UKN157" s="65" t="n"/>
      <c r="UKO157" s="65" t="n"/>
      <c r="UKP157" s="65" t="n"/>
      <c r="UKQ157" s="65" t="n"/>
      <c r="UKR157" s="65" t="n"/>
      <c r="UKS157" s="65" t="n"/>
      <c r="UKT157" s="65" t="n"/>
      <c r="UKU157" s="65" t="n"/>
      <c r="UKV157" s="65" t="n"/>
      <c r="UKW157" s="65" t="n"/>
      <c r="UKX157" s="65" t="n"/>
      <c r="UKY157" s="65" t="n"/>
      <c r="UKZ157" s="65" t="n"/>
      <c r="ULA157" s="65" t="n"/>
      <c r="ULB157" s="65" t="n"/>
      <c r="ULC157" s="65" t="n"/>
      <c r="ULD157" s="65" t="n"/>
      <c r="ULE157" s="65" t="n"/>
      <c r="ULF157" s="65" t="n"/>
      <c r="ULG157" s="65" t="n"/>
      <c r="ULH157" s="65" t="n"/>
      <c r="ULI157" s="65" t="n"/>
      <c r="ULJ157" s="65" t="n"/>
      <c r="ULK157" s="65" t="n"/>
      <c r="ULL157" s="65" t="n"/>
      <c r="ULM157" s="65" t="n"/>
      <c r="ULN157" s="65" t="n"/>
      <c r="ULO157" s="65" t="n"/>
      <c r="ULP157" s="65" t="n"/>
      <c r="ULQ157" s="65" t="n"/>
      <c r="ULR157" s="65" t="n"/>
      <c r="ULS157" s="65" t="n"/>
      <c r="ULT157" s="65" t="n"/>
      <c r="ULU157" s="65" t="n"/>
      <c r="ULV157" s="65" t="n"/>
      <c r="ULW157" s="65" t="n"/>
      <c r="ULX157" s="65" t="n"/>
      <c r="ULY157" s="65" t="n"/>
      <c r="ULZ157" s="65" t="n"/>
      <c r="UMA157" s="65" t="n"/>
      <c r="UMB157" s="65" t="n"/>
      <c r="UMC157" s="65" t="n"/>
      <c r="UMD157" s="65" t="n"/>
      <c r="UME157" s="65" t="n"/>
      <c r="UMF157" s="65" t="n"/>
      <c r="UMG157" s="65" t="n"/>
      <c r="UMH157" s="65" t="n"/>
      <c r="UMI157" s="65" t="n"/>
      <c r="UMJ157" s="65" t="n"/>
      <c r="UMK157" s="65" t="n"/>
      <c r="UML157" s="65" t="n"/>
      <c r="UMM157" s="65" t="n"/>
      <c r="UMN157" s="65" t="n"/>
      <c r="UMO157" s="65" t="n"/>
      <c r="UMP157" s="65" t="n"/>
      <c r="UMQ157" s="65" t="n"/>
      <c r="UMR157" s="65" t="n"/>
      <c r="UMS157" s="65" t="n"/>
      <c r="UMT157" s="65" t="n"/>
      <c r="UMU157" s="65" t="n"/>
      <c r="UMV157" s="65" t="n"/>
      <c r="UMW157" s="65" t="n"/>
      <c r="UMX157" s="65" t="n"/>
      <c r="UMY157" s="65" t="n"/>
      <c r="UMZ157" s="65" t="n"/>
      <c r="UNA157" s="65" t="n"/>
      <c r="UNB157" s="65" t="n"/>
      <c r="UNC157" s="65" t="n"/>
      <c r="UND157" s="65" t="n"/>
      <c r="UNE157" s="65" t="n"/>
      <c r="UNF157" s="65" t="n"/>
      <c r="UNG157" s="65" t="n"/>
      <c r="UNH157" s="65" t="n"/>
      <c r="UNI157" s="65" t="n"/>
      <c r="UNJ157" s="65" t="n"/>
      <c r="UNK157" s="65" t="n"/>
      <c r="UNL157" s="65" t="n"/>
      <c r="UNM157" s="65" t="n"/>
      <c r="UNN157" s="65" t="n"/>
      <c r="UNO157" s="65" t="n"/>
      <c r="UNP157" s="65" t="n"/>
      <c r="UNQ157" s="65" t="n"/>
      <c r="UNR157" s="65" t="n"/>
      <c r="UNS157" s="65" t="n"/>
      <c r="UNT157" s="65" t="n"/>
      <c r="UNU157" s="65" t="n"/>
      <c r="UNV157" s="65" t="n"/>
      <c r="UNW157" s="65" t="n"/>
      <c r="UNX157" s="65" t="n"/>
      <c r="UNY157" s="65" t="n"/>
      <c r="UNZ157" s="65" t="n"/>
      <c r="UOA157" s="65" t="n"/>
      <c r="UOB157" s="65" t="n"/>
      <c r="UOC157" s="65" t="n"/>
      <c r="UOD157" s="65" t="n"/>
      <c r="UOE157" s="65" t="n"/>
      <c r="UOF157" s="65" t="n"/>
      <c r="UOG157" s="65" t="n"/>
      <c r="UOH157" s="65" t="n"/>
      <c r="UOI157" s="65" t="n"/>
      <c r="UOJ157" s="65" t="n"/>
      <c r="UOK157" s="65" t="n"/>
      <c r="UOL157" s="65" t="n"/>
      <c r="UOM157" s="65" t="n"/>
      <c r="UON157" s="65" t="n"/>
      <c r="UOO157" s="65" t="n"/>
      <c r="UOP157" s="65" t="n"/>
      <c r="UOQ157" s="65" t="n"/>
      <c r="UOR157" s="65" t="n"/>
      <c r="UOS157" s="65" t="n"/>
      <c r="UOT157" s="65" t="n"/>
      <c r="UOU157" s="65" t="n"/>
      <c r="UOV157" s="65" t="n"/>
      <c r="UOW157" s="65" t="n"/>
      <c r="UOX157" s="65" t="n"/>
      <c r="UOY157" s="65" t="n"/>
      <c r="UOZ157" s="65" t="n"/>
      <c r="UPA157" s="65" t="n"/>
      <c r="UPB157" s="65" t="n"/>
      <c r="UPC157" s="65" t="n"/>
      <c r="UPD157" s="65" t="n"/>
      <c r="UPE157" s="65" t="n"/>
      <c r="UPF157" s="65" t="n"/>
      <c r="UPG157" s="65" t="n"/>
      <c r="UPH157" s="65" t="n"/>
      <c r="UPI157" s="65" t="n"/>
      <c r="UPJ157" s="65" t="n"/>
      <c r="UPK157" s="65" t="n"/>
      <c r="UPL157" s="65" t="n"/>
      <c r="UPM157" s="65" t="n"/>
      <c r="UPN157" s="65" t="n"/>
      <c r="UPO157" s="65" t="n"/>
      <c r="UPP157" s="65" t="n"/>
      <c r="UPQ157" s="65" t="n"/>
      <c r="UPR157" s="65" t="n"/>
      <c r="UPS157" s="65" t="n"/>
      <c r="UPT157" s="65" t="n"/>
      <c r="UPU157" s="65" t="n"/>
      <c r="UPV157" s="65" t="n"/>
      <c r="UPW157" s="65" t="n"/>
      <c r="UPX157" s="65" t="n"/>
      <c r="UPY157" s="65" t="n"/>
      <c r="UPZ157" s="65" t="n"/>
      <c r="UQA157" s="65" t="n"/>
      <c r="UQB157" s="65" t="n"/>
      <c r="UQC157" s="65" t="n"/>
      <c r="UQD157" s="65" t="n"/>
      <c r="UQE157" s="65" t="n"/>
      <c r="UQF157" s="65" t="n"/>
      <c r="UQG157" s="65" t="n"/>
      <c r="UQH157" s="65" t="n"/>
      <c r="UQI157" s="65" t="n"/>
      <c r="UQJ157" s="65" t="n"/>
      <c r="UQK157" s="65" t="n"/>
      <c r="UQL157" s="65" t="n"/>
      <c r="UQM157" s="65" t="n"/>
      <c r="UQN157" s="65" t="n"/>
      <c r="UQO157" s="65" t="n"/>
      <c r="UQP157" s="65" t="n"/>
      <c r="UQQ157" s="65" t="n"/>
      <c r="UQR157" s="65" t="n"/>
      <c r="UQS157" s="65" t="n"/>
      <c r="UQT157" s="65" t="n"/>
      <c r="UQU157" s="65" t="n"/>
      <c r="UQV157" s="65" t="n"/>
      <c r="UQW157" s="65" t="n"/>
      <c r="UQX157" s="65" t="n"/>
      <c r="UQY157" s="65" t="n"/>
      <c r="UQZ157" s="65" t="n"/>
      <c r="URA157" s="65" t="n"/>
      <c r="URB157" s="65" t="n"/>
      <c r="URC157" s="65" t="n"/>
      <c r="URD157" s="65" t="n"/>
      <c r="URE157" s="65" t="n"/>
      <c r="URF157" s="65" t="n"/>
      <c r="URG157" s="65" t="n"/>
      <c r="URH157" s="65" t="n"/>
      <c r="URI157" s="65" t="n"/>
      <c r="URJ157" s="65" t="n"/>
      <c r="URK157" s="65" t="n"/>
      <c r="URL157" s="65" t="n"/>
      <c r="URM157" s="65" t="n"/>
      <c r="URN157" s="65" t="n"/>
      <c r="URO157" s="65" t="n"/>
      <c r="URP157" s="65" t="n"/>
      <c r="URQ157" s="65" t="n"/>
      <c r="URR157" s="65" t="n"/>
      <c r="URS157" s="65" t="n"/>
      <c r="URT157" s="65" t="n"/>
      <c r="URU157" s="65" t="n"/>
      <c r="URV157" s="65" t="n"/>
      <c r="URW157" s="65" t="n"/>
      <c r="URX157" s="65" t="n"/>
      <c r="URY157" s="65" t="n"/>
      <c r="URZ157" s="65" t="n"/>
      <c r="USA157" s="65" t="n"/>
      <c r="USB157" s="65" t="n"/>
      <c r="USC157" s="65" t="n"/>
      <c r="USD157" s="65" t="n"/>
      <c r="USE157" s="65" t="n"/>
      <c r="USF157" s="65" t="n"/>
      <c r="USG157" s="65" t="n"/>
      <c r="USH157" s="65" t="n"/>
      <c r="USI157" s="65" t="n"/>
      <c r="USJ157" s="65" t="n"/>
      <c r="USK157" s="65" t="n"/>
      <c r="USL157" s="65" t="n"/>
      <c r="USM157" s="65" t="n"/>
      <c r="USN157" s="65" t="n"/>
      <c r="USO157" s="65" t="n"/>
      <c r="USP157" s="65" t="n"/>
      <c r="USQ157" s="65" t="n"/>
      <c r="USR157" s="65" t="n"/>
      <c r="USS157" s="65" t="n"/>
      <c r="UST157" s="65" t="n"/>
      <c r="USU157" s="65" t="n"/>
      <c r="USV157" s="65" t="n"/>
      <c r="USW157" s="65" t="n"/>
      <c r="USX157" s="65" t="n"/>
      <c r="USY157" s="65" t="n"/>
      <c r="USZ157" s="65" t="n"/>
      <c r="UTA157" s="65" t="n"/>
      <c r="UTB157" s="65" t="n"/>
      <c r="UTC157" s="65" t="n"/>
      <c r="UTD157" s="65" t="n"/>
      <c r="UTE157" s="65" t="n"/>
      <c r="UTF157" s="65" t="n"/>
      <c r="UTG157" s="65" t="n"/>
      <c r="UTH157" s="65" t="n"/>
      <c r="UTI157" s="65" t="n"/>
      <c r="UTJ157" s="65" t="n"/>
      <c r="UTK157" s="65" t="n"/>
      <c r="UTL157" s="65" t="n"/>
      <c r="UTM157" s="65" t="n"/>
      <c r="UTN157" s="65" t="n"/>
      <c r="UTO157" s="65" t="n"/>
      <c r="UTP157" s="65" t="n"/>
      <c r="UTQ157" s="65" t="n"/>
      <c r="UTR157" s="65" t="n"/>
      <c r="UTS157" s="65" t="n"/>
      <c r="UTT157" s="65" t="n"/>
      <c r="UTU157" s="65" t="n"/>
      <c r="UTV157" s="65" t="n"/>
      <c r="UTW157" s="65" t="n"/>
      <c r="UTX157" s="65" t="n"/>
      <c r="UTY157" s="65" t="n"/>
      <c r="UTZ157" s="65" t="n"/>
      <c r="UUA157" s="65" t="n"/>
      <c r="UUB157" s="65" t="n"/>
      <c r="UUC157" s="65" t="n"/>
      <c r="UUD157" s="65" t="n"/>
      <c r="UUE157" s="65" t="n"/>
      <c r="UUF157" s="65" t="n"/>
      <c r="UUG157" s="65" t="n"/>
      <c r="UUH157" s="65" t="n"/>
      <c r="UUI157" s="65" t="n"/>
      <c r="UUJ157" s="65" t="n"/>
      <c r="UUK157" s="65" t="n"/>
      <c r="UUL157" s="65" t="n"/>
      <c r="UUM157" s="65" t="n"/>
      <c r="UUN157" s="65" t="n"/>
      <c r="UUO157" s="65" t="n"/>
      <c r="UUP157" s="65" t="n"/>
      <c r="UUQ157" s="65" t="n"/>
      <c r="UUR157" s="65" t="n"/>
      <c r="UUS157" s="65" t="n"/>
      <c r="UUT157" s="65" t="n"/>
      <c r="UUU157" s="65" t="n"/>
      <c r="UUV157" s="65" t="n"/>
      <c r="UUW157" s="65" t="n"/>
      <c r="UUX157" s="65" t="n"/>
      <c r="UUY157" s="65" t="n"/>
      <c r="UUZ157" s="65" t="n"/>
      <c r="UVA157" s="65" t="n"/>
      <c r="UVB157" s="65" t="n"/>
      <c r="UVC157" s="65" t="n"/>
      <c r="UVD157" s="65" t="n"/>
      <c r="UVE157" s="65" t="n"/>
      <c r="UVF157" s="65" t="n"/>
      <c r="UVG157" s="65" t="n"/>
      <c r="UVH157" s="65" t="n"/>
      <c r="UVI157" s="65" t="n"/>
      <c r="UVJ157" s="65" t="n"/>
      <c r="UVK157" s="65" t="n"/>
      <c r="UVL157" s="65" t="n"/>
      <c r="UVM157" s="65" t="n"/>
      <c r="UVN157" s="65" t="n"/>
      <c r="UVO157" s="65" t="n"/>
      <c r="UVP157" s="65" t="n"/>
      <c r="UVQ157" s="65" t="n"/>
      <c r="UVR157" s="65" t="n"/>
      <c r="UVS157" s="65" t="n"/>
      <c r="UVT157" s="65" t="n"/>
      <c r="UVU157" s="65" t="n"/>
      <c r="UVV157" s="65" t="n"/>
      <c r="UVW157" s="65" t="n"/>
      <c r="UVX157" s="65" t="n"/>
      <c r="UVY157" s="65" t="n"/>
      <c r="UVZ157" s="65" t="n"/>
      <c r="UWA157" s="65" t="n"/>
      <c r="UWB157" s="65" t="n"/>
      <c r="UWC157" s="65" t="n"/>
      <c r="UWD157" s="65" t="n"/>
      <c r="UWE157" s="65" t="n"/>
      <c r="UWF157" s="65" t="n"/>
      <c r="UWG157" s="65" t="n"/>
      <c r="UWH157" s="65" t="n"/>
      <c r="UWI157" s="65" t="n"/>
      <c r="UWJ157" s="65" t="n"/>
      <c r="UWK157" s="65" t="n"/>
      <c r="UWL157" s="65" t="n"/>
      <c r="UWM157" s="65" t="n"/>
      <c r="UWN157" s="65" t="n"/>
      <c r="UWO157" s="65" t="n"/>
      <c r="UWP157" s="65" t="n"/>
      <c r="UWQ157" s="65" t="n"/>
      <c r="UWR157" s="65" t="n"/>
      <c r="UWS157" s="65" t="n"/>
      <c r="UWT157" s="65" t="n"/>
      <c r="UWU157" s="65" t="n"/>
      <c r="UWV157" s="65" t="n"/>
      <c r="UWW157" s="65" t="n"/>
      <c r="UWX157" s="65" t="n"/>
      <c r="UWY157" s="65" t="n"/>
      <c r="UWZ157" s="65" t="n"/>
      <c r="UXA157" s="65" t="n"/>
      <c r="UXB157" s="65" t="n"/>
      <c r="UXC157" s="65" t="n"/>
      <c r="UXD157" s="65" t="n"/>
      <c r="UXE157" s="65" t="n"/>
      <c r="UXF157" s="65" t="n"/>
      <c r="UXG157" s="65" t="n"/>
      <c r="UXH157" s="65" t="n"/>
      <c r="UXI157" s="65" t="n"/>
      <c r="UXJ157" s="65" t="n"/>
      <c r="UXK157" s="65" t="n"/>
      <c r="UXL157" s="65" t="n"/>
      <c r="UXM157" s="65" t="n"/>
      <c r="UXN157" s="65" t="n"/>
      <c r="UXO157" s="65" t="n"/>
      <c r="UXP157" s="65" t="n"/>
      <c r="UXQ157" s="65" t="n"/>
      <c r="UXR157" s="65" t="n"/>
      <c r="UXS157" s="65" t="n"/>
      <c r="UXT157" s="65" t="n"/>
      <c r="UXU157" s="65" t="n"/>
      <c r="UXV157" s="65" t="n"/>
      <c r="UXW157" s="65" t="n"/>
      <c r="UXX157" s="65" t="n"/>
      <c r="UXY157" s="65" t="n"/>
      <c r="UXZ157" s="65" t="n"/>
      <c r="UYA157" s="65" t="n"/>
      <c r="UYB157" s="65" t="n"/>
      <c r="UYC157" s="65" t="n"/>
      <c r="UYD157" s="65" t="n"/>
      <c r="UYE157" s="65" t="n"/>
      <c r="UYF157" s="65" t="n"/>
      <c r="UYG157" s="65" t="n"/>
      <c r="UYH157" s="65" t="n"/>
      <c r="UYI157" s="65" t="n"/>
      <c r="UYJ157" s="65" t="n"/>
      <c r="UYK157" s="65" t="n"/>
      <c r="UYL157" s="65" t="n"/>
      <c r="UYM157" s="65" t="n"/>
      <c r="UYN157" s="65" t="n"/>
      <c r="UYO157" s="65" t="n"/>
      <c r="UYP157" s="65" t="n"/>
      <c r="UYQ157" s="65" t="n"/>
      <c r="UYR157" s="65" t="n"/>
      <c r="UYS157" s="65" t="n"/>
      <c r="UYT157" s="65" t="n"/>
      <c r="UYU157" s="65" t="n"/>
      <c r="UYV157" s="65" t="n"/>
      <c r="UYW157" s="65" t="n"/>
      <c r="UYX157" s="65" t="n"/>
      <c r="UYY157" s="65" t="n"/>
      <c r="UYZ157" s="65" t="n"/>
      <c r="UZA157" s="65" t="n"/>
      <c r="UZB157" s="65" t="n"/>
      <c r="UZC157" s="65" t="n"/>
      <c r="UZD157" s="65" t="n"/>
      <c r="UZE157" s="65" t="n"/>
      <c r="UZF157" s="65" t="n"/>
      <c r="UZG157" s="65" t="n"/>
      <c r="UZH157" s="65" t="n"/>
      <c r="UZI157" s="65" t="n"/>
      <c r="UZJ157" s="65" t="n"/>
      <c r="UZK157" s="65" t="n"/>
      <c r="UZL157" s="65" t="n"/>
      <c r="UZM157" s="65" t="n"/>
      <c r="UZN157" s="65" t="n"/>
      <c r="UZO157" s="65" t="n"/>
      <c r="UZP157" s="65" t="n"/>
      <c r="UZQ157" s="65" t="n"/>
      <c r="UZR157" s="65" t="n"/>
      <c r="UZS157" s="65" t="n"/>
      <c r="UZT157" s="65" t="n"/>
      <c r="UZU157" s="65" t="n"/>
      <c r="UZV157" s="65" t="n"/>
      <c r="UZW157" s="65" t="n"/>
      <c r="UZX157" s="65" t="n"/>
      <c r="UZY157" s="65" t="n"/>
      <c r="UZZ157" s="65" t="n"/>
      <c r="VAA157" s="65" t="n"/>
      <c r="VAB157" s="65" t="n"/>
      <c r="VAC157" s="65" t="n"/>
      <c r="VAD157" s="65" t="n"/>
      <c r="VAE157" s="65" t="n"/>
      <c r="VAF157" s="65" t="n"/>
      <c r="VAG157" s="65" t="n"/>
      <c r="VAH157" s="65" t="n"/>
      <c r="VAI157" s="65" t="n"/>
      <c r="VAJ157" s="65" t="n"/>
      <c r="VAK157" s="65" t="n"/>
      <c r="VAL157" s="65" t="n"/>
      <c r="VAM157" s="65" t="n"/>
      <c r="VAN157" s="65" t="n"/>
      <c r="VAO157" s="65" t="n"/>
      <c r="VAP157" s="65" t="n"/>
      <c r="VAQ157" s="65" t="n"/>
      <c r="VAR157" s="65" t="n"/>
      <c r="VAS157" s="65" t="n"/>
      <c r="VAT157" s="65" t="n"/>
      <c r="VAU157" s="65" t="n"/>
      <c r="VAV157" s="65" t="n"/>
      <c r="VAW157" s="65" t="n"/>
      <c r="VAX157" s="65" t="n"/>
      <c r="VAY157" s="65" t="n"/>
      <c r="VAZ157" s="65" t="n"/>
      <c r="VBA157" s="65" t="n"/>
      <c r="VBB157" s="65" t="n"/>
      <c r="VBC157" s="65" t="n"/>
      <c r="VBD157" s="65" t="n"/>
      <c r="VBE157" s="65" t="n"/>
      <c r="VBF157" s="65" t="n"/>
      <c r="VBG157" s="65" t="n"/>
      <c r="VBH157" s="65" t="n"/>
      <c r="VBI157" s="65" t="n"/>
      <c r="VBJ157" s="65" t="n"/>
      <c r="VBK157" s="65" t="n"/>
      <c r="VBL157" s="65" t="n"/>
      <c r="VBM157" s="65" t="n"/>
      <c r="VBN157" s="65" t="n"/>
      <c r="VBO157" s="65" t="n"/>
      <c r="VBP157" s="65" t="n"/>
      <c r="VBQ157" s="65" t="n"/>
      <c r="VBR157" s="65" t="n"/>
      <c r="VBS157" s="65" t="n"/>
      <c r="VBT157" s="65" t="n"/>
      <c r="VBU157" s="65" t="n"/>
      <c r="VBV157" s="65" t="n"/>
      <c r="VBW157" s="65" t="n"/>
      <c r="VBX157" s="65" t="n"/>
      <c r="VBY157" s="65" t="n"/>
      <c r="VBZ157" s="65" t="n"/>
      <c r="VCA157" s="65" t="n"/>
      <c r="VCB157" s="65" t="n"/>
      <c r="VCC157" s="65" t="n"/>
      <c r="VCD157" s="65" t="n"/>
      <c r="VCE157" s="65" t="n"/>
      <c r="VCF157" s="65" t="n"/>
      <c r="VCG157" s="65" t="n"/>
      <c r="VCH157" s="65" t="n"/>
      <c r="VCI157" s="65" t="n"/>
      <c r="VCJ157" s="65" t="n"/>
      <c r="VCK157" s="65" t="n"/>
      <c r="VCL157" s="65" t="n"/>
      <c r="VCM157" s="65" t="n"/>
      <c r="VCN157" s="65" t="n"/>
      <c r="VCO157" s="65" t="n"/>
      <c r="VCP157" s="65" t="n"/>
      <c r="VCQ157" s="65" t="n"/>
      <c r="VCR157" s="65" t="n"/>
      <c r="VCS157" s="65" t="n"/>
      <c r="VCT157" s="65" t="n"/>
      <c r="VCU157" s="65" t="n"/>
      <c r="VCV157" s="65" t="n"/>
      <c r="VCW157" s="65" t="n"/>
      <c r="VCX157" s="65" t="n"/>
      <c r="VCY157" s="65" t="n"/>
      <c r="VCZ157" s="65" t="n"/>
      <c r="VDA157" s="65" t="n"/>
      <c r="VDB157" s="65" t="n"/>
      <c r="VDC157" s="65" t="n"/>
      <c r="VDD157" s="65" t="n"/>
      <c r="VDE157" s="65" t="n"/>
      <c r="VDF157" s="65" t="n"/>
      <c r="VDG157" s="65" t="n"/>
      <c r="VDH157" s="65" t="n"/>
      <c r="VDI157" s="65" t="n"/>
      <c r="VDJ157" s="65" t="n"/>
      <c r="VDK157" s="65" t="n"/>
      <c r="VDL157" s="65" t="n"/>
      <c r="VDM157" s="65" t="n"/>
      <c r="VDN157" s="65" t="n"/>
      <c r="VDO157" s="65" t="n"/>
      <c r="VDP157" s="65" t="n"/>
      <c r="VDQ157" s="65" t="n"/>
      <c r="VDR157" s="65" t="n"/>
      <c r="VDS157" s="65" t="n"/>
      <c r="VDT157" s="65" t="n"/>
      <c r="VDU157" s="65" t="n"/>
      <c r="VDV157" s="65" t="n"/>
      <c r="VDW157" s="65" t="n"/>
      <c r="VDX157" s="65" t="n"/>
      <c r="VDY157" s="65" t="n"/>
      <c r="VDZ157" s="65" t="n"/>
      <c r="VEA157" s="65" t="n"/>
      <c r="VEB157" s="65" t="n"/>
      <c r="VEC157" s="65" t="n"/>
      <c r="VED157" s="65" t="n"/>
      <c r="VEE157" s="65" t="n"/>
      <c r="VEF157" s="65" t="n"/>
      <c r="VEG157" s="65" t="n"/>
      <c r="VEH157" s="65" t="n"/>
      <c r="VEI157" s="65" t="n"/>
      <c r="VEJ157" s="65" t="n"/>
      <c r="VEK157" s="65" t="n"/>
      <c r="VEL157" s="65" t="n"/>
      <c r="VEM157" s="65" t="n"/>
      <c r="VEN157" s="65" t="n"/>
      <c r="VEO157" s="65" t="n"/>
      <c r="VEP157" s="65" t="n"/>
      <c r="VEQ157" s="65" t="n"/>
      <c r="VER157" s="65" t="n"/>
      <c r="VES157" s="65" t="n"/>
      <c r="VET157" s="65" t="n"/>
      <c r="VEU157" s="65" t="n"/>
      <c r="VEV157" s="65" t="n"/>
      <c r="VEW157" s="65" t="n"/>
      <c r="VEX157" s="65" t="n"/>
      <c r="VEY157" s="65" t="n"/>
      <c r="VEZ157" s="65" t="n"/>
      <c r="VFA157" s="65" t="n"/>
      <c r="VFB157" s="65" t="n"/>
      <c r="VFC157" s="65" t="n"/>
      <c r="VFD157" s="65" t="n"/>
      <c r="VFE157" s="65" t="n"/>
      <c r="VFF157" s="65" t="n"/>
      <c r="VFG157" s="65" t="n"/>
      <c r="VFH157" s="65" t="n"/>
      <c r="VFI157" s="65" t="n"/>
      <c r="VFJ157" s="65" t="n"/>
      <c r="VFK157" s="65" t="n"/>
      <c r="VFL157" s="65" t="n"/>
      <c r="VFM157" s="65" t="n"/>
      <c r="VFN157" s="65" t="n"/>
      <c r="VFO157" s="65" t="n"/>
      <c r="VFP157" s="65" t="n"/>
      <c r="VFQ157" s="65" t="n"/>
      <c r="VFR157" s="65" t="n"/>
      <c r="VFS157" s="65" t="n"/>
      <c r="VFT157" s="65" t="n"/>
      <c r="VFU157" s="65" t="n"/>
      <c r="VFV157" s="65" t="n"/>
      <c r="VFW157" s="65" t="n"/>
      <c r="VFX157" s="65" t="n"/>
      <c r="VFY157" s="65" t="n"/>
      <c r="VFZ157" s="65" t="n"/>
      <c r="VGA157" s="65" t="n"/>
      <c r="VGB157" s="65" t="n"/>
      <c r="VGC157" s="65" t="n"/>
      <c r="VGD157" s="65" t="n"/>
      <c r="VGE157" s="65" t="n"/>
      <c r="VGF157" s="65" t="n"/>
      <c r="VGG157" s="65" t="n"/>
      <c r="VGH157" s="65" t="n"/>
      <c r="VGI157" s="65" t="n"/>
      <c r="VGJ157" s="65" t="n"/>
      <c r="VGK157" s="65" t="n"/>
      <c r="VGL157" s="65" t="n"/>
      <c r="VGM157" s="65" t="n"/>
      <c r="VGN157" s="65" t="n"/>
      <c r="VGO157" s="65" t="n"/>
      <c r="VGP157" s="65" t="n"/>
      <c r="VGQ157" s="65" t="n"/>
      <c r="VGR157" s="65" t="n"/>
      <c r="VGS157" s="65" t="n"/>
      <c r="VGT157" s="65" t="n"/>
      <c r="VGU157" s="65" t="n"/>
      <c r="VGV157" s="65" t="n"/>
      <c r="VGW157" s="65" t="n"/>
      <c r="VGX157" s="65" t="n"/>
      <c r="VGY157" s="65" t="n"/>
      <c r="VGZ157" s="65" t="n"/>
      <c r="VHA157" s="65" t="n"/>
      <c r="VHB157" s="65" t="n"/>
      <c r="VHC157" s="65" t="n"/>
      <c r="VHD157" s="65" t="n"/>
      <c r="VHE157" s="65" t="n"/>
      <c r="VHF157" s="65" t="n"/>
      <c r="VHG157" s="65" t="n"/>
      <c r="VHH157" s="65" t="n"/>
      <c r="VHI157" s="65" t="n"/>
      <c r="VHJ157" s="65" t="n"/>
      <c r="VHK157" s="65" t="n"/>
      <c r="VHL157" s="65" t="n"/>
      <c r="VHM157" s="65" t="n"/>
      <c r="VHN157" s="65" t="n"/>
      <c r="VHO157" s="65" t="n"/>
      <c r="VHP157" s="65" t="n"/>
      <c r="VHQ157" s="65" t="n"/>
      <c r="VHR157" s="65" t="n"/>
      <c r="VHS157" s="65" t="n"/>
      <c r="VHT157" s="65" t="n"/>
      <c r="VHU157" s="65" t="n"/>
      <c r="VHV157" s="65" t="n"/>
      <c r="VHW157" s="65" t="n"/>
      <c r="VHX157" s="65" t="n"/>
      <c r="VHY157" s="65" t="n"/>
      <c r="VHZ157" s="65" t="n"/>
      <c r="VIA157" s="65" t="n"/>
      <c r="VIB157" s="65" t="n"/>
      <c r="VIC157" s="65" t="n"/>
      <c r="VID157" s="65" t="n"/>
      <c r="VIE157" s="65" t="n"/>
      <c r="VIF157" s="65" t="n"/>
      <c r="VIG157" s="65" t="n"/>
      <c r="VIH157" s="65" t="n"/>
      <c r="VII157" s="65" t="n"/>
      <c r="VIJ157" s="65" t="n"/>
      <c r="VIK157" s="65" t="n"/>
      <c r="VIL157" s="65" t="n"/>
      <c r="VIM157" s="65" t="n"/>
      <c r="VIN157" s="65" t="n"/>
      <c r="VIO157" s="65" t="n"/>
      <c r="VIP157" s="65" t="n"/>
      <c r="VIQ157" s="65" t="n"/>
      <c r="VIR157" s="65" t="n"/>
      <c r="VIS157" s="65" t="n"/>
      <c r="VIT157" s="65" t="n"/>
      <c r="VIU157" s="65" t="n"/>
      <c r="VIV157" s="65" t="n"/>
      <c r="VIW157" s="65" t="n"/>
      <c r="VIX157" s="65" t="n"/>
      <c r="VIY157" s="65" t="n"/>
      <c r="VIZ157" s="65" t="n"/>
      <c r="VJA157" s="65" t="n"/>
      <c r="VJB157" s="65" t="n"/>
      <c r="VJC157" s="65" t="n"/>
      <c r="VJD157" s="65" t="n"/>
      <c r="VJE157" s="65" t="n"/>
      <c r="VJF157" s="65" t="n"/>
      <c r="VJG157" s="65" t="n"/>
      <c r="VJH157" s="65" t="n"/>
      <c r="VJI157" s="65" t="n"/>
      <c r="VJJ157" s="65" t="n"/>
      <c r="VJK157" s="65" t="n"/>
      <c r="VJL157" s="65" t="n"/>
      <c r="VJM157" s="65" t="n"/>
      <c r="VJN157" s="65" t="n"/>
      <c r="VJO157" s="65" t="n"/>
      <c r="VJP157" s="65" t="n"/>
      <c r="VJQ157" s="65" t="n"/>
      <c r="VJR157" s="65" t="n"/>
      <c r="VJS157" s="65" t="n"/>
      <c r="VJT157" s="65" t="n"/>
      <c r="VJU157" s="65" t="n"/>
      <c r="VJV157" s="65" t="n"/>
      <c r="VJW157" s="65" t="n"/>
      <c r="VJX157" s="65" t="n"/>
      <c r="VJY157" s="65" t="n"/>
      <c r="VJZ157" s="65" t="n"/>
      <c r="VKA157" s="65" t="n"/>
      <c r="VKB157" s="65" t="n"/>
      <c r="VKC157" s="65" t="n"/>
      <c r="VKD157" s="65" t="n"/>
      <c r="VKE157" s="65" t="n"/>
      <c r="VKF157" s="65" t="n"/>
      <c r="VKG157" s="65" t="n"/>
      <c r="VKH157" s="65" t="n"/>
      <c r="VKI157" s="65" t="n"/>
      <c r="VKJ157" s="65" t="n"/>
      <c r="VKK157" s="65" t="n"/>
      <c r="VKL157" s="65" t="n"/>
      <c r="VKM157" s="65" t="n"/>
      <c r="VKN157" s="65" t="n"/>
      <c r="VKO157" s="65" t="n"/>
      <c r="VKP157" s="65" t="n"/>
      <c r="VKQ157" s="65" t="n"/>
      <c r="VKR157" s="65" t="n"/>
      <c r="VKS157" s="65" t="n"/>
      <c r="VKT157" s="65" t="n"/>
      <c r="VKU157" s="65" t="n"/>
      <c r="VKV157" s="65" t="n"/>
      <c r="VKW157" s="65" t="n"/>
      <c r="VKX157" s="65" t="n"/>
      <c r="VKY157" s="65" t="n"/>
      <c r="VKZ157" s="65" t="n"/>
      <c r="VLA157" s="65" t="n"/>
      <c r="VLB157" s="65" t="n"/>
      <c r="VLC157" s="65" t="n"/>
      <c r="VLD157" s="65" t="n"/>
      <c r="VLE157" s="65" t="n"/>
      <c r="VLF157" s="65" t="n"/>
      <c r="VLG157" s="65" t="n"/>
      <c r="VLH157" s="65" t="n"/>
      <c r="VLI157" s="65" t="n"/>
      <c r="VLJ157" s="65" t="n"/>
      <c r="VLK157" s="65" t="n"/>
      <c r="VLL157" s="65" t="n"/>
      <c r="VLM157" s="65" t="n"/>
      <c r="VLN157" s="65" t="n"/>
      <c r="VLO157" s="65" t="n"/>
      <c r="VLP157" s="65" t="n"/>
      <c r="VLQ157" s="65" t="n"/>
      <c r="VLR157" s="65" t="n"/>
      <c r="VLS157" s="65" t="n"/>
      <c r="VLT157" s="65" t="n"/>
      <c r="VLU157" s="65" t="n"/>
      <c r="VLV157" s="65" t="n"/>
      <c r="VLW157" s="65" t="n"/>
      <c r="VLX157" s="65" t="n"/>
      <c r="VLY157" s="65" t="n"/>
      <c r="VLZ157" s="65" t="n"/>
      <c r="VMA157" s="65" t="n"/>
      <c r="VMB157" s="65" t="n"/>
      <c r="VMC157" s="65" t="n"/>
      <c r="VMD157" s="65" t="n"/>
      <c r="VME157" s="65" t="n"/>
      <c r="VMF157" s="65" t="n"/>
      <c r="VMG157" s="65" t="n"/>
      <c r="VMH157" s="65" t="n"/>
      <c r="VMI157" s="65" t="n"/>
      <c r="VMJ157" s="65" t="n"/>
      <c r="VMK157" s="65" t="n"/>
      <c r="VML157" s="65" t="n"/>
      <c r="VMM157" s="65" t="n"/>
      <c r="VMN157" s="65" t="n"/>
      <c r="VMO157" s="65" t="n"/>
      <c r="VMP157" s="65" t="n"/>
      <c r="VMQ157" s="65" t="n"/>
      <c r="VMR157" s="65" t="n"/>
      <c r="VMS157" s="65" t="n"/>
      <c r="VMT157" s="65" t="n"/>
      <c r="VMU157" s="65" t="n"/>
      <c r="VMV157" s="65" t="n"/>
      <c r="VMW157" s="65" t="n"/>
      <c r="VMX157" s="65" t="n"/>
      <c r="VMY157" s="65" t="n"/>
      <c r="VMZ157" s="65" t="n"/>
      <c r="VNA157" s="65" t="n"/>
      <c r="VNB157" s="65" t="n"/>
      <c r="VNC157" s="65" t="n"/>
      <c r="VND157" s="65" t="n"/>
      <c r="VNE157" s="65" t="n"/>
      <c r="VNF157" s="65" t="n"/>
      <c r="VNG157" s="65" t="n"/>
      <c r="VNH157" s="65" t="n"/>
      <c r="VNI157" s="65" t="n"/>
      <c r="VNJ157" s="65" t="n"/>
      <c r="VNK157" s="65" t="n"/>
      <c r="VNL157" s="65" t="n"/>
      <c r="VNM157" s="65" t="n"/>
      <c r="VNN157" s="65" t="n"/>
      <c r="VNO157" s="65" t="n"/>
      <c r="VNP157" s="65" t="n"/>
      <c r="VNQ157" s="65" t="n"/>
      <c r="VNR157" s="65" t="n"/>
      <c r="VNS157" s="65" t="n"/>
      <c r="VNT157" s="65" t="n"/>
      <c r="VNU157" s="65" t="n"/>
      <c r="VNV157" s="65" t="n"/>
      <c r="VNW157" s="65" t="n"/>
      <c r="VNX157" s="65" t="n"/>
      <c r="VNY157" s="65" t="n"/>
      <c r="VNZ157" s="65" t="n"/>
      <c r="VOA157" s="65" t="n"/>
      <c r="VOB157" s="65" t="n"/>
      <c r="VOC157" s="65" t="n"/>
      <c r="VOD157" s="65" t="n"/>
      <c r="VOE157" s="65" t="n"/>
      <c r="VOF157" s="65" t="n"/>
      <c r="VOG157" s="65" t="n"/>
      <c r="VOH157" s="65" t="n"/>
      <c r="VOI157" s="65" t="n"/>
      <c r="VOJ157" s="65" t="n"/>
      <c r="VOK157" s="65" t="n"/>
      <c r="VOL157" s="65" t="n"/>
      <c r="VOM157" s="65" t="n"/>
      <c r="VON157" s="65" t="n"/>
      <c r="VOO157" s="65" t="n"/>
      <c r="VOP157" s="65" t="n"/>
      <c r="VOQ157" s="65" t="n"/>
      <c r="VOR157" s="65" t="n"/>
      <c r="VOS157" s="65" t="n"/>
      <c r="VOT157" s="65" t="n"/>
      <c r="VOU157" s="65" t="n"/>
      <c r="VOV157" s="65" t="n"/>
      <c r="VOW157" s="65" t="n"/>
      <c r="VOX157" s="65" t="n"/>
      <c r="VOY157" s="65" t="n"/>
      <c r="VOZ157" s="65" t="n"/>
      <c r="VPA157" s="65" t="n"/>
      <c r="VPB157" s="65" t="n"/>
      <c r="VPC157" s="65" t="n"/>
      <c r="VPD157" s="65" t="n"/>
      <c r="VPE157" s="65" t="n"/>
      <c r="VPF157" s="65" t="n"/>
      <c r="VPG157" s="65" t="n"/>
      <c r="VPH157" s="65" t="n"/>
      <c r="VPI157" s="65" t="n"/>
      <c r="VPJ157" s="65" t="n"/>
      <c r="VPK157" s="65" t="n"/>
      <c r="VPL157" s="65" t="n"/>
      <c r="VPM157" s="65" t="n"/>
      <c r="VPN157" s="65" t="n"/>
      <c r="VPO157" s="65" t="n"/>
      <c r="VPP157" s="65" t="n"/>
      <c r="VPQ157" s="65" t="n"/>
      <c r="VPR157" s="65" t="n"/>
      <c r="VPS157" s="65" t="n"/>
      <c r="VPT157" s="65" t="n"/>
      <c r="VPU157" s="65" t="n"/>
      <c r="VPV157" s="65" t="n"/>
      <c r="VPW157" s="65" t="n"/>
      <c r="VPX157" s="65" t="n"/>
      <c r="VPY157" s="65" t="n"/>
      <c r="VPZ157" s="65" t="n"/>
      <c r="VQA157" s="65" t="n"/>
      <c r="VQB157" s="65" t="n"/>
      <c r="VQC157" s="65" t="n"/>
      <c r="VQD157" s="65" t="n"/>
      <c r="VQE157" s="65" t="n"/>
      <c r="VQF157" s="65" t="n"/>
      <c r="VQG157" s="65" t="n"/>
      <c r="VQH157" s="65" t="n"/>
      <c r="VQI157" s="65" t="n"/>
      <c r="VQJ157" s="65" t="n"/>
      <c r="VQK157" s="65" t="n"/>
      <c r="VQL157" s="65" t="n"/>
      <c r="VQM157" s="65" t="n"/>
      <c r="VQN157" s="65" t="n"/>
      <c r="VQO157" s="65" t="n"/>
      <c r="VQP157" s="65" t="n"/>
      <c r="VQQ157" s="65" t="n"/>
      <c r="VQR157" s="65" t="n"/>
      <c r="VQS157" s="65" t="n"/>
      <c r="VQT157" s="65" t="n"/>
      <c r="VQU157" s="65" t="n"/>
      <c r="VQV157" s="65" t="n"/>
      <c r="VQW157" s="65" t="n"/>
      <c r="VQX157" s="65" t="n"/>
      <c r="VQY157" s="65" t="n"/>
      <c r="VQZ157" s="65" t="n"/>
      <c r="VRA157" s="65" t="n"/>
      <c r="VRB157" s="65" t="n"/>
      <c r="VRC157" s="65" t="n"/>
      <c r="VRD157" s="65" t="n"/>
      <c r="VRE157" s="65" t="n"/>
      <c r="VRF157" s="65" t="n"/>
      <c r="VRG157" s="65" t="n"/>
      <c r="VRH157" s="65" t="n"/>
      <c r="VRI157" s="65" t="n"/>
      <c r="VRJ157" s="65" t="n"/>
      <c r="VRK157" s="65" t="n"/>
      <c r="VRL157" s="65" t="n"/>
      <c r="VRM157" s="65" t="n"/>
      <c r="VRN157" s="65" t="n"/>
      <c r="VRO157" s="65" t="n"/>
      <c r="VRP157" s="65" t="n"/>
      <c r="VRQ157" s="65" t="n"/>
      <c r="VRR157" s="65" t="n"/>
      <c r="VRS157" s="65" t="n"/>
      <c r="VRT157" s="65" t="n"/>
      <c r="VRU157" s="65" t="n"/>
      <c r="VRV157" s="65" t="n"/>
      <c r="VRW157" s="65" t="n"/>
      <c r="VRX157" s="65" t="n"/>
      <c r="VRY157" s="65" t="n"/>
      <c r="VRZ157" s="65" t="n"/>
      <c r="VSA157" s="65" t="n"/>
      <c r="VSB157" s="65" t="n"/>
      <c r="VSC157" s="65" t="n"/>
      <c r="VSD157" s="65" t="n"/>
      <c r="VSE157" s="65" t="n"/>
      <c r="VSF157" s="65" t="n"/>
      <c r="VSG157" s="65" t="n"/>
      <c r="VSH157" s="65" t="n"/>
      <c r="VSI157" s="65" t="n"/>
      <c r="VSJ157" s="65" t="n"/>
      <c r="VSK157" s="65" t="n"/>
      <c r="VSL157" s="65" t="n"/>
      <c r="VSM157" s="65" t="n"/>
      <c r="VSN157" s="65" t="n"/>
      <c r="VSO157" s="65" t="n"/>
      <c r="VSP157" s="65" t="n"/>
      <c r="VSQ157" s="65" t="n"/>
      <c r="VSR157" s="65" t="n"/>
      <c r="VSS157" s="65" t="n"/>
      <c r="VST157" s="65" t="n"/>
      <c r="VSU157" s="65" t="n"/>
      <c r="VSV157" s="65" t="n"/>
      <c r="VSW157" s="65" t="n"/>
      <c r="VSX157" s="65" t="n"/>
      <c r="VSY157" s="65" t="n"/>
      <c r="VSZ157" s="65" t="n"/>
      <c r="VTA157" s="65" t="n"/>
      <c r="VTB157" s="65" t="n"/>
      <c r="VTC157" s="65" t="n"/>
      <c r="VTD157" s="65" t="n"/>
      <c r="VTE157" s="65" t="n"/>
      <c r="VTF157" s="65" t="n"/>
      <c r="VTG157" s="65" t="n"/>
      <c r="VTH157" s="65" t="n"/>
      <c r="VTI157" s="65" t="n"/>
      <c r="VTJ157" s="65" t="n"/>
      <c r="VTK157" s="65" t="n"/>
      <c r="VTL157" s="65" t="n"/>
      <c r="VTM157" s="65" t="n"/>
      <c r="VTN157" s="65" t="n"/>
      <c r="VTO157" s="65" t="n"/>
      <c r="VTP157" s="65" t="n"/>
      <c r="VTQ157" s="65" t="n"/>
      <c r="VTR157" s="65" t="n"/>
      <c r="VTS157" s="65" t="n"/>
      <c r="VTT157" s="65" t="n"/>
      <c r="VTU157" s="65" t="n"/>
      <c r="VTV157" s="65" t="n"/>
      <c r="VTW157" s="65" t="n"/>
      <c r="VTX157" s="65" t="n"/>
      <c r="VTY157" s="65" t="n"/>
      <c r="VTZ157" s="65" t="n"/>
      <c r="VUA157" s="65" t="n"/>
      <c r="VUB157" s="65" t="n"/>
      <c r="VUC157" s="65" t="n"/>
      <c r="VUD157" s="65" t="n"/>
      <c r="VUE157" s="65" t="n"/>
      <c r="VUF157" s="65" t="n"/>
      <c r="VUG157" s="65" t="n"/>
      <c r="VUH157" s="65" t="n"/>
      <c r="VUI157" s="65" t="n"/>
      <c r="VUJ157" s="65" t="n"/>
      <c r="VUK157" s="65" t="n"/>
      <c r="VUL157" s="65" t="n"/>
      <c r="VUM157" s="65" t="n"/>
      <c r="VUN157" s="65" t="n"/>
      <c r="VUO157" s="65" t="n"/>
      <c r="VUP157" s="65" t="n"/>
      <c r="VUQ157" s="65" t="n"/>
      <c r="VUR157" s="65" t="n"/>
      <c r="VUS157" s="65" t="n"/>
      <c r="VUT157" s="65" t="n"/>
      <c r="VUU157" s="65" t="n"/>
      <c r="VUV157" s="65" t="n"/>
      <c r="VUW157" s="65" t="n"/>
      <c r="VUX157" s="65" t="n"/>
      <c r="VUY157" s="65" t="n"/>
      <c r="VUZ157" s="65" t="n"/>
      <c r="VVA157" s="65" t="n"/>
      <c r="VVB157" s="65" t="n"/>
      <c r="VVC157" s="65" t="n"/>
      <c r="VVD157" s="65" t="n"/>
      <c r="VVE157" s="65" t="n"/>
      <c r="VVF157" s="65" t="n"/>
      <c r="VVG157" s="65" t="n"/>
      <c r="VVH157" s="65" t="n"/>
      <c r="VVI157" s="65" t="n"/>
      <c r="VVJ157" s="65" t="n"/>
      <c r="VVK157" s="65" t="n"/>
      <c r="VVL157" s="65" t="n"/>
      <c r="VVM157" s="65" t="n"/>
      <c r="VVN157" s="65" t="n"/>
      <c r="VVO157" s="65" t="n"/>
      <c r="VVP157" s="65" t="n"/>
      <c r="VVQ157" s="65" t="n"/>
      <c r="VVR157" s="65" t="n"/>
      <c r="VVS157" s="65" t="n"/>
      <c r="VVT157" s="65" t="n"/>
      <c r="VVU157" s="65" t="n"/>
      <c r="VVV157" s="65" t="n"/>
      <c r="VVW157" s="65" t="n"/>
      <c r="VVX157" s="65" t="n"/>
      <c r="VVY157" s="65" t="n"/>
      <c r="VVZ157" s="65" t="n"/>
      <c r="VWA157" s="65" t="n"/>
      <c r="VWB157" s="65" t="n"/>
      <c r="VWC157" s="65" t="n"/>
      <c r="VWD157" s="65" t="n"/>
      <c r="VWE157" s="65" t="n"/>
      <c r="VWF157" s="65" t="n"/>
      <c r="VWG157" s="65" t="n"/>
      <c r="VWH157" s="65" t="n"/>
      <c r="VWI157" s="65" t="n"/>
      <c r="VWJ157" s="65" t="n"/>
      <c r="VWK157" s="65" t="n"/>
      <c r="VWL157" s="65" t="n"/>
      <c r="VWM157" s="65" t="n"/>
      <c r="VWN157" s="65" t="n"/>
      <c r="VWO157" s="65" t="n"/>
      <c r="VWP157" s="65" t="n"/>
      <c r="VWQ157" s="65" t="n"/>
      <c r="VWR157" s="65" t="n"/>
      <c r="VWS157" s="65" t="n"/>
      <c r="VWT157" s="65" t="n"/>
      <c r="VWU157" s="65" t="n"/>
      <c r="VWV157" s="65" t="n"/>
      <c r="VWW157" s="65" t="n"/>
      <c r="VWX157" s="65" t="n"/>
      <c r="VWY157" s="65" t="n"/>
      <c r="VWZ157" s="65" t="n"/>
      <c r="VXA157" s="65" t="n"/>
      <c r="VXB157" s="65" t="n"/>
      <c r="VXC157" s="65" t="n"/>
      <c r="VXD157" s="65" t="n"/>
      <c r="VXE157" s="65" t="n"/>
      <c r="VXF157" s="65" t="n"/>
      <c r="VXG157" s="65" t="n"/>
      <c r="VXH157" s="65" t="n"/>
      <c r="VXI157" s="65" t="n"/>
      <c r="VXJ157" s="65" t="n"/>
      <c r="VXK157" s="65" t="n"/>
      <c r="VXL157" s="65" t="n"/>
      <c r="VXM157" s="65" t="n"/>
      <c r="VXN157" s="65" t="n"/>
      <c r="VXO157" s="65" t="n"/>
      <c r="VXP157" s="65" t="n"/>
      <c r="VXQ157" s="65" t="n"/>
      <c r="VXR157" s="65" t="n"/>
      <c r="VXS157" s="65" t="n"/>
      <c r="VXT157" s="65" t="n"/>
      <c r="VXU157" s="65" t="n"/>
      <c r="VXV157" s="65" t="n"/>
      <c r="VXW157" s="65" t="n"/>
      <c r="VXX157" s="65" t="n"/>
      <c r="VXY157" s="65" t="n"/>
      <c r="VXZ157" s="65" t="n"/>
      <c r="VYA157" s="65" t="n"/>
      <c r="VYB157" s="65" t="n"/>
      <c r="VYC157" s="65" t="n"/>
      <c r="VYD157" s="65" t="n"/>
      <c r="VYE157" s="65" t="n"/>
      <c r="VYF157" s="65" t="n"/>
      <c r="VYG157" s="65" t="n"/>
      <c r="VYH157" s="65" t="n"/>
      <c r="VYI157" s="65" t="n"/>
      <c r="VYJ157" s="65" t="n"/>
      <c r="VYK157" s="65" t="n"/>
      <c r="VYL157" s="65" t="n"/>
      <c r="VYM157" s="65" t="n"/>
      <c r="VYN157" s="65" t="n"/>
      <c r="VYO157" s="65" t="n"/>
      <c r="VYP157" s="65" t="n"/>
      <c r="VYQ157" s="65" t="n"/>
      <c r="VYR157" s="65" t="n"/>
      <c r="VYS157" s="65" t="n"/>
      <c r="VYT157" s="65" t="n"/>
      <c r="VYU157" s="65" t="n"/>
      <c r="VYV157" s="65" t="n"/>
      <c r="VYW157" s="65" t="n"/>
      <c r="VYX157" s="65" t="n"/>
      <c r="VYY157" s="65" t="n"/>
      <c r="VYZ157" s="65" t="n"/>
      <c r="VZA157" s="65" t="n"/>
      <c r="VZB157" s="65" t="n"/>
      <c r="VZC157" s="65" t="n"/>
      <c r="VZD157" s="65" t="n"/>
      <c r="VZE157" s="65" t="n"/>
      <c r="VZF157" s="65" t="n"/>
      <c r="VZG157" s="65" t="n"/>
      <c r="VZH157" s="65" t="n"/>
      <c r="VZI157" s="65" t="n"/>
      <c r="VZJ157" s="65" t="n"/>
      <c r="VZK157" s="65" t="n"/>
      <c r="VZL157" s="65" t="n"/>
      <c r="VZM157" s="65" t="n"/>
      <c r="VZN157" s="65" t="n"/>
      <c r="VZO157" s="65" t="n"/>
      <c r="VZP157" s="65" t="n"/>
      <c r="VZQ157" s="65" t="n"/>
      <c r="VZR157" s="65" t="n"/>
      <c r="VZS157" s="65" t="n"/>
      <c r="VZT157" s="65" t="n"/>
      <c r="VZU157" s="65" t="n"/>
      <c r="VZV157" s="65" t="n"/>
      <c r="VZW157" s="65" t="n"/>
      <c r="VZX157" s="65" t="n"/>
      <c r="VZY157" s="65" t="n"/>
      <c r="VZZ157" s="65" t="n"/>
      <c r="WAA157" s="65" t="n"/>
      <c r="WAB157" s="65" t="n"/>
      <c r="WAC157" s="65" t="n"/>
      <c r="WAD157" s="65" t="n"/>
      <c r="WAE157" s="65" t="n"/>
      <c r="WAF157" s="65" t="n"/>
      <c r="WAG157" s="65" t="n"/>
      <c r="WAH157" s="65" t="n"/>
      <c r="WAI157" s="65" t="n"/>
      <c r="WAJ157" s="65" t="n"/>
      <c r="WAK157" s="65" t="n"/>
      <c r="WAL157" s="65" t="n"/>
      <c r="WAM157" s="65" t="n"/>
      <c r="WAN157" s="65" t="n"/>
      <c r="WAO157" s="65" t="n"/>
      <c r="WAP157" s="65" t="n"/>
      <c r="WAQ157" s="65" t="n"/>
      <c r="WAR157" s="65" t="n"/>
      <c r="WAS157" s="65" t="n"/>
      <c r="WAT157" s="65" t="n"/>
      <c r="WAU157" s="65" t="n"/>
      <c r="WAV157" s="65" t="n"/>
      <c r="WAW157" s="65" t="n"/>
      <c r="WAX157" s="65" t="n"/>
      <c r="WAY157" s="65" t="n"/>
      <c r="WAZ157" s="65" t="n"/>
      <c r="WBA157" s="65" t="n"/>
      <c r="WBB157" s="65" t="n"/>
      <c r="WBC157" s="65" t="n"/>
      <c r="WBD157" s="65" t="n"/>
      <c r="WBE157" s="65" t="n"/>
      <c r="WBF157" s="65" t="n"/>
      <c r="WBG157" s="65" t="n"/>
      <c r="WBH157" s="65" t="n"/>
      <c r="WBI157" s="65" t="n"/>
      <c r="WBJ157" s="65" t="n"/>
      <c r="WBK157" s="65" t="n"/>
      <c r="WBL157" s="65" t="n"/>
      <c r="WBM157" s="65" t="n"/>
      <c r="WBN157" s="65" t="n"/>
      <c r="WBO157" s="65" t="n"/>
      <c r="WBP157" s="65" t="n"/>
      <c r="WBQ157" s="65" t="n"/>
      <c r="WBR157" s="65" t="n"/>
      <c r="WBS157" s="65" t="n"/>
      <c r="WBT157" s="65" t="n"/>
      <c r="WBU157" s="65" t="n"/>
      <c r="WBV157" s="65" t="n"/>
      <c r="WBW157" s="65" t="n"/>
      <c r="WBX157" s="65" t="n"/>
      <c r="WBY157" s="65" t="n"/>
      <c r="WBZ157" s="65" t="n"/>
      <c r="WCA157" s="65" t="n"/>
      <c r="WCB157" s="65" t="n"/>
      <c r="WCC157" s="65" t="n"/>
      <c r="WCD157" s="65" t="n"/>
      <c r="WCE157" s="65" t="n"/>
      <c r="WCF157" s="65" t="n"/>
      <c r="WCG157" s="65" t="n"/>
      <c r="WCH157" s="65" t="n"/>
      <c r="WCI157" s="65" t="n"/>
      <c r="WCJ157" s="65" t="n"/>
      <c r="WCK157" s="65" t="n"/>
      <c r="WCL157" s="65" t="n"/>
      <c r="WCM157" s="65" t="n"/>
      <c r="WCN157" s="65" t="n"/>
      <c r="WCO157" s="65" t="n"/>
      <c r="WCP157" s="65" t="n"/>
      <c r="WCQ157" s="65" t="n"/>
      <c r="WCR157" s="65" t="n"/>
      <c r="WCS157" s="65" t="n"/>
      <c r="WCT157" s="65" t="n"/>
      <c r="WCU157" s="65" t="n"/>
      <c r="WCV157" s="65" t="n"/>
      <c r="WCW157" s="65" t="n"/>
      <c r="WCX157" s="65" t="n"/>
      <c r="WCY157" s="65" t="n"/>
      <c r="WCZ157" s="65" t="n"/>
      <c r="WDA157" s="65" t="n"/>
      <c r="WDB157" s="65" t="n"/>
      <c r="WDC157" s="65" t="n"/>
      <c r="WDD157" s="65" t="n"/>
      <c r="WDE157" s="65" t="n"/>
      <c r="WDF157" s="65" t="n"/>
      <c r="WDG157" s="65" t="n"/>
      <c r="WDH157" s="65" t="n"/>
      <c r="WDI157" s="65" t="n"/>
      <c r="WDJ157" s="65" t="n"/>
      <c r="WDK157" s="65" t="n"/>
      <c r="WDL157" s="65" t="n"/>
      <c r="WDM157" s="65" t="n"/>
      <c r="WDN157" s="65" t="n"/>
      <c r="WDO157" s="65" t="n"/>
      <c r="WDP157" s="65" t="n"/>
      <c r="WDQ157" s="65" t="n"/>
      <c r="WDR157" s="65" t="n"/>
      <c r="WDS157" s="65" t="n"/>
      <c r="WDT157" s="65" t="n"/>
      <c r="WDU157" s="65" t="n"/>
      <c r="WDV157" s="65" t="n"/>
      <c r="WDW157" s="65" t="n"/>
      <c r="WDX157" s="65" t="n"/>
      <c r="WDY157" s="65" t="n"/>
      <c r="WDZ157" s="65" t="n"/>
      <c r="WEA157" s="65" t="n"/>
      <c r="WEB157" s="65" t="n"/>
      <c r="WEC157" s="65" t="n"/>
      <c r="WED157" s="65" t="n"/>
      <c r="WEE157" s="65" t="n"/>
      <c r="WEF157" s="65" t="n"/>
      <c r="WEG157" s="65" t="n"/>
      <c r="WEH157" s="65" t="n"/>
      <c r="WEI157" s="65" t="n"/>
      <c r="WEJ157" s="65" t="n"/>
      <c r="WEK157" s="65" t="n"/>
      <c r="WEL157" s="65" t="n"/>
      <c r="WEM157" s="65" t="n"/>
      <c r="WEN157" s="65" t="n"/>
      <c r="WEO157" s="65" t="n"/>
      <c r="WEP157" s="65" t="n"/>
      <c r="WEQ157" s="65" t="n"/>
      <c r="WER157" s="65" t="n"/>
      <c r="WES157" s="65" t="n"/>
      <c r="WET157" s="65" t="n"/>
      <c r="WEU157" s="65" t="n"/>
      <c r="WEV157" s="65" t="n"/>
      <c r="WEW157" s="65" t="n"/>
      <c r="WEX157" s="65" t="n"/>
      <c r="WEY157" s="65" t="n"/>
      <c r="WEZ157" s="65" t="n"/>
      <c r="WFA157" s="65" t="n"/>
      <c r="WFB157" s="65" t="n"/>
      <c r="WFC157" s="65" t="n"/>
      <c r="WFD157" s="65" t="n"/>
      <c r="WFE157" s="65" t="n"/>
      <c r="WFF157" s="65" t="n"/>
      <c r="WFG157" s="65" t="n"/>
      <c r="WFH157" s="65" t="n"/>
      <c r="WFI157" s="65" t="n"/>
      <c r="WFJ157" s="65" t="n"/>
      <c r="WFK157" s="65" t="n"/>
      <c r="WFL157" s="65" t="n"/>
      <c r="WFM157" s="65" t="n"/>
      <c r="WFN157" s="65" t="n"/>
      <c r="WFO157" s="65" t="n"/>
      <c r="WFP157" s="65" t="n"/>
      <c r="WFQ157" s="65" t="n"/>
      <c r="WFR157" s="65" t="n"/>
      <c r="WFS157" s="65" t="n"/>
      <c r="WFT157" s="65" t="n"/>
      <c r="WFU157" s="65" t="n"/>
      <c r="WFV157" s="65" t="n"/>
      <c r="WFW157" s="65" t="n"/>
      <c r="WFX157" s="65" t="n"/>
      <c r="WFY157" s="65" t="n"/>
      <c r="WFZ157" s="65" t="n"/>
      <c r="WGA157" s="65" t="n"/>
      <c r="WGB157" s="65" t="n"/>
      <c r="WGC157" s="65" t="n"/>
      <c r="WGD157" s="65" t="n"/>
      <c r="WGE157" s="65" t="n"/>
      <c r="WGF157" s="65" t="n"/>
      <c r="WGG157" s="65" t="n"/>
      <c r="WGH157" s="65" t="n"/>
      <c r="WGI157" s="65" t="n"/>
      <c r="WGJ157" s="65" t="n"/>
      <c r="WGK157" s="65" t="n"/>
      <c r="WGL157" s="65" t="n"/>
      <c r="WGM157" s="65" t="n"/>
      <c r="WGN157" s="65" t="n"/>
      <c r="WGO157" s="65" t="n"/>
      <c r="WGP157" s="65" t="n"/>
      <c r="WGQ157" s="65" t="n"/>
      <c r="WGR157" s="65" t="n"/>
      <c r="WGS157" s="65" t="n"/>
      <c r="WGT157" s="65" t="n"/>
      <c r="WGU157" s="65" t="n"/>
      <c r="WGV157" s="65" t="n"/>
      <c r="WGW157" s="65" t="n"/>
      <c r="WGX157" s="65" t="n"/>
      <c r="WGY157" s="65" t="n"/>
      <c r="WGZ157" s="65" t="n"/>
      <c r="WHA157" s="65" t="n"/>
      <c r="WHB157" s="65" t="n"/>
      <c r="WHC157" s="65" t="n"/>
      <c r="WHD157" s="65" t="n"/>
      <c r="WHE157" s="65" t="n"/>
      <c r="WHF157" s="65" t="n"/>
      <c r="WHG157" s="65" t="n"/>
      <c r="WHH157" s="65" t="n"/>
      <c r="WHI157" s="65" t="n"/>
      <c r="WHJ157" s="65" t="n"/>
      <c r="WHK157" s="65" t="n"/>
      <c r="WHL157" s="65" t="n"/>
      <c r="WHM157" s="65" t="n"/>
      <c r="WHN157" s="65" t="n"/>
      <c r="WHO157" s="65" t="n"/>
      <c r="WHP157" s="65" t="n"/>
      <c r="WHQ157" s="65" t="n"/>
      <c r="WHR157" s="65" t="n"/>
      <c r="WHS157" s="65" t="n"/>
      <c r="WHT157" s="65" t="n"/>
      <c r="WHU157" s="65" t="n"/>
      <c r="WHV157" s="65" t="n"/>
      <c r="WHW157" s="65" t="n"/>
      <c r="WHX157" s="65" t="n"/>
      <c r="WHY157" s="65" t="n"/>
      <c r="WHZ157" s="65" t="n"/>
      <c r="WIA157" s="65" t="n"/>
      <c r="WIB157" s="65" t="n"/>
      <c r="WIC157" s="65" t="n"/>
      <c r="WID157" s="65" t="n"/>
      <c r="WIE157" s="65" t="n"/>
      <c r="WIF157" s="65" t="n"/>
      <c r="WIG157" s="65" t="n"/>
      <c r="WIH157" s="65" t="n"/>
      <c r="WII157" s="65" t="n"/>
      <c r="WIJ157" s="65" t="n"/>
      <c r="WIK157" s="65" t="n"/>
      <c r="WIL157" s="65" t="n"/>
      <c r="WIM157" s="65" t="n"/>
      <c r="WIN157" s="65" t="n"/>
      <c r="WIO157" s="65" t="n"/>
      <c r="WIP157" s="65" t="n"/>
      <c r="WIQ157" s="65" t="n"/>
      <c r="WIR157" s="65" t="n"/>
      <c r="WIS157" s="65" t="n"/>
      <c r="WIT157" s="65" t="n"/>
      <c r="WIU157" s="65" t="n"/>
      <c r="WIV157" s="65" t="n"/>
      <c r="WIW157" s="65" t="n"/>
      <c r="WIX157" s="65" t="n"/>
      <c r="WIY157" s="65" t="n"/>
      <c r="WIZ157" s="65" t="n"/>
      <c r="WJA157" s="65" t="n"/>
      <c r="WJB157" s="65" t="n"/>
      <c r="WJC157" s="65" t="n"/>
      <c r="WJD157" s="65" t="n"/>
      <c r="WJE157" s="65" t="n"/>
      <c r="WJF157" s="65" t="n"/>
      <c r="WJG157" s="65" t="n"/>
      <c r="WJH157" s="65" t="n"/>
      <c r="WJI157" s="65" t="n"/>
      <c r="WJJ157" s="65" t="n"/>
      <c r="WJK157" s="65" t="n"/>
      <c r="WJL157" s="65" t="n"/>
      <c r="WJM157" s="65" t="n"/>
      <c r="WJN157" s="65" t="n"/>
      <c r="WJO157" s="65" t="n"/>
      <c r="WJP157" s="65" t="n"/>
      <c r="WJQ157" s="65" t="n"/>
      <c r="WJR157" s="65" t="n"/>
      <c r="WJS157" s="65" t="n"/>
      <c r="WJT157" s="65" t="n"/>
      <c r="WJU157" s="65" t="n"/>
      <c r="WJV157" s="65" t="n"/>
      <c r="WJW157" s="65" t="n"/>
      <c r="WJX157" s="65" t="n"/>
      <c r="WJY157" s="65" t="n"/>
      <c r="WJZ157" s="65" t="n"/>
      <c r="WKA157" s="65" t="n"/>
      <c r="WKB157" s="65" t="n"/>
      <c r="WKC157" s="65" t="n"/>
      <c r="WKD157" s="65" t="n"/>
      <c r="WKE157" s="65" t="n"/>
      <c r="WKF157" s="65" t="n"/>
      <c r="WKG157" s="65" t="n"/>
      <c r="WKH157" s="65" t="n"/>
      <c r="WKI157" s="65" t="n"/>
      <c r="WKJ157" s="65" t="n"/>
      <c r="WKK157" s="65" t="n"/>
      <c r="WKL157" s="65" t="n"/>
      <c r="WKM157" s="65" t="n"/>
      <c r="WKN157" s="65" t="n"/>
      <c r="WKO157" s="65" t="n"/>
      <c r="WKP157" s="65" t="n"/>
      <c r="WKQ157" s="65" t="n"/>
      <c r="WKR157" s="65" t="n"/>
      <c r="WKS157" s="65" t="n"/>
      <c r="WKT157" s="65" t="n"/>
      <c r="WKU157" s="65" t="n"/>
      <c r="WKV157" s="65" t="n"/>
      <c r="WKW157" s="65" t="n"/>
      <c r="WKX157" s="65" t="n"/>
      <c r="WKY157" s="65" t="n"/>
      <c r="WKZ157" s="65" t="n"/>
      <c r="WLA157" s="65" t="n"/>
      <c r="WLB157" s="65" t="n"/>
      <c r="WLC157" s="65" t="n"/>
      <c r="WLD157" s="65" t="n"/>
      <c r="WLE157" s="65" t="n"/>
      <c r="WLF157" s="65" t="n"/>
      <c r="WLG157" s="65" t="n"/>
      <c r="WLH157" s="65" t="n"/>
      <c r="WLI157" s="65" t="n"/>
      <c r="WLJ157" s="65" t="n"/>
      <c r="WLK157" s="65" t="n"/>
      <c r="WLL157" s="65" t="n"/>
      <c r="WLM157" s="65" t="n"/>
      <c r="WLN157" s="65" t="n"/>
      <c r="WLO157" s="65" t="n"/>
      <c r="WLP157" s="65" t="n"/>
      <c r="WLQ157" s="65" t="n"/>
      <c r="WLR157" s="65" t="n"/>
      <c r="WLS157" s="65" t="n"/>
      <c r="WLT157" s="65" t="n"/>
      <c r="WLU157" s="65" t="n"/>
      <c r="WLV157" s="65" t="n"/>
      <c r="WLW157" s="65" t="n"/>
      <c r="WLX157" s="65" t="n"/>
      <c r="WLY157" s="65" t="n"/>
      <c r="WLZ157" s="65" t="n"/>
      <c r="WMA157" s="65" t="n"/>
      <c r="WMB157" s="65" t="n"/>
      <c r="WMC157" s="65" t="n"/>
      <c r="WMD157" s="65" t="n"/>
      <c r="WME157" s="65" t="n"/>
      <c r="WMF157" s="65" t="n"/>
      <c r="WMG157" s="65" t="n"/>
      <c r="WMH157" s="65" t="n"/>
      <c r="WMI157" s="65" t="n"/>
      <c r="WMJ157" s="65" t="n"/>
      <c r="WMK157" s="65" t="n"/>
      <c r="WML157" s="65" t="n"/>
      <c r="WMM157" s="65" t="n"/>
      <c r="WMN157" s="65" t="n"/>
      <c r="WMO157" s="65" t="n"/>
      <c r="WMP157" s="65" t="n"/>
      <c r="WMQ157" s="65" t="n"/>
      <c r="WMR157" s="65" t="n"/>
      <c r="WMS157" s="65" t="n"/>
      <c r="WMT157" s="65" t="n"/>
      <c r="WMU157" s="65" t="n"/>
      <c r="WMV157" s="65" t="n"/>
      <c r="WMW157" s="65" t="n"/>
      <c r="WMX157" s="65" t="n"/>
      <c r="WMY157" s="65" t="n"/>
      <c r="WMZ157" s="65" t="n"/>
      <c r="WNA157" s="65" t="n"/>
      <c r="WNB157" s="65" t="n"/>
      <c r="WNC157" s="65" t="n"/>
      <c r="WND157" s="65" t="n"/>
      <c r="WNE157" s="65" t="n"/>
      <c r="WNF157" s="65" t="n"/>
      <c r="WNG157" s="65" t="n"/>
      <c r="WNH157" s="65" t="n"/>
      <c r="WNI157" s="65" t="n"/>
      <c r="WNJ157" s="65" t="n"/>
      <c r="WNK157" s="65" t="n"/>
      <c r="WNL157" s="65" t="n"/>
      <c r="WNM157" s="65" t="n"/>
      <c r="WNN157" s="65" t="n"/>
      <c r="WNO157" s="65" t="n"/>
      <c r="WNP157" s="65" t="n"/>
      <c r="WNQ157" s="65" t="n"/>
      <c r="WNR157" s="65" t="n"/>
      <c r="WNS157" s="65" t="n"/>
      <c r="WNT157" s="65" t="n"/>
      <c r="WNU157" s="65" t="n"/>
      <c r="WNV157" s="65" t="n"/>
      <c r="WNW157" s="65" t="n"/>
      <c r="WNX157" s="65" t="n"/>
      <c r="WNY157" s="65" t="n"/>
      <c r="WNZ157" s="65" t="n"/>
      <c r="WOA157" s="65" t="n"/>
      <c r="WOB157" s="65" t="n"/>
      <c r="WOC157" s="65" t="n"/>
      <c r="WOD157" s="65" t="n"/>
      <c r="WOE157" s="65" t="n"/>
      <c r="WOF157" s="65" t="n"/>
      <c r="WOG157" s="65" t="n"/>
      <c r="WOH157" s="65" t="n"/>
      <c r="WOI157" s="65" t="n"/>
      <c r="WOJ157" s="65" t="n"/>
      <c r="WOK157" s="65" t="n"/>
      <c r="WOL157" s="65" t="n"/>
      <c r="WOM157" s="65" t="n"/>
      <c r="WON157" s="65" t="n"/>
      <c r="WOO157" s="65" t="n"/>
      <c r="WOP157" s="65" t="n"/>
      <c r="WOQ157" s="65" t="n"/>
      <c r="WOR157" s="65" t="n"/>
      <c r="WOS157" s="65" t="n"/>
      <c r="WOT157" s="65" t="n"/>
      <c r="WOU157" s="65" t="n"/>
      <c r="WOV157" s="65" t="n"/>
      <c r="WOW157" s="65" t="n"/>
      <c r="WOX157" s="65" t="n"/>
      <c r="WOY157" s="65" t="n"/>
      <c r="WOZ157" s="65" t="n"/>
      <c r="WPA157" s="65" t="n"/>
      <c r="WPB157" s="65" t="n"/>
      <c r="WPC157" s="65" t="n"/>
      <c r="WPD157" s="65" t="n"/>
      <c r="WPE157" s="65" t="n"/>
      <c r="WPF157" s="65" t="n"/>
      <c r="WPG157" s="65" t="n"/>
      <c r="WPH157" s="65" t="n"/>
      <c r="WPI157" s="65" t="n"/>
      <c r="WPJ157" s="65" t="n"/>
      <c r="WPK157" s="65" t="n"/>
      <c r="WPL157" s="65" t="n"/>
      <c r="WPM157" s="65" t="n"/>
      <c r="WPN157" s="65" t="n"/>
      <c r="WPO157" s="65" t="n"/>
      <c r="WPP157" s="65" t="n"/>
      <c r="WPQ157" s="65" t="n"/>
      <c r="WPR157" s="65" t="n"/>
      <c r="WPS157" s="65" t="n"/>
      <c r="WPT157" s="65" t="n"/>
      <c r="WPU157" s="65" t="n"/>
      <c r="WPV157" s="65" t="n"/>
      <c r="WPW157" s="65" t="n"/>
      <c r="WPX157" s="65" t="n"/>
      <c r="WPY157" s="65" t="n"/>
      <c r="WPZ157" s="65" t="n"/>
      <c r="WQA157" s="65" t="n"/>
      <c r="WQB157" s="65" t="n"/>
      <c r="WQC157" s="65" t="n"/>
      <c r="WQD157" s="65" t="n"/>
      <c r="WQE157" s="65" t="n"/>
      <c r="WQF157" s="65" t="n"/>
      <c r="WQG157" s="65" t="n"/>
      <c r="WQH157" s="65" t="n"/>
      <c r="WQI157" s="65" t="n"/>
      <c r="WQJ157" s="65" t="n"/>
      <c r="WQK157" s="65" t="n"/>
      <c r="WQL157" s="65" t="n"/>
      <c r="WQM157" s="65" t="n"/>
      <c r="WQN157" s="65" t="n"/>
      <c r="WQO157" s="65" t="n"/>
      <c r="WQP157" s="65" t="n"/>
      <c r="WQQ157" s="65" t="n"/>
      <c r="WQR157" s="65" t="n"/>
      <c r="WQS157" s="65" t="n"/>
      <c r="WQT157" s="65" t="n"/>
      <c r="WQU157" s="65" t="n"/>
      <c r="WQV157" s="65" t="n"/>
      <c r="WQW157" s="65" t="n"/>
      <c r="WQX157" s="65" t="n"/>
      <c r="WQY157" s="65" t="n"/>
      <c r="WQZ157" s="65" t="n"/>
      <c r="WRA157" s="65" t="n"/>
      <c r="WRB157" s="65" t="n"/>
      <c r="WRC157" s="65" t="n"/>
      <c r="WRD157" s="65" t="n"/>
      <c r="WRE157" s="65" t="n"/>
      <c r="WRF157" s="65" t="n"/>
      <c r="WRG157" s="65" t="n"/>
      <c r="WRH157" s="65" t="n"/>
      <c r="WRI157" s="65" t="n"/>
      <c r="WRJ157" s="65" t="n"/>
      <c r="WRK157" s="65" t="n"/>
      <c r="WRL157" s="65" t="n"/>
      <c r="WRM157" s="65" t="n"/>
      <c r="WRN157" s="65" t="n"/>
      <c r="WRO157" s="65" t="n"/>
      <c r="WRP157" s="65" t="n"/>
      <c r="WRQ157" s="65" t="n"/>
      <c r="WRR157" s="65" t="n"/>
      <c r="WRS157" s="65" t="n"/>
      <c r="WRT157" s="65" t="n"/>
      <c r="WRU157" s="65" t="n"/>
      <c r="WRV157" s="65" t="n"/>
      <c r="WRW157" s="65" t="n"/>
      <c r="WRX157" s="65" t="n"/>
      <c r="WRY157" s="65" t="n"/>
      <c r="WRZ157" s="65" t="n"/>
      <c r="WSA157" s="65" t="n"/>
      <c r="WSB157" s="65" t="n"/>
      <c r="WSC157" s="65" t="n"/>
      <c r="WSD157" s="65" t="n"/>
      <c r="WSE157" s="65" t="n"/>
      <c r="WSF157" s="65" t="n"/>
      <c r="WSG157" s="65" t="n"/>
      <c r="WSH157" s="65" t="n"/>
      <c r="WSI157" s="65" t="n"/>
      <c r="WSJ157" s="65" t="n"/>
      <c r="WSK157" s="65" t="n"/>
      <c r="WSL157" s="65" t="n"/>
      <c r="WSM157" s="65" t="n"/>
      <c r="WSN157" s="65" t="n"/>
      <c r="WSO157" s="65" t="n"/>
      <c r="WSP157" s="65" t="n"/>
      <c r="WSQ157" s="65" t="n"/>
      <c r="WSR157" s="65" t="n"/>
      <c r="WSS157" s="65" t="n"/>
      <c r="WST157" s="65" t="n"/>
      <c r="WSU157" s="65" t="n"/>
      <c r="WSV157" s="65" t="n"/>
      <c r="WSW157" s="65" t="n"/>
      <c r="WSX157" s="65" t="n"/>
      <c r="WSY157" s="65" t="n"/>
      <c r="WSZ157" s="65" t="n"/>
      <c r="WTA157" s="65" t="n"/>
      <c r="WTB157" s="65" t="n"/>
      <c r="WTC157" s="65" t="n"/>
      <c r="WTD157" s="65" t="n"/>
      <c r="WTE157" s="65" t="n"/>
      <c r="WTF157" s="65" t="n"/>
      <c r="WTG157" s="65" t="n"/>
      <c r="WTH157" s="65" t="n"/>
      <c r="WTI157" s="65" t="n"/>
      <c r="WTJ157" s="65" t="n"/>
      <c r="WTK157" s="65" t="n"/>
      <c r="WTL157" s="65" t="n"/>
      <c r="WTM157" s="65" t="n"/>
      <c r="WTN157" s="65" t="n"/>
      <c r="WTO157" s="65" t="n"/>
      <c r="WTP157" s="65" t="n"/>
      <c r="WTQ157" s="65" t="n"/>
      <c r="WTR157" s="65" t="n"/>
      <c r="WTS157" s="65" t="n"/>
      <c r="WTT157" s="65" t="n"/>
      <c r="WTU157" s="65" t="n"/>
      <c r="WTV157" s="65" t="n"/>
      <c r="WTW157" s="65" t="n"/>
      <c r="WTX157" s="65" t="n"/>
      <c r="WTY157" s="65" t="n"/>
      <c r="WTZ157" s="65" t="n"/>
      <c r="WUA157" s="65" t="n"/>
      <c r="WUB157" s="65" t="n"/>
      <c r="WUC157" s="65" t="n"/>
      <c r="WUD157" s="65" t="n"/>
      <c r="WUE157" s="65" t="n"/>
      <c r="WUF157" s="65" t="n"/>
      <c r="WUG157" s="65" t="n"/>
      <c r="WUH157" s="65" t="n"/>
      <c r="WUI157" s="65" t="n"/>
      <c r="WUJ157" s="65" t="n"/>
      <c r="WUK157" s="65" t="n"/>
      <c r="WUL157" s="65" t="n"/>
      <c r="WUM157" s="65" t="n"/>
      <c r="WUN157" s="65" t="n"/>
      <c r="WUO157" s="65" t="n"/>
      <c r="WUP157" s="65" t="n"/>
      <c r="WUQ157" s="65" t="n"/>
      <c r="WUR157" s="65" t="n"/>
      <c r="WUS157" s="65" t="n"/>
      <c r="WUT157" s="65" t="n"/>
      <c r="WUU157" s="65" t="n"/>
      <c r="WUV157" s="65" t="n"/>
      <c r="WUW157" s="65" t="n"/>
      <c r="WUX157" s="65" t="n"/>
      <c r="WUY157" s="65" t="n"/>
      <c r="WUZ157" s="65" t="n"/>
      <c r="WVA157" s="65" t="n"/>
      <c r="WVB157" s="65" t="n"/>
      <c r="WVC157" s="65" t="n"/>
      <c r="WVD157" s="65" t="n"/>
      <c r="WVE157" s="65" t="n"/>
      <c r="WVF157" s="65" t="n"/>
      <c r="WVG157" s="65" t="n"/>
      <c r="WVH157" s="65" t="n"/>
      <c r="WVI157" s="65" t="n"/>
      <c r="WVJ157" s="65" t="n"/>
      <c r="WVK157" s="65" t="n"/>
      <c r="WVL157" s="65" t="n"/>
      <c r="WVM157" s="65" t="n"/>
      <c r="WVN157" s="65" t="n"/>
      <c r="WVO157" s="65" t="n"/>
      <c r="WVP157" s="65" t="n"/>
      <c r="WVQ157" s="65" t="n"/>
      <c r="WVR157" s="65" t="n"/>
      <c r="WVS157" s="65" t="n"/>
      <c r="WVT157" s="65" t="n"/>
      <c r="WVU157" s="65" t="n"/>
      <c r="WVV157" s="65" t="n"/>
      <c r="WVW157" s="65" t="n"/>
      <c r="WVX157" s="65" t="n"/>
      <c r="WVY157" s="65" t="n"/>
      <c r="WVZ157" s="65" t="n"/>
      <c r="WWA157" s="65" t="n"/>
      <c r="WWB157" s="65" t="n"/>
      <c r="WWC157" s="65" t="n"/>
      <c r="WWD157" s="65" t="n"/>
      <c r="WWE157" s="65" t="n"/>
      <c r="WWF157" s="65" t="n"/>
      <c r="WWG157" s="65" t="n"/>
      <c r="WWH157" s="65" t="n"/>
      <c r="WWI157" s="65" t="n"/>
      <c r="WWJ157" s="65" t="n"/>
      <c r="WWK157" s="65" t="n"/>
      <c r="WWL157" s="65" t="n"/>
      <c r="WWM157" s="65" t="n"/>
      <c r="WWN157" s="65" t="n"/>
      <c r="WWO157" s="65" t="n"/>
      <c r="WWP157" s="65" t="n"/>
      <c r="WWQ157" s="65" t="n"/>
      <c r="WWR157" s="65" t="n"/>
      <c r="WWS157" s="65" t="n"/>
      <c r="WWT157" s="65" t="n"/>
      <c r="WWU157" s="65" t="n"/>
      <c r="WWV157" s="65" t="n"/>
      <c r="WWW157" s="65" t="n"/>
      <c r="WWX157" s="65" t="n"/>
      <c r="WWY157" s="65" t="n"/>
      <c r="WWZ157" s="65" t="n"/>
      <c r="WXA157" s="65" t="n"/>
      <c r="WXB157" s="65" t="n"/>
      <c r="WXC157" s="65" t="n"/>
      <c r="WXD157" s="65" t="n"/>
      <c r="WXE157" s="65" t="n"/>
      <c r="WXF157" s="65" t="n"/>
      <c r="WXG157" s="65" t="n"/>
      <c r="WXH157" s="65" t="n"/>
      <c r="WXI157" s="65" t="n"/>
      <c r="WXJ157" s="65" t="n"/>
      <c r="WXK157" s="65" t="n"/>
      <c r="WXL157" s="65" t="n"/>
      <c r="WXM157" s="65" t="n"/>
      <c r="WXN157" s="65" t="n"/>
      <c r="WXO157" s="65" t="n"/>
      <c r="WXP157" s="65" t="n"/>
      <c r="WXQ157" s="65" t="n"/>
      <c r="WXR157" s="65" t="n"/>
      <c r="WXS157" s="65" t="n"/>
      <c r="WXT157" s="65" t="n"/>
      <c r="WXU157" s="65" t="n"/>
      <c r="WXV157" s="65" t="n"/>
      <c r="WXW157" s="65" t="n"/>
      <c r="WXX157" s="65" t="n"/>
      <c r="WXY157" s="65" t="n"/>
      <c r="WXZ157" s="65" t="n"/>
      <c r="WYA157" s="65" t="n"/>
      <c r="WYB157" s="65" t="n"/>
      <c r="WYC157" s="65" t="n"/>
      <c r="WYD157" s="65" t="n"/>
      <c r="WYE157" s="65" t="n"/>
      <c r="WYF157" s="65" t="n"/>
      <c r="WYG157" s="65" t="n"/>
      <c r="WYH157" s="65" t="n"/>
      <c r="WYI157" s="65" t="n"/>
      <c r="WYJ157" s="65" t="n"/>
      <c r="WYK157" s="65" t="n"/>
      <c r="WYL157" s="65" t="n"/>
      <c r="WYM157" s="65" t="n"/>
      <c r="WYN157" s="65" t="n"/>
      <c r="WYO157" s="65" t="n"/>
      <c r="WYP157" s="65" t="n"/>
      <c r="WYQ157" s="65" t="n"/>
      <c r="WYR157" s="65" t="n"/>
      <c r="WYS157" s="65" t="n"/>
      <c r="WYT157" s="65" t="n"/>
      <c r="WYU157" s="65" t="n"/>
      <c r="WYV157" s="65" t="n"/>
      <c r="WYW157" s="65" t="n"/>
      <c r="WYX157" s="65" t="n"/>
      <c r="WYY157" s="65" t="n"/>
      <c r="WYZ157" s="65" t="n"/>
      <c r="WZA157" s="65" t="n"/>
      <c r="WZB157" s="65" t="n"/>
      <c r="WZC157" s="65" t="n"/>
      <c r="WZD157" s="65" t="n"/>
      <c r="WZE157" s="65" t="n"/>
      <c r="WZF157" s="65" t="n"/>
      <c r="WZG157" s="65" t="n"/>
      <c r="WZH157" s="65" t="n"/>
      <c r="WZI157" s="65" t="n"/>
      <c r="WZJ157" s="65" t="n"/>
      <c r="WZK157" s="65" t="n"/>
      <c r="WZL157" s="65" t="n"/>
      <c r="WZM157" s="65" t="n"/>
      <c r="WZN157" s="65" t="n"/>
      <c r="WZO157" s="65" t="n"/>
      <c r="WZP157" s="65" t="n"/>
      <c r="WZQ157" s="65" t="n"/>
      <c r="WZR157" s="65" t="n"/>
      <c r="WZS157" s="65" t="n"/>
      <c r="WZT157" s="65" t="n"/>
      <c r="WZU157" s="65" t="n"/>
      <c r="WZV157" s="65" t="n"/>
      <c r="WZW157" s="65" t="n"/>
      <c r="WZX157" s="65" t="n"/>
      <c r="WZY157" s="65" t="n"/>
      <c r="WZZ157" s="65" t="n"/>
      <c r="XAA157" s="65" t="n"/>
      <c r="XAB157" s="65" t="n"/>
      <c r="XAC157" s="65" t="n"/>
      <c r="XAD157" s="65" t="n"/>
      <c r="XAE157" s="65" t="n"/>
      <c r="XAF157" s="65" t="n"/>
      <c r="XAG157" s="65" t="n"/>
      <c r="XAH157" s="65" t="n"/>
      <c r="XAI157" s="65" t="n"/>
      <c r="XAJ157" s="65" t="n"/>
      <c r="XAK157" s="65" t="n"/>
      <c r="XAL157" s="65" t="n"/>
      <c r="XAM157" s="65" t="n"/>
      <c r="XAN157" s="65" t="n"/>
      <c r="XAO157" s="65" t="n"/>
      <c r="XAP157" s="65" t="n"/>
      <c r="XAQ157" s="65" t="n"/>
      <c r="XAR157" s="65" t="n"/>
      <c r="XAS157" s="65" t="n"/>
      <c r="XAT157" s="65" t="n"/>
      <c r="XAU157" s="65" t="n"/>
      <c r="XAV157" s="65" t="n"/>
      <c r="XAW157" s="65" t="n"/>
      <c r="XAX157" s="65" t="n"/>
      <c r="XAY157" s="65" t="n"/>
      <c r="XAZ157" s="65" t="n"/>
      <c r="XBA157" s="65" t="n"/>
      <c r="XBB157" s="65" t="n"/>
      <c r="XBC157" s="65" t="n"/>
      <c r="XBD157" s="65" t="n"/>
      <c r="XBE157" s="65" t="n"/>
      <c r="XBF157" s="65" t="n"/>
      <c r="XBG157" s="65" t="n"/>
      <c r="XBH157" s="65" t="n"/>
      <c r="XBI157" s="65" t="n"/>
      <c r="XBJ157" s="65" t="n"/>
      <c r="XBK157" s="65" t="n"/>
      <c r="XBL157" s="65" t="n"/>
      <c r="XBM157" s="65" t="n"/>
      <c r="XBN157" s="65" t="n"/>
      <c r="XBO157" s="65" t="n"/>
      <c r="XBP157" s="65" t="n"/>
      <c r="XBQ157" s="65" t="n"/>
      <c r="XBR157" s="65" t="n"/>
      <c r="XBS157" s="65" t="n"/>
      <c r="XBT157" s="65" t="n"/>
      <c r="XBU157" s="65" t="n"/>
      <c r="XBV157" s="65" t="n"/>
      <c r="XBW157" s="65" t="n"/>
      <c r="XBX157" s="65" t="n"/>
      <c r="XBY157" s="65" t="n"/>
      <c r="XBZ157" s="65" t="n"/>
      <c r="XCA157" s="65" t="n"/>
      <c r="XCB157" s="65" t="n"/>
      <c r="XCC157" s="65" t="n"/>
      <c r="XCD157" s="65" t="n"/>
      <c r="XCE157" s="65" t="n"/>
      <c r="XCF157" s="65" t="n"/>
      <c r="XCG157" s="65" t="n"/>
      <c r="XCH157" s="65" t="n"/>
      <c r="XCI157" s="65" t="n"/>
      <c r="XCJ157" s="65" t="n"/>
      <c r="XCK157" s="65" t="n"/>
      <c r="XCL157" s="65" t="n"/>
      <c r="XCM157" s="65" t="n"/>
      <c r="XCN157" s="65" t="n"/>
      <c r="XCO157" s="65" t="n"/>
      <c r="XCP157" s="65" t="n"/>
      <c r="XCQ157" s="65" t="n"/>
      <c r="XCR157" s="65" t="n"/>
      <c r="XCS157" s="65" t="n"/>
      <c r="XCT157" s="65" t="n"/>
      <c r="XCU157" s="65" t="n"/>
      <c r="XCV157" s="65" t="n"/>
      <c r="XCW157" s="65" t="n"/>
      <c r="XCX157" s="65" t="n"/>
      <c r="XCY157" s="65" t="n"/>
      <c r="XCZ157" s="65" t="n"/>
      <c r="XDA157" s="65" t="n"/>
      <c r="XDB157" s="65" t="n"/>
      <c r="XDC157" s="65" t="n"/>
      <c r="XDD157" s="65" t="n"/>
      <c r="XDE157" s="65" t="n"/>
      <c r="XDF157" s="65" t="n"/>
      <c r="XDG157" s="65" t="n"/>
      <c r="XDH157" s="65" t="n"/>
      <c r="XDI157" s="65" t="n"/>
      <c r="XDJ157" s="65" t="n"/>
      <c r="XDK157" s="65" t="n"/>
      <c r="XDL157" s="65" t="n"/>
      <c r="XDM157" s="65" t="n"/>
      <c r="XDN157" s="65" t="n"/>
      <c r="XDO157" s="65" t="n"/>
      <c r="XDP157" s="65" t="n"/>
      <c r="XDQ157" s="65" t="n"/>
      <c r="XDR157" s="65" t="n"/>
      <c r="XDS157" s="65" t="n"/>
      <c r="XDT157" s="65" t="n"/>
      <c r="XDU157" s="65" t="n"/>
      <c r="XDV157" s="65" t="n"/>
      <c r="XDW157" s="65" t="n"/>
      <c r="XDX157" s="65" t="n"/>
      <c r="XDY157" s="65" t="n"/>
      <c r="XDZ157" s="65" t="n"/>
      <c r="XEA157" s="65" t="n"/>
      <c r="XEB157" s="65" t="n"/>
      <c r="XEC157" s="65" t="n"/>
      <c r="XED157" s="65" t="n"/>
      <c r="XEE157" s="65" t="n"/>
      <c r="XEF157" s="65" t="n"/>
      <c r="XEG157" s="65" t="n"/>
      <c r="XEH157" s="65" t="n"/>
      <c r="XEI157" s="65" t="n"/>
      <c r="XEJ157" s="65" t="n"/>
      <c r="XEK157" s="65" t="n"/>
      <c r="XEL157" s="65" t="n"/>
      <c r="XEM157" s="65" t="n"/>
      <c r="XEN157" s="65" t="n"/>
      <c r="XEO157" s="65" t="n"/>
      <c r="XEP157" s="65" t="n"/>
      <c r="XEQ157" s="65" t="n"/>
      <c r="XER157" s="65" t="n"/>
      <c r="XES157" s="65" t="n"/>
      <c r="XET157" s="65" t="n"/>
      <c r="XEU157" s="65" t="n"/>
      <c r="XEV157" s="65" t="n"/>
      <c r="XEW157" s="65" t="n"/>
      <c r="XEX157" s="65" t="n"/>
      <c r="XEY157" s="65" t="n"/>
      <c r="XEZ157" s="65" t="n"/>
      <c r="XFA157" s="65" t="n"/>
      <c r="XFB157" s="65" t="n"/>
      <c r="XFC157" s="65" t="n"/>
      <c r="XFD157" s="65" t="n"/>
    </row>
    <row r="158" ht="20" customFormat="1" customHeight="1" s="1">
      <c r="A158" s="30" t="n">
        <v>156</v>
      </c>
      <c r="B158" s="61" t="inlineStr">
        <is>
          <t>贵州</t>
        </is>
      </c>
      <c r="C158" s="61" t="inlineStr">
        <is>
          <t>习水</t>
        </is>
      </c>
      <c r="D158" s="61" t="inlineStr">
        <is>
          <t>古小军</t>
        </is>
      </c>
      <c r="E158" s="89" t="n"/>
      <c r="F158" s="27" t="inlineStr">
        <is>
          <t>2024</t>
        </is>
      </c>
      <c r="G158" s="27" t="inlineStr">
        <is>
          <t>11</t>
        </is>
      </c>
      <c r="H158" s="91" t="n">
        <v>55109</v>
      </c>
      <c r="I158" s="97" t="n"/>
      <c r="J158" s="97" t="n"/>
      <c r="K158" s="91">
        <f>+H158+I158+J158</f>
        <v/>
      </c>
      <c r="L158" s="97" t="n">
        <v>5</v>
      </c>
      <c r="M158" s="91" t="n">
        <v>33686</v>
      </c>
      <c r="N158" s="91" t="n"/>
      <c r="O158" s="91" t="n"/>
      <c r="P158" s="91" t="n"/>
      <c r="Q158" s="91" t="n"/>
      <c r="R158" s="91" t="n"/>
      <c r="S158" s="91" t="n"/>
      <c r="T158" s="91" t="n"/>
      <c r="U158" s="91" t="n"/>
      <c r="V158" s="91" t="n"/>
      <c r="W158" s="91" t="n"/>
      <c r="X158" s="91" t="n"/>
      <c r="Y158" s="91" t="n"/>
      <c r="Z158" s="91" t="n"/>
      <c r="AA158" s="91" t="n"/>
      <c r="AB158" s="91" t="n"/>
      <c r="AC158" s="91" t="n"/>
      <c r="AD158" s="91" t="n"/>
      <c r="AE158" s="91" t="n"/>
      <c r="AF158" s="91" t="n"/>
      <c r="AG158" s="30" t="n"/>
      <c r="AH158" s="30" t="n"/>
      <c r="AI158" s="30" t="n"/>
      <c r="AJ158" s="30" t="n"/>
      <c r="AK158" s="30" t="n"/>
      <c r="AL158" s="30" t="n"/>
      <c r="AM158" s="91" t="n"/>
      <c r="AN158" s="91" t="n"/>
      <c r="AO158" s="91" t="n"/>
      <c r="AP158" s="91" t="n"/>
      <c r="AQ158" s="91" t="n"/>
      <c r="AR158" s="91" t="n"/>
      <c r="AS158" s="91" t="n"/>
      <c r="AT158" s="91" t="n"/>
      <c r="AU158" s="91" t="n"/>
      <c r="AV158" s="31" t="n"/>
      <c r="AW158" s="36" t="n"/>
      <c r="AX158" s="16" t="n"/>
      <c r="AY158" s="31" t="n"/>
      <c r="AZ158" s="92" t="n"/>
      <c r="BA158" s="91" t="n"/>
      <c r="BB158" s="91" t="n"/>
      <c r="BC158" s="91" t="n"/>
      <c r="BD158" s="91" t="n"/>
      <c r="BE158" s="91" t="n"/>
      <c r="BF158" s="91" t="n"/>
      <c r="BG158" s="91" t="n"/>
      <c r="BH158" s="91" t="n"/>
      <c r="BI158" s="91" t="n"/>
      <c r="BJ158" s="91" t="n"/>
      <c r="BK158" s="91" t="n"/>
      <c r="BL158" s="91" t="n"/>
      <c r="BM158" s="91" t="n"/>
      <c r="BN158" s="91" t="n"/>
      <c r="BO158" s="91" t="n"/>
      <c r="BP158" s="91" t="n"/>
      <c r="BQ158" s="91" t="n"/>
      <c r="BR158" s="91" t="n"/>
      <c r="BS158" s="91" t="n"/>
      <c r="BT158" s="91" t="n"/>
      <c r="BU158" s="91" t="n"/>
      <c r="BV158" s="91" t="inlineStr"/>
      <c r="BW158" s="91" t="inlineStr"/>
      <c r="BX158" s="91" t="inlineStr"/>
      <c r="BY158" s="91" t="n"/>
      <c r="BZ158" s="91">
        <f>SUM(BN158:BY158)</f>
        <v/>
      </c>
      <c r="CA158" s="91" t="inlineStr"/>
      <c r="CB158" s="91" t="inlineStr"/>
      <c r="CC158" s="91" t="inlineStr"/>
      <c r="CD158" s="91" t="n"/>
      <c r="CE158" s="91" t="n"/>
      <c r="CF158" s="91" t="n"/>
      <c r="CG158" s="91" t="n"/>
      <c r="CH158" s="91" t="inlineStr"/>
      <c r="CI158" s="91" t="n"/>
      <c r="CJ158" s="91" t="inlineStr"/>
      <c r="CK158" s="91" t="n"/>
      <c r="CL158" s="91" t="inlineStr"/>
      <c r="CM158" s="91">
        <f>SUM(CA158:CL158)</f>
        <v/>
      </c>
      <c r="CN158" s="91" t="n"/>
      <c r="CO158" s="91" t="n"/>
      <c r="CP158" s="91" t="n"/>
      <c r="CQ158" s="93" t="n"/>
      <c r="CR158" s="94" t="n"/>
      <c r="CS158" s="94" t="n"/>
      <c r="CT158" s="91" t="n"/>
      <c r="CU158" s="91" t="n"/>
      <c r="CV158" s="91" t="n"/>
      <c r="CW158" s="91" t="n"/>
      <c r="CX158" s="91" t="n"/>
      <c r="CY158" s="91" t="n"/>
      <c r="CZ158" s="91">
        <f>SUM(CN158:CY158)</f>
        <v/>
      </c>
      <c r="DA158" s="35" t="n"/>
    </row>
    <row r="159" ht="20" customFormat="1" customHeight="1" s="1">
      <c r="A159" s="30" t="n">
        <v>157</v>
      </c>
      <c r="B159" s="61" t="inlineStr">
        <is>
          <t>山西</t>
        </is>
      </c>
      <c r="C159" s="61" t="inlineStr">
        <is>
          <t>孝义</t>
        </is>
      </c>
      <c r="D159" s="61" t="inlineStr">
        <is>
          <t>张天耀</t>
        </is>
      </c>
      <c r="E159" s="89" t="n"/>
      <c r="F159" s="27" t="inlineStr">
        <is>
          <t>2024/2025</t>
        </is>
      </c>
      <c r="G159" s="27" t="inlineStr">
        <is>
          <t>12/2/3/4/6/11</t>
        </is>
      </c>
      <c r="H159" s="91">
        <f>68621+599+1933+30781+788</f>
        <v/>
      </c>
      <c r="I159" s="97">
        <f>840+5311+698</f>
        <v/>
      </c>
      <c r="J159" s="97" t="n"/>
      <c r="K159" s="91">
        <f>+H159+I159+J159</f>
        <v/>
      </c>
      <c r="L159" s="97" t="n">
        <v>5</v>
      </c>
      <c r="M159" s="91">
        <f>80281+698+788</f>
        <v/>
      </c>
      <c r="N159" s="91" t="n"/>
      <c r="O159" s="91" t="n"/>
      <c r="P159" s="91" t="n"/>
      <c r="Q159" s="91" t="n"/>
      <c r="R159" s="91" t="n"/>
      <c r="S159" s="91" t="n"/>
      <c r="T159" s="91" t="n"/>
      <c r="U159" s="91" t="n"/>
      <c r="V159" s="91" t="n"/>
      <c r="W159" s="91" t="n"/>
      <c r="X159" s="91" t="n"/>
      <c r="Y159" s="91" t="n"/>
      <c r="Z159" s="91" t="n"/>
      <c r="AA159" s="91" t="n"/>
      <c r="AB159" s="91" t="n"/>
      <c r="AC159" s="91" t="n"/>
      <c r="AD159" s="91" t="n"/>
      <c r="AE159" s="91" t="n"/>
      <c r="AF159" s="91" t="n"/>
      <c r="AG159" s="30" t="n"/>
      <c r="AH159" s="30" t="n"/>
      <c r="AI159" s="30" t="n"/>
      <c r="AJ159" s="30" t="n"/>
      <c r="AK159" s="30" t="n"/>
      <c r="AL159" s="30" t="n"/>
      <c r="AM159" s="91" t="n"/>
      <c r="AN159" s="91" t="n"/>
      <c r="AO159" s="91" t="n"/>
      <c r="AP159" s="91" t="n"/>
      <c r="AQ159" s="91" t="n"/>
      <c r="AR159" s="91" t="n"/>
      <c r="AS159" s="91" t="n"/>
      <c r="AT159" s="91" t="n"/>
      <c r="AU159" s="91" t="n"/>
      <c r="AV159" s="31" t="n"/>
      <c r="AW159" s="36" t="n"/>
      <c r="AX159" s="16" t="n"/>
      <c r="AY159" s="31" t="n"/>
      <c r="AZ159" s="92" t="n"/>
      <c r="BA159" s="91" t="n"/>
      <c r="BB159" s="91" t="n"/>
      <c r="BC159" s="91" t="n"/>
      <c r="BD159" s="91" t="n"/>
      <c r="BE159" s="91" t="n"/>
      <c r="BF159" s="91" t="n"/>
      <c r="BG159" s="91" t="n"/>
      <c r="BH159" s="91" t="n"/>
      <c r="BI159" s="91" t="n"/>
      <c r="BJ159" s="91" t="n"/>
      <c r="BK159" s="91" t="n"/>
      <c r="BL159" s="91" t="n"/>
      <c r="BM159" s="91" t="n"/>
      <c r="BN159" s="91" t="n"/>
      <c r="BO159" s="91" t="n"/>
      <c r="BP159" s="91" t="n"/>
      <c r="BQ159" s="91" t="n"/>
      <c r="BR159" s="91" t="n"/>
      <c r="BS159" s="91" t="n"/>
      <c r="BT159" s="91" t="n"/>
      <c r="BU159" s="91" t="n"/>
      <c r="BV159" s="91" t="inlineStr"/>
      <c r="BW159" s="91" t="inlineStr"/>
      <c r="BX159" s="91" t="inlineStr"/>
      <c r="BY159" s="91" t="n">
        <v>5212</v>
      </c>
      <c r="BZ159" s="91">
        <f>SUM(BN159:BY159)</f>
        <v/>
      </c>
      <c r="CA159" s="91" t="inlineStr"/>
      <c r="CB159" s="91" t="inlineStr"/>
      <c r="CC159" s="91" t="inlineStr"/>
      <c r="CD159" s="91" t="n">
        <v>8403</v>
      </c>
      <c r="CE159" s="91" t="n">
        <v>24997</v>
      </c>
      <c r="CF159" s="91" t="n">
        <v>383</v>
      </c>
      <c r="CG159" s="91" t="n">
        <v>2930</v>
      </c>
      <c r="CH159" s="91" t="inlineStr"/>
      <c r="CI159" s="91" t="n">
        <v>2832</v>
      </c>
      <c r="CJ159" s="91" t="n">
        <v>6400</v>
      </c>
      <c r="CK159" s="91" t="n"/>
      <c r="CL159" s="91" t="n">
        <v>29028</v>
      </c>
      <c r="CM159" s="91">
        <f>SUM(CA159:CL159)</f>
        <v/>
      </c>
      <c r="CN159" s="91" t="n"/>
      <c r="CO159" s="91" t="n"/>
      <c r="CP159" s="91" t="n"/>
      <c r="CQ159" s="93" t="n"/>
      <c r="CR159" s="94" t="n"/>
      <c r="CS159" s="94" t="n"/>
      <c r="CT159" s="91" t="n"/>
      <c r="CU159" s="91" t="n"/>
      <c r="CV159" s="91" t="n"/>
      <c r="CW159" s="91" t="n"/>
      <c r="CX159" s="91" t="n"/>
      <c r="CY159" s="91" t="n"/>
      <c r="CZ159" s="91">
        <f>SUM(CN159:CY159)</f>
        <v/>
      </c>
      <c r="DA159" s="35" t="n"/>
    </row>
    <row r="160" ht="20" customFormat="1" customHeight="1" s="1">
      <c r="A160" s="30" t="n">
        <v>158</v>
      </c>
      <c r="B160" s="61" t="inlineStr">
        <is>
          <t>湖南省</t>
        </is>
      </c>
      <c r="C160" s="61" t="inlineStr">
        <is>
          <t>娄底市</t>
        </is>
      </c>
      <c r="D160" s="61" t="inlineStr">
        <is>
          <t>黄华</t>
        </is>
      </c>
      <c r="E160" s="89" t="n"/>
      <c r="F160" s="27" t="inlineStr">
        <is>
          <t>2024/2025</t>
        </is>
      </c>
      <c r="G160" s="27" t="inlineStr">
        <is>
          <t>12/3/9/11</t>
        </is>
      </c>
      <c r="H160" s="91">
        <f>36470.86+75536+2753+18101+1097+927</f>
        <v/>
      </c>
      <c r="I160" s="97" t="n"/>
      <c r="J160" s="97" t="n"/>
      <c r="K160" s="91">
        <f>+H160+I160+J160</f>
        <v/>
      </c>
      <c r="L160" s="97" t="n">
        <v>5</v>
      </c>
      <c r="M160" s="91">
        <f>22484+1097</f>
        <v/>
      </c>
      <c r="N160" s="91" t="n"/>
      <c r="O160" s="91" t="n"/>
      <c r="P160" s="91" t="n"/>
      <c r="Q160" s="91" t="n"/>
      <c r="R160" s="91" t="n"/>
      <c r="S160" s="91" t="n"/>
      <c r="T160" s="91" t="n"/>
      <c r="U160" s="91" t="n"/>
      <c r="V160" s="91" t="n"/>
      <c r="W160" s="91" t="n"/>
      <c r="X160" s="91" t="n"/>
      <c r="Y160" s="91" t="n"/>
      <c r="Z160" s="91" t="n"/>
      <c r="AA160" s="91" t="n"/>
      <c r="AB160" s="91" t="n"/>
      <c r="AC160" s="91" t="n"/>
      <c r="AD160" s="91" t="n"/>
      <c r="AE160" s="91" t="n"/>
      <c r="AF160" s="91" t="n"/>
      <c r="AG160" s="30" t="n"/>
      <c r="AH160" s="30" t="n"/>
      <c r="AI160" s="30" t="n"/>
      <c r="AJ160" s="30" t="n"/>
      <c r="AK160" s="30" t="n"/>
      <c r="AL160" s="30" t="n"/>
      <c r="AM160" s="91" t="n"/>
      <c r="AN160" s="91" t="n"/>
      <c r="AO160" s="91" t="n"/>
      <c r="AP160" s="91" t="n"/>
      <c r="AQ160" s="91" t="n"/>
      <c r="AR160" s="91" t="n"/>
      <c r="AS160" s="91" t="n"/>
      <c r="AT160" s="91" t="n"/>
      <c r="AU160" s="91" t="n"/>
      <c r="AV160" s="31" t="n"/>
      <c r="AW160" s="36" t="n"/>
      <c r="AX160" s="16" t="n"/>
      <c r="AY160" s="31" t="n"/>
      <c r="AZ160" s="92" t="n"/>
      <c r="BA160" s="91" t="n"/>
      <c r="BB160" s="91" t="n"/>
      <c r="BC160" s="91" t="n"/>
      <c r="BD160" s="91" t="n"/>
      <c r="BE160" s="91" t="n"/>
      <c r="BF160" s="91" t="n"/>
      <c r="BG160" s="91" t="n"/>
      <c r="BH160" s="91" t="n"/>
      <c r="BI160" s="91" t="n"/>
      <c r="BJ160" s="91" t="n"/>
      <c r="BK160" s="91" t="n"/>
      <c r="BL160" s="91" t="n"/>
      <c r="BM160" s="91" t="n"/>
      <c r="BN160" s="91" t="n"/>
      <c r="BO160" s="91" t="n"/>
      <c r="BP160" s="91" t="n"/>
      <c r="BQ160" s="91" t="n"/>
      <c r="BR160" s="91" t="n"/>
      <c r="BS160" s="91" t="n"/>
      <c r="BT160" s="91" t="n"/>
      <c r="BU160" s="91" t="n"/>
      <c r="BV160" s="91" t="inlineStr"/>
      <c r="BW160" s="91" t="inlineStr"/>
      <c r="BX160" s="91" t="inlineStr"/>
      <c r="BY160" s="91" t="n">
        <v>2508</v>
      </c>
      <c r="BZ160" s="91">
        <f>SUM(BN160:BY160)</f>
        <v/>
      </c>
      <c r="CA160" s="91" t="n">
        <v>16558</v>
      </c>
      <c r="CB160" s="91" t="n">
        <v>27</v>
      </c>
      <c r="CC160" s="91" t="n">
        <v>9676</v>
      </c>
      <c r="CD160" s="91" t="n">
        <v>106</v>
      </c>
      <c r="CE160" s="91" t="n"/>
      <c r="CF160" s="91" t="n">
        <v>70769.60000000001</v>
      </c>
      <c r="CG160" s="91" t="n">
        <v>3418.84</v>
      </c>
      <c r="CH160" s="91" t="n">
        <v>264.11</v>
      </c>
      <c r="CI160" s="91" t="n"/>
      <c r="CJ160" s="91" t="n">
        <v>2316.65</v>
      </c>
      <c r="CK160" s="91" t="n">
        <v>44863.65</v>
      </c>
      <c r="CL160" s="91" t="n">
        <v>73</v>
      </c>
      <c r="CM160" s="91">
        <f>SUM(CA160:CL160)</f>
        <v/>
      </c>
      <c r="CN160" s="91" t="n"/>
      <c r="CO160" s="91" t="n"/>
      <c r="CP160" s="91" t="n"/>
      <c r="CQ160" s="93" t="n"/>
      <c r="CR160" s="94" t="n"/>
      <c r="CS160" s="94" t="n"/>
      <c r="CT160" s="91" t="n"/>
      <c r="CU160" s="91" t="n"/>
      <c r="CV160" s="91" t="n"/>
      <c r="CW160" s="91" t="n"/>
      <c r="CX160" s="91" t="n"/>
      <c r="CY160" s="91" t="n"/>
      <c r="CZ160" s="91">
        <f>SUM(CN160:CY160)</f>
        <v/>
      </c>
      <c r="DA160" s="35" t="n"/>
    </row>
    <row r="161" ht="20" customFormat="1" customHeight="1" s="1">
      <c r="A161" s="30" t="n">
        <v>159</v>
      </c>
      <c r="B161" s="61">
        <f>B160</f>
        <v/>
      </c>
      <c r="C161" s="61" t="inlineStr">
        <is>
          <t>临洮县</t>
        </is>
      </c>
      <c r="D161" s="61" t="inlineStr">
        <is>
          <t>李恩</t>
        </is>
      </c>
      <c r="E161" s="89" t="n"/>
      <c r="F161" s="27" t="inlineStr">
        <is>
          <t>2024</t>
        </is>
      </c>
      <c r="G161" s="27" t="inlineStr">
        <is>
          <t>12</t>
        </is>
      </c>
      <c r="H161" s="91">
        <f>70409+225</f>
        <v/>
      </c>
      <c r="I161" s="97" t="n"/>
      <c r="J161" s="97" t="n"/>
      <c r="K161" s="91">
        <f>+H161+I161+J161</f>
        <v/>
      </c>
      <c r="L161" s="97" t="n">
        <v>5</v>
      </c>
      <c r="M161" s="91" t="n">
        <v>53256</v>
      </c>
      <c r="N161" s="91" t="n"/>
      <c r="O161" s="91" t="n"/>
      <c r="P161" s="91" t="n"/>
      <c r="Q161" s="91" t="n"/>
      <c r="R161" s="91" t="n"/>
      <c r="S161" s="91" t="n"/>
      <c r="T161" s="91" t="n"/>
      <c r="U161" s="91" t="n"/>
      <c r="V161" s="91" t="n"/>
      <c r="W161" s="91" t="n"/>
      <c r="X161" s="91" t="n"/>
      <c r="Y161" s="91" t="n"/>
      <c r="Z161" s="91" t="n"/>
      <c r="AA161" s="91" t="n"/>
      <c r="AB161" s="91" t="n"/>
      <c r="AC161" s="91" t="n"/>
      <c r="AD161" s="91" t="n"/>
      <c r="AE161" s="91" t="n"/>
      <c r="AF161" s="91" t="n"/>
      <c r="AG161" s="30" t="n"/>
      <c r="AH161" s="30" t="n"/>
      <c r="AI161" s="30" t="n"/>
      <c r="AJ161" s="30" t="n"/>
      <c r="AK161" s="30" t="n"/>
      <c r="AL161" s="30" t="n"/>
      <c r="AM161" s="91" t="n"/>
      <c r="AN161" s="91" t="n"/>
      <c r="AO161" s="91" t="n"/>
      <c r="AP161" s="91" t="n"/>
      <c r="AQ161" s="91" t="n"/>
      <c r="AR161" s="91" t="n"/>
      <c r="AS161" s="91" t="n"/>
      <c r="AT161" s="91" t="n"/>
      <c r="AU161" s="91" t="n"/>
      <c r="AV161" s="31" t="n"/>
      <c r="AW161" s="36" t="n"/>
      <c r="AX161" s="16" t="n"/>
      <c r="AY161" s="31" t="n"/>
      <c r="AZ161" s="92" t="n"/>
      <c r="BA161" s="91" t="n"/>
      <c r="BB161" s="91" t="n"/>
      <c r="BC161" s="91" t="n"/>
      <c r="BD161" s="91" t="n"/>
      <c r="BE161" s="91" t="n"/>
      <c r="BF161" s="91" t="n"/>
      <c r="BG161" s="91" t="n"/>
      <c r="BH161" s="91" t="n"/>
      <c r="BI161" s="91" t="n"/>
      <c r="BJ161" s="91" t="n"/>
      <c r="BK161" s="91" t="n"/>
      <c r="BL161" s="91" t="n"/>
      <c r="BM161" s="91" t="n"/>
      <c r="BN161" s="91" t="n"/>
      <c r="BO161" s="91" t="n"/>
      <c r="BP161" s="91" t="n"/>
      <c r="BQ161" s="91" t="n"/>
      <c r="BR161" s="91" t="n"/>
      <c r="BS161" s="91" t="n"/>
      <c r="BT161" s="91" t="n"/>
      <c r="BU161" s="91" t="n"/>
      <c r="BV161" s="91" t="inlineStr"/>
      <c r="BW161" s="91" t="inlineStr"/>
      <c r="BX161" s="91" t="inlineStr"/>
      <c r="BY161" s="91" t="n">
        <v>23989.31</v>
      </c>
      <c r="BZ161" s="91">
        <f>SUM(BN161:BY161)</f>
        <v/>
      </c>
      <c r="CA161" s="91" t="inlineStr"/>
      <c r="CB161" s="91" t="inlineStr"/>
      <c r="CC161" s="91" t="n">
        <v>1710</v>
      </c>
      <c r="CD161" s="91" t="n"/>
      <c r="CE161" s="91" t="n">
        <v>39851</v>
      </c>
      <c r="CF161" s="91" t="n">
        <v>4156</v>
      </c>
      <c r="CG161" s="91" t="n">
        <v>3638</v>
      </c>
      <c r="CH161" s="91" t="n">
        <v>118924</v>
      </c>
      <c r="CI161" s="91" t="n">
        <v>56413.32</v>
      </c>
      <c r="CJ161" s="91" t="n">
        <v>9439</v>
      </c>
      <c r="CK161" s="91" t="n">
        <v>2802.09</v>
      </c>
      <c r="CL161" s="91" t="n">
        <v>6128</v>
      </c>
      <c r="CM161" s="91">
        <f>SUM(CA161:CL161)</f>
        <v/>
      </c>
      <c r="CN161" s="91" t="n"/>
      <c r="CO161" s="91" t="n"/>
      <c r="CP161" s="91" t="n"/>
      <c r="CQ161" s="93" t="n"/>
      <c r="CR161" s="94" t="n"/>
      <c r="CS161" s="94" t="n"/>
      <c r="CT161" s="91" t="n"/>
      <c r="CU161" s="91" t="n"/>
      <c r="CV161" s="91" t="n"/>
      <c r="CW161" s="91" t="n"/>
      <c r="CX161" s="91" t="n"/>
      <c r="CY161" s="91" t="n"/>
      <c r="CZ161" s="91">
        <f>SUM(CN161:CY161)</f>
        <v/>
      </c>
      <c r="DA161" s="35" t="n"/>
    </row>
    <row r="162" ht="20" customFormat="1" customHeight="1" s="1">
      <c r="A162" s="30" t="n">
        <v>160</v>
      </c>
      <c r="B162" s="61" t="inlineStr">
        <is>
          <t>陕西</t>
        </is>
      </c>
      <c r="C162" s="61" t="inlineStr">
        <is>
          <t>西安未央</t>
        </is>
      </c>
      <c r="D162" s="61" t="inlineStr">
        <is>
          <t>刘凤</t>
        </is>
      </c>
      <c r="E162" s="89" t="n"/>
      <c r="F162" s="27" t="inlineStr">
        <is>
          <t>2024/2025</t>
        </is>
      </c>
      <c r="G162" s="27" t="inlineStr">
        <is>
          <t>12/2</t>
        </is>
      </c>
      <c r="H162" s="91">
        <f>128694.55+1400</f>
        <v/>
      </c>
      <c r="I162" s="97" t="n"/>
      <c r="J162" s="97" t="n"/>
      <c r="K162" s="91">
        <f>+H162+I162+J162</f>
        <v/>
      </c>
      <c r="L162" s="97" t="n">
        <v>5</v>
      </c>
      <c r="M162" s="91" t="n">
        <v>182879</v>
      </c>
      <c r="N162" s="91" t="n"/>
      <c r="O162" s="91" t="n"/>
      <c r="P162" s="91" t="n"/>
      <c r="Q162" s="91" t="n"/>
      <c r="R162" s="91" t="n"/>
      <c r="S162" s="91" t="n"/>
      <c r="T162" s="91" t="n"/>
      <c r="U162" s="91" t="n"/>
      <c r="V162" s="91" t="n"/>
      <c r="W162" s="91" t="n"/>
      <c r="X162" s="91" t="n"/>
      <c r="Y162" s="91" t="n"/>
      <c r="Z162" s="91" t="n"/>
      <c r="AA162" s="91" t="n"/>
      <c r="AB162" s="91" t="n"/>
      <c r="AC162" s="91" t="n"/>
      <c r="AD162" s="91" t="n"/>
      <c r="AE162" s="91" t="n"/>
      <c r="AF162" s="91" t="n"/>
      <c r="AG162" s="30" t="n"/>
      <c r="AH162" s="30" t="n"/>
      <c r="AI162" s="30" t="n"/>
      <c r="AJ162" s="30" t="n"/>
      <c r="AK162" s="30" t="n"/>
      <c r="AL162" s="30" t="n"/>
      <c r="AM162" s="91" t="n"/>
      <c r="AN162" s="91" t="n"/>
      <c r="AO162" s="91" t="n"/>
      <c r="AP162" s="91" t="n"/>
      <c r="AQ162" s="91" t="n"/>
      <c r="AR162" s="91" t="n"/>
      <c r="AS162" s="91" t="n"/>
      <c r="AT162" s="91" t="n"/>
      <c r="AU162" s="91" t="n"/>
      <c r="AV162" s="31" t="n"/>
      <c r="AW162" s="36" t="n"/>
      <c r="AX162" s="16" t="n"/>
      <c r="AY162" s="31" t="n"/>
      <c r="AZ162" s="92" t="n"/>
      <c r="BA162" s="91" t="n"/>
      <c r="BB162" s="91" t="n"/>
      <c r="BC162" s="91" t="n"/>
      <c r="BD162" s="91" t="n"/>
      <c r="BE162" s="91" t="n"/>
      <c r="BF162" s="91" t="n"/>
      <c r="BG162" s="91" t="n"/>
      <c r="BH162" s="91" t="n"/>
      <c r="BI162" s="91" t="n"/>
      <c r="BJ162" s="91" t="n"/>
      <c r="BK162" s="91" t="n"/>
      <c r="BL162" s="91" t="n"/>
      <c r="BM162" s="91" t="n"/>
      <c r="BN162" s="91" t="n"/>
      <c r="BO162" s="91" t="n"/>
      <c r="BP162" s="91" t="n"/>
      <c r="BQ162" s="91" t="n"/>
      <c r="BR162" s="91" t="n"/>
      <c r="BS162" s="91" t="n"/>
      <c r="BT162" s="91" t="n"/>
      <c r="BU162" s="91" t="n"/>
      <c r="BV162" s="91" t="inlineStr"/>
      <c r="BW162" s="91" t="inlineStr"/>
      <c r="BX162" s="91" t="inlineStr"/>
      <c r="BY162" s="91" t="n">
        <v>100711.15</v>
      </c>
      <c r="BZ162" s="91">
        <f>SUM(BN162:BY162)</f>
        <v/>
      </c>
      <c r="CA162" s="91" t="n">
        <v>64633</v>
      </c>
      <c r="CB162" s="91" t="inlineStr"/>
      <c r="CC162" s="91" t="inlineStr"/>
      <c r="CD162" s="91" t="n"/>
      <c r="CE162" s="91" t="n"/>
      <c r="CF162" s="91" t="n"/>
      <c r="CG162" s="91" t="n"/>
      <c r="CH162" s="91" t="inlineStr"/>
      <c r="CI162" s="91" t="n"/>
      <c r="CJ162" s="91" t="inlineStr"/>
      <c r="CK162" s="91" t="n"/>
      <c r="CL162" s="91" t="inlineStr"/>
      <c r="CM162" s="91">
        <f>SUM(CA162:CL162)</f>
        <v/>
      </c>
      <c r="CN162" s="91" t="n"/>
      <c r="CO162" s="91" t="n"/>
      <c r="CP162" s="91" t="n"/>
      <c r="CQ162" s="93" t="n"/>
      <c r="CR162" s="94" t="n"/>
      <c r="CS162" s="94" t="n"/>
      <c r="CT162" s="91" t="n"/>
      <c r="CU162" s="91" t="n"/>
      <c r="CV162" s="91" t="n"/>
      <c r="CW162" s="91" t="n"/>
      <c r="CX162" s="91" t="n"/>
      <c r="CY162" s="91" t="n"/>
      <c r="CZ162" s="91">
        <f>SUM(CN162:CY162)</f>
        <v/>
      </c>
      <c r="DA162" s="35" t="n"/>
    </row>
    <row r="163" ht="20" customFormat="1" customHeight="1" s="1">
      <c r="A163" s="30" t="n">
        <v>161</v>
      </c>
      <c r="B163" s="31" t="inlineStr">
        <is>
          <t>宁夏</t>
        </is>
      </c>
      <c r="C163" s="31" t="inlineStr">
        <is>
          <t>固原</t>
        </is>
      </c>
      <c r="D163" s="31" t="inlineStr">
        <is>
          <t>夏瑞</t>
        </is>
      </c>
      <c r="E163" s="89" t="n"/>
      <c r="F163" s="27" t="inlineStr">
        <is>
          <t>2024/2025</t>
        </is>
      </c>
      <c r="G163" s="27" t="inlineStr">
        <is>
          <t>12/3/5/11</t>
        </is>
      </c>
      <c r="H163" s="91">
        <f>96409.08+3717+1404+426+242</f>
        <v/>
      </c>
      <c r="I163" s="91" t="n"/>
      <c r="J163" s="91" t="n">
        <v>6038</v>
      </c>
      <c r="K163" s="91">
        <f>+H163+I163+J163</f>
        <v/>
      </c>
      <c r="L163" s="91" t="n">
        <v>5</v>
      </c>
      <c r="M163" s="91">
        <f>159382+242</f>
        <v/>
      </c>
      <c r="N163" s="91" t="n"/>
      <c r="O163" s="91" t="n"/>
      <c r="P163" s="91" t="n"/>
      <c r="Q163" s="91" t="n"/>
      <c r="R163" s="91" t="n"/>
      <c r="S163" s="91" t="n"/>
      <c r="T163" s="91" t="n"/>
      <c r="U163" s="91" t="n"/>
      <c r="V163" s="91" t="n"/>
      <c r="W163" s="91" t="n"/>
      <c r="X163" s="91" t="n"/>
      <c r="Y163" s="91" t="n"/>
      <c r="Z163" s="91" t="n"/>
      <c r="AA163" s="91" t="n"/>
      <c r="AB163" s="91" t="n"/>
      <c r="AC163" s="91" t="n"/>
      <c r="AD163" s="91" t="n"/>
      <c r="AE163" s="91" t="n"/>
      <c r="AF163" s="91" t="n"/>
      <c r="AG163" s="30" t="n"/>
      <c r="AH163" s="30" t="n"/>
      <c r="AI163" s="30" t="n"/>
      <c r="AJ163" s="30" t="n"/>
      <c r="AK163" s="30" t="n"/>
      <c r="AL163" s="30" t="n"/>
      <c r="AM163" s="91" t="n"/>
      <c r="AN163" s="91" t="n"/>
      <c r="AO163" s="91" t="n"/>
      <c r="AP163" s="91" t="n"/>
      <c r="AQ163" s="91" t="n"/>
      <c r="AR163" s="91" t="n"/>
      <c r="AS163" s="91" t="n"/>
      <c r="AT163" s="91" t="n"/>
      <c r="AU163" s="91" t="n"/>
      <c r="AV163" s="31" t="n"/>
      <c r="AW163" s="36" t="n"/>
      <c r="AX163" s="16" t="n"/>
      <c r="AY163" s="31" t="n"/>
      <c r="AZ163" s="92" t="n"/>
      <c r="BA163" s="91" t="n"/>
      <c r="BB163" s="91" t="n"/>
      <c r="BC163" s="91" t="n"/>
      <c r="BD163" s="91" t="n"/>
      <c r="BE163" s="91" t="n"/>
      <c r="BF163" s="91" t="n"/>
      <c r="BG163" s="91" t="n"/>
      <c r="BH163" s="91" t="n"/>
      <c r="BI163" s="91" t="n"/>
      <c r="BJ163" s="91" t="n"/>
      <c r="BK163" s="91" t="n"/>
      <c r="BL163" s="91" t="n"/>
      <c r="BM163" s="91" t="n"/>
      <c r="BN163" s="91" t="n"/>
      <c r="BO163" s="91" t="n"/>
      <c r="BP163" s="91" t="n"/>
      <c r="BQ163" s="91" t="n"/>
      <c r="BR163" s="91" t="n"/>
      <c r="BS163" s="91" t="n"/>
      <c r="BT163" s="91" t="n"/>
      <c r="BU163" s="91" t="n"/>
      <c r="BV163" s="91" t="inlineStr"/>
      <c r="BW163" s="91" t="inlineStr"/>
      <c r="BX163" s="91" t="inlineStr"/>
      <c r="BY163" s="91" t="n">
        <v>205633.16</v>
      </c>
      <c r="BZ163" s="91">
        <f>SUM(BN163:BY163)</f>
        <v/>
      </c>
      <c r="CA163" s="91" t="n">
        <v>2461</v>
      </c>
      <c r="CB163" s="91" t="n">
        <v>57.46</v>
      </c>
      <c r="CC163" s="91" t="n">
        <v>467.01</v>
      </c>
      <c r="CD163" s="91" t="n"/>
      <c r="CE163" s="91" t="n">
        <v>38433.22</v>
      </c>
      <c r="CF163" s="91" t="n">
        <v>77356.17</v>
      </c>
      <c r="CG163" s="91" t="n">
        <v>53990.84</v>
      </c>
      <c r="CH163" s="91" t="n">
        <v>39982.24</v>
      </c>
      <c r="CI163" s="91" t="n">
        <v>8414.879999999999</v>
      </c>
      <c r="CJ163" s="91" t="n">
        <v>151159.62</v>
      </c>
      <c r="CK163" s="91" t="n">
        <v>130589.61</v>
      </c>
      <c r="CL163" s="91" t="n">
        <v>52838.51</v>
      </c>
      <c r="CM163" s="91">
        <f>SUM(CA163:CL163)</f>
        <v/>
      </c>
      <c r="CN163" s="91" t="n"/>
      <c r="CO163" s="91" t="n"/>
      <c r="CP163" s="91" t="n"/>
      <c r="CQ163" s="93" t="n"/>
      <c r="CR163" s="94" t="n"/>
      <c r="CS163" s="94" t="n"/>
      <c r="CT163" s="91" t="n"/>
      <c r="CU163" s="91" t="n"/>
      <c r="CV163" s="91" t="n"/>
      <c r="CW163" s="91" t="n"/>
      <c r="CX163" s="91" t="n"/>
      <c r="CY163" s="91" t="n"/>
      <c r="CZ163" s="91">
        <f>SUM(CN163:CY163)</f>
        <v/>
      </c>
      <c r="DA163" s="35" t="n"/>
    </row>
    <row r="164" ht="20" customFormat="1" customHeight="1" s="1">
      <c r="A164" s="30" t="n">
        <v>162</v>
      </c>
      <c r="B164" s="31">
        <f>B163</f>
        <v/>
      </c>
      <c r="C164" s="31" t="inlineStr">
        <is>
          <t>阎良</t>
        </is>
      </c>
      <c r="D164" s="31" t="inlineStr">
        <is>
          <t>张东</t>
        </is>
      </c>
      <c r="E164" s="89" t="n"/>
      <c r="F164" s="27" t="inlineStr">
        <is>
          <t>2024/2025</t>
        </is>
      </c>
      <c r="G164" s="27" t="inlineStr">
        <is>
          <t>12/2/4</t>
        </is>
      </c>
      <c r="H164" s="91">
        <f>93116+920+650</f>
        <v/>
      </c>
      <c r="I164" s="91" t="n">
        <v>207</v>
      </c>
      <c r="J164" s="91" t="n"/>
      <c r="K164" s="91">
        <f>+H164+I164+J164</f>
        <v/>
      </c>
      <c r="L164" s="91" t="n">
        <v>5</v>
      </c>
      <c r="M164" s="91" t="n">
        <v>72170</v>
      </c>
      <c r="N164" s="91" t="n"/>
      <c r="O164" s="91" t="n"/>
      <c r="P164" s="91" t="n"/>
      <c r="Q164" s="91" t="n"/>
      <c r="R164" s="91" t="n"/>
      <c r="S164" s="91" t="n"/>
      <c r="T164" s="91" t="n"/>
      <c r="U164" s="91" t="n"/>
      <c r="V164" s="91" t="n"/>
      <c r="W164" s="91" t="n"/>
      <c r="X164" s="91" t="n"/>
      <c r="Y164" s="91" t="n"/>
      <c r="Z164" s="91" t="n"/>
      <c r="AA164" s="91" t="n"/>
      <c r="AB164" s="91" t="n"/>
      <c r="AC164" s="91" t="n"/>
      <c r="AD164" s="91" t="n"/>
      <c r="AE164" s="91" t="n"/>
      <c r="AF164" s="91" t="n"/>
      <c r="AG164" s="30" t="n"/>
      <c r="AH164" s="30" t="n"/>
      <c r="AI164" s="30" t="n"/>
      <c r="AJ164" s="30" t="n"/>
      <c r="AK164" s="30" t="n"/>
      <c r="AL164" s="30" t="n"/>
      <c r="AM164" s="91" t="n"/>
      <c r="AN164" s="91" t="n"/>
      <c r="AO164" s="91" t="n"/>
      <c r="AP164" s="91" t="n"/>
      <c r="AQ164" s="91" t="n"/>
      <c r="AR164" s="91" t="n"/>
      <c r="AS164" s="91" t="n"/>
      <c r="AT164" s="91" t="n"/>
      <c r="AU164" s="91" t="n"/>
      <c r="AV164" s="31" t="n"/>
      <c r="AW164" s="36" t="n"/>
      <c r="AX164" s="16" t="n"/>
      <c r="AY164" s="31" t="n"/>
      <c r="AZ164" s="92" t="n"/>
      <c r="BA164" s="91" t="n"/>
      <c r="BB164" s="91" t="n"/>
      <c r="BC164" s="91" t="n"/>
      <c r="BD164" s="91" t="n"/>
      <c r="BE164" s="91" t="n"/>
      <c r="BF164" s="91" t="n"/>
      <c r="BG164" s="91" t="n"/>
      <c r="BH164" s="91" t="n"/>
      <c r="BI164" s="91" t="n"/>
      <c r="BJ164" s="91" t="n"/>
      <c r="BK164" s="91" t="n"/>
      <c r="BL164" s="91" t="n"/>
      <c r="BM164" s="91" t="n"/>
      <c r="BN164" s="91" t="n"/>
      <c r="BO164" s="91" t="n"/>
      <c r="BP164" s="91" t="n"/>
      <c r="BQ164" s="91" t="n"/>
      <c r="BR164" s="91" t="n"/>
      <c r="BS164" s="91" t="n"/>
      <c r="BT164" s="91" t="n"/>
      <c r="BU164" s="91" t="n"/>
      <c r="BV164" s="91" t="inlineStr"/>
      <c r="BW164" s="91" t="inlineStr"/>
      <c r="BX164" s="91" t="inlineStr"/>
      <c r="BY164" s="91" t="n">
        <v>21771.38</v>
      </c>
      <c r="BZ164" s="91">
        <f>SUM(BN164:BY164)</f>
        <v/>
      </c>
      <c r="CA164" s="91" t="inlineStr"/>
      <c r="CB164" s="91" t="inlineStr"/>
      <c r="CC164" s="91" t="n">
        <v>34481.74</v>
      </c>
      <c r="CD164" s="91" t="n">
        <v>24133.11</v>
      </c>
      <c r="CE164" s="91" t="n">
        <v>36821.79</v>
      </c>
      <c r="CF164" s="91" t="n">
        <v>84951.55</v>
      </c>
      <c r="CG164" s="91" t="n">
        <v>3787.84</v>
      </c>
      <c r="CH164" s="91" t="n">
        <v>33919.31</v>
      </c>
      <c r="CI164" s="91" t="n">
        <v>18616.28</v>
      </c>
      <c r="CJ164" s="91" t="n">
        <v>49629.09</v>
      </c>
      <c r="CK164" s="91" t="n">
        <v>17465.33</v>
      </c>
      <c r="CL164" s="91" t="n">
        <v>132009.94</v>
      </c>
      <c r="CM164" s="91">
        <f>SUM(CA164:CL164)</f>
        <v/>
      </c>
      <c r="CN164" s="91" t="n"/>
      <c r="CO164" s="91" t="n"/>
      <c r="CP164" s="91" t="n"/>
      <c r="CQ164" s="93" t="n"/>
      <c r="CR164" s="94" t="n"/>
      <c r="CS164" s="94" t="n"/>
      <c r="CT164" s="91" t="n"/>
      <c r="CU164" s="91" t="n"/>
      <c r="CV164" s="91" t="n"/>
      <c r="CW164" s="91" t="n"/>
      <c r="CX164" s="91" t="n"/>
      <c r="CY164" s="91" t="n"/>
      <c r="CZ164" s="91">
        <f>SUM(CN164:CY164)</f>
        <v/>
      </c>
      <c r="DA164" s="35" t="n"/>
    </row>
    <row r="165" ht="20" customFormat="1" customHeight="1" s="1">
      <c r="A165" s="30" t="n">
        <v>164</v>
      </c>
      <c r="B165" s="31" t="inlineStr">
        <is>
          <t>湖南省</t>
        </is>
      </c>
      <c r="C165" s="31" t="inlineStr">
        <is>
          <t>怀化</t>
        </is>
      </c>
      <c r="D165" s="31" t="inlineStr">
        <is>
          <t>王红色</t>
        </is>
      </c>
      <c r="E165" s="89" t="n"/>
      <c r="F165" s="27" t="inlineStr">
        <is>
          <t>2025</t>
        </is>
      </c>
      <c r="G165" s="27" t="inlineStr">
        <is>
          <t>2/3</t>
        </is>
      </c>
      <c r="H165" s="91">
        <f>66528.82+7069</f>
        <v/>
      </c>
      <c r="I165" s="91" t="n">
        <v>7069</v>
      </c>
      <c r="J165" s="91" t="n"/>
      <c r="K165" s="91">
        <f>+H165+I165+J165</f>
        <v/>
      </c>
      <c r="L165" s="91" t="n">
        <v>5</v>
      </c>
      <c r="M165" s="91" t="n">
        <v>34143</v>
      </c>
      <c r="N165" s="91" t="n"/>
      <c r="O165" s="91" t="n"/>
      <c r="P165" s="91" t="n"/>
      <c r="Q165" s="91" t="n"/>
      <c r="R165" s="91" t="n"/>
      <c r="S165" s="91" t="n"/>
      <c r="T165" s="91" t="n"/>
      <c r="U165" s="91" t="n"/>
      <c r="V165" s="91" t="n"/>
      <c r="W165" s="91" t="n"/>
      <c r="X165" s="91" t="n"/>
      <c r="Y165" s="91" t="n"/>
      <c r="Z165" s="91" t="n"/>
      <c r="AA165" s="91" t="n"/>
      <c r="AB165" s="91" t="n"/>
      <c r="AC165" s="91" t="n"/>
      <c r="AD165" s="91" t="n"/>
      <c r="AE165" s="91" t="n"/>
      <c r="AF165" s="91" t="n"/>
      <c r="AG165" s="30" t="n"/>
      <c r="AH165" s="30" t="n"/>
      <c r="AI165" s="30" t="n"/>
      <c r="AJ165" s="30" t="n"/>
      <c r="AK165" s="30" t="n"/>
      <c r="AL165" s="30" t="n"/>
      <c r="AM165" s="91" t="n"/>
      <c r="AN165" s="91" t="n"/>
      <c r="AO165" s="91" t="n"/>
      <c r="AP165" s="91" t="n"/>
      <c r="AQ165" s="91" t="n"/>
      <c r="AR165" s="91" t="n"/>
      <c r="AS165" s="91" t="n"/>
      <c r="AT165" s="91" t="n"/>
      <c r="AU165" s="91" t="n"/>
      <c r="AV165" s="31" t="n"/>
      <c r="AW165" s="36" t="n"/>
      <c r="AX165" s="16" t="n"/>
      <c r="AY165" s="31" t="n"/>
      <c r="AZ165" s="92" t="n"/>
      <c r="BA165" s="91" t="n"/>
      <c r="BB165" s="91" t="n"/>
      <c r="BC165" s="91" t="n"/>
      <c r="BD165" s="91" t="n"/>
      <c r="BE165" s="91" t="n"/>
      <c r="BF165" s="91" t="n"/>
      <c r="BG165" s="91" t="n"/>
      <c r="BH165" s="91" t="n"/>
      <c r="BI165" s="91" t="n"/>
      <c r="BJ165" s="91" t="n"/>
      <c r="BK165" s="91" t="n"/>
      <c r="BL165" s="91" t="n"/>
      <c r="BM165" s="91" t="n"/>
      <c r="BN165" s="91" t="n"/>
      <c r="BO165" s="91" t="n"/>
      <c r="BP165" s="91" t="n"/>
      <c r="BQ165" s="91" t="n"/>
      <c r="BR165" s="91" t="n"/>
      <c r="BS165" s="91" t="n"/>
      <c r="BT165" s="91" t="n"/>
      <c r="BU165" s="91" t="n"/>
      <c r="BV165" s="91" t="n"/>
      <c r="BW165" s="91" t="n"/>
      <c r="BX165" s="91" t="n"/>
      <c r="BY165" s="91" t="n"/>
      <c r="BZ165" s="91">
        <f>SUM(BN165:BY165)</f>
        <v/>
      </c>
      <c r="CA165" s="91" t="n"/>
      <c r="CB165" s="91" t="inlineStr"/>
      <c r="CC165" s="91" t="inlineStr"/>
      <c r="CD165" s="91" t="n"/>
      <c r="CE165" s="91" t="n"/>
      <c r="CF165" s="91" t="n"/>
      <c r="CG165" s="91" t="n">
        <v>34738</v>
      </c>
      <c r="CH165" s="91" t="n">
        <v>1335</v>
      </c>
      <c r="CI165" s="91" t="n">
        <v>71</v>
      </c>
      <c r="CJ165" s="91" t="inlineStr"/>
      <c r="CK165" s="91" t="n">
        <v>2738</v>
      </c>
      <c r="CL165" s="91" t="inlineStr"/>
      <c r="CM165" s="91">
        <f>SUM(CA165:CL165)</f>
        <v/>
      </c>
      <c r="CN165" s="91" t="n"/>
      <c r="CO165" s="91" t="n"/>
      <c r="CP165" s="91" t="n"/>
      <c r="CQ165" s="93" t="n"/>
      <c r="CR165" s="94" t="n"/>
      <c r="CS165" s="94" t="n"/>
      <c r="CT165" s="91" t="n"/>
      <c r="CU165" s="91" t="n"/>
      <c r="CV165" s="91" t="n"/>
      <c r="CW165" s="91" t="n"/>
      <c r="CX165" s="91" t="n"/>
      <c r="CY165" s="91" t="n"/>
      <c r="CZ165" s="91">
        <f>SUM(CN165:CY165)</f>
        <v/>
      </c>
      <c r="DA165" s="35" t="n"/>
    </row>
    <row r="166" ht="20" customFormat="1" customHeight="1" s="1">
      <c r="A166" s="30" t="n">
        <v>165</v>
      </c>
      <c r="B166" s="31" t="inlineStr">
        <is>
          <t>海南省</t>
        </is>
      </c>
      <c r="C166" s="31" t="inlineStr">
        <is>
          <t>海口市</t>
        </is>
      </c>
      <c r="D166" s="31" t="inlineStr">
        <is>
          <t>李培述</t>
        </is>
      </c>
      <c r="E166" s="89" t="n"/>
      <c r="F166" s="27" t="inlineStr">
        <is>
          <t>2025</t>
        </is>
      </c>
      <c r="G166" s="27" t="inlineStr">
        <is>
          <t>3/4/7</t>
        </is>
      </c>
      <c r="H166" s="91">
        <f>67432.86+948</f>
        <v/>
      </c>
      <c r="I166" s="91" t="n">
        <v>11707.65</v>
      </c>
      <c r="J166" s="91" t="n"/>
      <c r="K166" s="91">
        <f>+H166+I166+J166</f>
        <v/>
      </c>
      <c r="L166" s="91" t="n">
        <v>5</v>
      </c>
      <c r="M166" s="91" t="n">
        <v>49549</v>
      </c>
      <c r="N166" s="91" t="n"/>
      <c r="O166" s="91" t="n"/>
      <c r="P166" s="91" t="n"/>
      <c r="Q166" s="91" t="n"/>
      <c r="R166" s="91" t="n"/>
      <c r="S166" s="91" t="n"/>
      <c r="T166" s="91" t="n"/>
      <c r="U166" s="91" t="n"/>
      <c r="V166" s="91" t="n"/>
      <c r="W166" s="91" t="n"/>
      <c r="X166" s="91" t="n"/>
      <c r="Y166" s="91" t="n"/>
      <c r="Z166" s="91" t="n"/>
      <c r="AA166" s="91" t="n"/>
      <c r="AB166" s="91" t="n"/>
      <c r="AC166" s="91" t="n"/>
      <c r="AD166" s="91" t="n"/>
      <c r="AE166" s="91" t="n"/>
      <c r="AF166" s="91" t="n"/>
      <c r="AG166" s="30" t="n"/>
      <c r="AH166" s="30" t="n"/>
      <c r="AI166" s="30" t="n"/>
      <c r="AJ166" s="30" t="n"/>
      <c r="AK166" s="30" t="n"/>
      <c r="AL166" s="30" t="n"/>
      <c r="AM166" s="91" t="n"/>
      <c r="AN166" s="91" t="n"/>
      <c r="AO166" s="91" t="n"/>
      <c r="AP166" s="91" t="n"/>
      <c r="AQ166" s="91" t="n"/>
      <c r="AR166" s="91" t="n"/>
      <c r="AS166" s="91" t="n"/>
      <c r="AT166" s="91" t="n"/>
      <c r="AU166" s="91" t="n"/>
      <c r="AV166" s="31" t="n"/>
      <c r="AW166" s="36" t="n"/>
      <c r="AX166" s="16" t="n"/>
      <c r="AY166" s="31" t="n"/>
      <c r="AZ166" s="92" t="n"/>
      <c r="BA166" s="91" t="n"/>
      <c r="BB166" s="91" t="n"/>
      <c r="BC166" s="91" t="n"/>
      <c r="BD166" s="91" t="n"/>
      <c r="BE166" s="91" t="n"/>
      <c r="BF166" s="91" t="n"/>
      <c r="BG166" s="91" t="n"/>
      <c r="BH166" s="91" t="n"/>
      <c r="BI166" s="91" t="n"/>
      <c r="BJ166" s="91" t="n"/>
      <c r="BK166" s="91" t="n"/>
      <c r="BL166" s="91" t="n"/>
      <c r="BM166" s="91" t="n"/>
      <c r="BN166" s="91" t="n"/>
      <c r="BO166" s="91" t="n"/>
      <c r="BP166" s="91" t="n"/>
      <c r="BQ166" s="91" t="n"/>
      <c r="BR166" s="91" t="n"/>
      <c r="BS166" s="91" t="n"/>
      <c r="BT166" s="91" t="n"/>
      <c r="BU166" s="91" t="n"/>
      <c r="BV166" s="91" t="n"/>
      <c r="BW166" s="91" t="n"/>
      <c r="BX166" s="91" t="n"/>
      <c r="BY166" s="91" t="n"/>
      <c r="BZ166" s="91">
        <f>SUM(BN166:BY166)</f>
        <v/>
      </c>
      <c r="CA166" s="91" t="n"/>
      <c r="CB166" s="91" t="n"/>
      <c r="CC166" s="91" t="n"/>
      <c r="CD166" s="91" t="n">
        <v>50945</v>
      </c>
      <c r="CE166" s="91" t="n">
        <v>8593.870000000001</v>
      </c>
      <c r="CF166" s="91" t="n"/>
      <c r="CG166" s="91" t="n">
        <v>910</v>
      </c>
      <c r="CH166" s="91" t="inlineStr"/>
      <c r="CI166" s="91" t="n"/>
      <c r="CJ166" s="91" t="n">
        <v>214</v>
      </c>
      <c r="CK166" s="91" t="n"/>
      <c r="CL166" s="91" t="inlineStr"/>
      <c r="CM166" s="91">
        <f>SUM(CA166:CL166)</f>
        <v/>
      </c>
      <c r="CN166" s="91" t="n"/>
      <c r="CO166" s="91" t="n"/>
      <c r="CP166" s="91" t="n"/>
      <c r="CQ166" s="93" t="n"/>
      <c r="CR166" s="94" t="n"/>
      <c r="CS166" s="94" t="n"/>
      <c r="CT166" s="91" t="n"/>
      <c r="CU166" s="91" t="n"/>
      <c r="CV166" s="91" t="n"/>
      <c r="CW166" s="91" t="n"/>
      <c r="CX166" s="91" t="n"/>
      <c r="CY166" s="91" t="n"/>
      <c r="CZ166" s="91">
        <f>SUM(CN166:CY166)</f>
        <v/>
      </c>
      <c r="DA166" s="35" t="n"/>
    </row>
    <row r="167" ht="20" customFormat="1" customHeight="1" s="1">
      <c r="A167" s="30" t="n">
        <v>166</v>
      </c>
      <c r="B167" s="31" t="inlineStr">
        <is>
          <t>湖北省</t>
        </is>
      </c>
      <c r="C167" s="31" t="inlineStr">
        <is>
          <t>恩施</t>
        </is>
      </c>
      <c r="D167" s="31" t="inlineStr">
        <is>
          <t>廖晓丹</t>
        </is>
      </c>
      <c r="E167" s="89" t="n"/>
      <c r="F167" s="27" t="inlineStr">
        <is>
          <t>2025</t>
        </is>
      </c>
      <c r="G167" s="27" t="inlineStr">
        <is>
          <t>3/4/5</t>
        </is>
      </c>
      <c r="H167" s="91">
        <f>76200.37+6362+1342+1100</f>
        <v/>
      </c>
      <c r="I167" s="91" t="n">
        <v>43388</v>
      </c>
      <c r="J167" s="91" t="n"/>
      <c r="K167" s="91">
        <f>+H167+I167+J167</f>
        <v/>
      </c>
      <c r="L167" s="91" t="n">
        <v>5</v>
      </c>
      <c r="M167" s="91" t="n">
        <v>90124</v>
      </c>
      <c r="N167" s="91" t="n"/>
      <c r="O167" s="91" t="n"/>
      <c r="P167" s="91" t="n"/>
      <c r="Q167" s="91" t="n"/>
      <c r="R167" s="91" t="n"/>
      <c r="S167" s="91" t="n"/>
      <c r="T167" s="91" t="n"/>
      <c r="U167" s="91" t="n"/>
      <c r="V167" s="91" t="n"/>
      <c r="W167" s="91" t="n"/>
      <c r="X167" s="91" t="n"/>
      <c r="Y167" s="91" t="n"/>
      <c r="Z167" s="91" t="n"/>
      <c r="AA167" s="91" t="n"/>
      <c r="AB167" s="91" t="n"/>
      <c r="AC167" s="91" t="n"/>
      <c r="AD167" s="91" t="n"/>
      <c r="AE167" s="91" t="n"/>
      <c r="AF167" s="91" t="n"/>
      <c r="AG167" s="30" t="n"/>
      <c r="AH167" s="30" t="n"/>
      <c r="AI167" s="30" t="n"/>
      <c r="AJ167" s="30" t="n"/>
      <c r="AK167" s="30" t="n"/>
      <c r="AL167" s="30" t="n"/>
      <c r="AM167" s="91" t="n"/>
      <c r="AN167" s="91" t="n"/>
      <c r="AO167" s="91" t="n"/>
      <c r="AP167" s="91" t="n"/>
      <c r="AQ167" s="91" t="n"/>
      <c r="AR167" s="91" t="n"/>
      <c r="AS167" s="91" t="n"/>
      <c r="AT167" s="91" t="n"/>
      <c r="AU167" s="91" t="n"/>
      <c r="AV167" s="31" t="n"/>
      <c r="AW167" s="36" t="n"/>
      <c r="AX167" s="16" t="n"/>
      <c r="AY167" s="31" t="n"/>
      <c r="AZ167" s="92" t="n"/>
      <c r="BA167" s="91" t="n"/>
      <c r="BB167" s="91" t="n"/>
      <c r="BC167" s="91" t="n"/>
      <c r="BD167" s="91" t="n"/>
      <c r="BE167" s="91" t="n"/>
      <c r="BF167" s="91" t="n"/>
      <c r="BG167" s="91" t="n"/>
      <c r="BH167" s="91" t="n"/>
      <c r="BI167" s="91" t="n"/>
      <c r="BJ167" s="91" t="n"/>
      <c r="BK167" s="91" t="n"/>
      <c r="BL167" s="91" t="n"/>
      <c r="BM167" s="91" t="n"/>
      <c r="BN167" s="91" t="n"/>
      <c r="BO167" s="91" t="n"/>
      <c r="BP167" s="91" t="n"/>
      <c r="BQ167" s="91" t="n"/>
      <c r="BR167" s="91" t="n"/>
      <c r="BS167" s="91" t="n"/>
      <c r="BT167" s="91" t="n"/>
      <c r="BU167" s="91" t="n"/>
      <c r="BV167" s="91" t="n"/>
      <c r="BW167" s="91" t="n"/>
      <c r="BX167" s="91" t="n"/>
      <c r="BY167" s="91" t="n"/>
      <c r="BZ167" s="91">
        <f>SUM(BN167:BY167)</f>
        <v/>
      </c>
      <c r="CA167" s="91" t="n"/>
      <c r="CB167" s="91" t="n"/>
      <c r="CC167" s="91" t="n"/>
      <c r="CD167" s="91" t="n"/>
      <c r="CE167" s="91" t="n"/>
      <c r="CF167" s="91" t="n">
        <v>10207</v>
      </c>
      <c r="CG167" s="91" t="n"/>
      <c r="CH167" s="91" t="n">
        <v>34</v>
      </c>
      <c r="CI167" s="91" t="n"/>
      <c r="CJ167" s="91" t="inlineStr"/>
      <c r="CK167" s="91" t="n"/>
      <c r="CL167" s="91" t="inlineStr"/>
      <c r="CM167" s="91">
        <f>SUM(CA167:CL167)</f>
        <v/>
      </c>
      <c r="CN167" s="91" t="n"/>
      <c r="CO167" s="91" t="n"/>
      <c r="CP167" s="91" t="n"/>
      <c r="CQ167" s="93" t="n"/>
      <c r="CR167" s="94" t="n"/>
      <c r="CS167" s="94" t="n"/>
      <c r="CT167" s="91" t="n"/>
      <c r="CU167" s="91" t="n"/>
      <c r="CV167" s="91" t="n"/>
      <c r="CW167" s="91" t="n"/>
      <c r="CX167" s="91" t="n"/>
      <c r="CY167" s="91" t="n"/>
      <c r="CZ167" s="91">
        <f>SUM(CN167:CY167)</f>
        <v/>
      </c>
      <c r="DA167" s="35" t="n"/>
    </row>
    <row r="168" ht="45" customFormat="1" customHeight="1" s="1">
      <c r="A168" s="30" t="n">
        <v>167</v>
      </c>
      <c r="B168" s="31" t="inlineStr">
        <is>
          <t>湖南省</t>
        </is>
      </c>
      <c r="C168" s="31" t="inlineStr">
        <is>
          <t>长沙市</t>
        </is>
      </c>
      <c r="D168" s="31" t="inlineStr">
        <is>
          <t>罗德志</t>
        </is>
      </c>
      <c r="E168" s="89" t="n"/>
      <c r="F168" s="27" t="inlineStr">
        <is>
          <t>2025/2026</t>
        </is>
      </c>
      <c r="G168" s="27" t="inlineStr">
        <is>
          <t>3/4/5/6/7/11</t>
        </is>
      </c>
      <c r="H168" s="91">
        <f>279190+108161</f>
        <v/>
      </c>
      <c r="I168" s="83" t="n">
        <v>69338</v>
      </c>
      <c r="J168" s="91" t="n">
        <v>1999</v>
      </c>
      <c r="K168" s="91">
        <f>+H168+I168+J168</f>
        <v/>
      </c>
      <c r="L168" s="91" t="n">
        <v>5</v>
      </c>
      <c r="M168" s="91">
        <f>298812+8700+1173+206</f>
        <v/>
      </c>
      <c r="N168" s="91" t="n"/>
      <c r="O168" s="91" t="n"/>
      <c r="P168" s="91" t="n"/>
      <c r="Q168" s="91" t="n"/>
      <c r="R168" s="91" t="n"/>
      <c r="S168" s="91" t="n"/>
      <c r="T168" s="91" t="n"/>
      <c r="U168" s="91" t="n"/>
      <c r="V168" s="91" t="n"/>
      <c r="W168" s="91" t="n"/>
      <c r="X168" s="91" t="n"/>
      <c r="Y168" s="91" t="n"/>
      <c r="Z168" s="91" t="n"/>
      <c r="AA168" s="91" t="n"/>
      <c r="AB168" s="91" t="n"/>
      <c r="AC168" s="91" t="n"/>
      <c r="AD168" s="91" t="n"/>
      <c r="AE168" s="91" t="n"/>
      <c r="AF168" s="91" t="n"/>
      <c r="AG168" s="30" t="n"/>
      <c r="AH168" s="30" t="n"/>
      <c r="AI168" s="30" t="n"/>
      <c r="AJ168" s="30" t="n"/>
      <c r="AK168" s="30" t="n"/>
      <c r="AL168" s="30" t="n"/>
      <c r="AM168" s="91" t="n"/>
      <c r="AN168" s="91" t="n"/>
      <c r="AO168" s="91" t="n"/>
      <c r="AP168" s="91" t="n"/>
      <c r="AQ168" s="91" t="n"/>
      <c r="AR168" s="91" t="n"/>
      <c r="AS168" s="91" t="n"/>
      <c r="AT168" s="91" t="n"/>
      <c r="AU168" s="91" t="n"/>
      <c r="AV168" s="31" t="n"/>
      <c r="AW168" s="36" t="n"/>
      <c r="AX168" s="16" t="n"/>
      <c r="AY168" s="31" t="n"/>
      <c r="AZ168" s="92" t="n"/>
      <c r="BA168" s="91" t="n"/>
      <c r="BB168" s="91" t="n"/>
      <c r="BC168" s="91" t="n"/>
      <c r="BD168" s="91" t="n"/>
      <c r="BE168" s="91" t="n"/>
      <c r="BF168" s="91" t="n"/>
      <c r="BG168" s="91" t="n"/>
      <c r="BH168" s="91" t="n"/>
      <c r="BI168" s="91" t="n"/>
      <c r="BJ168" s="91" t="n"/>
      <c r="BK168" s="91" t="n"/>
      <c r="BL168" s="91" t="n"/>
      <c r="BM168" s="91" t="n"/>
      <c r="BN168" s="91" t="n"/>
      <c r="BO168" s="91" t="n"/>
      <c r="BP168" s="91" t="n"/>
      <c r="BQ168" s="91" t="n"/>
      <c r="BR168" s="91" t="n"/>
      <c r="BS168" s="91" t="n"/>
      <c r="BT168" s="91" t="n"/>
      <c r="BU168" s="91" t="n"/>
      <c r="BV168" s="91" t="n"/>
      <c r="BW168" s="91" t="n"/>
      <c r="BX168" s="91" t="n"/>
      <c r="BY168" s="91" t="n"/>
      <c r="BZ168" s="91">
        <f>SUM(BN168:BY168)</f>
        <v/>
      </c>
      <c r="CA168" s="91" t="n"/>
      <c r="CB168" s="101" t="n">
        <v>1899.75</v>
      </c>
      <c r="CC168" s="101" t="n"/>
      <c r="CD168" s="101" t="n"/>
      <c r="CE168" s="91" t="n">
        <v>232.43</v>
      </c>
      <c r="CF168" s="91" t="n"/>
      <c r="CG168" s="91" t="n"/>
      <c r="CH168" s="91" t="inlineStr"/>
      <c r="CI168" s="91" t="n">
        <v>39413.56</v>
      </c>
      <c r="CJ168" s="91" t="n">
        <v>2062.57</v>
      </c>
      <c r="CK168" s="91" t="n">
        <v>113657.66</v>
      </c>
      <c r="CL168" s="91" t="n">
        <v>59165.78</v>
      </c>
      <c r="CM168" s="91">
        <f>SUM(CA168:CL168)</f>
        <v/>
      </c>
      <c r="CN168" s="91" t="n"/>
      <c r="CO168" s="91" t="n"/>
      <c r="CP168" s="91" t="n"/>
      <c r="CQ168" s="93" t="n"/>
      <c r="CR168" s="94" t="n"/>
      <c r="CS168" s="94" t="n"/>
      <c r="CT168" s="91" t="n"/>
      <c r="CU168" s="91" t="n"/>
      <c r="CV168" s="91" t="n"/>
      <c r="CW168" s="91" t="n"/>
      <c r="CX168" s="91" t="n"/>
      <c r="CY168" s="91" t="n"/>
      <c r="CZ168" s="91">
        <f>SUM(CN168:CY168)</f>
        <v/>
      </c>
      <c r="DA168" s="35" t="n"/>
    </row>
    <row r="169" ht="20" customFormat="1" customHeight="1" s="1">
      <c r="A169" s="30" t="n">
        <v>168</v>
      </c>
      <c r="B169" s="31" t="inlineStr">
        <is>
          <t>江苏省</t>
        </is>
      </c>
      <c r="C169" s="31" t="inlineStr">
        <is>
          <t>句容市</t>
        </is>
      </c>
      <c r="D169" s="31" t="inlineStr">
        <is>
          <t>李丽</t>
        </is>
      </c>
      <c r="E169" s="89" t="n"/>
      <c r="F169" s="27" t="inlineStr">
        <is>
          <t>2025</t>
        </is>
      </c>
      <c r="G169" s="27" t="inlineStr">
        <is>
          <t>3/4/10</t>
        </is>
      </c>
      <c r="H169" s="91">
        <f>30990+2652.96+49040+2830</f>
        <v/>
      </c>
      <c r="I169" s="91" t="n">
        <v>87600.66</v>
      </c>
      <c r="J169" s="91" t="n"/>
      <c r="K169" s="91">
        <f>+H169+I169+J169</f>
        <v/>
      </c>
      <c r="L169" s="91" t="n">
        <v>5</v>
      </c>
      <c r="M169" s="91" t="n">
        <v>96782</v>
      </c>
      <c r="N169" s="91" t="n"/>
      <c r="O169" s="91" t="n"/>
      <c r="P169" s="91" t="n"/>
      <c r="Q169" s="91" t="n"/>
      <c r="R169" s="91" t="n"/>
      <c r="S169" s="91" t="n"/>
      <c r="T169" s="91" t="n"/>
      <c r="U169" s="91" t="n"/>
      <c r="V169" s="91" t="n"/>
      <c r="W169" s="91" t="n"/>
      <c r="X169" s="91" t="n"/>
      <c r="Y169" s="91" t="n"/>
      <c r="Z169" s="91" t="n"/>
      <c r="AA169" s="91" t="n"/>
      <c r="AB169" s="91" t="n"/>
      <c r="AC169" s="91" t="n"/>
      <c r="AD169" s="91" t="n"/>
      <c r="AE169" s="91" t="n"/>
      <c r="AF169" s="91" t="n"/>
      <c r="AG169" s="30" t="n"/>
      <c r="AH169" s="30" t="n"/>
      <c r="AI169" s="30" t="n"/>
      <c r="AJ169" s="30" t="n"/>
      <c r="AK169" s="30" t="n"/>
      <c r="AL169" s="30" t="n"/>
      <c r="AM169" s="91" t="n"/>
      <c r="AN169" s="91" t="n"/>
      <c r="AO169" s="91" t="n"/>
      <c r="AP169" s="91" t="n"/>
      <c r="AQ169" s="91" t="n"/>
      <c r="AR169" s="91" t="n"/>
      <c r="AS169" s="91" t="n"/>
      <c r="AT169" s="91" t="n"/>
      <c r="AU169" s="91" t="n"/>
      <c r="AV169" s="31" t="n"/>
      <c r="AW169" s="36" t="n"/>
      <c r="AX169" s="16" t="n"/>
      <c r="AY169" s="31" t="n"/>
      <c r="AZ169" s="92" t="n"/>
      <c r="BA169" s="91" t="n"/>
      <c r="BB169" s="91" t="n"/>
      <c r="BC169" s="91" t="n"/>
      <c r="BD169" s="91" t="n"/>
      <c r="BE169" s="91" t="n"/>
      <c r="BF169" s="91" t="n"/>
      <c r="BG169" s="91" t="n"/>
      <c r="BH169" s="91" t="n"/>
      <c r="BI169" s="91" t="n"/>
      <c r="BJ169" s="91" t="n"/>
      <c r="BK169" s="91" t="n"/>
      <c r="BL169" s="91" t="n"/>
      <c r="BM169" s="91" t="n"/>
      <c r="BN169" s="91" t="n"/>
      <c r="BO169" s="91" t="n"/>
      <c r="BP169" s="91" t="n"/>
      <c r="BQ169" s="91" t="n"/>
      <c r="BR169" s="91" t="n"/>
      <c r="BS169" s="91" t="n"/>
      <c r="BT169" s="91" t="n"/>
      <c r="BU169" s="91" t="n"/>
      <c r="BV169" s="91" t="n"/>
      <c r="BW169" s="91" t="n"/>
      <c r="BX169" s="91" t="n"/>
      <c r="BY169" s="91" t="n"/>
      <c r="BZ169" s="91">
        <f>SUM(BN169:BY169)</f>
        <v/>
      </c>
      <c r="CA169" s="91" t="n"/>
      <c r="CB169" s="91" t="n"/>
      <c r="CC169" s="91" t="n"/>
      <c r="CD169" s="91" t="n"/>
      <c r="CE169" s="91" t="n">
        <v>829</v>
      </c>
      <c r="CF169" s="91" t="n"/>
      <c r="CG169" s="91" t="n"/>
      <c r="CH169" s="91" t="n">
        <v>61769</v>
      </c>
      <c r="CI169" s="91" t="n">
        <v>1420</v>
      </c>
      <c r="CJ169" s="91" t="n">
        <v>25985.45</v>
      </c>
      <c r="CK169" s="91" t="n"/>
      <c r="CL169" s="91" t="n">
        <v>3609.5</v>
      </c>
      <c r="CM169" s="91">
        <f>SUM(CA169:CL169)</f>
        <v/>
      </c>
      <c r="CN169" s="91" t="n"/>
      <c r="CO169" s="91" t="n"/>
      <c r="CP169" s="91" t="n"/>
      <c r="CQ169" s="93" t="n"/>
      <c r="CR169" s="94" t="n"/>
      <c r="CS169" s="94" t="n"/>
      <c r="CT169" s="91" t="n"/>
      <c r="CU169" s="91" t="n"/>
      <c r="CV169" s="91" t="n"/>
      <c r="CW169" s="91" t="n"/>
      <c r="CX169" s="91" t="n"/>
      <c r="CY169" s="91" t="n"/>
      <c r="CZ169" s="91">
        <f>SUM(CN169:CY169)</f>
        <v/>
      </c>
      <c r="DA169" s="35" t="n"/>
    </row>
    <row r="170" ht="20" customFormat="1" customHeight="1" s="1">
      <c r="A170" s="30" t="n">
        <v>169</v>
      </c>
      <c r="B170" s="31" t="inlineStr">
        <is>
          <t>江苏省</t>
        </is>
      </c>
      <c r="C170" s="31" t="inlineStr">
        <is>
          <t>苏州市</t>
        </is>
      </c>
      <c r="D170" s="31" t="inlineStr">
        <is>
          <t>周柏明</t>
        </is>
      </c>
      <c r="E170" s="89" t="n"/>
      <c r="F170" s="27" t="inlineStr">
        <is>
          <t>2025</t>
        </is>
      </c>
      <c r="G170" s="27" t="inlineStr">
        <is>
          <t>3/4/5/6/7</t>
        </is>
      </c>
      <c r="H170" s="91">
        <f>160520.55+34372+2038+26416+3168.73+1479+106</f>
        <v/>
      </c>
      <c r="I170" s="91">
        <f>134693.29+1414+1380</f>
        <v/>
      </c>
      <c r="J170" s="91">
        <f>4800+569</f>
        <v/>
      </c>
      <c r="K170" s="91">
        <f>+H170+I170+J170</f>
        <v/>
      </c>
      <c r="L170" s="91" t="n">
        <v>5</v>
      </c>
      <c r="M170" s="91">
        <f>238417+286+1146+1380</f>
        <v/>
      </c>
      <c r="N170" s="91" t="n"/>
      <c r="O170" s="91" t="n"/>
      <c r="P170" s="91" t="n"/>
      <c r="Q170" s="91" t="n"/>
      <c r="R170" s="91" t="n"/>
      <c r="S170" s="91" t="n"/>
      <c r="T170" s="91" t="n"/>
      <c r="U170" s="91" t="n"/>
      <c r="V170" s="91" t="n"/>
      <c r="W170" s="91" t="n"/>
      <c r="X170" s="91" t="n"/>
      <c r="Y170" s="91" t="n"/>
      <c r="Z170" s="91" t="n"/>
      <c r="AA170" s="91" t="n"/>
      <c r="AB170" s="91" t="n"/>
      <c r="AC170" s="91" t="n"/>
      <c r="AD170" s="91" t="n"/>
      <c r="AE170" s="91" t="n"/>
      <c r="AF170" s="91" t="n"/>
      <c r="AG170" s="30" t="n"/>
      <c r="AH170" s="30" t="n"/>
      <c r="AI170" s="30" t="n"/>
      <c r="AJ170" s="30" t="n"/>
      <c r="AK170" s="30" t="n"/>
      <c r="AL170" s="30" t="n"/>
      <c r="AM170" s="91" t="n"/>
      <c r="AN170" s="91" t="n"/>
      <c r="AO170" s="91" t="n"/>
      <c r="AP170" s="91" t="n"/>
      <c r="AQ170" s="91" t="n"/>
      <c r="AR170" s="91" t="n"/>
      <c r="AS170" s="91" t="n"/>
      <c r="AT170" s="91" t="n"/>
      <c r="AU170" s="91" t="n"/>
      <c r="AV170" s="31" t="n"/>
      <c r="AW170" s="36" t="n"/>
      <c r="AX170" s="16" t="n"/>
      <c r="AY170" s="31" t="n"/>
      <c r="AZ170" s="92" t="n"/>
      <c r="BA170" s="91" t="n"/>
      <c r="BB170" s="91" t="n"/>
      <c r="BC170" s="91" t="n"/>
      <c r="BD170" s="91" t="n"/>
      <c r="BE170" s="91" t="n"/>
      <c r="BF170" s="91" t="n"/>
      <c r="BG170" s="91" t="n"/>
      <c r="BH170" s="91" t="n"/>
      <c r="BI170" s="91" t="n"/>
      <c r="BJ170" s="91" t="n"/>
      <c r="BK170" s="91" t="n"/>
      <c r="BL170" s="91" t="n"/>
      <c r="BM170" s="91" t="n"/>
      <c r="BN170" s="91" t="n"/>
      <c r="BO170" s="91" t="n"/>
      <c r="BP170" s="91" t="n"/>
      <c r="BQ170" s="91" t="n"/>
      <c r="BR170" s="91" t="n"/>
      <c r="BS170" s="91" t="n"/>
      <c r="BT170" s="91" t="n"/>
      <c r="BU170" s="91" t="n"/>
      <c r="BV170" s="91" t="n"/>
      <c r="BW170" s="91" t="n"/>
      <c r="BX170" s="91" t="n"/>
      <c r="BY170" s="91" t="n"/>
      <c r="BZ170" s="91">
        <f>SUM(BN170:BY170)</f>
        <v/>
      </c>
      <c r="CA170" s="91" t="n"/>
      <c r="CB170" s="91" t="n"/>
      <c r="CC170" s="91" t="n"/>
      <c r="CD170" s="91" t="n">
        <v>27266.01</v>
      </c>
      <c r="CE170" s="91" t="n">
        <v>1889.21</v>
      </c>
      <c r="CF170" s="91" t="n">
        <v>74899.03999999999</v>
      </c>
      <c r="CG170" s="91" t="n">
        <v>12226.55</v>
      </c>
      <c r="CH170" s="91" t="n">
        <v>144867.74</v>
      </c>
      <c r="CI170" s="91" t="n">
        <v>8171.13</v>
      </c>
      <c r="CJ170" s="91" t="n">
        <v>526.45</v>
      </c>
      <c r="CK170" s="91" t="n">
        <v>156310.75</v>
      </c>
      <c r="CL170" s="91" t="n">
        <v>165941.01</v>
      </c>
      <c r="CM170" s="91">
        <f>SUM(CA170:CL170)</f>
        <v/>
      </c>
      <c r="CN170" s="91" t="n"/>
      <c r="CO170" s="91" t="n"/>
      <c r="CP170" s="91" t="n"/>
      <c r="CQ170" s="93" t="n"/>
      <c r="CR170" s="94" t="n"/>
      <c r="CS170" s="94" t="n"/>
      <c r="CT170" s="91" t="n"/>
      <c r="CU170" s="91" t="n"/>
      <c r="CV170" s="91" t="n"/>
      <c r="CW170" s="91" t="n"/>
      <c r="CX170" s="91" t="n"/>
      <c r="CY170" s="91" t="n"/>
      <c r="CZ170" s="91">
        <f>SUM(CN170:CY170)</f>
        <v/>
      </c>
      <c r="DA170" s="35" t="n"/>
    </row>
    <row r="171" ht="20" customFormat="1" customHeight="1" s="1">
      <c r="A171" s="30" t="n">
        <v>170</v>
      </c>
      <c r="B171" s="31" t="inlineStr">
        <is>
          <t>江苏省</t>
        </is>
      </c>
      <c r="C171" s="31" t="inlineStr">
        <is>
          <t>扬州市</t>
        </is>
      </c>
      <c r="D171" s="31" t="inlineStr">
        <is>
          <t>孙素芳</t>
        </is>
      </c>
      <c r="E171" s="89" t="n"/>
      <c r="F171" s="27" t="inlineStr">
        <is>
          <t>2025</t>
        </is>
      </c>
      <c r="G171" s="27" t="inlineStr">
        <is>
          <t>3/4</t>
        </is>
      </c>
      <c r="H171" s="91">
        <f>80010+29163</f>
        <v/>
      </c>
      <c r="I171" s="91" t="n">
        <v>33410</v>
      </c>
      <c r="J171" s="91" t="n"/>
      <c r="K171" s="91">
        <f>+H171+I171+J171</f>
        <v/>
      </c>
      <c r="L171" s="91" t="inlineStr">
        <is>
          <t>8折/5折</t>
        </is>
      </c>
      <c r="M171" s="91">
        <f>57638+18896+17924</f>
        <v/>
      </c>
      <c r="N171" s="91" t="n"/>
      <c r="O171" s="91" t="n"/>
      <c r="P171" s="91" t="n"/>
      <c r="Q171" s="91" t="n"/>
      <c r="R171" s="91" t="n"/>
      <c r="S171" s="91" t="n"/>
      <c r="T171" s="91" t="n"/>
      <c r="U171" s="91" t="n"/>
      <c r="V171" s="91" t="n"/>
      <c r="W171" s="91" t="n"/>
      <c r="X171" s="91" t="n"/>
      <c r="Y171" s="91" t="n"/>
      <c r="Z171" s="91" t="n"/>
      <c r="AA171" s="91" t="n"/>
      <c r="AB171" s="91" t="n"/>
      <c r="AC171" s="91" t="n"/>
      <c r="AD171" s="91" t="n"/>
      <c r="AE171" s="91" t="n"/>
      <c r="AF171" s="91" t="n"/>
      <c r="AG171" s="30" t="n"/>
      <c r="AH171" s="30" t="n"/>
      <c r="AI171" s="30" t="n"/>
      <c r="AJ171" s="30" t="n"/>
      <c r="AK171" s="30" t="n"/>
      <c r="AL171" s="30" t="n"/>
      <c r="AM171" s="91" t="n"/>
      <c r="AN171" s="91" t="n"/>
      <c r="AO171" s="91" t="n"/>
      <c r="AP171" s="91" t="n"/>
      <c r="AQ171" s="91" t="n"/>
      <c r="AR171" s="91" t="n"/>
      <c r="AS171" s="91" t="n"/>
      <c r="AT171" s="91" t="n"/>
      <c r="AU171" s="91" t="n"/>
      <c r="AV171" s="31" t="n"/>
      <c r="AW171" s="36" t="n"/>
      <c r="AX171" s="16" t="n"/>
      <c r="AY171" s="31" t="n"/>
      <c r="AZ171" s="92" t="n"/>
      <c r="BA171" s="91" t="n"/>
      <c r="BB171" s="91" t="n"/>
      <c r="BC171" s="91" t="n"/>
      <c r="BD171" s="91" t="n"/>
      <c r="BE171" s="91" t="n"/>
      <c r="BF171" s="91" t="n"/>
      <c r="BG171" s="91" t="n"/>
      <c r="BH171" s="91" t="n"/>
      <c r="BI171" s="91" t="n"/>
      <c r="BJ171" s="91" t="n"/>
      <c r="BK171" s="91" t="n"/>
      <c r="BL171" s="91" t="n"/>
      <c r="BM171" s="91" t="n"/>
      <c r="BN171" s="91" t="n"/>
      <c r="BO171" s="91" t="n"/>
      <c r="BP171" s="91" t="n"/>
      <c r="BQ171" s="91" t="n"/>
      <c r="BR171" s="91" t="n"/>
      <c r="BS171" s="91" t="n"/>
      <c r="BT171" s="91" t="n"/>
      <c r="BU171" s="91" t="n"/>
      <c r="BV171" s="91" t="n"/>
      <c r="BW171" s="91" t="n"/>
      <c r="BX171" s="91" t="n"/>
      <c r="BY171" s="91" t="n"/>
      <c r="BZ171" s="91">
        <f>SUM(BN171:BY171)</f>
        <v/>
      </c>
      <c r="CA171" s="91" t="n"/>
      <c r="CB171" s="91" t="n"/>
      <c r="CC171" s="91" t="n"/>
      <c r="CD171" s="91" t="n">
        <v>2491.54</v>
      </c>
      <c r="CE171" s="91" t="n"/>
      <c r="CF171" s="91" t="n">
        <v>7390</v>
      </c>
      <c r="CG171" s="91" t="n">
        <v>9073.790000000001</v>
      </c>
      <c r="CH171" s="91" t="n">
        <v>234.88</v>
      </c>
      <c r="CI171" s="91" t="n"/>
      <c r="CJ171" s="91" t="inlineStr"/>
      <c r="CK171" s="91" t="n">
        <v>38967.98</v>
      </c>
      <c r="CL171" s="91" t="n">
        <v>1518.38</v>
      </c>
      <c r="CM171" s="91">
        <f>SUM(CA171:CL171)</f>
        <v/>
      </c>
      <c r="CN171" s="91" t="n"/>
      <c r="CO171" s="91" t="n"/>
      <c r="CP171" s="91" t="n"/>
      <c r="CQ171" s="93" t="n"/>
      <c r="CR171" s="94" t="n"/>
      <c r="CS171" s="94" t="n"/>
      <c r="CT171" s="91" t="n"/>
      <c r="CU171" s="91" t="n"/>
      <c r="CV171" s="91" t="n"/>
      <c r="CW171" s="91" t="n"/>
      <c r="CX171" s="91" t="n"/>
      <c r="CY171" s="91" t="n"/>
      <c r="CZ171" s="91">
        <f>SUM(CN171:CY171)</f>
        <v/>
      </c>
      <c r="DA171" s="35" t="n"/>
    </row>
    <row r="172" ht="20" customFormat="1" customHeight="1" s="1">
      <c r="A172" s="30" t="n">
        <v>172</v>
      </c>
      <c r="B172" s="31" t="inlineStr">
        <is>
          <t>山西</t>
        </is>
      </c>
      <c r="C172" s="31" t="inlineStr">
        <is>
          <t>沁县</t>
        </is>
      </c>
      <c r="D172" s="31" t="inlineStr">
        <is>
          <t>成伟</t>
        </is>
      </c>
      <c r="E172" s="89" t="n"/>
      <c r="F172" s="27" t="inlineStr">
        <is>
          <t>2025</t>
        </is>
      </c>
      <c r="G172" s="27" t="inlineStr">
        <is>
          <t>3</t>
        </is>
      </c>
      <c r="H172" s="91">
        <f>70247+954</f>
        <v/>
      </c>
      <c r="I172" s="91" t="n"/>
      <c r="J172" s="91" t="n"/>
      <c r="K172" s="91">
        <f>+H172+I172+J172</f>
        <v/>
      </c>
      <c r="L172" s="91" t="n">
        <v>5</v>
      </c>
      <c r="M172" s="91" t="n">
        <v>42701</v>
      </c>
      <c r="N172" s="91" t="n"/>
      <c r="O172" s="91" t="n"/>
      <c r="P172" s="91" t="n"/>
      <c r="Q172" s="91" t="n"/>
      <c r="R172" s="91" t="n"/>
      <c r="S172" s="91" t="n"/>
      <c r="T172" s="91" t="n"/>
      <c r="U172" s="91" t="n"/>
      <c r="V172" s="91" t="n"/>
      <c r="W172" s="91" t="n"/>
      <c r="X172" s="91" t="n"/>
      <c r="Y172" s="91" t="n"/>
      <c r="Z172" s="91" t="n"/>
      <c r="AA172" s="91" t="n"/>
      <c r="AB172" s="91" t="n"/>
      <c r="AC172" s="91" t="n"/>
      <c r="AD172" s="91" t="n"/>
      <c r="AE172" s="91" t="n"/>
      <c r="AF172" s="91" t="n"/>
      <c r="AG172" s="30" t="n"/>
      <c r="AH172" s="30" t="n"/>
      <c r="AI172" s="30" t="n"/>
      <c r="AJ172" s="30" t="n"/>
      <c r="AK172" s="30" t="n"/>
      <c r="AL172" s="30" t="n"/>
      <c r="AM172" s="91" t="n"/>
      <c r="AN172" s="91" t="n"/>
      <c r="AO172" s="91" t="n"/>
      <c r="AP172" s="91" t="n"/>
      <c r="AQ172" s="91" t="n"/>
      <c r="AR172" s="91" t="n"/>
      <c r="AS172" s="91" t="n"/>
      <c r="AT172" s="91" t="n"/>
      <c r="AU172" s="91" t="n"/>
      <c r="AV172" s="31" t="n"/>
      <c r="AW172" s="36" t="n"/>
      <c r="AX172" s="16" t="n"/>
      <c r="AY172" s="31" t="n"/>
      <c r="AZ172" s="92" t="n"/>
      <c r="BA172" s="91" t="n"/>
      <c r="BB172" s="91" t="n"/>
      <c r="BC172" s="91" t="n"/>
      <c r="BD172" s="91" t="n"/>
      <c r="BE172" s="91" t="n"/>
      <c r="BF172" s="91" t="n"/>
      <c r="BG172" s="91" t="n"/>
      <c r="BH172" s="91" t="n"/>
      <c r="BI172" s="91" t="n"/>
      <c r="BJ172" s="91" t="n"/>
      <c r="BK172" s="91" t="n"/>
      <c r="BL172" s="91" t="n"/>
      <c r="BM172" s="91" t="n"/>
      <c r="BN172" s="91" t="n"/>
      <c r="BO172" s="91" t="n"/>
      <c r="BP172" s="91" t="n"/>
      <c r="BQ172" s="91" t="n"/>
      <c r="BR172" s="91" t="n"/>
      <c r="BS172" s="91" t="n"/>
      <c r="BT172" s="91" t="n"/>
      <c r="BU172" s="91" t="n"/>
      <c r="BV172" s="91" t="n"/>
      <c r="BW172" s="91" t="n"/>
      <c r="BX172" s="91" t="n"/>
      <c r="BY172" s="91" t="n"/>
      <c r="BZ172" s="91">
        <f>SUM(BN172:BY172)</f>
        <v/>
      </c>
      <c r="CA172" s="91" t="n"/>
      <c r="CB172" s="91" t="n"/>
      <c r="CC172" s="91" t="n"/>
      <c r="CD172" s="91" t="n"/>
      <c r="CE172" s="91" t="n"/>
      <c r="CF172" s="91" t="n"/>
      <c r="CG172" s="91" t="n"/>
      <c r="CH172" s="91" t="inlineStr"/>
      <c r="CI172" s="91" t="n"/>
      <c r="CJ172" s="91" t="inlineStr"/>
      <c r="CK172" s="91" t="n"/>
      <c r="CL172" s="91" t="inlineStr"/>
      <c r="CM172" s="91">
        <f>SUM(CA172:CL172)</f>
        <v/>
      </c>
      <c r="CN172" s="91" t="n"/>
      <c r="CO172" s="91" t="n"/>
      <c r="CP172" s="91" t="n"/>
      <c r="CQ172" s="93" t="n"/>
      <c r="CR172" s="94" t="n"/>
      <c r="CS172" s="94" t="n"/>
      <c r="CT172" s="91" t="n"/>
      <c r="CU172" s="91" t="n"/>
      <c r="CV172" s="91" t="n"/>
      <c r="CW172" s="91" t="n"/>
      <c r="CX172" s="91" t="n"/>
      <c r="CY172" s="91" t="n"/>
      <c r="CZ172" s="91">
        <f>SUM(CN172:CY172)</f>
        <v/>
      </c>
      <c r="DA172" s="35" t="n"/>
    </row>
    <row r="173" ht="20" customFormat="1" customHeight="1" s="1">
      <c r="A173" s="30" t="n">
        <v>173</v>
      </c>
      <c r="B173" s="31" t="inlineStr">
        <is>
          <t>陕西</t>
        </is>
      </c>
      <c r="C173" s="31" t="inlineStr">
        <is>
          <t>富平</t>
        </is>
      </c>
      <c r="D173" s="31" t="inlineStr">
        <is>
          <t>郝时时</t>
        </is>
      </c>
      <c r="E173" s="89" t="n"/>
      <c r="F173" s="27" t="inlineStr">
        <is>
          <t>2025</t>
        </is>
      </c>
      <c r="G173" s="27" t="inlineStr">
        <is>
          <t>3/4/5/6</t>
        </is>
      </c>
      <c r="H173" s="91">
        <f>48065+17831.45+719+412.8</f>
        <v/>
      </c>
      <c r="I173" s="91">
        <f>10750.72+4146</f>
        <v/>
      </c>
      <c r="J173" s="91" t="n"/>
      <c r="K173" s="91">
        <f>+H173+I173+J173</f>
        <v/>
      </c>
      <c r="L173" s="91" t="n">
        <v>5</v>
      </c>
      <c r="M173" s="91" t="n">
        <v>55608</v>
      </c>
      <c r="N173" s="91" t="n"/>
      <c r="O173" s="91" t="n"/>
      <c r="P173" s="91" t="n"/>
      <c r="Q173" s="91" t="n"/>
      <c r="R173" s="91" t="n"/>
      <c r="S173" s="91" t="n"/>
      <c r="T173" s="91" t="n"/>
      <c r="U173" s="91" t="n"/>
      <c r="V173" s="91" t="n"/>
      <c r="W173" s="91" t="n"/>
      <c r="X173" s="91" t="n"/>
      <c r="Y173" s="91" t="n"/>
      <c r="Z173" s="91" t="n"/>
      <c r="AA173" s="91" t="n"/>
      <c r="AB173" s="91" t="n"/>
      <c r="AC173" s="91" t="n"/>
      <c r="AD173" s="91" t="n"/>
      <c r="AE173" s="91" t="n"/>
      <c r="AF173" s="91" t="n"/>
      <c r="AG173" s="30" t="n"/>
      <c r="AH173" s="30" t="n"/>
      <c r="AI173" s="30" t="n"/>
      <c r="AJ173" s="30" t="n"/>
      <c r="AK173" s="30" t="n"/>
      <c r="AL173" s="30" t="n"/>
      <c r="AM173" s="91" t="n"/>
      <c r="AN173" s="91" t="n"/>
      <c r="AO173" s="91" t="n"/>
      <c r="AP173" s="91" t="n"/>
      <c r="AQ173" s="91" t="n"/>
      <c r="AR173" s="91" t="n"/>
      <c r="AS173" s="91" t="n"/>
      <c r="AT173" s="91" t="n"/>
      <c r="AU173" s="91" t="n"/>
      <c r="AV173" s="31" t="n"/>
      <c r="AW173" s="36" t="n"/>
      <c r="AX173" s="16" t="n"/>
      <c r="AY173" s="31" t="n"/>
      <c r="AZ173" s="92" t="n"/>
      <c r="BA173" s="91" t="n"/>
      <c r="BB173" s="91" t="n"/>
      <c r="BC173" s="91" t="n"/>
      <c r="BD173" s="91" t="n"/>
      <c r="BE173" s="91" t="n"/>
      <c r="BF173" s="91" t="n"/>
      <c r="BG173" s="91" t="n"/>
      <c r="BH173" s="91" t="n"/>
      <c r="BI173" s="91" t="n"/>
      <c r="BJ173" s="91" t="n"/>
      <c r="BK173" s="91" t="n"/>
      <c r="BL173" s="91" t="n"/>
      <c r="BM173" s="91" t="n"/>
      <c r="BN173" s="91" t="n"/>
      <c r="BO173" s="91" t="n"/>
      <c r="BP173" s="91" t="n"/>
      <c r="BQ173" s="91" t="n"/>
      <c r="BR173" s="91" t="n"/>
      <c r="BS173" s="91" t="n"/>
      <c r="BT173" s="91" t="n"/>
      <c r="BU173" s="91" t="n"/>
      <c r="BV173" s="91" t="n"/>
      <c r="BW173" s="91" t="n"/>
      <c r="BX173" s="91" t="n"/>
      <c r="BY173" s="91" t="n"/>
      <c r="BZ173" s="91">
        <f>SUM(BN173:BY173)</f>
        <v/>
      </c>
      <c r="CA173" s="91" t="n"/>
      <c r="CB173" s="91" t="n"/>
      <c r="CC173" s="91" t="n"/>
      <c r="CD173" s="91" t="n">
        <v>23691</v>
      </c>
      <c r="CE173" s="91" t="n"/>
      <c r="CF173" s="91" t="n">
        <v>17999.26</v>
      </c>
      <c r="CG173" s="91" t="n"/>
      <c r="CH173" s="91" t="inlineStr"/>
      <c r="CI173" s="91" t="n">
        <v>320.68</v>
      </c>
      <c r="CJ173" s="91" t="n">
        <v>32583.75</v>
      </c>
      <c r="CK173" s="91" t="n">
        <v>78374.53999999999</v>
      </c>
      <c r="CL173" s="91" t="n">
        <v>17051.09</v>
      </c>
      <c r="CM173" s="91">
        <f>SUM(CA173:CL173)</f>
        <v/>
      </c>
      <c r="CN173" s="91" t="n"/>
      <c r="CO173" s="91" t="n"/>
      <c r="CP173" s="91" t="n"/>
      <c r="CQ173" s="93" t="n"/>
      <c r="CR173" s="94" t="n"/>
      <c r="CS173" s="94" t="n"/>
      <c r="CT173" s="91" t="n"/>
      <c r="CU173" s="91" t="n"/>
      <c r="CV173" s="91" t="n"/>
      <c r="CW173" s="91" t="n"/>
      <c r="CX173" s="91" t="n"/>
      <c r="CY173" s="91" t="n"/>
      <c r="CZ173" s="91">
        <f>SUM(CN173:CY173)</f>
        <v/>
      </c>
      <c r="DA173" s="35" t="n"/>
    </row>
    <row r="174" ht="20" customFormat="1" customHeight="1" s="1">
      <c r="A174" s="30" t="n">
        <v>174</v>
      </c>
      <c r="B174" s="31" t="inlineStr">
        <is>
          <t>江西</t>
        </is>
      </c>
      <c r="C174" s="31" t="inlineStr">
        <is>
          <t>共青城</t>
        </is>
      </c>
      <c r="D174" s="37" t="inlineStr">
        <is>
          <t>蔡超</t>
        </is>
      </c>
      <c r="E174" s="89" t="n"/>
      <c r="F174" s="66" t="inlineStr">
        <is>
          <t>2025/2026</t>
        </is>
      </c>
      <c r="G174" s="27" t="inlineStr">
        <is>
          <t>4/5/6</t>
        </is>
      </c>
      <c r="H174" s="91">
        <f>194178.85+16636+306+172472</f>
        <v/>
      </c>
      <c r="I174" s="91">
        <f>5439+1551+165+142983</f>
        <v/>
      </c>
      <c r="J174" s="91">
        <f>8561+11711</f>
        <v/>
      </c>
      <c r="K174" s="91">
        <f>+H174+I174+J174</f>
        <v/>
      </c>
      <c r="L174" s="91" t="n">
        <v>5</v>
      </c>
      <c r="M174" s="91">
        <f>134156+165</f>
        <v/>
      </c>
      <c r="N174" s="91" t="n"/>
      <c r="O174" s="91" t="n"/>
      <c r="P174" s="91" t="n"/>
      <c r="Q174" s="91" t="n"/>
      <c r="R174" s="91" t="n"/>
      <c r="S174" s="91" t="n"/>
      <c r="T174" s="91" t="n"/>
      <c r="U174" s="91" t="n"/>
      <c r="V174" s="91" t="n"/>
      <c r="W174" s="91" t="n"/>
      <c r="X174" s="91" t="n"/>
      <c r="Y174" s="91" t="n"/>
      <c r="Z174" s="91" t="n"/>
      <c r="AA174" s="91" t="n"/>
      <c r="AB174" s="91" t="n"/>
      <c r="AC174" s="91" t="n"/>
      <c r="AD174" s="91" t="n"/>
      <c r="AE174" s="91" t="n"/>
      <c r="AF174" s="91" t="n"/>
      <c r="AG174" s="30" t="n"/>
      <c r="AH174" s="30" t="n"/>
      <c r="AI174" s="30" t="n"/>
      <c r="AJ174" s="30" t="n"/>
      <c r="AK174" s="30" t="n"/>
      <c r="AL174" s="30" t="n"/>
      <c r="AM174" s="91" t="n"/>
      <c r="AN174" s="91" t="n"/>
      <c r="AO174" s="91" t="n"/>
      <c r="AP174" s="91" t="n"/>
      <c r="AQ174" s="91" t="n"/>
      <c r="AR174" s="91" t="n"/>
      <c r="AS174" s="91" t="n"/>
      <c r="AT174" s="91" t="n"/>
      <c r="AU174" s="91" t="n"/>
      <c r="AV174" s="31" t="n"/>
      <c r="AW174" s="36" t="n"/>
      <c r="AX174" s="16" t="n"/>
      <c r="AY174" s="31" t="n"/>
      <c r="AZ174" s="92" t="n"/>
      <c r="BA174" s="91" t="n"/>
      <c r="BB174" s="91" t="n"/>
      <c r="BC174" s="91" t="n"/>
      <c r="BD174" s="91" t="n"/>
      <c r="BE174" s="91" t="n"/>
      <c r="BF174" s="91" t="n"/>
      <c r="BG174" s="91" t="n"/>
      <c r="BH174" s="91" t="n"/>
      <c r="BI174" s="91" t="n"/>
      <c r="BJ174" s="91" t="n"/>
      <c r="BK174" s="91" t="n"/>
      <c r="BL174" s="91" t="n"/>
      <c r="BM174" s="91" t="n"/>
      <c r="BN174" s="91" t="n"/>
      <c r="BO174" s="91" t="n"/>
      <c r="BP174" s="91" t="n"/>
      <c r="BQ174" s="91" t="n"/>
      <c r="BR174" s="91" t="n"/>
      <c r="BS174" s="91" t="n"/>
      <c r="BT174" s="91" t="n"/>
      <c r="BU174" s="91" t="n"/>
      <c r="BV174" s="91" t="n"/>
      <c r="BW174" s="91" t="n"/>
      <c r="BX174" s="91" t="n"/>
      <c r="BY174" s="91" t="n"/>
      <c r="BZ174" s="91">
        <f>SUM(BN174:BY174)</f>
        <v/>
      </c>
      <c r="CA174" s="91" t="n"/>
      <c r="CB174" s="91" t="n"/>
      <c r="CC174" s="91" t="n"/>
      <c r="CD174" s="91" t="n"/>
      <c r="CE174" s="91" t="n">
        <v>56835.93</v>
      </c>
      <c r="CF174" s="91" t="n">
        <v>188801.59</v>
      </c>
      <c r="CG174" s="91" t="n">
        <v>36626.8</v>
      </c>
      <c r="CH174" s="91" t="n">
        <v>70148.12</v>
      </c>
      <c r="CI174" s="91" t="n">
        <v>228116.11</v>
      </c>
      <c r="CJ174" s="91" t="n">
        <v>175387.12</v>
      </c>
      <c r="CK174" s="91" t="n">
        <v>37534.64</v>
      </c>
      <c r="CL174" s="91" t="n">
        <v>414152.59</v>
      </c>
      <c r="CM174" s="91">
        <f>SUM(CA174:CL174)</f>
        <v/>
      </c>
      <c r="CN174" s="91" t="n"/>
      <c r="CO174" s="91" t="n"/>
      <c r="CP174" s="91" t="n"/>
      <c r="CQ174" s="93" t="n"/>
      <c r="CR174" s="94" t="n"/>
      <c r="CS174" s="94" t="n"/>
      <c r="CT174" s="91" t="n"/>
      <c r="CU174" s="91" t="n"/>
      <c r="CV174" s="91" t="n"/>
      <c r="CW174" s="91" t="n"/>
      <c r="CX174" s="91" t="n"/>
      <c r="CY174" s="91" t="n"/>
      <c r="CZ174" s="91">
        <f>SUM(CN174:CY174)</f>
        <v/>
      </c>
      <c r="DA174" s="35" t="n"/>
    </row>
    <row r="175" ht="20" customFormat="1" customHeight="1" s="1">
      <c r="A175" s="30" t="n">
        <v>175</v>
      </c>
      <c r="B175" s="31" t="inlineStr">
        <is>
          <t>江苏</t>
        </is>
      </c>
      <c r="C175" s="31" t="inlineStr">
        <is>
          <t>扬中市</t>
        </is>
      </c>
      <c r="D175" s="31" t="inlineStr">
        <is>
          <t>陈鑫</t>
        </is>
      </c>
      <c r="E175" s="89" t="n"/>
      <c r="F175" s="27" t="inlineStr">
        <is>
          <t>2025</t>
        </is>
      </c>
      <c r="G175" s="27" t="inlineStr">
        <is>
          <t>4/6/7/11</t>
        </is>
      </c>
      <c r="H175" s="91">
        <f>249332.56+1493+526+573</f>
        <v/>
      </c>
      <c r="I175" s="91" t="n">
        <v>3273</v>
      </c>
      <c r="J175" s="91" t="n">
        <v>1105</v>
      </c>
      <c r="K175" s="91">
        <f>+H175+I175+J175</f>
        <v/>
      </c>
      <c r="L175" s="91" t="n">
        <v>5</v>
      </c>
      <c r="M175" s="91">
        <f>150794+296+3273+573</f>
        <v/>
      </c>
      <c r="N175" s="91" t="n"/>
      <c r="O175" s="91" t="n"/>
      <c r="P175" s="91" t="n"/>
      <c r="Q175" s="91" t="n"/>
      <c r="R175" s="91" t="n"/>
      <c r="S175" s="91" t="n"/>
      <c r="T175" s="91" t="n"/>
      <c r="U175" s="91" t="n"/>
      <c r="V175" s="91" t="n"/>
      <c r="W175" s="91" t="n"/>
      <c r="X175" s="91" t="n"/>
      <c r="Y175" s="91" t="n"/>
      <c r="Z175" s="91" t="n"/>
      <c r="AA175" s="91" t="n"/>
      <c r="AB175" s="91" t="n"/>
      <c r="AC175" s="91" t="n"/>
      <c r="AD175" s="91" t="n"/>
      <c r="AE175" s="91" t="n"/>
      <c r="AF175" s="91" t="n"/>
      <c r="AG175" s="30" t="n"/>
      <c r="AH175" s="30" t="n"/>
      <c r="AI175" s="30" t="n"/>
      <c r="AJ175" s="30" t="n"/>
      <c r="AK175" s="30" t="n"/>
      <c r="AL175" s="30" t="n"/>
      <c r="AM175" s="91" t="n"/>
      <c r="AN175" s="91" t="n"/>
      <c r="AO175" s="91" t="n"/>
      <c r="AP175" s="91" t="n"/>
      <c r="AQ175" s="91" t="n"/>
      <c r="AR175" s="91" t="n"/>
      <c r="AS175" s="91" t="n"/>
      <c r="AT175" s="91" t="n"/>
      <c r="AU175" s="91" t="n"/>
      <c r="AV175" s="31" t="n"/>
      <c r="AW175" s="36" t="n"/>
      <c r="AX175" s="16" t="n"/>
      <c r="AY175" s="31" t="n"/>
      <c r="AZ175" s="92" t="n"/>
      <c r="BA175" s="91" t="n"/>
      <c r="BB175" s="91" t="n"/>
      <c r="BC175" s="91" t="n"/>
      <c r="BD175" s="91" t="n"/>
      <c r="BE175" s="91" t="n"/>
      <c r="BF175" s="91" t="n"/>
      <c r="BG175" s="91" t="n"/>
      <c r="BH175" s="91" t="n"/>
      <c r="BI175" s="91" t="n"/>
      <c r="BJ175" s="91" t="n"/>
      <c r="BK175" s="91" t="n"/>
      <c r="BL175" s="91" t="n"/>
      <c r="BM175" s="91" t="n"/>
      <c r="BN175" s="91" t="n"/>
      <c r="BO175" s="91" t="n"/>
      <c r="BP175" s="91" t="n"/>
      <c r="BQ175" s="91" t="n"/>
      <c r="BR175" s="91" t="n"/>
      <c r="BS175" s="91" t="n"/>
      <c r="BT175" s="91" t="n"/>
      <c r="BU175" s="91" t="n"/>
      <c r="BV175" s="91" t="n"/>
      <c r="BW175" s="91" t="n"/>
      <c r="BX175" s="91" t="n"/>
      <c r="BY175" s="91" t="n"/>
      <c r="BZ175" s="91">
        <f>SUM(BN175:BY175)</f>
        <v/>
      </c>
      <c r="CA175" s="91" t="n"/>
      <c r="CB175" s="91" t="n"/>
      <c r="CC175" s="91" t="n"/>
      <c r="CD175" s="91" t="n"/>
      <c r="CE175" s="91" t="n">
        <v>21201.71</v>
      </c>
      <c r="CF175" s="91" t="n">
        <v>88854.49000000001</v>
      </c>
      <c r="CG175" s="91" t="n">
        <v>6468</v>
      </c>
      <c r="CH175" s="91" t="n">
        <v>3381</v>
      </c>
      <c r="CI175" s="91" t="n"/>
      <c r="CJ175" s="91" t="n">
        <v>56074.42</v>
      </c>
      <c r="CK175" s="91" t="n">
        <v>148467.45</v>
      </c>
      <c r="CL175" s="91" t="n">
        <v>73851.23</v>
      </c>
      <c r="CM175" s="91">
        <f>SUM(CA175:CL175)</f>
        <v/>
      </c>
      <c r="CN175" s="91" t="n"/>
      <c r="CO175" s="91" t="n"/>
      <c r="CP175" s="91" t="n"/>
      <c r="CQ175" s="93" t="n"/>
      <c r="CR175" s="94" t="n"/>
      <c r="CS175" s="94" t="n"/>
      <c r="CT175" s="91" t="n"/>
      <c r="CU175" s="91" t="n"/>
      <c r="CV175" s="91" t="n"/>
      <c r="CW175" s="91" t="n"/>
      <c r="CX175" s="91" t="n"/>
      <c r="CY175" s="91" t="n"/>
      <c r="CZ175" s="91">
        <f>SUM(CN175:CY175)</f>
        <v/>
      </c>
      <c r="DA175" s="35" t="n"/>
    </row>
    <row r="176" ht="20" customFormat="1" customHeight="1" s="1">
      <c r="A176" s="30" t="n">
        <v>176</v>
      </c>
      <c r="B176" s="31" t="inlineStr">
        <is>
          <t>新疆</t>
        </is>
      </c>
      <c r="C176" s="31" t="inlineStr">
        <is>
          <t>阿图什市</t>
        </is>
      </c>
      <c r="D176" s="31" t="inlineStr">
        <is>
          <t>杜晓东</t>
        </is>
      </c>
      <c r="E176" s="89" t="n"/>
      <c r="F176" s="27" t="inlineStr">
        <is>
          <t>2025</t>
        </is>
      </c>
      <c r="G176" s="27" t="inlineStr">
        <is>
          <t>4</t>
        </is>
      </c>
      <c r="H176" s="91" t="n">
        <v>45836</v>
      </c>
      <c r="I176" s="91" t="n"/>
      <c r="J176" s="91" t="n"/>
      <c r="K176" s="91">
        <f>+H176+I176+J176</f>
        <v/>
      </c>
      <c r="L176" s="91" t="n">
        <v>5</v>
      </c>
      <c r="M176" s="91" t="n">
        <v>30632</v>
      </c>
      <c r="N176" s="91" t="n"/>
      <c r="O176" s="91" t="n"/>
      <c r="P176" s="91" t="n"/>
      <c r="Q176" s="91" t="n"/>
      <c r="R176" s="91" t="n"/>
      <c r="S176" s="91" t="n"/>
      <c r="T176" s="91" t="n"/>
      <c r="U176" s="91" t="n"/>
      <c r="V176" s="91" t="n"/>
      <c r="W176" s="91" t="n"/>
      <c r="X176" s="91" t="n"/>
      <c r="Y176" s="91" t="n"/>
      <c r="Z176" s="91" t="n"/>
      <c r="AA176" s="91" t="n"/>
      <c r="AB176" s="91" t="n"/>
      <c r="AC176" s="91" t="n"/>
      <c r="AD176" s="91" t="n"/>
      <c r="AE176" s="91" t="n"/>
      <c r="AF176" s="91" t="n"/>
      <c r="AG176" s="30" t="n"/>
      <c r="AH176" s="30" t="n"/>
      <c r="AI176" s="30" t="n"/>
      <c r="AJ176" s="30" t="n"/>
      <c r="AK176" s="30" t="n"/>
      <c r="AL176" s="30" t="n"/>
      <c r="AM176" s="91" t="n"/>
      <c r="AN176" s="91" t="n"/>
      <c r="AO176" s="91" t="n"/>
      <c r="AP176" s="91" t="n"/>
      <c r="AQ176" s="91" t="n"/>
      <c r="AR176" s="91" t="n"/>
      <c r="AS176" s="91" t="n"/>
      <c r="AT176" s="91" t="n"/>
      <c r="AU176" s="91" t="n"/>
      <c r="AV176" s="31" t="n"/>
      <c r="AW176" s="36" t="n"/>
      <c r="AX176" s="16" t="n"/>
      <c r="AY176" s="31" t="n"/>
      <c r="AZ176" s="92" t="n"/>
      <c r="BA176" s="91" t="n"/>
      <c r="BB176" s="91" t="n"/>
      <c r="BC176" s="91" t="n"/>
      <c r="BD176" s="91" t="n"/>
      <c r="BE176" s="91" t="n"/>
      <c r="BF176" s="91" t="n"/>
      <c r="BG176" s="91" t="n"/>
      <c r="BH176" s="91" t="n"/>
      <c r="BI176" s="91" t="n"/>
      <c r="BJ176" s="91" t="n"/>
      <c r="BK176" s="91" t="n"/>
      <c r="BL176" s="91" t="n"/>
      <c r="BM176" s="91" t="n"/>
      <c r="BN176" s="91" t="n"/>
      <c r="BO176" s="91" t="n"/>
      <c r="BP176" s="91" t="n"/>
      <c r="BQ176" s="91" t="n"/>
      <c r="BR176" s="91" t="n"/>
      <c r="BS176" s="91" t="n"/>
      <c r="BT176" s="91" t="n"/>
      <c r="BU176" s="91" t="n"/>
      <c r="BV176" s="91" t="n"/>
      <c r="BW176" s="91" t="n"/>
      <c r="BX176" s="91" t="n"/>
      <c r="BY176" s="91" t="n"/>
      <c r="BZ176" s="91">
        <f>SUM(BN176:BY176)</f>
        <v/>
      </c>
      <c r="CA176" s="91" t="n"/>
      <c r="CB176" s="91" t="n"/>
      <c r="CC176" s="91" t="n"/>
      <c r="CD176" s="91" t="n"/>
      <c r="CE176" s="91" t="n">
        <v>26163</v>
      </c>
      <c r="CF176" s="91" t="n"/>
      <c r="CG176" s="91" t="n">
        <v>67</v>
      </c>
      <c r="CH176" s="91" t="inlineStr"/>
      <c r="CI176" s="91" t="n"/>
      <c r="CJ176" s="91" t="inlineStr"/>
      <c r="CK176" s="91" t="n"/>
      <c r="CL176" s="91" t="inlineStr"/>
      <c r="CM176" s="91">
        <f>SUM(CA176:CL176)</f>
        <v/>
      </c>
      <c r="CN176" s="91" t="n"/>
      <c r="CO176" s="91" t="n"/>
      <c r="CP176" s="91" t="n"/>
      <c r="CQ176" s="93" t="n"/>
      <c r="CR176" s="94" t="n"/>
      <c r="CS176" s="94" t="n"/>
      <c r="CT176" s="91" t="n"/>
      <c r="CU176" s="91" t="n"/>
      <c r="CV176" s="91" t="n"/>
      <c r="CW176" s="91" t="n"/>
      <c r="CX176" s="91" t="n"/>
      <c r="CY176" s="91" t="n"/>
      <c r="CZ176" s="91">
        <f>SUM(CN176:CY176)</f>
        <v/>
      </c>
      <c r="DA176" s="35" t="n"/>
    </row>
    <row r="177" ht="20" customFormat="1" customHeight="1" s="1">
      <c r="A177" s="30" t="n">
        <v>177</v>
      </c>
      <c r="B177" s="31" t="inlineStr">
        <is>
          <t>河北</t>
        </is>
      </c>
      <c r="C177" s="31" t="inlineStr">
        <is>
          <t>临西</t>
        </is>
      </c>
      <c r="D177" s="31" t="inlineStr">
        <is>
          <t>刘洪春</t>
        </is>
      </c>
      <c r="E177" s="89" t="n"/>
      <c r="F177" s="27" t="inlineStr">
        <is>
          <t>2025</t>
        </is>
      </c>
      <c r="G177" s="27" t="inlineStr">
        <is>
          <t>4</t>
        </is>
      </c>
      <c r="H177" s="91" t="n">
        <v>70841.2</v>
      </c>
      <c r="I177" s="91" t="n"/>
      <c r="J177" s="91" t="n">
        <v>1369</v>
      </c>
      <c r="K177" s="91">
        <f>+H177+I177+J177</f>
        <v/>
      </c>
      <c r="L177" s="91" t="n">
        <v>5</v>
      </c>
      <c r="M177" s="91" t="n">
        <v>42706</v>
      </c>
      <c r="N177" s="91" t="n"/>
      <c r="O177" s="91" t="n"/>
      <c r="P177" s="91" t="n"/>
      <c r="Q177" s="91" t="n"/>
      <c r="R177" s="91" t="n"/>
      <c r="S177" s="91" t="n"/>
      <c r="T177" s="91" t="n"/>
      <c r="U177" s="91" t="n"/>
      <c r="V177" s="91" t="n"/>
      <c r="W177" s="91" t="n"/>
      <c r="X177" s="91" t="n"/>
      <c r="Y177" s="91" t="n"/>
      <c r="Z177" s="91" t="n"/>
      <c r="AA177" s="91" t="n"/>
      <c r="AB177" s="91" t="n"/>
      <c r="AC177" s="91" t="n"/>
      <c r="AD177" s="91" t="n"/>
      <c r="AE177" s="91" t="n"/>
      <c r="AF177" s="91" t="n"/>
      <c r="AG177" s="30" t="n"/>
      <c r="AH177" s="30" t="n"/>
      <c r="AI177" s="30" t="n"/>
      <c r="AJ177" s="30" t="n"/>
      <c r="AK177" s="30" t="n"/>
      <c r="AL177" s="30" t="n"/>
      <c r="AM177" s="91" t="n"/>
      <c r="AN177" s="91" t="n"/>
      <c r="AO177" s="91" t="n"/>
      <c r="AP177" s="91" t="n"/>
      <c r="AQ177" s="91" t="n"/>
      <c r="AR177" s="91" t="n"/>
      <c r="AS177" s="91" t="n"/>
      <c r="AT177" s="91" t="n"/>
      <c r="AU177" s="91" t="n"/>
      <c r="AV177" s="31" t="n"/>
      <c r="AW177" s="36" t="n"/>
      <c r="AX177" s="16" t="n"/>
      <c r="AY177" s="31" t="n"/>
      <c r="AZ177" s="92" t="n"/>
      <c r="BA177" s="91" t="n"/>
      <c r="BB177" s="91" t="n"/>
      <c r="BC177" s="91" t="n"/>
      <c r="BD177" s="91" t="n"/>
      <c r="BE177" s="91" t="n"/>
      <c r="BF177" s="91" t="n"/>
      <c r="BG177" s="91" t="n"/>
      <c r="BH177" s="91" t="n"/>
      <c r="BI177" s="91" t="n"/>
      <c r="BJ177" s="91" t="n"/>
      <c r="BK177" s="91" t="n"/>
      <c r="BL177" s="91" t="n"/>
      <c r="BM177" s="91" t="n"/>
      <c r="BN177" s="91" t="n"/>
      <c r="BO177" s="91" t="n"/>
      <c r="BP177" s="91" t="n"/>
      <c r="BQ177" s="91" t="n"/>
      <c r="BR177" s="91" t="n"/>
      <c r="BS177" s="91" t="n"/>
      <c r="BT177" s="91" t="n"/>
      <c r="BU177" s="91" t="n"/>
      <c r="BV177" s="91" t="n"/>
      <c r="BW177" s="91" t="n"/>
      <c r="BX177" s="91" t="n"/>
      <c r="BY177" s="91" t="n"/>
      <c r="BZ177" s="91">
        <f>SUM(BN177:BY177)</f>
        <v/>
      </c>
      <c r="CA177" s="91" t="n"/>
      <c r="CB177" s="91" t="n"/>
      <c r="CC177" s="91" t="n"/>
      <c r="CD177" s="91" t="n"/>
      <c r="CE177" s="91" t="n">
        <v>31117.6</v>
      </c>
      <c r="CF177" s="91" t="n"/>
      <c r="CG177" s="91" t="n"/>
      <c r="CH177" s="91" t="n">
        <v>3312.09</v>
      </c>
      <c r="CI177" s="91" t="n"/>
      <c r="CJ177" s="91" t="inlineStr"/>
      <c r="CK177" s="91" t="n"/>
      <c r="CL177" s="91" t="n">
        <v>48519.4</v>
      </c>
      <c r="CM177" s="91">
        <f>SUM(CA177:CL177)</f>
        <v/>
      </c>
      <c r="CN177" s="91" t="n"/>
      <c r="CO177" s="91" t="n"/>
      <c r="CP177" s="91" t="n"/>
      <c r="CQ177" s="93" t="n"/>
      <c r="CR177" s="94" t="n"/>
      <c r="CS177" s="94" t="n"/>
      <c r="CT177" s="91" t="n"/>
      <c r="CU177" s="91" t="n"/>
      <c r="CV177" s="91" t="n"/>
      <c r="CW177" s="91" t="n"/>
      <c r="CX177" s="91" t="n"/>
      <c r="CY177" s="91" t="n"/>
      <c r="CZ177" s="91">
        <f>SUM(CN177:CY177)</f>
        <v/>
      </c>
      <c r="DA177" s="35" t="n"/>
    </row>
    <row r="178" ht="20" customFormat="1" customHeight="1" s="1">
      <c r="A178" s="30" t="n">
        <v>179</v>
      </c>
      <c r="B178" s="31" t="inlineStr">
        <is>
          <t>江苏</t>
        </is>
      </c>
      <c r="C178" s="31" t="inlineStr">
        <is>
          <t>无锡宜兴市</t>
        </is>
      </c>
      <c r="D178" s="31" t="inlineStr">
        <is>
          <t>管俊芝</t>
        </is>
      </c>
      <c r="E178" s="89" t="n"/>
      <c r="F178" s="27" t="inlineStr">
        <is>
          <t>2025/2026</t>
        </is>
      </c>
      <c r="G178" s="27" t="inlineStr">
        <is>
          <t>3/6/7/10/11/1/4</t>
        </is>
      </c>
      <c r="H178" s="91">
        <f>23088.16+19921+13867.83+1435+3395+1319</f>
        <v/>
      </c>
      <c r="I178" s="91">
        <f>7236+51889+35690</f>
        <v/>
      </c>
      <c r="J178" s="91" t="n">
        <v>6135</v>
      </c>
      <c r="K178" s="91">
        <f>+H178+I178+J178</f>
        <v/>
      </c>
      <c r="L178" s="91" t="n">
        <v>5</v>
      </c>
      <c r="M178" s="91">
        <f>16681+27190+883</f>
        <v/>
      </c>
      <c r="N178" s="91" t="n"/>
      <c r="O178" s="91" t="n"/>
      <c r="P178" s="91" t="n"/>
      <c r="Q178" s="91" t="n"/>
      <c r="R178" s="91" t="n"/>
      <c r="S178" s="91" t="n"/>
      <c r="T178" s="91" t="n"/>
      <c r="U178" s="91" t="n"/>
      <c r="V178" s="91" t="n"/>
      <c r="W178" s="91" t="n"/>
      <c r="X178" s="91" t="n"/>
      <c r="Y178" s="91" t="n"/>
      <c r="Z178" s="91" t="n"/>
      <c r="AA178" s="91" t="n"/>
      <c r="AB178" s="91" t="n"/>
      <c r="AC178" s="91" t="n"/>
      <c r="AD178" s="91" t="n"/>
      <c r="AE178" s="91" t="n"/>
      <c r="AF178" s="91" t="n"/>
      <c r="AG178" s="30" t="n"/>
      <c r="AH178" s="30" t="n"/>
      <c r="AI178" s="30" t="n"/>
      <c r="AJ178" s="30" t="n"/>
      <c r="AK178" s="30" t="n"/>
      <c r="AL178" s="30" t="n"/>
      <c r="AM178" s="91" t="n"/>
      <c r="AN178" s="91" t="n"/>
      <c r="AO178" s="91" t="n"/>
      <c r="AP178" s="91" t="n"/>
      <c r="AQ178" s="91" t="n"/>
      <c r="AR178" s="91" t="n"/>
      <c r="AS178" s="91" t="n"/>
      <c r="AT178" s="91" t="n"/>
      <c r="AU178" s="91" t="n"/>
      <c r="AV178" s="31" t="n"/>
      <c r="AW178" s="36" t="n"/>
      <c r="AX178" s="16" t="n"/>
      <c r="AY178" s="31" t="n"/>
      <c r="AZ178" s="92" t="n"/>
      <c r="BA178" s="91" t="n"/>
      <c r="BB178" s="91" t="n"/>
      <c r="BC178" s="91" t="n"/>
      <c r="BD178" s="91" t="n"/>
      <c r="BE178" s="91" t="n"/>
      <c r="BF178" s="91" t="n"/>
      <c r="BG178" s="91" t="n"/>
      <c r="BH178" s="91" t="n"/>
      <c r="BI178" s="91" t="n"/>
      <c r="BJ178" s="91" t="n"/>
      <c r="BK178" s="91" t="n"/>
      <c r="BL178" s="91" t="n"/>
      <c r="BM178" s="91" t="n"/>
      <c r="BN178" s="91" t="n"/>
      <c r="BO178" s="91" t="n"/>
      <c r="BP178" s="91" t="n"/>
      <c r="BQ178" s="91" t="n"/>
      <c r="BR178" s="91" t="n"/>
      <c r="BS178" s="91" t="n"/>
      <c r="BT178" s="91" t="n"/>
      <c r="BU178" s="91" t="n"/>
      <c r="BV178" s="91" t="n"/>
      <c r="BW178" s="91" t="n"/>
      <c r="BX178" s="91" t="n"/>
      <c r="BY178" s="91" t="n"/>
      <c r="BZ178" s="91">
        <f>SUM(BN178:BY178)</f>
        <v/>
      </c>
      <c r="CA178" s="91" t="n"/>
      <c r="CB178" s="91" t="n"/>
      <c r="CC178" s="91" t="n"/>
      <c r="CD178" s="91" t="n"/>
      <c r="CE178" s="91" t="n">
        <v>1285</v>
      </c>
      <c r="CF178" s="91" t="n"/>
      <c r="CG178" s="91" t="n">
        <v>11061</v>
      </c>
      <c r="CH178" s="91" t="inlineStr"/>
      <c r="CI178" s="91" t="n"/>
      <c r="CJ178" s="91" t="n">
        <v>0</v>
      </c>
      <c r="CK178" s="91" t="n"/>
      <c r="CL178" s="91" t="n">
        <v>25071.99</v>
      </c>
      <c r="CM178" s="91">
        <f>SUM(CA178:CL178)</f>
        <v/>
      </c>
      <c r="CN178" s="91" t="n"/>
      <c r="CO178" s="91" t="n"/>
      <c r="CP178" s="91" t="n"/>
      <c r="CQ178" s="93" t="n"/>
      <c r="CR178" s="94" t="n"/>
      <c r="CS178" s="94" t="n"/>
      <c r="CT178" s="91" t="n"/>
      <c r="CU178" s="91" t="n"/>
      <c r="CV178" s="91" t="n"/>
      <c r="CW178" s="91" t="n"/>
      <c r="CX178" s="91" t="n"/>
      <c r="CY178" s="91" t="n"/>
      <c r="CZ178" s="91">
        <f>SUM(CN178:CY178)</f>
        <v/>
      </c>
      <c r="DA178" s="35" t="n"/>
    </row>
    <row r="179" ht="20" customFormat="1" customHeight="1" s="1">
      <c r="A179" s="30" t="n">
        <v>180</v>
      </c>
      <c r="B179" s="31" t="inlineStr">
        <is>
          <t>重庆</t>
        </is>
      </c>
      <c r="C179" s="31" t="inlineStr">
        <is>
          <t>渝北</t>
        </is>
      </c>
      <c r="D179" s="31" t="inlineStr">
        <is>
          <t>易霖</t>
        </is>
      </c>
      <c r="E179" s="89" t="n"/>
      <c r="F179" s="27" t="n"/>
      <c r="G179" s="27" t="n"/>
      <c r="H179" s="91" t="n"/>
      <c r="I179" s="91" t="n"/>
      <c r="J179" s="91" t="n"/>
      <c r="K179" s="91">
        <f>+H179+I179+J179</f>
        <v/>
      </c>
      <c r="L179" s="91" t="n"/>
      <c r="M179" s="91" t="inlineStr"/>
      <c r="N179" s="91" t="n"/>
      <c r="O179" s="91" t="n"/>
      <c r="P179" s="91" t="n"/>
      <c r="Q179" s="91" t="n"/>
      <c r="R179" s="91" t="n"/>
      <c r="S179" s="91" t="n"/>
      <c r="T179" s="91" t="n"/>
      <c r="U179" s="91" t="n"/>
      <c r="V179" s="91" t="n"/>
      <c r="W179" s="91" t="n"/>
      <c r="X179" s="91" t="n"/>
      <c r="Y179" s="91" t="n"/>
      <c r="Z179" s="91" t="n"/>
      <c r="AA179" s="91" t="n"/>
      <c r="AB179" s="91" t="n"/>
      <c r="AC179" s="91" t="n"/>
      <c r="AD179" s="91" t="n"/>
      <c r="AE179" s="91" t="n"/>
      <c r="AF179" s="91" t="n"/>
      <c r="AG179" s="30" t="n"/>
      <c r="AH179" s="30" t="n"/>
      <c r="AI179" s="30" t="n"/>
      <c r="AJ179" s="30" t="n"/>
      <c r="AK179" s="30" t="n"/>
      <c r="AL179" s="30" t="n"/>
      <c r="AM179" s="91" t="n"/>
      <c r="AN179" s="91" t="n"/>
      <c r="AO179" s="91" t="n"/>
      <c r="AP179" s="91" t="n"/>
      <c r="AQ179" s="91" t="n"/>
      <c r="AR179" s="91" t="n"/>
      <c r="AS179" s="91" t="n"/>
      <c r="AT179" s="91" t="n"/>
      <c r="AU179" s="91" t="n"/>
      <c r="AV179" s="31" t="n"/>
      <c r="AW179" s="36" t="n"/>
      <c r="AX179" s="16" t="n"/>
      <c r="AY179" s="31" t="n"/>
      <c r="AZ179" s="92" t="n"/>
      <c r="BA179" s="91" t="n"/>
      <c r="BB179" s="91" t="n"/>
      <c r="BC179" s="91" t="n"/>
      <c r="BD179" s="91" t="n"/>
      <c r="BE179" s="91" t="n"/>
      <c r="BF179" s="91" t="n"/>
      <c r="BG179" s="91" t="n"/>
      <c r="BH179" s="91" t="n"/>
      <c r="BI179" s="91" t="n"/>
      <c r="BJ179" s="91" t="n"/>
      <c r="BK179" s="91" t="n"/>
      <c r="BL179" s="91" t="n"/>
      <c r="BM179" s="91" t="n"/>
      <c r="BN179" s="91" t="n"/>
      <c r="BO179" s="91" t="n"/>
      <c r="BP179" s="91" t="n"/>
      <c r="BQ179" s="91" t="n"/>
      <c r="BR179" s="91" t="n"/>
      <c r="BS179" s="91" t="n"/>
      <c r="BT179" s="91" t="n"/>
      <c r="BU179" s="91" t="n"/>
      <c r="BV179" s="91" t="n"/>
      <c r="BW179" s="91" t="n"/>
      <c r="BX179" s="91" t="n"/>
      <c r="BY179" s="91" t="n"/>
      <c r="BZ179" s="91">
        <f>SUM(BN179:BY179)</f>
        <v/>
      </c>
      <c r="CA179" s="91" t="n"/>
      <c r="CB179" s="91" t="n"/>
      <c r="CC179" s="91" t="n"/>
      <c r="CD179" s="91" t="n"/>
      <c r="CE179" s="91" t="n">
        <v>2169</v>
      </c>
      <c r="CF179" s="91" t="n"/>
      <c r="CG179" s="91" t="n">
        <v>24506</v>
      </c>
      <c r="CH179" s="91" t="inlineStr"/>
      <c r="CI179" s="91" t="n">
        <v>1041</v>
      </c>
      <c r="CJ179" s="91" t="inlineStr"/>
      <c r="CK179" s="91" t="n"/>
      <c r="CL179" s="91" t="inlineStr"/>
      <c r="CM179" s="91">
        <f>SUM(CA179:CL179)</f>
        <v/>
      </c>
      <c r="CN179" s="91" t="n"/>
      <c r="CO179" s="91" t="n"/>
      <c r="CP179" s="91" t="n"/>
      <c r="CQ179" s="93" t="n"/>
      <c r="CR179" s="94" t="n"/>
      <c r="CS179" s="94" t="n"/>
      <c r="CT179" s="91" t="n"/>
      <c r="CU179" s="91" t="n"/>
      <c r="CV179" s="91" t="n"/>
      <c r="CW179" s="91" t="n"/>
      <c r="CX179" s="91" t="n"/>
      <c r="CY179" s="91" t="n"/>
      <c r="CZ179" s="91">
        <f>SUM(CN179:CY179)</f>
        <v/>
      </c>
      <c r="DA179" s="35" t="n"/>
    </row>
    <row r="180" ht="20" customFormat="1" customHeight="1" s="1">
      <c r="A180" s="30" t="n">
        <v>181</v>
      </c>
      <c r="B180" s="31" t="inlineStr">
        <is>
          <t>甘肃</t>
        </is>
      </c>
      <c r="C180" s="31" t="inlineStr">
        <is>
          <t>陇南</t>
        </is>
      </c>
      <c r="D180" s="31" t="inlineStr">
        <is>
          <t>王明</t>
        </is>
      </c>
      <c r="E180" s="89" t="n"/>
      <c r="F180" s="27" t="inlineStr">
        <is>
          <t>2024/2026</t>
        </is>
      </c>
      <c r="G180" s="27" t="inlineStr">
        <is>
          <t>9/6/</t>
        </is>
      </c>
      <c r="H180" s="91" t="n">
        <v>27069</v>
      </c>
      <c r="I180" s="89" t="n">
        <v>8342</v>
      </c>
      <c r="J180" s="91" t="n"/>
      <c r="K180" s="91">
        <f>+H180+I180+J180</f>
        <v/>
      </c>
      <c r="L180" s="91" t="n">
        <v>8</v>
      </c>
      <c r="M180" s="91" t="n">
        <v>21655</v>
      </c>
      <c r="N180" s="91" t="n"/>
      <c r="O180" s="91" t="n"/>
      <c r="P180" s="91" t="n"/>
      <c r="Q180" s="91" t="n"/>
      <c r="R180" s="91" t="n"/>
      <c r="S180" s="91" t="n"/>
      <c r="T180" s="91" t="n"/>
      <c r="U180" s="91" t="n"/>
      <c r="V180" s="91" t="n"/>
      <c r="W180" s="91" t="n"/>
      <c r="X180" s="91" t="n"/>
      <c r="Y180" s="91" t="n"/>
      <c r="Z180" s="91" t="n"/>
      <c r="AA180" s="91" t="n"/>
      <c r="AB180" s="91" t="n"/>
      <c r="AC180" s="91" t="n"/>
      <c r="AD180" s="91" t="n"/>
      <c r="AE180" s="91" t="n"/>
      <c r="AF180" s="91" t="n"/>
      <c r="AG180" s="30" t="n"/>
      <c r="AH180" s="30" t="n"/>
      <c r="AI180" s="30" t="n"/>
      <c r="AJ180" s="30" t="n"/>
      <c r="AK180" s="30" t="n"/>
      <c r="AL180" s="30" t="n"/>
      <c r="AM180" s="91" t="n"/>
      <c r="AN180" s="91" t="n"/>
      <c r="AO180" s="91" t="n"/>
      <c r="AP180" s="91" t="n"/>
      <c r="AQ180" s="91" t="n"/>
      <c r="AR180" s="91" t="n"/>
      <c r="AS180" s="91" t="n"/>
      <c r="AT180" s="91" t="n"/>
      <c r="AU180" s="91" t="n"/>
      <c r="AV180" s="31" t="n"/>
      <c r="AW180" s="36" t="n"/>
      <c r="AX180" s="16" t="n"/>
      <c r="AY180" s="31" t="n"/>
      <c r="AZ180" s="92" t="n"/>
      <c r="BA180" s="91" t="n"/>
      <c r="BB180" s="91" t="n"/>
      <c r="BC180" s="91" t="n"/>
      <c r="BD180" s="91" t="n"/>
      <c r="BE180" s="91" t="n"/>
      <c r="BF180" s="91" t="n"/>
      <c r="BG180" s="91" t="n"/>
      <c r="BH180" s="91" t="n"/>
      <c r="BI180" s="91" t="n"/>
      <c r="BJ180" s="91" t="n"/>
      <c r="BK180" s="91" t="n"/>
      <c r="BL180" s="91" t="n"/>
      <c r="BM180" s="91" t="n"/>
      <c r="BN180" s="91" t="n"/>
      <c r="BO180" s="91" t="n"/>
      <c r="BP180" s="91" t="n"/>
      <c r="BQ180" s="91" t="n"/>
      <c r="BR180" s="91" t="n"/>
      <c r="BS180" s="91" t="n"/>
      <c r="BT180" s="91" t="n"/>
      <c r="BU180" s="91" t="n"/>
      <c r="BV180" s="91" t="n"/>
      <c r="BW180" s="91" t="n"/>
      <c r="BX180" s="91" t="n"/>
      <c r="BY180" s="91" t="n"/>
      <c r="BZ180" s="91">
        <f>SUM(BN180:BY180)</f>
        <v/>
      </c>
      <c r="CA180" s="91" t="n"/>
      <c r="CB180" s="91" t="n"/>
      <c r="CC180" s="91" t="n"/>
      <c r="CD180" s="91" t="n"/>
      <c r="CE180" s="91" t="n">
        <v>28173</v>
      </c>
      <c r="CF180" s="91" t="n">
        <v>28874</v>
      </c>
      <c r="CG180" s="91" t="n">
        <v>36005</v>
      </c>
      <c r="CH180" s="91" t="n">
        <v>55951</v>
      </c>
      <c r="CI180" s="91" t="n">
        <v>132</v>
      </c>
      <c r="CJ180" s="91" t="inlineStr"/>
      <c r="CK180" s="91" t="n">
        <v>1757</v>
      </c>
      <c r="CL180" s="91" t="n">
        <v>100246</v>
      </c>
      <c r="CM180" s="91">
        <f>SUM(CA180:CL180)</f>
        <v/>
      </c>
      <c r="CN180" s="91" t="n"/>
      <c r="CO180" s="91" t="n"/>
      <c r="CP180" s="91" t="n"/>
      <c r="CQ180" s="93" t="n"/>
      <c r="CR180" s="94" t="n"/>
      <c r="CS180" s="94" t="n"/>
      <c r="CT180" s="91" t="n"/>
      <c r="CU180" s="91" t="n"/>
      <c r="CV180" s="91" t="n"/>
      <c r="CW180" s="91" t="n"/>
      <c r="CX180" s="91" t="n"/>
      <c r="CY180" s="91" t="n"/>
      <c r="CZ180" s="91">
        <f>SUM(CN180:CY180)</f>
        <v/>
      </c>
      <c r="DA180" s="35" t="n"/>
    </row>
    <row r="181" ht="18.75" customFormat="1" customHeight="1" s="1">
      <c r="A181" s="30" t="n">
        <v>182</v>
      </c>
      <c r="B181" s="31" t="inlineStr">
        <is>
          <t>山西</t>
        </is>
      </c>
      <c r="C181" s="31" t="inlineStr">
        <is>
          <t>祁县</t>
        </is>
      </c>
      <c r="D181" s="31" t="inlineStr">
        <is>
          <t>张衡</t>
        </is>
      </c>
      <c r="E181" s="89" t="n"/>
      <c r="F181" s="27" t="inlineStr">
        <is>
          <t>2024</t>
        </is>
      </c>
      <c r="G181" s="27" t="inlineStr">
        <is>
          <t>6</t>
        </is>
      </c>
      <c r="H181" s="91">
        <f>71631+751</f>
        <v/>
      </c>
      <c r="I181" s="91" t="n"/>
      <c r="J181" s="91" t="n"/>
      <c r="K181" s="91">
        <f>+H181+I181+J181</f>
        <v/>
      </c>
      <c r="L181" s="91" t="n">
        <v>7</v>
      </c>
      <c r="M181" s="91" t="inlineStr"/>
      <c r="N181" s="91" t="n"/>
      <c r="O181" s="91" t="n"/>
      <c r="P181" s="91" t="n"/>
      <c r="Q181" s="91" t="n"/>
      <c r="R181" s="91" t="n"/>
      <c r="S181" s="91" t="n"/>
      <c r="T181" s="91" t="n"/>
      <c r="U181" s="91" t="n"/>
      <c r="V181" s="91" t="n"/>
      <c r="W181" s="91" t="n"/>
      <c r="X181" s="91" t="n"/>
      <c r="Y181" s="91" t="n"/>
      <c r="Z181" s="91" t="n"/>
      <c r="AA181" s="91" t="n"/>
      <c r="AB181" s="91" t="n"/>
      <c r="AC181" s="91" t="n"/>
      <c r="AD181" s="91" t="n"/>
      <c r="AE181" s="91" t="n"/>
      <c r="AF181" s="91" t="n"/>
      <c r="AG181" s="30" t="n"/>
      <c r="AH181" s="30" t="n"/>
      <c r="AI181" s="30" t="n"/>
      <c r="AJ181" s="30" t="n"/>
      <c r="AK181" s="30" t="n"/>
      <c r="AL181" s="30" t="n"/>
      <c r="AM181" s="91" t="n"/>
      <c r="AN181" s="91" t="n"/>
      <c r="AO181" s="91" t="n"/>
      <c r="AP181" s="91" t="n"/>
      <c r="AQ181" s="91" t="n"/>
      <c r="AR181" s="91" t="n"/>
      <c r="AS181" s="91" t="n"/>
      <c r="AT181" s="91" t="n"/>
      <c r="AU181" s="91" t="n"/>
      <c r="AV181" s="31" t="n"/>
      <c r="AW181" s="36" t="n"/>
      <c r="AX181" s="16" t="n"/>
      <c r="AY181" s="31" t="n"/>
      <c r="AZ181" s="92" t="n"/>
      <c r="BA181" s="91" t="n"/>
      <c r="BB181" s="91" t="n"/>
      <c r="BC181" s="91" t="n"/>
      <c r="BD181" s="91" t="n"/>
      <c r="BE181" s="91" t="n"/>
      <c r="BF181" s="91" t="n"/>
      <c r="BG181" s="91" t="n"/>
      <c r="BH181" s="91" t="n"/>
      <c r="BI181" s="91" t="n"/>
      <c r="BJ181" s="91" t="n"/>
      <c r="BK181" s="91" t="n"/>
      <c r="BL181" s="91" t="n"/>
      <c r="BM181" s="91" t="n"/>
      <c r="BN181" s="91" t="n"/>
      <c r="BO181" s="91" t="n"/>
      <c r="BP181" s="91" t="n"/>
      <c r="BQ181" s="91" t="n"/>
      <c r="BR181" s="91" t="n"/>
      <c r="BS181" s="91" t="n"/>
      <c r="BT181" s="91" t="n"/>
      <c r="BU181" s="91" t="n"/>
      <c r="BV181" s="91" t="n"/>
      <c r="BW181" s="91" t="n"/>
      <c r="BX181" s="91" t="n"/>
      <c r="BY181" s="91" t="n"/>
      <c r="BZ181" s="91">
        <f>SUM(BN181:BY181)</f>
        <v/>
      </c>
      <c r="CA181" s="91" t="n"/>
      <c r="CB181" s="91" t="n"/>
      <c r="CC181" s="91" t="n"/>
      <c r="CD181" s="91" t="n"/>
      <c r="CE181" s="91" t="n">
        <v>26629</v>
      </c>
      <c r="CF181" s="91" t="n">
        <v>45091</v>
      </c>
      <c r="CG181" s="91" t="n"/>
      <c r="CH181" s="91" t="n">
        <v>45843</v>
      </c>
      <c r="CI181" s="91" t="n">
        <v>31801</v>
      </c>
      <c r="CJ181" s="91" t="n">
        <v>288</v>
      </c>
      <c r="CK181" s="91" t="n"/>
      <c r="CL181" s="91" t="n">
        <v>485</v>
      </c>
      <c r="CM181" s="91">
        <f>SUM(CA181:CL181)</f>
        <v/>
      </c>
      <c r="CN181" s="91" t="n"/>
      <c r="CO181" s="91" t="n"/>
      <c r="CP181" s="91" t="n"/>
      <c r="CQ181" s="93" t="n"/>
      <c r="CR181" s="94" t="n"/>
      <c r="CS181" s="94" t="n"/>
      <c r="CT181" s="91" t="n"/>
      <c r="CU181" s="91" t="n"/>
      <c r="CV181" s="91" t="n"/>
      <c r="CW181" s="91" t="n"/>
      <c r="CX181" s="91" t="n"/>
      <c r="CY181" s="91" t="n"/>
      <c r="CZ181" s="91">
        <f>SUM(CN181:CY181)</f>
        <v/>
      </c>
      <c r="DA181" s="35" t="n"/>
    </row>
    <row r="182" ht="18.75" customFormat="1" customHeight="1" s="1">
      <c r="A182" s="30" t="n">
        <v>183</v>
      </c>
      <c r="B182" s="31" t="inlineStr">
        <is>
          <t>山西</t>
        </is>
      </c>
      <c r="C182" s="31" t="inlineStr">
        <is>
          <t>孝义</t>
        </is>
      </c>
      <c r="D182" s="31" t="inlineStr">
        <is>
          <t>赵德刚</t>
        </is>
      </c>
      <c r="E182" s="89" t="n"/>
      <c r="F182" s="27" t="inlineStr">
        <is>
          <t>2024/2026</t>
        </is>
      </c>
      <c r="G182" s="27" t="inlineStr">
        <is>
          <t>6/5</t>
        </is>
      </c>
      <c r="H182" s="91">
        <f>8592+66420</f>
        <v/>
      </c>
      <c r="I182" s="91" t="n">
        <v>2318.18</v>
      </c>
      <c r="J182" s="91" t="n"/>
      <c r="K182" s="91">
        <f>+H182+I182+J182</f>
        <v/>
      </c>
      <c r="L182" s="91" t="n">
        <v>7</v>
      </c>
      <c r="M182" s="91" t="inlineStr"/>
      <c r="N182" s="91" t="n"/>
      <c r="O182" s="91" t="n"/>
      <c r="P182" s="91" t="n"/>
      <c r="Q182" s="91" t="n"/>
      <c r="R182" s="91" t="n"/>
      <c r="S182" s="91" t="n"/>
      <c r="T182" s="91" t="n"/>
      <c r="U182" s="91" t="n"/>
      <c r="V182" s="91" t="n"/>
      <c r="W182" s="91" t="n"/>
      <c r="X182" s="91" t="n"/>
      <c r="Y182" s="91" t="n"/>
      <c r="Z182" s="91" t="n"/>
      <c r="AA182" s="91" t="n"/>
      <c r="AB182" s="91" t="n"/>
      <c r="AC182" s="91" t="n"/>
      <c r="AD182" s="91" t="n"/>
      <c r="AE182" s="91" t="n"/>
      <c r="AF182" s="91" t="n"/>
      <c r="AG182" s="30" t="n"/>
      <c r="AH182" s="30" t="n"/>
      <c r="AI182" s="30" t="n"/>
      <c r="AJ182" s="30" t="n"/>
      <c r="AK182" s="30" t="n"/>
      <c r="AL182" s="30" t="n"/>
      <c r="AM182" s="91" t="n"/>
      <c r="AN182" s="91" t="n"/>
      <c r="AO182" s="91" t="n"/>
      <c r="AP182" s="91" t="n"/>
      <c r="AQ182" s="91" t="n"/>
      <c r="AR182" s="91" t="n"/>
      <c r="AS182" s="91" t="n"/>
      <c r="AT182" s="91" t="n"/>
      <c r="AU182" s="91" t="n"/>
      <c r="AV182" s="31" t="n"/>
      <c r="AW182" s="36" t="n"/>
      <c r="AX182" s="16" t="n"/>
      <c r="AY182" s="31" t="n"/>
      <c r="AZ182" s="92" t="n"/>
      <c r="BA182" s="91" t="n"/>
      <c r="BB182" s="91" t="n"/>
      <c r="BC182" s="91" t="n"/>
      <c r="BD182" s="91" t="n"/>
      <c r="BE182" s="91" t="n"/>
      <c r="BF182" s="91" t="n"/>
      <c r="BG182" s="91" t="n"/>
      <c r="BH182" s="91" t="n"/>
      <c r="BI182" s="91" t="n"/>
      <c r="BJ182" s="91" t="n"/>
      <c r="BK182" s="91" t="n"/>
      <c r="BL182" s="91" t="n"/>
      <c r="BM182" s="91" t="n"/>
      <c r="BN182" s="91" t="n"/>
      <c r="BO182" s="91" t="n"/>
      <c r="BP182" s="91" t="n"/>
      <c r="BQ182" s="91" t="n"/>
      <c r="BR182" s="91" t="n"/>
      <c r="BS182" s="91" t="n"/>
      <c r="BT182" s="91" t="n"/>
      <c r="BU182" s="91" t="n"/>
      <c r="BV182" s="91" t="n"/>
      <c r="BW182" s="91" t="n"/>
      <c r="BX182" s="91" t="n"/>
      <c r="BY182" s="91" t="n"/>
      <c r="BZ182" s="91">
        <f>SUM(BN182:BY182)</f>
        <v/>
      </c>
      <c r="CA182" s="91" t="n"/>
      <c r="CB182" s="91" t="n"/>
      <c r="CC182" s="91" t="n"/>
      <c r="CD182" s="91" t="n"/>
      <c r="CE182" s="91">
        <f>3465+11109+59940</f>
        <v/>
      </c>
      <c r="CF182" s="91" t="n">
        <v>24554.69</v>
      </c>
      <c r="CG182" s="91" t="n">
        <v>29.22</v>
      </c>
      <c r="CH182" s="91" t="n">
        <v>63126.87</v>
      </c>
      <c r="CI182" s="91" t="n">
        <v>4305.37</v>
      </c>
      <c r="CJ182" s="91" t="n">
        <v>51131.02</v>
      </c>
      <c r="CK182" s="91" t="n">
        <v>205859.15</v>
      </c>
      <c r="CL182" s="91" t="n">
        <v>127956.55</v>
      </c>
      <c r="CM182" s="91">
        <f>SUM(CA182:CL182)</f>
        <v/>
      </c>
      <c r="CN182" s="91" t="n"/>
      <c r="CO182" s="91" t="n"/>
      <c r="CP182" s="91" t="n"/>
      <c r="CQ182" s="93" t="n"/>
      <c r="CR182" s="94" t="n"/>
      <c r="CS182" s="94" t="n"/>
      <c r="CT182" s="91" t="n"/>
      <c r="CU182" s="91" t="n"/>
      <c r="CV182" s="91" t="n"/>
      <c r="CW182" s="91" t="n"/>
      <c r="CX182" s="91" t="n"/>
      <c r="CY182" s="91" t="n"/>
      <c r="CZ182" s="91">
        <f>SUM(CN182:CY182)</f>
        <v/>
      </c>
      <c r="DA182" s="35" t="n"/>
    </row>
    <row r="183" ht="18.75" customFormat="1" customHeight="1" s="1">
      <c r="A183" s="30" t="n">
        <v>184</v>
      </c>
      <c r="B183" s="31" t="inlineStr">
        <is>
          <t>河南</t>
        </is>
      </c>
      <c r="C183" s="31" t="inlineStr">
        <is>
          <t>三门峡</t>
        </is>
      </c>
      <c r="D183" s="31" t="inlineStr">
        <is>
          <t>王娟</t>
        </is>
      </c>
      <c r="E183" s="89" t="n"/>
      <c r="F183" s="27" t="inlineStr">
        <is>
          <t>2024</t>
        </is>
      </c>
      <c r="G183" s="27" t="inlineStr">
        <is>
          <t>3</t>
        </is>
      </c>
      <c r="H183" s="91" t="n">
        <v>18846</v>
      </c>
      <c r="I183" s="91" t="n"/>
      <c r="J183" s="91" t="n"/>
      <c r="K183" s="91">
        <f>+H183+I183+J183</f>
        <v/>
      </c>
      <c r="L183" s="91" t="n">
        <v>8</v>
      </c>
      <c r="M183" s="91" t="inlineStr"/>
      <c r="N183" s="91" t="n"/>
      <c r="O183" s="91" t="n"/>
      <c r="P183" s="91" t="n"/>
      <c r="Q183" s="91" t="n"/>
      <c r="R183" s="91" t="n"/>
      <c r="S183" s="91" t="n"/>
      <c r="T183" s="91" t="n"/>
      <c r="U183" s="91" t="n"/>
      <c r="V183" s="91" t="n"/>
      <c r="W183" s="91" t="n"/>
      <c r="X183" s="91" t="n"/>
      <c r="Y183" s="91" t="n"/>
      <c r="Z183" s="91" t="n"/>
      <c r="AA183" s="91" t="n"/>
      <c r="AB183" s="91" t="n"/>
      <c r="AC183" s="91" t="n"/>
      <c r="AD183" s="91" t="n"/>
      <c r="AE183" s="91" t="n"/>
      <c r="AF183" s="91" t="n"/>
      <c r="AG183" s="30" t="n"/>
      <c r="AH183" s="30" t="n"/>
      <c r="AI183" s="30" t="n"/>
      <c r="AJ183" s="30" t="n"/>
      <c r="AK183" s="30" t="n"/>
      <c r="AL183" s="30" t="n"/>
      <c r="AM183" s="91" t="n"/>
      <c r="AN183" s="91" t="n"/>
      <c r="AO183" s="91" t="n"/>
      <c r="AP183" s="91" t="n"/>
      <c r="AQ183" s="91" t="n"/>
      <c r="AR183" s="91" t="n"/>
      <c r="AS183" s="91" t="n"/>
      <c r="AT183" s="91" t="n"/>
      <c r="AU183" s="91" t="n"/>
      <c r="AV183" s="31" t="n"/>
      <c r="AW183" s="36" t="n"/>
      <c r="AX183" s="16" t="n"/>
      <c r="AY183" s="31" t="n"/>
      <c r="AZ183" s="92" t="n"/>
      <c r="BA183" s="91" t="n"/>
      <c r="BB183" s="91" t="n"/>
      <c r="BC183" s="91" t="n"/>
      <c r="BD183" s="91" t="n"/>
      <c r="BE183" s="91" t="n"/>
      <c r="BF183" s="91" t="n"/>
      <c r="BG183" s="91" t="n"/>
      <c r="BH183" s="91" t="n"/>
      <c r="BI183" s="91" t="n"/>
      <c r="BJ183" s="91" t="n"/>
      <c r="BK183" s="91" t="n"/>
      <c r="BL183" s="91" t="n"/>
      <c r="BM183" s="91" t="n"/>
      <c r="BN183" s="91" t="n"/>
      <c r="BO183" s="91" t="n"/>
      <c r="BP183" s="91" t="n"/>
      <c r="BQ183" s="91" t="n"/>
      <c r="BR183" s="91" t="n"/>
      <c r="BS183" s="91" t="n"/>
      <c r="BT183" s="91" t="n"/>
      <c r="BU183" s="91" t="n"/>
      <c r="BV183" s="91" t="n"/>
      <c r="BW183" s="91" t="n"/>
      <c r="BX183" s="91" t="n"/>
      <c r="BY183" s="91" t="n"/>
      <c r="BZ183" s="91">
        <f>SUM(BN183:BY183)</f>
        <v/>
      </c>
      <c r="CA183" s="91" t="n"/>
      <c r="CB183" s="91" t="n"/>
      <c r="CC183" s="91" t="n"/>
      <c r="CD183" s="91" t="n"/>
      <c r="CE183" s="91" t="n">
        <v>51504</v>
      </c>
      <c r="CF183" s="91" t="n">
        <v>184</v>
      </c>
      <c r="CG183" s="91" t="n"/>
      <c r="CH183" s="91" t="inlineStr"/>
      <c r="CI183" s="91" t="n"/>
      <c r="CJ183" s="91" t="inlineStr"/>
      <c r="CK183" s="91" t="n"/>
      <c r="CL183" s="91" t="inlineStr"/>
      <c r="CM183" s="91">
        <f>SUM(CA183:CL183)</f>
        <v/>
      </c>
      <c r="CN183" s="91" t="n"/>
      <c r="CO183" s="91" t="n"/>
      <c r="CP183" s="91" t="n"/>
      <c r="CQ183" s="93" t="n"/>
      <c r="CR183" s="94" t="n"/>
      <c r="CS183" s="94" t="n"/>
      <c r="CT183" s="91" t="n"/>
      <c r="CU183" s="91" t="n"/>
      <c r="CV183" s="91" t="n"/>
      <c r="CW183" s="91" t="n"/>
      <c r="CX183" s="91" t="n"/>
      <c r="CY183" s="91" t="n"/>
      <c r="CZ183" s="91">
        <f>SUM(CN183:CY183)</f>
        <v/>
      </c>
      <c r="DA183" s="35" t="n"/>
    </row>
    <row r="184" ht="18.75" customFormat="1" customHeight="1" s="1">
      <c r="A184" s="30" t="n">
        <v>185</v>
      </c>
      <c r="B184" s="31" t="inlineStr">
        <is>
          <t>湖北</t>
        </is>
      </c>
      <c r="C184" s="31" t="inlineStr">
        <is>
          <t>石首</t>
        </is>
      </c>
      <c r="D184" s="31" t="inlineStr">
        <is>
          <t>胡芳</t>
        </is>
      </c>
      <c r="E184" s="89" t="n"/>
      <c r="F184" s="27" t="n"/>
      <c r="G184" s="27" t="n"/>
      <c r="H184" s="91" t="n"/>
      <c r="I184" s="91" t="n">
        <v>3529</v>
      </c>
      <c r="J184" s="91" t="n"/>
      <c r="K184" s="91">
        <f>+H184+I184+J184</f>
        <v/>
      </c>
      <c r="L184" s="91" t="n"/>
      <c r="M184" s="91" t="n">
        <v>0</v>
      </c>
      <c r="N184" s="91" t="n"/>
      <c r="O184" s="91" t="n"/>
      <c r="P184" s="91" t="n"/>
      <c r="Q184" s="91" t="n"/>
      <c r="R184" s="91" t="n"/>
      <c r="S184" s="91" t="n"/>
      <c r="T184" s="91" t="n"/>
      <c r="U184" s="91" t="n"/>
      <c r="V184" s="91" t="n"/>
      <c r="W184" s="91" t="n"/>
      <c r="X184" s="91" t="n"/>
      <c r="Y184" s="91" t="n"/>
      <c r="Z184" s="91" t="n"/>
      <c r="AA184" s="91" t="n"/>
      <c r="AB184" s="91" t="n"/>
      <c r="AC184" s="91" t="n"/>
      <c r="AD184" s="91" t="n"/>
      <c r="AE184" s="91" t="n"/>
      <c r="AF184" s="91" t="n"/>
      <c r="AG184" s="30" t="n"/>
      <c r="AH184" s="30" t="n"/>
      <c r="AI184" s="30" t="n"/>
      <c r="AJ184" s="30" t="n"/>
      <c r="AK184" s="30" t="n"/>
      <c r="AL184" s="30" t="n"/>
      <c r="AM184" s="91" t="n"/>
      <c r="AN184" s="91" t="n"/>
      <c r="AO184" s="91" t="n"/>
      <c r="AP184" s="91" t="n"/>
      <c r="AQ184" s="91" t="n"/>
      <c r="AR184" s="91" t="n"/>
      <c r="AS184" s="91" t="n"/>
      <c r="AT184" s="91" t="n"/>
      <c r="AU184" s="91" t="n"/>
      <c r="AV184" s="31" t="n"/>
      <c r="AW184" s="36" t="n"/>
      <c r="AX184" s="16" t="n"/>
      <c r="AY184" s="31" t="n"/>
      <c r="AZ184" s="92" t="n"/>
      <c r="BA184" s="91" t="n"/>
      <c r="BB184" s="91" t="n"/>
      <c r="BC184" s="91" t="n"/>
      <c r="BD184" s="91" t="n"/>
      <c r="BE184" s="91" t="n"/>
      <c r="BF184" s="91" t="n"/>
      <c r="BG184" s="91" t="n"/>
      <c r="BH184" s="91" t="n"/>
      <c r="BI184" s="91" t="n"/>
      <c r="BJ184" s="91" t="n"/>
      <c r="BK184" s="91" t="n"/>
      <c r="BL184" s="91" t="n"/>
      <c r="BM184" s="91" t="n"/>
      <c r="BN184" s="91" t="n"/>
      <c r="BO184" s="91" t="n"/>
      <c r="BP184" s="91" t="n"/>
      <c r="BQ184" s="91" t="n"/>
      <c r="BR184" s="91" t="n"/>
      <c r="BS184" s="91" t="n"/>
      <c r="BT184" s="91" t="n"/>
      <c r="BU184" s="91" t="n"/>
      <c r="BV184" s="91" t="n"/>
      <c r="BW184" s="91" t="n"/>
      <c r="BX184" s="91" t="n"/>
      <c r="BY184" s="91" t="n"/>
      <c r="BZ184" s="91">
        <f>SUM(BN184:BY184)</f>
        <v/>
      </c>
      <c r="CA184" s="91" t="n"/>
      <c r="CB184" s="91" t="n"/>
      <c r="CC184" s="91" t="n"/>
      <c r="CD184" s="91" t="n"/>
      <c r="CE184" s="91">
        <f>22747+4571</f>
        <v/>
      </c>
      <c r="CF184" s="91" t="n">
        <v>10270</v>
      </c>
      <c r="CG184" s="91" t="n"/>
      <c r="CH184" s="91" t="inlineStr"/>
      <c r="CI184" s="91" t="n"/>
      <c r="CJ184" s="91" t="inlineStr"/>
      <c r="CK184" s="91" t="n"/>
      <c r="CL184" s="91" t="inlineStr"/>
      <c r="CM184" s="91">
        <f>SUM(CA184:CL184)</f>
        <v/>
      </c>
      <c r="CN184" s="91" t="n"/>
      <c r="CO184" s="91" t="n"/>
      <c r="CP184" s="91" t="n"/>
      <c r="CQ184" s="93" t="n"/>
      <c r="CR184" s="94" t="n"/>
      <c r="CS184" s="94" t="n"/>
      <c r="CT184" s="91" t="n"/>
      <c r="CU184" s="91" t="n"/>
      <c r="CV184" s="91" t="n"/>
      <c r="CW184" s="91" t="n"/>
      <c r="CX184" s="91" t="n"/>
      <c r="CY184" s="91" t="n"/>
      <c r="CZ184" s="91">
        <f>SUM(CN184:CY184)</f>
        <v/>
      </c>
      <c r="DA184" s="35" t="n"/>
    </row>
    <row r="185" ht="18.75" customFormat="1" customHeight="1" s="1">
      <c r="A185" s="30" t="n">
        <v>186</v>
      </c>
      <c r="B185" s="31" t="inlineStr">
        <is>
          <t>内蒙古</t>
        </is>
      </c>
      <c r="C185" s="31" t="inlineStr">
        <is>
          <t>鄂尔多斯</t>
        </is>
      </c>
      <c r="D185" s="31" t="inlineStr">
        <is>
          <t>全星</t>
        </is>
      </c>
      <c r="E185" s="89" t="n"/>
      <c r="F185" s="27" t="inlineStr">
        <is>
          <t>2026</t>
        </is>
      </c>
      <c r="G185" s="27" t="inlineStr">
        <is>
          <t>3</t>
        </is>
      </c>
      <c r="H185" s="91">
        <f>662+537</f>
        <v/>
      </c>
      <c r="I185" s="91" t="n">
        <v>618</v>
      </c>
      <c r="J185" s="91" t="n"/>
      <c r="K185" s="91">
        <f>+H185+I185+J185</f>
        <v/>
      </c>
      <c r="L185" s="91" t="n"/>
      <c r="M185" s="91" t="n">
        <v>23872</v>
      </c>
      <c r="N185" s="91" t="n"/>
      <c r="O185" s="91" t="n"/>
      <c r="P185" s="91" t="n"/>
      <c r="Q185" s="91" t="n"/>
      <c r="R185" s="91" t="n"/>
      <c r="S185" s="91" t="n"/>
      <c r="T185" s="91" t="n"/>
      <c r="U185" s="91" t="n"/>
      <c r="V185" s="91" t="n"/>
      <c r="W185" s="91" t="n"/>
      <c r="X185" s="91" t="n"/>
      <c r="Y185" s="91" t="n"/>
      <c r="Z185" s="91" t="n"/>
      <c r="AA185" s="91" t="n"/>
      <c r="AB185" s="91" t="n"/>
      <c r="AC185" s="91" t="n"/>
      <c r="AD185" s="91" t="n"/>
      <c r="AE185" s="91" t="n"/>
      <c r="AF185" s="91" t="n"/>
      <c r="AG185" s="30" t="n"/>
      <c r="AH185" s="30" t="n"/>
      <c r="AI185" s="30" t="n"/>
      <c r="AJ185" s="30" t="n"/>
      <c r="AK185" s="30" t="n"/>
      <c r="AL185" s="30" t="n"/>
      <c r="AM185" s="91" t="n"/>
      <c r="AN185" s="91" t="n"/>
      <c r="AO185" s="91" t="n"/>
      <c r="AP185" s="91" t="n"/>
      <c r="AQ185" s="91" t="n"/>
      <c r="AR185" s="91" t="n"/>
      <c r="AS185" s="91" t="n"/>
      <c r="AT185" s="91" t="n"/>
      <c r="AU185" s="91" t="n"/>
      <c r="AV185" s="31" t="n"/>
      <c r="AW185" s="36" t="n"/>
      <c r="AX185" s="16" t="n"/>
      <c r="AY185" s="31" t="n"/>
      <c r="AZ185" s="92" t="n"/>
      <c r="BA185" s="91" t="n"/>
      <c r="BB185" s="91" t="n"/>
      <c r="BC185" s="91" t="n"/>
      <c r="BD185" s="91" t="n"/>
      <c r="BE185" s="91" t="n"/>
      <c r="BF185" s="91" t="n"/>
      <c r="BG185" s="91" t="n"/>
      <c r="BH185" s="91" t="n"/>
      <c r="BI185" s="91" t="n"/>
      <c r="BJ185" s="91" t="n"/>
      <c r="BK185" s="91" t="n"/>
      <c r="BL185" s="91" t="n"/>
      <c r="BM185" s="91" t="n"/>
      <c r="BN185" s="91" t="n"/>
      <c r="BO185" s="91" t="n"/>
      <c r="BP185" s="91" t="n"/>
      <c r="BQ185" s="91" t="n"/>
      <c r="BR185" s="91" t="n"/>
      <c r="BS185" s="91" t="n"/>
      <c r="BT185" s="91" t="n"/>
      <c r="BU185" s="91" t="n"/>
      <c r="BV185" s="91" t="n"/>
      <c r="BW185" s="91" t="n"/>
      <c r="BX185" s="91" t="n"/>
      <c r="BY185" s="91" t="n"/>
      <c r="BZ185" s="91">
        <f>SUM(BN185:BY185)</f>
        <v/>
      </c>
      <c r="CA185" s="91" t="n"/>
      <c r="CB185" s="91" t="n"/>
      <c r="CC185" s="91" t="n"/>
      <c r="CD185" s="91" t="n"/>
      <c r="CE185" s="91">
        <f>16614+3075</f>
        <v/>
      </c>
      <c r="CF185" s="91" t="n">
        <v>29535.14</v>
      </c>
      <c r="CG185" s="91" t="n">
        <v>10718.61</v>
      </c>
      <c r="CH185" s="91" t="n">
        <v>58374.14</v>
      </c>
      <c r="CI185" s="91" t="n">
        <v>40668.03</v>
      </c>
      <c r="CJ185" s="91" t="n">
        <v>2020.15</v>
      </c>
      <c r="CK185" s="91" t="n">
        <v>1341.13</v>
      </c>
      <c r="CL185" s="91" t="n">
        <v>102236.34</v>
      </c>
      <c r="CM185" s="91">
        <f>SUM(CA185:CL185)</f>
        <v/>
      </c>
      <c r="CN185" s="91" t="n"/>
      <c r="CO185" s="91" t="n"/>
      <c r="CP185" s="91" t="n"/>
      <c r="CQ185" s="93" t="n"/>
      <c r="CR185" s="94" t="n"/>
      <c r="CS185" s="94" t="n"/>
      <c r="CT185" s="91" t="n"/>
      <c r="CU185" s="91" t="n"/>
      <c r="CV185" s="91" t="n"/>
      <c r="CW185" s="91" t="n"/>
      <c r="CX185" s="91" t="n"/>
      <c r="CY185" s="91" t="n"/>
      <c r="CZ185" s="91">
        <f>SUM(CN185:CY185)</f>
        <v/>
      </c>
      <c r="DA185" s="35" t="n"/>
    </row>
    <row r="186" ht="18.75" customFormat="1" customHeight="1" s="1">
      <c r="A186" s="30" t="n">
        <v>187</v>
      </c>
      <c r="B186" s="31" t="inlineStr">
        <is>
          <t>湖北</t>
        </is>
      </c>
      <c r="C186" s="31" t="inlineStr">
        <is>
          <t>随州</t>
        </is>
      </c>
      <c r="D186" s="31" t="inlineStr">
        <is>
          <t>宋伟伟</t>
        </is>
      </c>
      <c r="E186" s="89" t="n"/>
      <c r="F186" s="27" t="inlineStr">
        <is>
          <t>2024/2025</t>
        </is>
      </c>
      <c r="G186" s="27" t="inlineStr">
        <is>
          <t>12/9</t>
        </is>
      </c>
      <c r="H186" s="91">
        <f>4275+126</f>
        <v/>
      </c>
      <c r="I186" s="91" t="n">
        <v>15653</v>
      </c>
      <c r="J186" s="91" t="n"/>
      <c r="K186" s="91">
        <f>+H186+I186+J186</f>
        <v/>
      </c>
      <c r="L186" s="91" t="n"/>
      <c r="M186" s="91" t="n">
        <v>0</v>
      </c>
      <c r="N186" s="91" t="n"/>
      <c r="O186" s="91" t="n"/>
      <c r="P186" s="91" t="n"/>
      <c r="Q186" s="91" t="n"/>
      <c r="R186" s="91" t="n"/>
      <c r="S186" s="91" t="n"/>
      <c r="T186" s="91" t="n"/>
      <c r="U186" s="91" t="n"/>
      <c r="V186" s="91" t="n"/>
      <c r="W186" s="91" t="n"/>
      <c r="X186" s="91" t="n"/>
      <c r="Y186" s="91" t="n"/>
      <c r="Z186" s="91" t="n"/>
      <c r="AA186" s="91" t="n"/>
      <c r="AB186" s="91" t="n"/>
      <c r="AC186" s="91" t="n"/>
      <c r="AD186" s="91" t="n"/>
      <c r="AE186" s="91" t="n"/>
      <c r="AF186" s="91" t="n"/>
      <c r="AG186" s="30" t="n"/>
      <c r="AH186" s="30" t="n"/>
      <c r="AI186" s="30" t="n"/>
      <c r="AJ186" s="30" t="n"/>
      <c r="AK186" s="30" t="n"/>
      <c r="AL186" s="30" t="n"/>
      <c r="AM186" s="91" t="n"/>
      <c r="AN186" s="91" t="n"/>
      <c r="AO186" s="91" t="n"/>
      <c r="AP186" s="91" t="n"/>
      <c r="AQ186" s="91" t="n"/>
      <c r="AR186" s="91" t="n"/>
      <c r="AS186" s="91" t="n"/>
      <c r="AT186" s="91" t="n"/>
      <c r="AU186" s="91" t="n"/>
      <c r="AV186" s="31" t="n"/>
      <c r="AW186" s="36" t="n"/>
      <c r="AX186" s="16" t="n"/>
      <c r="AY186" s="31" t="n"/>
      <c r="AZ186" s="92" t="n"/>
      <c r="BA186" s="91" t="n"/>
      <c r="BB186" s="91" t="n"/>
      <c r="BC186" s="91" t="n"/>
      <c r="BD186" s="91" t="n"/>
      <c r="BE186" s="91" t="n"/>
      <c r="BF186" s="91" t="n"/>
      <c r="BG186" s="91" t="n"/>
      <c r="BH186" s="91" t="n"/>
      <c r="BI186" s="91" t="n"/>
      <c r="BJ186" s="91" t="n"/>
      <c r="BK186" s="91" t="n"/>
      <c r="BL186" s="91" t="n"/>
      <c r="BM186" s="91" t="n"/>
      <c r="BN186" s="91" t="n"/>
      <c r="BO186" s="91" t="n"/>
      <c r="BP186" s="91" t="n"/>
      <c r="BQ186" s="91" t="n"/>
      <c r="BR186" s="91" t="n"/>
      <c r="BS186" s="91" t="n"/>
      <c r="BT186" s="91" t="n"/>
      <c r="BU186" s="91" t="n"/>
      <c r="BV186" s="91" t="n"/>
      <c r="BW186" s="91" t="n"/>
      <c r="BX186" s="91" t="n"/>
      <c r="BY186" s="91" t="n"/>
      <c r="BZ186" s="91">
        <f>SUM(BN186:BY186)</f>
        <v/>
      </c>
      <c r="CA186" s="91" t="n"/>
      <c r="CB186" s="91" t="n"/>
      <c r="CC186" s="91" t="n"/>
      <c r="CD186" s="91" t="n"/>
      <c r="CE186" s="91" t="n">
        <v>6530</v>
      </c>
      <c r="CF186" s="91" t="n">
        <v>27264</v>
      </c>
      <c r="CG186" s="91" t="n">
        <v>3233</v>
      </c>
      <c r="CH186" s="91" t="inlineStr"/>
      <c r="CI186" s="91" t="n">
        <v>3386</v>
      </c>
      <c r="CJ186" s="91" t="n">
        <v>144438.67</v>
      </c>
      <c r="CK186" s="91" t="n"/>
      <c r="CL186" s="91" t="n">
        <v>47447.61</v>
      </c>
      <c r="CM186" s="91">
        <f>SUM(CA186:CL186)</f>
        <v/>
      </c>
      <c r="CN186" s="91" t="n"/>
      <c r="CO186" s="91" t="n"/>
      <c r="CP186" s="91" t="n"/>
      <c r="CQ186" s="93" t="n"/>
      <c r="CR186" s="94" t="n"/>
      <c r="CS186" s="94" t="n"/>
      <c r="CT186" s="91" t="n"/>
      <c r="CU186" s="91" t="n"/>
      <c r="CV186" s="91" t="n"/>
      <c r="CW186" s="91" t="n"/>
      <c r="CX186" s="91" t="n"/>
      <c r="CY186" s="91" t="n"/>
      <c r="CZ186" s="91">
        <f>SUM(CN186:CY186)</f>
        <v/>
      </c>
      <c r="DA186" s="35" t="n"/>
    </row>
    <row r="187" ht="18.75" customFormat="1" customHeight="1" s="1">
      <c r="A187" s="30" t="n">
        <v>188</v>
      </c>
      <c r="B187" s="31" t="inlineStr">
        <is>
          <t>湖北</t>
        </is>
      </c>
      <c r="C187" s="31" t="inlineStr">
        <is>
          <t>荆州</t>
        </is>
      </c>
      <c r="D187" s="31" t="inlineStr">
        <is>
          <t>朱晓鑫</t>
        </is>
      </c>
      <c r="E187" s="89" t="n"/>
      <c r="F187" s="27" t="n"/>
      <c r="G187" s="27" t="n"/>
      <c r="H187" s="91" t="n"/>
      <c r="I187" s="91" t="n"/>
      <c r="J187" s="91" t="n"/>
      <c r="K187" s="91">
        <f>+H187+I187+J187</f>
        <v/>
      </c>
      <c r="L187" s="91" t="n"/>
      <c r="M187" s="91" t="n">
        <v>0</v>
      </c>
      <c r="N187" s="91" t="n"/>
      <c r="O187" s="91" t="n"/>
      <c r="P187" s="91" t="n"/>
      <c r="Q187" s="91" t="n"/>
      <c r="R187" s="91" t="n"/>
      <c r="S187" s="91" t="n"/>
      <c r="T187" s="91" t="n"/>
      <c r="U187" s="91" t="n"/>
      <c r="V187" s="91" t="n"/>
      <c r="W187" s="91" t="n"/>
      <c r="X187" s="91" t="n"/>
      <c r="Y187" s="91" t="n"/>
      <c r="Z187" s="91" t="n"/>
      <c r="AA187" s="91" t="n"/>
      <c r="AB187" s="91" t="n"/>
      <c r="AC187" s="91" t="n"/>
      <c r="AD187" s="91" t="n"/>
      <c r="AE187" s="91" t="n"/>
      <c r="AF187" s="91" t="n"/>
      <c r="AG187" s="30" t="n"/>
      <c r="AH187" s="30" t="n"/>
      <c r="AI187" s="30" t="n"/>
      <c r="AJ187" s="30" t="n"/>
      <c r="AK187" s="30" t="n"/>
      <c r="AL187" s="30" t="n"/>
      <c r="AM187" s="91" t="n"/>
      <c r="AN187" s="91" t="n"/>
      <c r="AO187" s="91" t="n"/>
      <c r="AP187" s="91" t="n"/>
      <c r="AQ187" s="91" t="n"/>
      <c r="AR187" s="91" t="n"/>
      <c r="AS187" s="91" t="n"/>
      <c r="AT187" s="91" t="n"/>
      <c r="AU187" s="91" t="n"/>
      <c r="AV187" s="31" t="n"/>
      <c r="AW187" s="36" t="n"/>
      <c r="AX187" s="16" t="n"/>
      <c r="AY187" s="31" t="n"/>
      <c r="AZ187" s="92" t="n"/>
      <c r="BA187" s="91" t="n"/>
      <c r="BB187" s="91" t="n"/>
      <c r="BC187" s="91" t="n"/>
      <c r="BD187" s="91" t="n"/>
      <c r="BE187" s="91" t="n"/>
      <c r="BF187" s="91" t="n"/>
      <c r="BG187" s="91" t="n"/>
      <c r="BH187" s="91" t="n"/>
      <c r="BI187" s="91" t="n"/>
      <c r="BJ187" s="91" t="n"/>
      <c r="BK187" s="91" t="n"/>
      <c r="BL187" s="91" t="n"/>
      <c r="BM187" s="91" t="n"/>
      <c r="BN187" s="91" t="n"/>
      <c r="BO187" s="91" t="n"/>
      <c r="BP187" s="91" t="n"/>
      <c r="BQ187" s="91" t="n"/>
      <c r="BR187" s="91" t="n"/>
      <c r="BS187" s="91" t="n"/>
      <c r="BT187" s="91" t="n"/>
      <c r="BU187" s="91" t="n"/>
      <c r="BV187" s="91" t="n"/>
      <c r="BW187" s="91" t="n"/>
      <c r="BX187" s="91" t="n"/>
      <c r="BY187" s="91" t="n"/>
      <c r="BZ187" s="91">
        <f>SUM(BN187:BY187)</f>
        <v/>
      </c>
      <c r="CA187" s="91" t="n"/>
      <c r="CB187" s="91" t="n"/>
      <c r="CC187" s="91" t="n"/>
      <c r="CD187" s="91" t="n"/>
      <c r="CE187" s="91" t="n">
        <v>159950</v>
      </c>
      <c r="CF187" s="91" t="n"/>
      <c r="CG187" s="91" t="n"/>
      <c r="CH187" s="91" t="n">
        <v>3196</v>
      </c>
      <c r="CI187" s="91" t="n"/>
      <c r="CJ187" s="91" t="inlineStr"/>
      <c r="CK187" s="91" t="n"/>
      <c r="CL187" s="91" t="inlineStr"/>
      <c r="CM187" s="91">
        <f>SUM(CA187:CL187)</f>
        <v/>
      </c>
      <c r="CN187" s="91" t="n"/>
      <c r="CO187" s="91" t="n"/>
      <c r="CP187" s="91" t="n"/>
      <c r="CQ187" s="93" t="n"/>
      <c r="CR187" s="94" t="n"/>
      <c r="CS187" s="94" t="n"/>
      <c r="CT187" s="91" t="n"/>
      <c r="CU187" s="91" t="n"/>
      <c r="CV187" s="91" t="n"/>
      <c r="CW187" s="91" t="n"/>
      <c r="CX187" s="91" t="n"/>
      <c r="CY187" s="91" t="n"/>
      <c r="CZ187" s="91">
        <f>SUM(CN187:CY187)</f>
        <v/>
      </c>
      <c r="DA187" s="35" t="n"/>
    </row>
    <row r="188" ht="18.75" customFormat="1" customHeight="1" s="1">
      <c r="A188" s="30" t="n">
        <v>189</v>
      </c>
      <c r="B188" s="31" t="inlineStr">
        <is>
          <t>湖北</t>
        </is>
      </c>
      <c r="C188" s="31" t="inlineStr">
        <is>
          <t>鄂州</t>
        </is>
      </c>
      <c r="D188" s="31" t="inlineStr">
        <is>
          <t>朱雨英</t>
        </is>
      </c>
      <c r="E188" s="89" t="n"/>
      <c r="F188" s="27" t="n"/>
      <c r="G188" s="27" t="n"/>
      <c r="H188" s="91" t="n"/>
      <c r="I188" s="91" t="n"/>
      <c r="J188" s="91" t="n"/>
      <c r="K188" s="91">
        <f>+H188+I188+J188</f>
        <v/>
      </c>
      <c r="L188" s="91" t="n"/>
      <c r="M188" s="91" t="n">
        <v>0</v>
      </c>
      <c r="N188" s="91" t="n"/>
      <c r="O188" s="91" t="n"/>
      <c r="P188" s="91" t="n"/>
      <c r="Q188" s="91" t="n"/>
      <c r="R188" s="91" t="n"/>
      <c r="S188" s="91" t="n"/>
      <c r="T188" s="91" t="n"/>
      <c r="U188" s="91" t="n"/>
      <c r="V188" s="91" t="n"/>
      <c r="W188" s="91" t="n"/>
      <c r="X188" s="91" t="n"/>
      <c r="Y188" s="91" t="n"/>
      <c r="Z188" s="91" t="n"/>
      <c r="AA188" s="91" t="n"/>
      <c r="AB188" s="91" t="n"/>
      <c r="AC188" s="91" t="n"/>
      <c r="AD188" s="91" t="n"/>
      <c r="AE188" s="91" t="n"/>
      <c r="AF188" s="91" t="n"/>
      <c r="AG188" s="30" t="n"/>
      <c r="AH188" s="30" t="n"/>
      <c r="AI188" s="30" t="n"/>
      <c r="AJ188" s="30" t="n"/>
      <c r="AK188" s="30" t="n"/>
      <c r="AL188" s="30" t="n"/>
      <c r="AM188" s="91" t="n"/>
      <c r="AN188" s="91" t="n"/>
      <c r="AO188" s="91" t="n"/>
      <c r="AP188" s="91" t="n"/>
      <c r="AQ188" s="91" t="n"/>
      <c r="AR188" s="91" t="n"/>
      <c r="AS188" s="91" t="n"/>
      <c r="AT188" s="91" t="n"/>
      <c r="AU188" s="91" t="n"/>
      <c r="AV188" s="31" t="n"/>
      <c r="AW188" s="36" t="n"/>
      <c r="AX188" s="16" t="n"/>
      <c r="AY188" s="31" t="n"/>
      <c r="AZ188" s="92" t="n"/>
      <c r="BA188" s="91" t="n"/>
      <c r="BB188" s="91" t="n"/>
      <c r="BC188" s="91" t="n"/>
      <c r="BD188" s="91" t="n"/>
      <c r="BE188" s="91" t="n"/>
      <c r="BF188" s="91" t="n"/>
      <c r="BG188" s="91" t="n"/>
      <c r="BH188" s="91" t="n"/>
      <c r="BI188" s="91" t="n"/>
      <c r="BJ188" s="91" t="n"/>
      <c r="BK188" s="91" t="n"/>
      <c r="BL188" s="91" t="n"/>
      <c r="BM188" s="91" t="n"/>
      <c r="BN188" s="91" t="n"/>
      <c r="BO188" s="91" t="n"/>
      <c r="BP188" s="91" t="n"/>
      <c r="BQ188" s="91" t="n"/>
      <c r="BR188" s="91" t="n"/>
      <c r="BS188" s="91" t="n"/>
      <c r="BT188" s="91" t="n"/>
      <c r="BU188" s="91" t="n"/>
      <c r="BV188" s="91" t="n"/>
      <c r="BW188" s="91" t="n"/>
      <c r="BX188" s="91" t="n"/>
      <c r="BY188" s="91" t="n"/>
      <c r="BZ188" s="91">
        <f>SUM(BN188:BY188)</f>
        <v/>
      </c>
      <c r="CA188" s="91" t="n"/>
      <c r="CB188" s="91" t="n"/>
      <c r="CC188" s="91" t="n"/>
      <c r="CD188" s="91" t="n"/>
      <c r="CE188" s="91" t="n">
        <v>48459</v>
      </c>
      <c r="CF188" s="91" t="n"/>
      <c r="CG188" s="91" t="n">
        <v>4093</v>
      </c>
      <c r="CH188" s="91" t="inlineStr"/>
      <c r="CI188" s="91" t="n"/>
      <c r="CJ188" s="91" t="inlineStr"/>
      <c r="CK188" s="91" t="n"/>
      <c r="CL188" s="91" t="inlineStr"/>
      <c r="CM188" s="91">
        <f>SUM(CA188:CL188)</f>
        <v/>
      </c>
      <c r="CN188" s="91" t="n"/>
      <c r="CO188" s="91" t="n"/>
      <c r="CP188" s="91" t="n"/>
      <c r="CQ188" s="93" t="n"/>
      <c r="CR188" s="94" t="n"/>
      <c r="CS188" s="94" t="n"/>
      <c r="CT188" s="91" t="n"/>
      <c r="CU188" s="91" t="n"/>
      <c r="CV188" s="91" t="n"/>
      <c r="CW188" s="91" t="n"/>
      <c r="CX188" s="91" t="n"/>
      <c r="CY188" s="91" t="n"/>
      <c r="CZ188" s="91">
        <f>SUM(CN188:CY188)</f>
        <v/>
      </c>
      <c r="DA188" s="35" t="n"/>
    </row>
    <row r="189" ht="18.75" customFormat="1" customHeight="1" s="1">
      <c r="A189" s="30" t="n">
        <v>190</v>
      </c>
      <c r="B189" s="31" t="inlineStr">
        <is>
          <t>陕西</t>
        </is>
      </c>
      <c r="C189" s="31" t="inlineStr">
        <is>
          <t>西安未央</t>
        </is>
      </c>
      <c r="D189" s="31" t="inlineStr">
        <is>
          <t>李爱爱</t>
        </is>
      </c>
      <c r="E189" s="89" t="n"/>
      <c r="F189" s="27" t="n"/>
      <c r="G189" s="27" t="n"/>
      <c r="H189" s="91" t="n"/>
      <c r="I189" s="91" t="n"/>
      <c r="J189" s="91" t="n"/>
      <c r="K189" s="91">
        <f>+H189+I189+J189</f>
        <v/>
      </c>
      <c r="L189" s="91" t="n"/>
      <c r="M189" s="91" t="n">
        <v>0</v>
      </c>
      <c r="N189" s="91" t="n"/>
      <c r="O189" s="91" t="n"/>
      <c r="P189" s="91" t="n"/>
      <c r="Q189" s="91" t="n"/>
      <c r="R189" s="91" t="n"/>
      <c r="S189" s="91" t="n"/>
      <c r="T189" s="91" t="n"/>
      <c r="U189" s="91" t="n"/>
      <c r="V189" s="91" t="n"/>
      <c r="W189" s="91" t="n"/>
      <c r="X189" s="91" t="n"/>
      <c r="Y189" s="91" t="n"/>
      <c r="Z189" s="91" t="n"/>
      <c r="AA189" s="91" t="n"/>
      <c r="AB189" s="91" t="n"/>
      <c r="AC189" s="91" t="n"/>
      <c r="AD189" s="91" t="n"/>
      <c r="AE189" s="91" t="n"/>
      <c r="AF189" s="91" t="n"/>
      <c r="AG189" s="30" t="n"/>
      <c r="AH189" s="30" t="n"/>
      <c r="AI189" s="30" t="n"/>
      <c r="AJ189" s="30" t="n"/>
      <c r="AK189" s="30" t="n"/>
      <c r="AL189" s="30" t="n"/>
      <c r="AM189" s="91" t="n"/>
      <c r="AN189" s="91" t="n"/>
      <c r="AO189" s="91" t="n"/>
      <c r="AP189" s="91" t="n"/>
      <c r="AQ189" s="91" t="n"/>
      <c r="AR189" s="91" t="n"/>
      <c r="AS189" s="91" t="n"/>
      <c r="AT189" s="91" t="n"/>
      <c r="AU189" s="91" t="n"/>
      <c r="AV189" s="31" t="n"/>
      <c r="AW189" s="36" t="n"/>
      <c r="AX189" s="16" t="n"/>
      <c r="AY189" s="31" t="n"/>
      <c r="AZ189" s="92" t="n"/>
      <c r="BA189" s="91" t="n"/>
      <c r="BB189" s="91" t="n"/>
      <c r="BC189" s="91" t="n"/>
      <c r="BD189" s="91" t="n"/>
      <c r="BE189" s="91" t="n"/>
      <c r="BF189" s="91" t="n"/>
      <c r="BG189" s="91" t="n"/>
      <c r="BH189" s="91" t="n"/>
      <c r="BI189" s="91" t="n"/>
      <c r="BJ189" s="91" t="n"/>
      <c r="BK189" s="91" t="n"/>
      <c r="BL189" s="91" t="n"/>
      <c r="BM189" s="91" t="n"/>
      <c r="BN189" s="91" t="n"/>
      <c r="BO189" s="91" t="n"/>
      <c r="BP189" s="91" t="n"/>
      <c r="BQ189" s="91" t="n"/>
      <c r="BR189" s="91" t="n"/>
      <c r="BS189" s="91" t="n"/>
      <c r="BT189" s="91" t="n"/>
      <c r="BU189" s="91" t="n"/>
      <c r="BV189" s="91" t="n"/>
      <c r="BW189" s="91" t="n"/>
      <c r="BX189" s="91" t="n"/>
      <c r="BY189" s="91" t="n"/>
      <c r="BZ189" s="91">
        <f>SUM(BN189:BY189)</f>
        <v/>
      </c>
      <c r="CA189" s="91" t="n"/>
      <c r="CB189" s="91" t="n"/>
      <c r="CC189" s="91" t="n"/>
      <c r="CD189" s="91" t="n"/>
      <c r="CE189" s="91" t="n">
        <v>66286</v>
      </c>
      <c r="CF189" s="91" t="n"/>
      <c r="CG189" s="91" t="n">
        <v>944</v>
      </c>
      <c r="CH189" s="91" t="n">
        <v>1732</v>
      </c>
      <c r="CI189" s="91" t="n"/>
      <c r="CJ189" s="91" t="inlineStr"/>
      <c r="CK189" s="91" t="n"/>
      <c r="CL189" s="91" t="inlineStr"/>
      <c r="CM189" s="91">
        <f>SUM(CA189:CL189)</f>
        <v/>
      </c>
      <c r="CN189" s="91" t="n"/>
      <c r="CO189" s="91" t="n"/>
      <c r="CP189" s="91" t="n"/>
      <c r="CQ189" s="93" t="n"/>
      <c r="CR189" s="94" t="n"/>
      <c r="CS189" s="94" t="n"/>
      <c r="CT189" s="91" t="n"/>
      <c r="CU189" s="91" t="n"/>
      <c r="CV189" s="91" t="n"/>
      <c r="CW189" s="91" t="n"/>
      <c r="CX189" s="91" t="n"/>
      <c r="CY189" s="91" t="n"/>
      <c r="CZ189" s="91">
        <f>SUM(CN189:CY189)</f>
        <v/>
      </c>
      <c r="DA189" s="35" t="n"/>
    </row>
    <row r="190" ht="18.75" customFormat="1" customHeight="1" s="1">
      <c r="A190" s="30" t="n">
        <v>191</v>
      </c>
      <c r="B190" s="31" t="inlineStr">
        <is>
          <t>河北</t>
        </is>
      </c>
      <c r="C190" s="31" t="inlineStr">
        <is>
          <t>定州</t>
        </is>
      </c>
      <c r="D190" s="31" t="inlineStr">
        <is>
          <t>李孟</t>
        </is>
      </c>
      <c r="E190" s="89" t="n"/>
      <c r="F190" s="27" t="inlineStr">
        <is>
          <t>2025/2026</t>
        </is>
      </c>
      <c r="G190" s="27" t="inlineStr">
        <is>
          <t>5/12/3</t>
        </is>
      </c>
      <c r="H190" s="91">
        <f>36328+3358</f>
        <v/>
      </c>
      <c r="I190" s="91">
        <f>17449+1141</f>
        <v/>
      </c>
      <c r="J190" s="91" t="n">
        <v>2595</v>
      </c>
      <c r="K190" s="91">
        <f>+H190+I190+J190</f>
        <v/>
      </c>
      <c r="L190" s="91" t="n">
        <v>5</v>
      </c>
      <c r="M190" s="91" t="n">
        <v>34746</v>
      </c>
      <c r="N190" s="91" t="n"/>
      <c r="O190" s="91" t="n"/>
      <c r="P190" s="91" t="n"/>
      <c r="Q190" s="91" t="n"/>
      <c r="R190" s="91" t="n"/>
      <c r="S190" s="91" t="n"/>
      <c r="T190" s="91" t="n"/>
      <c r="U190" s="91" t="n"/>
      <c r="V190" s="91" t="n"/>
      <c r="W190" s="91" t="n"/>
      <c r="X190" s="91" t="n"/>
      <c r="Y190" s="91" t="n"/>
      <c r="Z190" s="91" t="n"/>
      <c r="AA190" s="91" t="n"/>
      <c r="AB190" s="91" t="n"/>
      <c r="AC190" s="91" t="n"/>
      <c r="AD190" s="91" t="n"/>
      <c r="AE190" s="91" t="n"/>
      <c r="AF190" s="91" t="n"/>
      <c r="AG190" s="30" t="n"/>
      <c r="AH190" s="30" t="n"/>
      <c r="AI190" s="30" t="n"/>
      <c r="AJ190" s="30" t="n"/>
      <c r="AK190" s="30" t="n"/>
      <c r="AL190" s="30" t="n"/>
      <c r="AM190" s="91" t="n"/>
      <c r="AN190" s="91" t="n"/>
      <c r="AO190" s="91" t="n"/>
      <c r="AP190" s="91" t="n"/>
      <c r="AQ190" s="91" t="n"/>
      <c r="AR190" s="91" t="n"/>
      <c r="AS190" s="91" t="n"/>
      <c r="AT190" s="91" t="n"/>
      <c r="AU190" s="91" t="n"/>
      <c r="AV190" s="31" t="n"/>
      <c r="AW190" s="36" t="n"/>
      <c r="AX190" s="16" t="n"/>
      <c r="AY190" s="31" t="n"/>
      <c r="AZ190" s="92" t="n"/>
      <c r="BA190" s="91" t="n"/>
      <c r="BB190" s="91" t="n"/>
      <c r="BC190" s="91" t="n"/>
      <c r="BD190" s="91" t="n"/>
      <c r="BE190" s="91" t="n"/>
      <c r="BF190" s="91" t="n"/>
      <c r="BG190" s="91" t="n"/>
      <c r="BH190" s="91" t="n"/>
      <c r="BI190" s="91" t="n"/>
      <c r="BJ190" s="91" t="n"/>
      <c r="BK190" s="91" t="n"/>
      <c r="BL190" s="91" t="n"/>
      <c r="BM190" s="91" t="n"/>
      <c r="BN190" s="91" t="n"/>
      <c r="BO190" s="91" t="n"/>
      <c r="BP190" s="91" t="n"/>
      <c r="BQ190" s="91" t="n"/>
      <c r="BR190" s="91" t="n"/>
      <c r="BS190" s="91" t="n"/>
      <c r="BT190" s="91" t="n"/>
      <c r="BU190" s="91" t="n"/>
      <c r="BV190" s="91" t="n"/>
      <c r="BW190" s="91" t="n"/>
      <c r="BX190" s="91" t="n"/>
      <c r="BY190" s="91" t="n"/>
      <c r="BZ190" s="91">
        <f>SUM(BN190:BY190)</f>
        <v/>
      </c>
      <c r="CA190" s="91" t="n"/>
      <c r="CB190" s="91" t="n"/>
      <c r="CC190" s="91" t="n"/>
      <c r="CD190" s="91" t="n"/>
      <c r="CE190" s="91" t="n"/>
      <c r="CF190" s="91" t="n"/>
      <c r="CG190" s="91" t="n"/>
      <c r="CH190" s="91" t="inlineStr"/>
      <c r="CI190" s="91" t="n"/>
      <c r="CJ190" s="91" t="inlineStr"/>
      <c r="CK190" s="91" t="n"/>
      <c r="CL190" s="91" t="inlineStr"/>
      <c r="CM190" s="91">
        <f>SUM(CA190:CL190)</f>
        <v/>
      </c>
      <c r="CN190" s="91" t="n"/>
      <c r="CO190" s="91" t="n"/>
      <c r="CP190" s="91" t="n"/>
      <c r="CQ190" s="93" t="n"/>
      <c r="CR190" s="94" t="n"/>
      <c r="CS190" s="94" t="n"/>
      <c r="CT190" s="91" t="n"/>
      <c r="CU190" s="91" t="n"/>
      <c r="CV190" s="91" t="n"/>
      <c r="CW190" s="91" t="n"/>
      <c r="CX190" s="91" t="n"/>
      <c r="CY190" s="91" t="n"/>
      <c r="CZ190" s="91">
        <f>SUM(CN190:CY190)</f>
        <v/>
      </c>
      <c r="DA190" s="35" t="n"/>
    </row>
    <row r="191" ht="18.75" customFormat="1" customHeight="1" s="1">
      <c r="A191" s="30" t="n">
        <v>192</v>
      </c>
      <c r="B191" s="31" t="inlineStr">
        <is>
          <t>四川</t>
        </is>
      </c>
      <c r="C191" s="31" t="inlineStr">
        <is>
          <t>巴中</t>
        </is>
      </c>
      <c r="D191" s="31" t="inlineStr">
        <is>
          <t>何新黎</t>
        </is>
      </c>
      <c r="E191" s="89" t="n"/>
      <c r="F191" s="27" t="inlineStr">
        <is>
          <t>2025</t>
        </is>
      </c>
      <c r="G191" s="27" t="inlineStr">
        <is>
          <t>5/10/11</t>
        </is>
      </c>
      <c r="H191" s="91">
        <f>129983+426+9840</f>
        <v/>
      </c>
      <c r="I191" s="91" t="n"/>
      <c r="J191" s="91" t="n">
        <v>4140</v>
      </c>
      <c r="K191" s="91">
        <f>+H191+I191+J191</f>
        <v/>
      </c>
      <c r="L191" s="91" t="n">
        <v>5</v>
      </c>
      <c r="M191" s="91">
        <f>86890+5294</f>
        <v/>
      </c>
      <c r="N191" s="91" t="n"/>
      <c r="O191" s="91" t="n"/>
      <c r="P191" s="91" t="n"/>
      <c r="Q191" s="91" t="n"/>
      <c r="R191" s="91" t="n"/>
      <c r="S191" s="91" t="n"/>
      <c r="T191" s="91" t="n"/>
      <c r="U191" s="91" t="n"/>
      <c r="V191" s="91" t="n"/>
      <c r="W191" s="91" t="n"/>
      <c r="X191" s="91" t="n"/>
      <c r="Y191" s="91" t="n"/>
      <c r="Z191" s="91" t="n"/>
      <c r="AA191" s="91" t="n"/>
      <c r="AB191" s="91" t="n"/>
      <c r="AC191" s="91" t="n"/>
      <c r="AD191" s="91" t="n"/>
      <c r="AE191" s="91" t="n"/>
      <c r="AF191" s="91" t="n"/>
      <c r="AG191" s="30" t="n"/>
      <c r="AH191" s="30" t="n"/>
      <c r="AI191" s="30" t="n"/>
      <c r="AJ191" s="30" t="n"/>
      <c r="AK191" s="30" t="n"/>
      <c r="AL191" s="30" t="n"/>
      <c r="AM191" s="91" t="n"/>
      <c r="AN191" s="91" t="n"/>
      <c r="AO191" s="91" t="n"/>
      <c r="AP191" s="91" t="n"/>
      <c r="AQ191" s="91" t="n"/>
      <c r="AR191" s="91" t="n"/>
      <c r="AS191" s="91" t="n"/>
      <c r="AT191" s="91" t="n"/>
      <c r="AU191" s="91" t="n"/>
      <c r="AV191" s="31" t="n"/>
      <c r="AW191" s="36" t="n"/>
      <c r="AX191" s="16" t="n"/>
      <c r="AY191" s="31" t="n"/>
      <c r="AZ191" s="92" t="n"/>
      <c r="BA191" s="91" t="n"/>
      <c r="BB191" s="91" t="n"/>
      <c r="BC191" s="91" t="n"/>
      <c r="BD191" s="91" t="n"/>
      <c r="BE191" s="91" t="n"/>
      <c r="BF191" s="91" t="n"/>
      <c r="BG191" s="91" t="n"/>
      <c r="BH191" s="91" t="n"/>
      <c r="BI191" s="91" t="n"/>
      <c r="BJ191" s="91" t="n"/>
      <c r="BK191" s="91" t="n"/>
      <c r="BL191" s="91" t="n"/>
      <c r="BM191" s="91" t="n"/>
      <c r="BN191" s="91" t="n"/>
      <c r="BO191" s="91" t="n"/>
      <c r="BP191" s="91" t="n"/>
      <c r="BQ191" s="91" t="n"/>
      <c r="BR191" s="91" t="n"/>
      <c r="BS191" s="91" t="n"/>
      <c r="BT191" s="91" t="n"/>
      <c r="BU191" s="91" t="n"/>
      <c r="BV191" s="91" t="n"/>
      <c r="BW191" s="91" t="n"/>
      <c r="BX191" s="91" t="n"/>
      <c r="BY191" s="91" t="n"/>
      <c r="BZ191" s="91">
        <f>SUM(BN191:BY191)</f>
        <v/>
      </c>
      <c r="CA191" s="91" t="n"/>
      <c r="CB191" s="91" t="n"/>
      <c r="CC191" s="91" t="n"/>
      <c r="CD191" s="91" t="n"/>
      <c r="CE191" s="91" t="n"/>
      <c r="CF191" s="91" t="n"/>
      <c r="CG191" s="91" t="n"/>
      <c r="CH191" s="91" t="inlineStr"/>
      <c r="CI191" s="91" t="n"/>
      <c r="CJ191" s="91" t="n">
        <v>0</v>
      </c>
      <c r="CK191" s="91" t="n">
        <v>739</v>
      </c>
      <c r="CL191" s="91" t="n">
        <v>55301</v>
      </c>
      <c r="CM191" s="91">
        <f>SUM(CA191:CL191)</f>
        <v/>
      </c>
      <c r="CN191" s="91" t="n"/>
      <c r="CO191" s="91" t="n"/>
      <c r="CP191" s="91" t="n"/>
      <c r="CQ191" s="93" t="n"/>
      <c r="CR191" s="94" t="n"/>
      <c r="CS191" s="94" t="n"/>
      <c r="CT191" s="91" t="n"/>
      <c r="CU191" s="91" t="n"/>
      <c r="CV191" s="91" t="n"/>
      <c r="CW191" s="91" t="n"/>
      <c r="CX191" s="91" t="n"/>
      <c r="CY191" s="91" t="n"/>
      <c r="CZ191" s="91">
        <f>SUM(CN191:CY191)</f>
        <v/>
      </c>
      <c r="DA191" s="35" t="n"/>
    </row>
    <row r="192" ht="28.5" customFormat="1" customHeight="1" s="1">
      <c r="A192" s="30" t="n">
        <v>193</v>
      </c>
      <c r="B192" s="31" t="inlineStr">
        <is>
          <t>贵州</t>
        </is>
      </c>
      <c r="C192" s="31" t="inlineStr">
        <is>
          <t>桐梓</t>
        </is>
      </c>
      <c r="D192" s="31" t="inlineStr">
        <is>
          <t>熊安斌</t>
        </is>
      </c>
      <c r="E192" s="89" t="n"/>
      <c r="F192" s="27" t="inlineStr">
        <is>
          <t>2025/2026</t>
        </is>
      </c>
      <c r="G192" s="27" t="inlineStr">
        <is>
          <t>5/6/12/3</t>
        </is>
      </c>
      <c r="H192" s="91">
        <f>12411+300+537</f>
        <v/>
      </c>
      <c r="I192" s="91" t="n">
        <v>365</v>
      </c>
      <c r="J192" s="91" t="n">
        <v>6801</v>
      </c>
      <c r="K192" s="91">
        <f>+H192+I192+J192</f>
        <v/>
      </c>
      <c r="L192" s="91" t="n">
        <v>5</v>
      </c>
      <c r="M192" s="91" t="n">
        <v>23612</v>
      </c>
      <c r="N192" s="91" t="n"/>
      <c r="O192" s="91" t="n"/>
      <c r="P192" s="91" t="n"/>
      <c r="Q192" s="91" t="n"/>
      <c r="R192" s="91" t="n"/>
      <c r="S192" s="91" t="n"/>
      <c r="T192" s="91" t="n"/>
      <c r="U192" s="91" t="n"/>
      <c r="V192" s="91" t="n"/>
      <c r="W192" s="91" t="n"/>
      <c r="X192" s="91" t="n"/>
      <c r="Y192" s="91" t="n"/>
      <c r="Z192" s="91" t="n"/>
      <c r="AA192" s="91" t="n"/>
      <c r="AB192" s="91" t="n"/>
      <c r="AC192" s="91" t="n"/>
      <c r="AD192" s="91" t="n"/>
      <c r="AE192" s="91" t="n"/>
      <c r="AF192" s="91" t="n"/>
      <c r="AG192" s="30" t="n"/>
      <c r="AH192" s="30" t="n"/>
      <c r="AI192" s="30" t="n"/>
      <c r="AJ192" s="30" t="n"/>
      <c r="AK192" s="30" t="n"/>
      <c r="AL192" s="30" t="n"/>
      <c r="AM192" s="91" t="n"/>
      <c r="AN192" s="91" t="n"/>
      <c r="AO192" s="91" t="n"/>
      <c r="AP192" s="91" t="n"/>
      <c r="AQ192" s="91" t="n"/>
      <c r="AR192" s="91" t="n"/>
      <c r="AS192" s="91" t="n"/>
      <c r="AT192" s="91" t="n"/>
      <c r="AU192" s="91" t="n"/>
      <c r="AV192" s="31" t="n"/>
      <c r="AW192" s="36" t="n"/>
      <c r="AX192" s="16" t="n"/>
      <c r="AY192" s="31" t="n"/>
      <c r="AZ192" s="92" t="n"/>
      <c r="BA192" s="91" t="n"/>
      <c r="BB192" s="91" t="n"/>
      <c r="BC192" s="91" t="n"/>
      <c r="BD192" s="91" t="n"/>
      <c r="BE192" s="91" t="n"/>
      <c r="BF192" s="91" t="n"/>
      <c r="BG192" s="91" t="n"/>
      <c r="BH192" s="91" t="n"/>
      <c r="BI192" s="91" t="n"/>
      <c r="BJ192" s="91" t="n"/>
      <c r="BK192" s="91" t="n"/>
      <c r="BL192" s="91" t="n"/>
      <c r="BM192" s="91" t="n"/>
      <c r="BN192" s="91" t="n"/>
      <c r="BO192" s="91" t="n"/>
      <c r="BP192" s="91" t="n"/>
      <c r="BQ192" s="91" t="n"/>
      <c r="BR192" s="91" t="n"/>
      <c r="BS192" s="91" t="n"/>
      <c r="BT192" s="91" t="n"/>
      <c r="BU192" s="91" t="n"/>
      <c r="BV192" s="91" t="n"/>
      <c r="BW192" s="91" t="n"/>
      <c r="BX192" s="91" t="n"/>
      <c r="BY192" s="91" t="n"/>
      <c r="BZ192" s="91">
        <f>SUM(BN192:BY192)</f>
        <v/>
      </c>
      <c r="CA192" s="91" t="n"/>
      <c r="CB192" s="91" t="n"/>
      <c r="CC192" s="91" t="n"/>
      <c r="CD192" s="91" t="n"/>
      <c r="CE192" s="91" t="n"/>
      <c r="CF192" s="91" t="n"/>
      <c r="CG192" s="91" t="n"/>
      <c r="CH192" s="91" t="n">
        <v>28328</v>
      </c>
      <c r="CI192" s="91" t="n">
        <v>38315</v>
      </c>
      <c r="CJ192" s="91" t="n">
        <v>58</v>
      </c>
      <c r="CK192" s="91" t="n">
        <v>77210</v>
      </c>
      <c r="CL192" s="91" t="n">
        <v>1443</v>
      </c>
      <c r="CM192" s="91">
        <f>SUM(CA192:CL192)</f>
        <v/>
      </c>
      <c r="CN192" s="91" t="n"/>
      <c r="CO192" s="91" t="n"/>
      <c r="CP192" s="91" t="n"/>
      <c r="CQ192" s="93" t="n"/>
      <c r="CR192" s="94" t="n"/>
      <c r="CS192" s="94" t="n"/>
      <c r="CT192" s="91" t="n"/>
      <c r="CU192" s="91" t="n"/>
      <c r="CV192" s="91" t="n"/>
      <c r="CW192" s="91" t="n"/>
      <c r="CX192" s="91" t="n"/>
      <c r="CY192" s="91" t="n"/>
      <c r="CZ192" s="91">
        <f>SUM(CN192:CY192)</f>
        <v/>
      </c>
      <c r="DA192" s="35" t="n"/>
    </row>
    <row r="193" ht="28.5" customFormat="1" customHeight="1" s="1">
      <c r="A193" s="30" t="n">
        <v>194</v>
      </c>
      <c r="B193" s="31" t="inlineStr">
        <is>
          <t>重庆</t>
        </is>
      </c>
      <c r="C193" s="31" t="inlineStr">
        <is>
          <t>二郎</t>
        </is>
      </c>
      <c r="D193" s="31" t="inlineStr">
        <is>
          <t>伍迎春</t>
        </is>
      </c>
      <c r="E193" s="89" t="n"/>
      <c r="F193" s="27" t="inlineStr">
        <is>
          <t>2025/2026</t>
        </is>
      </c>
      <c r="G193" s="27" t="inlineStr">
        <is>
          <t>5/7/11/1</t>
        </is>
      </c>
      <c r="H193" s="91">
        <f>110941.9+146+3355+871+7796</f>
        <v/>
      </c>
      <c r="I193" s="91">
        <f>145500+78+2308</f>
        <v/>
      </c>
      <c r="J193" s="91" t="n">
        <v>6001</v>
      </c>
      <c r="K193" s="91">
        <f>+H193+I193+J193</f>
        <v/>
      </c>
      <c r="L193" s="91" t="n">
        <v>5</v>
      </c>
      <c r="M193" s="91">
        <f>148970+1984+1082+871</f>
        <v/>
      </c>
      <c r="N193" s="91" t="n"/>
      <c r="O193" s="91" t="n"/>
      <c r="P193" s="91" t="n"/>
      <c r="Q193" s="91" t="n"/>
      <c r="R193" s="91" t="n"/>
      <c r="S193" s="91" t="n"/>
      <c r="T193" s="91" t="n"/>
      <c r="U193" s="91" t="n"/>
      <c r="V193" s="91" t="n"/>
      <c r="W193" s="91" t="n"/>
      <c r="X193" s="91" t="n"/>
      <c r="Y193" s="91" t="n"/>
      <c r="Z193" s="91" t="n"/>
      <c r="AA193" s="91" t="n"/>
      <c r="AB193" s="91" t="n"/>
      <c r="AC193" s="91" t="n"/>
      <c r="AD193" s="91" t="n"/>
      <c r="AE193" s="91" t="n"/>
      <c r="AF193" s="91" t="n"/>
      <c r="AG193" s="30" t="n"/>
      <c r="AH193" s="30" t="n"/>
      <c r="AI193" s="30" t="n"/>
      <c r="AJ193" s="30" t="n"/>
      <c r="AK193" s="30" t="n"/>
      <c r="AL193" s="30" t="n"/>
      <c r="AM193" s="91" t="n"/>
      <c r="AN193" s="91" t="n"/>
      <c r="AO193" s="91" t="n"/>
      <c r="AP193" s="91" t="n"/>
      <c r="AQ193" s="91" t="n"/>
      <c r="AR193" s="91" t="n"/>
      <c r="AS193" s="91" t="n"/>
      <c r="AT193" s="91" t="n"/>
      <c r="AU193" s="91" t="n"/>
      <c r="AV193" s="31" t="n"/>
      <c r="AW193" s="36" t="n"/>
      <c r="AX193" s="16" t="n"/>
      <c r="AY193" s="31" t="n"/>
      <c r="AZ193" s="92" t="n"/>
      <c r="BA193" s="91" t="n"/>
      <c r="BB193" s="91" t="n"/>
      <c r="BC193" s="91" t="n"/>
      <c r="BD193" s="91" t="n"/>
      <c r="BE193" s="91" t="n"/>
      <c r="BF193" s="91" t="n"/>
      <c r="BG193" s="91" t="n"/>
      <c r="BH193" s="91" t="n"/>
      <c r="BI193" s="91" t="n"/>
      <c r="BJ193" s="91" t="n"/>
      <c r="BK193" s="91" t="n"/>
      <c r="BL193" s="91" t="n"/>
      <c r="BM193" s="91" t="n"/>
      <c r="BN193" s="91" t="n"/>
      <c r="BO193" s="91" t="n"/>
      <c r="BP193" s="91" t="n"/>
      <c r="BQ193" s="91" t="n"/>
      <c r="BR193" s="91" t="n"/>
      <c r="BS193" s="91" t="n"/>
      <c r="BT193" s="91" t="n"/>
      <c r="BU193" s="91" t="n"/>
      <c r="BV193" s="91" t="n"/>
      <c r="BW193" s="91" t="n"/>
      <c r="BX193" s="91" t="n"/>
      <c r="BY193" s="91" t="n"/>
      <c r="BZ193" s="91">
        <f>SUM(BN193:BY193)</f>
        <v/>
      </c>
      <c r="CA193" s="91" t="n"/>
      <c r="CB193" s="91" t="n"/>
      <c r="CC193" s="91" t="n"/>
      <c r="CD193" s="91" t="n"/>
      <c r="CE193" s="91" t="n"/>
      <c r="CF193" s="91" t="n"/>
      <c r="CG193" s="91" t="n"/>
      <c r="CH193" s="91" t="inlineStr"/>
      <c r="CI193" s="91" t="n"/>
      <c r="CJ193" s="91" t="inlineStr"/>
      <c r="CK193" s="91" t="n"/>
      <c r="CL193" s="91" t="n">
        <v>43908</v>
      </c>
      <c r="CM193" s="91">
        <f>SUM(CA193:CL193)</f>
        <v/>
      </c>
      <c r="CN193" s="91" t="n"/>
      <c r="CO193" s="91" t="n"/>
      <c r="CP193" s="91" t="n"/>
      <c r="CQ193" s="93" t="n"/>
      <c r="CR193" s="94" t="n"/>
      <c r="CS193" s="94" t="n"/>
      <c r="CT193" s="91" t="n"/>
      <c r="CU193" s="91" t="n"/>
      <c r="CV193" s="91" t="n"/>
      <c r="CW193" s="91" t="n"/>
      <c r="CX193" s="91" t="n"/>
      <c r="CY193" s="91" t="n"/>
      <c r="CZ193" s="91">
        <f>SUM(CN193:CY193)</f>
        <v/>
      </c>
      <c r="DA193" s="35" t="n"/>
    </row>
    <row r="194" ht="42.75" customFormat="1" customHeight="1" s="1">
      <c r="A194" s="30" t="n">
        <v>195</v>
      </c>
      <c r="B194" s="31" t="inlineStr">
        <is>
          <t>宁夏</t>
        </is>
      </c>
      <c r="C194" s="31" t="inlineStr">
        <is>
          <t>吴忠</t>
        </is>
      </c>
      <c r="D194" s="31" t="inlineStr">
        <is>
          <t>杨学林</t>
        </is>
      </c>
      <c r="E194" s="89" t="n"/>
      <c r="F194" s="27" t="inlineStr">
        <is>
          <t>2025/2026</t>
        </is>
      </c>
      <c r="G194" s="27" t="inlineStr">
        <is>
          <t>5/6/7/3/5/12/2/3/11</t>
        </is>
      </c>
      <c r="H194" s="91">
        <f>58036+137563.2+20709+4700+1123+649</f>
        <v/>
      </c>
      <c r="I194" s="91" t="n">
        <v>118074</v>
      </c>
      <c r="J194" s="91" t="n">
        <v>9253</v>
      </c>
      <c r="K194" s="91">
        <f>+H194+I194+J194</f>
        <v/>
      </c>
      <c r="L194" s="91" t="n">
        <v>5</v>
      </c>
      <c r="M194" s="91">
        <f>166487+12267+3192</f>
        <v/>
      </c>
      <c r="N194" s="91" t="n"/>
      <c r="O194" s="91" t="n"/>
      <c r="P194" s="91" t="n"/>
      <c r="Q194" s="91" t="n"/>
      <c r="R194" s="91" t="n"/>
      <c r="S194" s="91" t="n"/>
      <c r="T194" s="91" t="n"/>
      <c r="U194" s="91" t="n"/>
      <c r="V194" s="91" t="n"/>
      <c r="W194" s="91" t="n"/>
      <c r="X194" s="91" t="n"/>
      <c r="Y194" s="91" t="n"/>
      <c r="Z194" s="91" t="n"/>
      <c r="AA194" s="91" t="n"/>
      <c r="AB194" s="91" t="n"/>
      <c r="AC194" s="91" t="n"/>
      <c r="AD194" s="91" t="n"/>
      <c r="AE194" s="91" t="n"/>
      <c r="AF194" s="91" t="n"/>
      <c r="AG194" s="30" t="n"/>
      <c r="AH194" s="30" t="n"/>
      <c r="AI194" s="30" t="n"/>
      <c r="AJ194" s="30" t="n"/>
      <c r="AK194" s="30" t="n"/>
      <c r="AL194" s="30" t="n"/>
      <c r="AM194" s="91" t="n"/>
      <c r="AN194" s="91" t="n"/>
      <c r="AO194" s="91" t="n"/>
      <c r="AP194" s="91" t="n"/>
      <c r="AQ194" s="91" t="n"/>
      <c r="AR194" s="91" t="n"/>
      <c r="AS194" s="91" t="n"/>
      <c r="AT194" s="91" t="n"/>
      <c r="AU194" s="91" t="n"/>
      <c r="AV194" s="31" t="n"/>
      <c r="AW194" s="36" t="n"/>
      <c r="AX194" s="16" t="n"/>
      <c r="AY194" s="31" t="n"/>
      <c r="AZ194" s="92" t="n"/>
      <c r="BA194" s="91" t="n"/>
      <c r="BB194" s="91" t="n"/>
      <c r="BC194" s="91" t="n"/>
      <c r="BD194" s="91" t="n"/>
      <c r="BE194" s="91" t="n"/>
      <c r="BF194" s="91" t="n"/>
      <c r="BG194" s="91" t="n"/>
      <c r="BH194" s="91" t="n"/>
      <c r="BI194" s="91" t="n"/>
      <c r="BJ194" s="91" t="n"/>
      <c r="BK194" s="91" t="n"/>
      <c r="BL194" s="91" t="n"/>
      <c r="BM194" s="91" t="n"/>
      <c r="BN194" s="91" t="n"/>
      <c r="BO194" s="91" t="n"/>
      <c r="BP194" s="91" t="n"/>
      <c r="BQ194" s="91" t="n"/>
      <c r="BR194" s="91" t="n"/>
      <c r="BS194" s="91" t="n"/>
      <c r="BT194" s="91" t="n"/>
      <c r="BU194" s="91" t="n"/>
      <c r="BV194" s="91" t="n"/>
      <c r="BW194" s="91" t="n"/>
      <c r="BX194" s="91" t="n"/>
      <c r="BY194" s="91" t="n"/>
      <c r="BZ194" s="91">
        <f>SUM(BN194:BY194)</f>
        <v/>
      </c>
      <c r="CA194" s="91" t="n"/>
      <c r="CB194" s="91" t="n"/>
      <c r="CC194" s="91" t="n"/>
      <c r="CD194" s="91" t="n"/>
      <c r="CE194" s="91" t="n"/>
      <c r="CF194" s="91" t="n"/>
      <c r="CG194" s="91" t="n">
        <v>152281</v>
      </c>
      <c r="CH194" s="91" t="n">
        <v>144847</v>
      </c>
      <c r="CI194" s="91" t="n"/>
      <c r="CJ194" s="91" t="n">
        <v>85643.78</v>
      </c>
      <c r="CK194" s="91" t="n">
        <v>3124</v>
      </c>
      <c r="CL194" s="91" t="n">
        <v>432</v>
      </c>
      <c r="CM194" s="91">
        <f>SUM(CA194:CL194)</f>
        <v/>
      </c>
      <c r="CN194" s="91" t="n"/>
      <c r="CO194" s="91" t="n"/>
      <c r="CP194" s="91" t="n"/>
      <c r="CQ194" s="93" t="n"/>
      <c r="CR194" s="94" t="n"/>
      <c r="CS194" s="94" t="n"/>
      <c r="CT194" s="91" t="n"/>
      <c r="CU194" s="91" t="n"/>
      <c r="CV194" s="91" t="n"/>
      <c r="CW194" s="91" t="n"/>
      <c r="CX194" s="91" t="n"/>
      <c r="CY194" s="91" t="n"/>
      <c r="CZ194" s="91">
        <f>SUM(CN194:CY194)</f>
        <v/>
      </c>
      <c r="DA194" s="35" t="n"/>
    </row>
    <row r="195" ht="18.75" customFormat="1" customHeight="1" s="1">
      <c r="A195" s="30" t="n">
        <v>196</v>
      </c>
      <c r="B195" s="31" t="inlineStr">
        <is>
          <t>广东</t>
        </is>
      </c>
      <c r="C195" s="31" t="inlineStr">
        <is>
          <t>惠州</t>
        </is>
      </c>
      <c r="D195" s="31" t="inlineStr">
        <is>
          <t>刘记华</t>
        </is>
      </c>
      <c r="E195" s="89" t="n"/>
      <c r="F195" s="27" t="n"/>
      <c r="G195" s="27" t="n"/>
      <c r="H195" s="91" t="n"/>
      <c r="I195" s="91" t="n"/>
      <c r="J195" s="91" t="n"/>
      <c r="K195" s="91">
        <f>+H195+I195+J195</f>
        <v/>
      </c>
      <c r="L195" s="91" t="n"/>
      <c r="M195" s="91" t="n">
        <v>0</v>
      </c>
      <c r="N195" s="91" t="n"/>
      <c r="O195" s="91" t="n"/>
      <c r="P195" s="91" t="n"/>
      <c r="Q195" s="91" t="n"/>
      <c r="R195" s="91" t="n"/>
      <c r="S195" s="91" t="n"/>
      <c r="T195" s="91" t="n"/>
      <c r="U195" s="91" t="n"/>
      <c r="V195" s="91" t="n"/>
      <c r="W195" s="91" t="n"/>
      <c r="X195" s="91" t="n"/>
      <c r="Y195" s="91" t="n"/>
      <c r="Z195" s="91" t="n"/>
      <c r="AA195" s="91" t="n"/>
      <c r="AB195" s="91" t="n"/>
      <c r="AC195" s="91" t="n"/>
      <c r="AD195" s="91" t="n"/>
      <c r="AE195" s="91" t="n"/>
      <c r="AF195" s="91" t="n"/>
      <c r="AG195" s="30" t="n"/>
      <c r="AH195" s="30" t="n"/>
      <c r="AI195" s="30" t="n"/>
      <c r="AJ195" s="30" t="n"/>
      <c r="AK195" s="30" t="n"/>
      <c r="AL195" s="30" t="n"/>
      <c r="AM195" s="91" t="n"/>
      <c r="AN195" s="91" t="n"/>
      <c r="AO195" s="91" t="n"/>
      <c r="AP195" s="91" t="n"/>
      <c r="AQ195" s="91" t="n"/>
      <c r="AR195" s="91" t="n"/>
      <c r="AS195" s="91" t="n"/>
      <c r="AT195" s="91" t="n"/>
      <c r="AU195" s="91" t="n"/>
      <c r="AV195" s="31" t="n"/>
      <c r="AW195" s="36" t="n"/>
      <c r="AX195" s="16" t="n"/>
      <c r="AY195" s="31" t="n"/>
      <c r="AZ195" s="92" t="n"/>
      <c r="BA195" s="91" t="n"/>
      <c r="BB195" s="91" t="n"/>
      <c r="BC195" s="91" t="n"/>
      <c r="BD195" s="91" t="n"/>
      <c r="BE195" s="91" t="n"/>
      <c r="BF195" s="91" t="n"/>
      <c r="BG195" s="91" t="n"/>
      <c r="BH195" s="91" t="n"/>
      <c r="BI195" s="91" t="n"/>
      <c r="BJ195" s="91" t="n"/>
      <c r="BK195" s="91" t="n"/>
      <c r="BL195" s="91" t="n"/>
      <c r="BM195" s="91" t="n"/>
      <c r="BN195" s="91" t="n"/>
      <c r="BO195" s="91" t="n"/>
      <c r="BP195" s="91" t="n"/>
      <c r="BQ195" s="91" t="n"/>
      <c r="BR195" s="91" t="n"/>
      <c r="BS195" s="91" t="n"/>
      <c r="BT195" s="91" t="n"/>
      <c r="BU195" s="91" t="n"/>
      <c r="BV195" s="91" t="n"/>
      <c r="BW195" s="91" t="n"/>
      <c r="BX195" s="91" t="n"/>
      <c r="BY195" s="91" t="n"/>
      <c r="BZ195" s="91">
        <f>SUM(BN195:BY195)</f>
        <v/>
      </c>
      <c r="CA195" s="91" t="n"/>
      <c r="CB195" s="91" t="n"/>
      <c r="CC195" s="91" t="n"/>
      <c r="CD195" s="91" t="n"/>
      <c r="CE195" s="91" t="n"/>
      <c r="CF195" s="91" t="n">
        <v>3629</v>
      </c>
      <c r="CG195" s="91" t="n"/>
      <c r="CH195" s="91" t="inlineStr"/>
      <c r="CI195" s="91" t="n">
        <v>2653</v>
      </c>
      <c r="CJ195" s="91" t="inlineStr"/>
      <c r="CK195" s="91" t="n"/>
      <c r="CL195" s="91" t="inlineStr"/>
      <c r="CM195" s="91">
        <f>SUM(CA195:CL195)</f>
        <v/>
      </c>
      <c r="CN195" s="91" t="n"/>
      <c r="CO195" s="91" t="n"/>
      <c r="CP195" s="91" t="n"/>
      <c r="CQ195" s="93" t="n"/>
      <c r="CR195" s="94" t="n"/>
      <c r="CS195" s="94" t="n"/>
      <c r="CT195" s="91" t="n"/>
      <c r="CU195" s="91" t="n"/>
      <c r="CV195" s="91" t="n"/>
      <c r="CW195" s="91" t="n"/>
      <c r="CX195" s="91" t="n"/>
      <c r="CY195" s="91" t="n"/>
      <c r="CZ195" s="91">
        <f>SUM(CN195:CY195)</f>
        <v/>
      </c>
      <c r="DA195" s="35" t="n"/>
    </row>
    <row r="196" ht="18.75" customFormat="1" customHeight="1" s="1">
      <c r="A196" s="30" t="n">
        <v>197</v>
      </c>
      <c r="B196" s="31" t="inlineStr">
        <is>
          <t>四川</t>
        </is>
      </c>
      <c r="C196" s="31" t="inlineStr">
        <is>
          <t>南充</t>
        </is>
      </c>
      <c r="D196" s="31" t="inlineStr">
        <is>
          <t>刘奕心</t>
        </is>
      </c>
      <c r="E196" s="89" t="n"/>
      <c r="F196" s="27" t="n"/>
      <c r="G196" s="27" t="n"/>
      <c r="H196" s="91" t="n"/>
      <c r="I196" s="91" t="n"/>
      <c r="J196" s="91" t="n"/>
      <c r="K196" s="91">
        <f>+H196+I196+J196</f>
        <v/>
      </c>
      <c r="L196" s="91" t="n"/>
      <c r="M196" s="91" t="inlineStr"/>
      <c r="N196" s="91" t="n"/>
      <c r="O196" s="91" t="n"/>
      <c r="P196" s="91" t="n"/>
      <c r="Q196" s="91" t="n"/>
      <c r="R196" s="91" t="n"/>
      <c r="S196" s="91" t="n"/>
      <c r="T196" s="91" t="n"/>
      <c r="U196" s="91" t="n"/>
      <c r="V196" s="91" t="n"/>
      <c r="W196" s="91" t="n"/>
      <c r="X196" s="91" t="n"/>
      <c r="Y196" s="91" t="n"/>
      <c r="Z196" s="91" t="n"/>
      <c r="AA196" s="91" t="n"/>
      <c r="AB196" s="91" t="n"/>
      <c r="AC196" s="91" t="n"/>
      <c r="AD196" s="91" t="n"/>
      <c r="AE196" s="91" t="n"/>
      <c r="AF196" s="91" t="n"/>
      <c r="AG196" s="30" t="n"/>
      <c r="AH196" s="30" t="n"/>
      <c r="AI196" s="30" t="n"/>
      <c r="AJ196" s="30" t="n"/>
      <c r="AK196" s="30" t="n"/>
      <c r="AL196" s="30" t="n"/>
      <c r="AM196" s="91" t="n"/>
      <c r="AN196" s="91" t="n"/>
      <c r="AO196" s="91" t="n"/>
      <c r="AP196" s="91" t="n"/>
      <c r="AQ196" s="91" t="n"/>
      <c r="AR196" s="91" t="n"/>
      <c r="AS196" s="91" t="n"/>
      <c r="AT196" s="91" t="n"/>
      <c r="AU196" s="91" t="n"/>
      <c r="AV196" s="31" t="n"/>
      <c r="AW196" s="36" t="n"/>
      <c r="AX196" s="16" t="n"/>
      <c r="AY196" s="31" t="n"/>
      <c r="AZ196" s="92" t="n"/>
      <c r="BA196" s="91" t="n"/>
      <c r="BB196" s="91" t="n"/>
      <c r="BC196" s="91" t="n"/>
      <c r="BD196" s="91" t="n"/>
      <c r="BE196" s="91" t="n"/>
      <c r="BF196" s="91" t="n"/>
      <c r="BG196" s="91" t="n"/>
      <c r="BH196" s="91" t="n"/>
      <c r="BI196" s="91" t="n"/>
      <c r="BJ196" s="91" t="n"/>
      <c r="BK196" s="91" t="n"/>
      <c r="BL196" s="91" t="n"/>
      <c r="BM196" s="91" t="n"/>
      <c r="BN196" s="91" t="n"/>
      <c r="BO196" s="91" t="n"/>
      <c r="BP196" s="91" t="n"/>
      <c r="BQ196" s="91" t="n"/>
      <c r="BR196" s="91" t="n"/>
      <c r="BS196" s="91" t="n"/>
      <c r="BT196" s="91" t="n"/>
      <c r="BU196" s="91" t="n"/>
      <c r="BV196" s="91" t="n"/>
      <c r="BW196" s="91" t="n"/>
      <c r="BX196" s="91" t="n"/>
      <c r="BY196" s="91" t="n"/>
      <c r="BZ196" s="91">
        <f>SUM(BN196:BY196)</f>
        <v/>
      </c>
      <c r="CA196" s="91" t="n"/>
      <c r="CB196" s="91" t="n"/>
      <c r="CC196" s="91" t="n"/>
      <c r="CD196" s="91" t="n"/>
      <c r="CE196" s="91" t="n"/>
      <c r="CF196" s="91" t="n">
        <v>1076</v>
      </c>
      <c r="CG196" s="91" t="n"/>
      <c r="CH196" s="91" t="inlineStr"/>
      <c r="CI196" s="91" t="n"/>
      <c r="CJ196" s="91" t="inlineStr"/>
      <c r="CK196" s="91" t="n"/>
      <c r="CL196" s="91" t="inlineStr"/>
      <c r="CM196" s="91">
        <f>SUM(CA196:CL196)</f>
        <v/>
      </c>
      <c r="CN196" s="91" t="n"/>
      <c r="CO196" s="91" t="n"/>
      <c r="CP196" s="91" t="n"/>
      <c r="CQ196" s="93" t="n"/>
      <c r="CR196" s="94" t="n"/>
      <c r="CS196" s="94" t="n"/>
      <c r="CT196" s="91" t="n"/>
      <c r="CU196" s="91" t="n"/>
      <c r="CV196" s="91" t="n"/>
      <c r="CW196" s="91" t="n"/>
      <c r="CX196" s="91" t="n"/>
      <c r="CY196" s="91" t="n"/>
      <c r="CZ196" s="91">
        <f>SUM(CN196:CY196)</f>
        <v/>
      </c>
      <c r="DA196" s="35" t="n"/>
    </row>
    <row r="197" ht="18.75" customFormat="1" customHeight="1" s="1">
      <c r="A197" s="30" t="n">
        <v>198</v>
      </c>
      <c r="B197" s="31" t="inlineStr">
        <is>
          <t>陕西</t>
        </is>
      </c>
      <c r="C197" s="31" t="inlineStr">
        <is>
          <t>延安</t>
        </is>
      </c>
      <c r="D197" s="31" t="inlineStr">
        <is>
          <t>李娟</t>
        </is>
      </c>
      <c r="E197" s="89" t="n"/>
      <c r="F197" s="27" t="inlineStr">
        <is>
          <t>2026</t>
        </is>
      </c>
      <c r="G197" s="27" t="inlineStr">
        <is>
          <t>3</t>
        </is>
      </c>
      <c r="H197" s="91" t="n">
        <v>632</v>
      </c>
      <c r="I197" s="91" t="n"/>
      <c r="J197" s="91" t="n"/>
      <c r="K197" s="91">
        <f>+H197+I197+J197</f>
        <v/>
      </c>
      <c r="L197" s="91" t="n"/>
      <c r="M197" s="91" t="inlineStr"/>
      <c r="N197" s="91" t="n"/>
      <c r="O197" s="91" t="n"/>
      <c r="P197" s="91" t="n"/>
      <c r="Q197" s="91" t="n"/>
      <c r="R197" s="91" t="n"/>
      <c r="S197" s="91" t="n"/>
      <c r="T197" s="91" t="n"/>
      <c r="U197" s="91" t="n"/>
      <c r="V197" s="91" t="n"/>
      <c r="W197" s="91" t="n"/>
      <c r="X197" s="91" t="n"/>
      <c r="Y197" s="91" t="n"/>
      <c r="Z197" s="91" t="n"/>
      <c r="AA197" s="91" t="n"/>
      <c r="AB197" s="91" t="n"/>
      <c r="AC197" s="91" t="n"/>
      <c r="AD197" s="91" t="n"/>
      <c r="AE197" s="91" t="n"/>
      <c r="AF197" s="91" t="n"/>
      <c r="AG197" s="30" t="n"/>
      <c r="AH197" s="30" t="n"/>
      <c r="AI197" s="30" t="n"/>
      <c r="AJ197" s="30" t="n"/>
      <c r="AK197" s="30" t="n"/>
      <c r="AL197" s="30" t="n"/>
      <c r="AM197" s="91" t="n"/>
      <c r="AN197" s="91" t="n"/>
      <c r="AO197" s="91" t="n"/>
      <c r="AP197" s="91" t="n"/>
      <c r="AQ197" s="91" t="n"/>
      <c r="AR197" s="91" t="n"/>
      <c r="AS197" s="91" t="n"/>
      <c r="AT197" s="91" t="n"/>
      <c r="AU197" s="91" t="n"/>
      <c r="AV197" s="31" t="n"/>
      <c r="AW197" s="36" t="n"/>
      <c r="AX197" s="16" t="n"/>
      <c r="AY197" s="31" t="n"/>
      <c r="AZ197" s="92" t="n"/>
      <c r="BA197" s="91" t="n"/>
      <c r="BB197" s="91" t="n"/>
      <c r="BC197" s="91" t="n"/>
      <c r="BD197" s="91" t="n"/>
      <c r="BE197" s="91" t="n"/>
      <c r="BF197" s="91" t="n"/>
      <c r="BG197" s="91" t="n"/>
      <c r="BH197" s="91" t="n"/>
      <c r="BI197" s="91" t="n"/>
      <c r="BJ197" s="91" t="n"/>
      <c r="BK197" s="91" t="n"/>
      <c r="BL197" s="91" t="n"/>
      <c r="BM197" s="91" t="n"/>
      <c r="BN197" s="91" t="n"/>
      <c r="BO197" s="91" t="n"/>
      <c r="BP197" s="91" t="n"/>
      <c r="BQ197" s="91" t="n"/>
      <c r="BR197" s="91" t="n"/>
      <c r="BS197" s="91" t="n"/>
      <c r="BT197" s="91" t="n"/>
      <c r="BU197" s="91" t="n"/>
      <c r="BV197" s="91" t="n"/>
      <c r="BW197" s="91" t="n"/>
      <c r="BX197" s="91" t="n"/>
      <c r="BY197" s="91" t="n"/>
      <c r="BZ197" s="91">
        <f>SUM(BN197:BY197)</f>
        <v/>
      </c>
      <c r="CA197" s="91" t="n"/>
      <c r="CB197" s="91" t="n"/>
      <c r="CC197" s="91" t="n"/>
      <c r="CD197" s="91" t="n"/>
      <c r="CE197" s="91" t="n"/>
      <c r="CF197" s="91" t="n">
        <v>15618</v>
      </c>
      <c r="CG197" s="91" t="n">
        <v>61203</v>
      </c>
      <c r="CH197" s="91" t="n">
        <v>1033</v>
      </c>
      <c r="CI197" s="91" t="n">
        <v>54897.01</v>
      </c>
      <c r="CJ197" s="91" t="n">
        <v>199</v>
      </c>
      <c r="CK197" s="91" t="n">
        <v>5223.01</v>
      </c>
      <c r="CL197" s="91" t="inlineStr"/>
      <c r="CM197" s="91">
        <f>SUM(CA197:CL197)</f>
        <v/>
      </c>
      <c r="CN197" s="91" t="n"/>
      <c r="CO197" s="91" t="n"/>
      <c r="CP197" s="91" t="n"/>
      <c r="CQ197" s="93" t="n"/>
      <c r="CR197" s="94" t="n"/>
      <c r="CS197" s="94" t="n"/>
      <c r="CT197" s="91" t="n"/>
      <c r="CU197" s="91" t="n"/>
      <c r="CV197" s="91" t="n"/>
      <c r="CW197" s="91" t="n"/>
      <c r="CX197" s="91" t="n"/>
      <c r="CY197" s="91" t="n"/>
      <c r="CZ197" s="91">
        <f>SUM(CN197:CY197)</f>
        <v/>
      </c>
      <c r="DA197" s="35" t="n"/>
    </row>
    <row r="198" ht="18.75" customFormat="1" customHeight="1" s="1">
      <c r="A198" s="30" t="n">
        <v>199</v>
      </c>
      <c r="B198" s="31" t="inlineStr">
        <is>
          <t>上海</t>
        </is>
      </c>
      <c r="C198" s="31" t="inlineStr">
        <is>
          <t>松江</t>
        </is>
      </c>
      <c r="D198" s="31" t="inlineStr">
        <is>
          <t>周妙英</t>
        </is>
      </c>
      <c r="E198" s="89" t="n"/>
      <c r="F198" s="27" t="inlineStr">
        <is>
          <t>2025/2026</t>
        </is>
      </c>
      <c r="G198" s="27" t="inlineStr">
        <is>
          <t>6/7/9/3</t>
        </is>
      </c>
      <c r="H198" s="91">
        <f>325864.4+70637+2339+2837+537</f>
        <v/>
      </c>
      <c r="I198" s="91">
        <f>200542+12798</f>
        <v/>
      </c>
      <c r="J198" s="91" t="n">
        <v>183</v>
      </c>
      <c r="K198" s="91">
        <f>+H198+I198+J198</f>
        <v/>
      </c>
      <c r="L198" s="91" t="inlineStr">
        <is>
          <t>5折</t>
        </is>
      </c>
      <c r="M198" s="91">
        <f>285826.82+44206+7295</f>
        <v/>
      </c>
      <c r="N198" s="91" t="n"/>
      <c r="O198" s="91" t="n"/>
      <c r="P198" s="91" t="n"/>
      <c r="Q198" s="91" t="n"/>
      <c r="R198" s="91" t="n"/>
      <c r="S198" s="91" t="n"/>
      <c r="T198" s="91" t="n"/>
      <c r="U198" s="91" t="n"/>
      <c r="V198" s="91" t="n"/>
      <c r="W198" s="91" t="n"/>
      <c r="X198" s="91" t="n"/>
      <c r="Y198" s="91" t="n"/>
      <c r="Z198" s="91" t="n"/>
      <c r="AA198" s="91" t="n"/>
      <c r="AB198" s="91" t="n"/>
      <c r="AC198" s="91" t="n"/>
      <c r="AD198" s="91" t="n"/>
      <c r="AE198" s="91" t="n"/>
      <c r="AF198" s="91" t="n"/>
      <c r="AG198" s="30" t="n"/>
      <c r="AH198" s="30" t="n"/>
      <c r="AI198" s="30" t="n"/>
      <c r="AJ198" s="30" t="n"/>
      <c r="AK198" s="30" t="n"/>
      <c r="AL198" s="30" t="n"/>
      <c r="AM198" s="91" t="n"/>
      <c r="AN198" s="91" t="n"/>
      <c r="AO198" s="91" t="n"/>
      <c r="AP198" s="91" t="n"/>
      <c r="AQ198" s="91" t="n"/>
      <c r="AR198" s="91" t="n"/>
      <c r="AS198" s="91" t="n"/>
      <c r="AT198" s="91" t="n"/>
      <c r="AU198" s="91" t="n"/>
      <c r="AV198" s="31" t="n"/>
      <c r="AW198" s="36" t="n"/>
      <c r="AX198" s="16" t="n"/>
      <c r="AY198" s="31" t="n"/>
      <c r="AZ198" s="92" t="n"/>
      <c r="BA198" s="91" t="n"/>
      <c r="BB198" s="91" t="n"/>
      <c r="BC198" s="91" t="n"/>
      <c r="BD198" s="91" t="n"/>
      <c r="BE198" s="91" t="n"/>
      <c r="BF198" s="91" t="n"/>
      <c r="BG198" s="91" t="n"/>
      <c r="BH198" s="91" t="n"/>
      <c r="BI198" s="91" t="n"/>
      <c r="BJ198" s="91" t="n"/>
      <c r="BK198" s="91" t="n"/>
      <c r="BL198" s="91" t="n"/>
      <c r="BM198" s="91" t="n"/>
      <c r="BN198" s="91" t="n"/>
      <c r="BO198" s="91" t="n"/>
      <c r="BP198" s="91" t="n"/>
      <c r="BQ198" s="91" t="n"/>
      <c r="BR198" s="91" t="n"/>
      <c r="BS198" s="91" t="n"/>
      <c r="BT198" s="91" t="n"/>
      <c r="BU198" s="91" t="n"/>
      <c r="BV198" s="91" t="n"/>
      <c r="BW198" s="91" t="n"/>
      <c r="BX198" s="91" t="n"/>
      <c r="BY198" s="91" t="n"/>
      <c r="BZ198" s="91">
        <f>SUM(BN198:BY198)</f>
        <v/>
      </c>
      <c r="CA198" s="91" t="n"/>
      <c r="CB198" s="91" t="n"/>
      <c r="CC198" s="91" t="n"/>
      <c r="CD198" s="91" t="n"/>
      <c r="CE198" s="91" t="n"/>
      <c r="CF198" s="91" t="n">
        <v>22818</v>
      </c>
      <c r="CG198" s="91" t="n">
        <v>223</v>
      </c>
      <c r="CH198" s="91" t="inlineStr"/>
      <c r="CI198" s="91" t="n"/>
      <c r="CJ198" s="91" t="inlineStr"/>
      <c r="CK198" s="91" t="n">
        <v>33616.48</v>
      </c>
      <c r="CL198" s="91" t="n">
        <v>70414.07000000001</v>
      </c>
      <c r="CM198" s="91">
        <f>SUM(CA198:CL198)</f>
        <v/>
      </c>
      <c r="CN198" s="91" t="n"/>
      <c r="CO198" s="91" t="n"/>
      <c r="CP198" s="91" t="n"/>
      <c r="CQ198" s="93" t="n"/>
      <c r="CR198" s="94" t="n"/>
      <c r="CS198" s="94" t="n"/>
      <c r="CT198" s="91" t="n"/>
      <c r="CU198" s="91" t="n"/>
      <c r="CV198" s="91" t="n"/>
      <c r="CW198" s="91" t="n"/>
      <c r="CX198" s="91" t="n"/>
      <c r="CY198" s="91" t="n"/>
      <c r="CZ198" s="91">
        <f>SUM(CN198:CY198)</f>
        <v/>
      </c>
      <c r="DA198" s="35" t="n"/>
    </row>
    <row r="199" ht="18.75" customFormat="1" customHeight="1" s="1">
      <c r="A199" s="30" t="n">
        <v>200</v>
      </c>
      <c r="B199" s="31" t="inlineStr">
        <is>
          <t>贵州</t>
        </is>
      </c>
      <c r="C199" s="31" t="inlineStr">
        <is>
          <t>毕节</t>
        </is>
      </c>
      <c r="D199" s="31" t="inlineStr">
        <is>
          <t>黄景涛</t>
        </is>
      </c>
      <c r="E199" s="89" t="n"/>
      <c r="F199" s="27" t="n"/>
      <c r="G199" s="27" t="n"/>
      <c r="H199" s="91" t="n"/>
      <c r="I199" s="91" t="n"/>
      <c r="J199" s="91" t="n"/>
      <c r="K199" s="91">
        <f>+H199+I199+J199</f>
        <v/>
      </c>
      <c r="L199" s="91" t="n"/>
      <c r="M199" s="91" t="inlineStr"/>
      <c r="N199" s="91" t="n"/>
      <c r="O199" s="91" t="n"/>
      <c r="P199" s="91" t="n"/>
      <c r="Q199" s="91" t="n"/>
      <c r="R199" s="91" t="n"/>
      <c r="S199" s="91" t="n"/>
      <c r="T199" s="91" t="n"/>
      <c r="U199" s="91" t="n"/>
      <c r="V199" s="91" t="n"/>
      <c r="W199" s="91" t="n"/>
      <c r="X199" s="91" t="n"/>
      <c r="Y199" s="91" t="n"/>
      <c r="Z199" s="91" t="n"/>
      <c r="AA199" s="91" t="n"/>
      <c r="AB199" s="91" t="n"/>
      <c r="AC199" s="91" t="n"/>
      <c r="AD199" s="91" t="n"/>
      <c r="AE199" s="91" t="n"/>
      <c r="AF199" s="91" t="n"/>
      <c r="AG199" s="30" t="n"/>
      <c r="AH199" s="30" t="n"/>
      <c r="AI199" s="30" t="n"/>
      <c r="AJ199" s="30" t="n"/>
      <c r="AK199" s="30" t="n"/>
      <c r="AL199" s="30" t="n"/>
      <c r="AM199" s="91" t="n"/>
      <c r="AN199" s="91" t="n"/>
      <c r="AO199" s="91" t="n"/>
      <c r="AP199" s="91" t="n"/>
      <c r="AQ199" s="91" t="n"/>
      <c r="AR199" s="91" t="n"/>
      <c r="AS199" s="91" t="n"/>
      <c r="AT199" s="91" t="n"/>
      <c r="AU199" s="91" t="n"/>
      <c r="AV199" s="31" t="n"/>
      <c r="AW199" s="36" t="n"/>
      <c r="AX199" s="16" t="n"/>
      <c r="AY199" s="31" t="n"/>
      <c r="AZ199" s="92" t="n"/>
      <c r="BA199" s="91" t="n"/>
      <c r="BB199" s="91" t="n"/>
      <c r="BC199" s="91" t="n"/>
      <c r="BD199" s="91" t="n"/>
      <c r="BE199" s="91" t="n"/>
      <c r="BF199" s="91" t="n"/>
      <c r="BG199" s="91" t="n"/>
      <c r="BH199" s="91" t="n"/>
      <c r="BI199" s="91" t="n"/>
      <c r="BJ199" s="91" t="n"/>
      <c r="BK199" s="91" t="n"/>
      <c r="BL199" s="91" t="n"/>
      <c r="BM199" s="91" t="n"/>
      <c r="BN199" s="91" t="n"/>
      <c r="BO199" s="91" t="n"/>
      <c r="BP199" s="91" t="n"/>
      <c r="BQ199" s="91" t="n"/>
      <c r="BR199" s="91" t="n"/>
      <c r="BS199" s="91" t="n"/>
      <c r="BT199" s="91" t="n"/>
      <c r="BU199" s="91" t="n"/>
      <c r="BV199" s="91" t="n"/>
      <c r="BW199" s="91" t="n"/>
      <c r="BX199" s="91" t="n"/>
      <c r="BY199" s="91" t="n"/>
      <c r="BZ199" s="91">
        <f>SUM(BN199:BY199)</f>
        <v/>
      </c>
      <c r="CA199" s="91" t="n"/>
      <c r="CB199" s="91" t="n"/>
      <c r="CC199" s="91" t="n"/>
      <c r="CD199" s="91" t="n"/>
      <c r="CE199" s="91" t="n"/>
      <c r="CF199" s="91" t="n">
        <v>47658</v>
      </c>
      <c r="CG199" s="91" t="n"/>
      <c r="CH199" s="91" t="inlineStr"/>
      <c r="CI199" s="91" t="n"/>
      <c r="CJ199" s="91" t="inlineStr"/>
      <c r="CK199" s="91" t="n"/>
      <c r="CL199" s="91" t="inlineStr"/>
      <c r="CM199" s="91">
        <f>SUM(CA199:CL199)</f>
        <v/>
      </c>
      <c r="CN199" s="91" t="n"/>
      <c r="CO199" s="91" t="n"/>
      <c r="CP199" s="91" t="n"/>
      <c r="CQ199" s="93" t="n"/>
      <c r="CR199" s="94" t="n"/>
      <c r="CS199" s="94" t="n"/>
      <c r="CT199" s="91" t="n"/>
      <c r="CU199" s="91" t="n"/>
      <c r="CV199" s="91" t="n"/>
      <c r="CW199" s="91" t="n"/>
      <c r="CX199" s="91" t="n"/>
      <c r="CY199" s="91" t="n"/>
      <c r="CZ199" s="91">
        <f>SUM(CN199:CY199)</f>
        <v/>
      </c>
      <c r="DA199" s="35" t="n"/>
    </row>
    <row r="200" ht="28.5" customFormat="1" customHeight="1" s="1">
      <c r="A200" s="30" t="n">
        <v>201</v>
      </c>
      <c r="B200" s="31" t="inlineStr">
        <is>
          <t>江苏</t>
        </is>
      </c>
      <c r="C200" s="31" t="inlineStr">
        <is>
          <t>无锡</t>
        </is>
      </c>
      <c r="D200" s="31" t="inlineStr">
        <is>
          <t>蒋红锡</t>
        </is>
      </c>
      <c r="E200" s="89" t="n"/>
      <c r="F200" s="27" t="inlineStr">
        <is>
          <t>2025/2026</t>
        </is>
      </c>
      <c r="G200" s="27" t="inlineStr">
        <is>
          <t>8/9/11/3</t>
        </is>
      </c>
      <c r="H200" s="82">
        <f>91663+39812+26015+1564</f>
        <v/>
      </c>
      <c r="I200" s="83">
        <f>229060+6412</f>
        <v/>
      </c>
      <c r="J200" s="91">
        <f>8759+1091</f>
        <v/>
      </c>
      <c r="K200" s="91">
        <f>+H200+I200+J200</f>
        <v/>
      </c>
      <c r="L200" s="91" t="inlineStr">
        <is>
          <t>5折</t>
        </is>
      </c>
      <c r="M200" s="91">
        <f>58821+26604+17130+116577+5910+546+3207</f>
        <v/>
      </c>
      <c r="N200" s="91" t="n"/>
      <c r="O200" s="91" t="n"/>
      <c r="P200" s="91" t="n"/>
      <c r="Q200" s="91" t="n"/>
      <c r="R200" s="91" t="n"/>
      <c r="S200" s="91" t="n"/>
      <c r="T200" s="91" t="n"/>
      <c r="U200" s="91" t="n"/>
      <c r="V200" s="91" t="n"/>
      <c r="W200" s="91" t="n"/>
      <c r="X200" s="91" t="n"/>
      <c r="Y200" s="91" t="n"/>
      <c r="Z200" s="91" t="n"/>
      <c r="AA200" s="91" t="n"/>
      <c r="AB200" s="91" t="n"/>
      <c r="AC200" s="91" t="n"/>
      <c r="AD200" s="91" t="n"/>
      <c r="AE200" s="91" t="n"/>
      <c r="AF200" s="91" t="n"/>
      <c r="AG200" s="30" t="n"/>
      <c r="AH200" s="30" t="n"/>
      <c r="AI200" s="30" t="n"/>
      <c r="AJ200" s="30" t="n"/>
      <c r="AK200" s="30" t="n"/>
      <c r="AL200" s="30" t="n"/>
      <c r="AM200" s="91" t="n"/>
      <c r="AN200" s="91" t="n"/>
      <c r="AO200" s="91" t="n"/>
      <c r="AP200" s="91" t="n"/>
      <c r="AQ200" s="91" t="n"/>
      <c r="AR200" s="91" t="n"/>
      <c r="AS200" s="91" t="n"/>
      <c r="AT200" s="91" t="n"/>
      <c r="AU200" s="91" t="n"/>
      <c r="AV200" s="31" t="n"/>
      <c r="AW200" s="36" t="n"/>
      <c r="AX200" s="16" t="n"/>
      <c r="AY200" s="31" t="n"/>
      <c r="AZ200" s="92" t="n"/>
      <c r="BA200" s="91" t="n"/>
      <c r="BB200" s="91" t="n"/>
      <c r="BC200" s="91" t="n"/>
      <c r="BD200" s="91" t="n"/>
      <c r="BE200" s="91" t="n"/>
      <c r="BF200" s="91" t="n"/>
      <c r="BG200" s="91" t="n"/>
      <c r="BH200" s="91" t="n"/>
      <c r="BI200" s="91" t="n"/>
      <c r="BJ200" s="91" t="n"/>
      <c r="BK200" s="91" t="n"/>
      <c r="BL200" s="91" t="n"/>
      <c r="BM200" s="91" t="n"/>
      <c r="BN200" s="91" t="n"/>
      <c r="BO200" s="91" t="n"/>
      <c r="BP200" s="91" t="n"/>
      <c r="BQ200" s="91" t="n"/>
      <c r="BR200" s="91" t="n"/>
      <c r="BS200" s="91" t="n"/>
      <c r="BT200" s="91" t="n"/>
      <c r="BU200" s="91" t="n"/>
      <c r="BV200" s="91" t="n"/>
      <c r="BW200" s="91" t="n"/>
      <c r="BX200" s="91" t="n"/>
      <c r="BY200" s="91" t="n"/>
      <c r="BZ200" s="91">
        <f>SUM(BN200:BY200)</f>
        <v/>
      </c>
      <c r="CA200" s="91" t="n"/>
      <c r="CB200" s="91" t="n">
        <v>384</v>
      </c>
      <c r="CC200" s="91" t="n">
        <v>43608.63</v>
      </c>
      <c r="CD200" s="67" t="n">
        <v>53773.19</v>
      </c>
      <c r="CE200" s="67" t="n">
        <v>2836.21</v>
      </c>
      <c r="CF200" s="91" t="n">
        <v>114760.4</v>
      </c>
      <c r="CG200" s="91" t="n">
        <v>1904.9</v>
      </c>
      <c r="CH200" s="84" t="n">
        <v>93212.52</v>
      </c>
      <c r="CI200" s="91" t="n">
        <v>136444.75</v>
      </c>
      <c r="CJ200" s="91" t="n">
        <v>0</v>
      </c>
      <c r="CK200" s="91" t="n">
        <v>66283.50999999999</v>
      </c>
      <c r="CL200" s="91" t="n">
        <v>40776.17</v>
      </c>
      <c r="CM200" s="91">
        <f>SUM(CA200:CL200)</f>
        <v/>
      </c>
      <c r="CN200" s="91" t="n"/>
      <c r="CO200" s="91" t="n"/>
      <c r="CP200" s="91" t="n"/>
      <c r="CQ200" s="93" t="n"/>
      <c r="CR200" s="94" t="n"/>
      <c r="CS200" s="94" t="n"/>
      <c r="CT200" s="91" t="n"/>
      <c r="CU200" s="91" t="n"/>
      <c r="CV200" s="91" t="n"/>
      <c r="CW200" s="91" t="n"/>
      <c r="CX200" s="91" t="n"/>
      <c r="CY200" s="91" t="n"/>
      <c r="CZ200" s="91">
        <f>SUM(CN200:CY200)</f>
        <v/>
      </c>
      <c r="DA200" s="35" t="n"/>
    </row>
    <row r="201" ht="18.75" customFormat="1" customHeight="1" s="1">
      <c r="A201" s="30" t="n">
        <v>202</v>
      </c>
      <c r="B201" s="31" t="inlineStr">
        <is>
          <t>陕西</t>
        </is>
      </c>
      <c r="C201" s="31" t="inlineStr">
        <is>
          <t>榆林</t>
        </is>
      </c>
      <c r="D201" s="31" t="inlineStr">
        <is>
          <t>何京</t>
        </is>
      </c>
      <c r="E201" s="89" t="n"/>
      <c r="F201" s="27" t="inlineStr">
        <is>
          <t>2023</t>
        </is>
      </c>
      <c r="G201" s="27" t="inlineStr">
        <is>
          <t>8</t>
        </is>
      </c>
      <c r="H201" s="91" t="n">
        <v>23342</v>
      </c>
      <c r="I201" s="91" t="n"/>
      <c r="J201" s="91" t="n"/>
      <c r="K201" s="91">
        <f>+H201+I201+J201</f>
        <v/>
      </c>
      <c r="L201" s="91" t="n">
        <v>8</v>
      </c>
      <c r="M201" s="91" t="n">
        <v>19158</v>
      </c>
      <c r="N201" s="91" t="n"/>
      <c r="O201" s="91" t="n"/>
      <c r="P201" s="91" t="n"/>
      <c r="Q201" s="91" t="n"/>
      <c r="R201" s="91" t="n"/>
      <c r="S201" s="91" t="n"/>
      <c r="T201" s="91" t="n"/>
      <c r="U201" s="91" t="n"/>
      <c r="V201" s="91" t="n"/>
      <c r="W201" s="91" t="n"/>
      <c r="X201" s="91" t="n"/>
      <c r="Y201" s="91" t="n"/>
      <c r="Z201" s="91" t="n"/>
      <c r="AA201" s="91" t="n"/>
      <c r="AB201" s="91" t="n"/>
      <c r="AC201" s="91" t="n"/>
      <c r="AD201" s="91" t="n"/>
      <c r="AE201" s="91" t="n"/>
      <c r="AF201" s="91" t="n"/>
      <c r="AG201" s="30" t="n"/>
      <c r="AH201" s="30" t="n"/>
      <c r="AI201" s="30" t="n"/>
      <c r="AJ201" s="30" t="n"/>
      <c r="AK201" s="30" t="n"/>
      <c r="AL201" s="30" t="n"/>
      <c r="AM201" s="91" t="n"/>
      <c r="AN201" s="91" t="n"/>
      <c r="AO201" s="91" t="n"/>
      <c r="AP201" s="91" t="n"/>
      <c r="AQ201" s="91" t="n"/>
      <c r="AR201" s="91" t="n"/>
      <c r="AS201" s="91" t="n"/>
      <c r="AT201" s="91" t="n"/>
      <c r="AU201" s="91" t="n"/>
      <c r="AV201" s="31" t="n"/>
      <c r="AW201" s="36" t="n"/>
      <c r="AX201" s="16" t="n"/>
      <c r="AY201" s="31" t="n"/>
      <c r="AZ201" s="92" t="n"/>
      <c r="BA201" s="91" t="n"/>
      <c r="BB201" s="91" t="n"/>
      <c r="BC201" s="91" t="n"/>
      <c r="BD201" s="91" t="n"/>
      <c r="BE201" s="91" t="n"/>
      <c r="BF201" s="91" t="n"/>
      <c r="BG201" s="91" t="n"/>
      <c r="BH201" s="91" t="n"/>
      <c r="BI201" s="91" t="n"/>
      <c r="BJ201" s="91" t="n"/>
      <c r="BK201" s="91" t="n"/>
      <c r="BL201" s="91" t="n"/>
      <c r="BM201" s="91" t="n"/>
      <c r="BN201" s="91" t="n"/>
      <c r="BO201" s="91" t="n"/>
      <c r="BP201" s="91" t="n"/>
      <c r="BQ201" s="91" t="n"/>
      <c r="BR201" s="91" t="n"/>
      <c r="BS201" s="91" t="n"/>
      <c r="BT201" s="91" t="n"/>
      <c r="BU201" s="91" t="n"/>
      <c r="BV201" s="91" t="n"/>
      <c r="BW201" s="91" t="n"/>
      <c r="BX201" s="91" t="n"/>
      <c r="BY201" s="91" t="n"/>
      <c r="BZ201" s="91">
        <f>SUM(BN201:BY201)</f>
        <v/>
      </c>
      <c r="CA201" s="91" t="n"/>
      <c r="CB201" s="91" t="n"/>
      <c r="CC201" s="91" t="n"/>
      <c r="CD201" s="91" t="n"/>
      <c r="CE201" s="91" t="n"/>
      <c r="CF201" s="91" t="n">
        <v>3668</v>
      </c>
      <c r="CG201" s="91" t="n">
        <v>84</v>
      </c>
      <c r="CH201" s="91" t="n">
        <v>58185</v>
      </c>
      <c r="CI201" s="91" t="n">
        <v>1300</v>
      </c>
      <c r="CJ201" s="91" t="n">
        <v>455</v>
      </c>
      <c r="CK201" s="91" t="n"/>
      <c r="CL201" s="91" t="inlineStr"/>
      <c r="CM201" s="91">
        <f>SUM(CA201:CL201)</f>
        <v/>
      </c>
      <c r="CN201" s="91" t="n"/>
      <c r="CO201" s="91" t="n"/>
      <c r="CP201" s="91" t="n"/>
      <c r="CQ201" s="93" t="n"/>
      <c r="CR201" s="94" t="n"/>
      <c r="CS201" s="94" t="n"/>
      <c r="CT201" s="91" t="n"/>
      <c r="CU201" s="91" t="n"/>
      <c r="CV201" s="91" t="n"/>
      <c r="CW201" s="91" t="n"/>
      <c r="CX201" s="91" t="n"/>
      <c r="CY201" s="91" t="n"/>
      <c r="CZ201" s="91">
        <f>SUM(CN201:CY201)</f>
        <v/>
      </c>
      <c r="DA201" s="35" t="n"/>
    </row>
    <row r="202" ht="18.75" customFormat="1" customHeight="1" s="1">
      <c r="A202" s="30" t="n">
        <v>203</v>
      </c>
      <c r="B202" s="31" t="inlineStr">
        <is>
          <t>宁夏</t>
        </is>
      </c>
      <c r="C202" s="31" t="inlineStr">
        <is>
          <t>大武口</t>
        </is>
      </c>
      <c r="D202" s="31" t="inlineStr">
        <is>
          <t>朱贵荣</t>
        </is>
      </c>
      <c r="E202" s="89" t="n"/>
      <c r="F202" s="27" t="n"/>
      <c r="G202" s="27" t="n"/>
      <c r="H202" s="91" t="n"/>
      <c r="I202" s="91" t="n"/>
      <c r="J202" s="91" t="n"/>
      <c r="K202" s="91">
        <f>+H202+I202+J202</f>
        <v/>
      </c>
      <c r="L202" s="91" t="n"/>
      <c r="M202" s="91" t="inlineStr"/>
      <c r="N202" s="91" t="n"/>
      <c r="O202" s="91" t="n"/>
      <c r="P202" s="91" t="n"/>
      <c r="Q202" s="91" t="n"/>
      <c r="R202" s="91" t="n"/>
      <c r="S202" s="91" t="n"/>
      <c r="T202" s="91" t="n"/>
      <c r="U202" s="91" t="n"/>
      <c r="V202" s="91" t="n"/>
      <c r="W202" s="91" t="n"/>
      <c r="X202" s="91" t="n"/>
      <c r="Y202" s="91" t="n"/>
      <c r="Z202" s="91" t="n"/>
      <c r="AA202" s="91" t="n"/>
      <c r="AB202" s="91" t="n"/>
      <c r="AC202" s="91" t="n"/>
      <c r="AD202" s="91" t="n"/>
      <c r="AE202" s="91" t="n"/>
      <c r="AF202" s="91" t="n"/>
      <c r="AG202" s="30" t="n"/>
      <c r="AH202" s="30" t="n"/>
      <c r="AI202" s="30" t="n"/>
      <c r="AJ202" s="30" t="n"/>
      <c r="AK202" s="30" t="n"/>
      <c r="AL202" s="30" t="n"/>
      <c r="AM202" s="91" t="n"/>
      <c r="AN202" s="91" t="n"/>
      <c r="AO202" s="91" t="n"/>
      <c r="AP202" s="91" t="n"/>
      <c r="AQ202" s="91" t="n"/>
      <c r="AR202" s="91" t="n"/>
      <c r="AS202" s="91" t="n"/>
      <c r="AT202" s="91" t="n"/>
      <c r="AU202" s="91" t="n"/>
      <c r="AV202" s="31" t="n"/>
      <c r="AW202" s="36" t="n"/>
      <c r="AX202" s="16" t="n"/>
      <c r="AY202" s="31" t="n"/>
      <c r="AZ202" s="92" t="n"/>
      <c r="BA202" s="91" t="n"/>
      <c r="BB202" s="91" t="n"/>
      <c r="BC202" s="91" t="n"/>
      <c r="BD202" s="91" t="n"/>
      <c r="BE202" s="91" t="n"/>
      <c r="BF202" s="91" t="n"/>
      <c r="BG202" s="91" t="n"/>
      <c r="BH202" s="91" t="n"/>
      <c r="BI202" s="91" t="n"/>
      <c r="BJ202" s="91" t="n"/>
      <c r="BK202" s="91" t="n"/>
      <c r="BL202" s="91" t="n"/>
      <c r="BM202" s="91" t="n"/>
      <c r="BN202" s="91" t="n"/>
      <c r="BO202" s="91" t="n"/>
      <c r="BP202" s="91" t="n"/>
      <c r="BQ202" s="91" t="n"/>
      <c r="BR202" s="91" t="n"/>
      <c r="BS202" s="91" t="n"/>
      <c r="BT202" s="91" t="n"/>
      <c r="BU202" s="91" t="n"/>
      <c r="BV202" s="91" t="n"/>
      <c r="BW202" s="91" t="n"/>
      <c r="BX202" s="91" t="n"/>
      <c r="BY202" s="91" t="n"/>
      <c r="BZ202" s="91">
        <f>SUM(BN202:BY202)</f>
        <v/>
      </c>
      <c r="CA202" s="91" t="n"/>
      <c r="CB202" s="91" t="n"/>
      <c r="CC202" s="91" t="n"/>
      <c r="CD202" s="91" t="n"/>
      <c r="CE202" s="91" t="n"/>
      <c r="CF202" s="91" t="n">
        <v>2918</v>
      </c>
      <c r="CG202" s="91" t="n">
        <v>76825.39</v>
      </c>
      <c r="CH202" s="91" t="n">
        <v>2201.34</v>
      </c>
      <c r="CI202" s="91" t="n"/>
      <c r="CJ202" s="91" t="n">
        <v>21226.54</v>
      </c>
      <c r="CK202" s="91" t="n">
        <v>59.98</v>
      </c>
      <c r="CL202" s="91" t="n">
        <v>5245</v>
      </c>
      <c r="CM202" s="91">
        <f>SUM(CA202:CL202)</f>
        <v/>
      </c>
      <c r="CN202" s="91" t="n"/>
      <c r="CO202" s="91" t="n"/>
      <c r="CP202" s="91" t="n"/>
      <c r="CQ202" s="93" t="n"/>
      <c r="CR202" s="94" t="n"/>
      <c r="CS202" s="94" t="n"/>
      <c r="CT202" s="91" t="n"/>
      <c r="CU202" s="91" t="n"/>
      <c r="CV202" s="91" t="n"/>
      <c r="CW202" s="91" t="n"/>
      <c r="CX202" s="91" t="n"/>
      <c r="CY202" s="91" t="n"/>
      <c r="CZ202" s="91">
        <f>SUM(CN202:CY202)</f>
        <v/>
      </c>
      <c r="DA202" s="35" t="n"/>
    </row>
    <row r="203" ht="18.75" customFormat="1" customHeight="1" s="1">
      <c r="A203" s="30" t="n">
        <v>204</v>
      </c>
      <c r="B203" s="31" t="inlineStr">
        <is>
          <t>甘肃</t>
        </is>
      </c>
      <c r="C203" s="31" t="inlineStr">
        <is>
          <t>嘉峪关</t>
        </is>
      </c>
      <c r="D203" s="31" t="inlineStr">
        <is>
          <t>程建设</t>
        </is>
      </c>
      <c r="E203" s="89" t="n"/>
      <c r="F203" s="27" t="inlineStr">
        <is>
          <t>2024</t>
        </is>
      </c>
      <c r="G203" s="27" t="inlineStr">
        <is>
          <t>12</t>
        </is>
      </c>
      <c r="H203" s="91" t="n">
        <v>25544</v>
      </c>
      <c r="I203" s="91" t="n"/>
      <c r="J203" s="91" t="n">
        <v>6406</v>
      </c>
      <c r="K203" s="91">
        <f>+H203+I203+J203</f>
        <v/>
      </c>
      <c r="L203" s="91" t="inlineStr">
        <is>
          <t>5折</t>
        </is>
      </c>
      <c r="M203" s="91">
        <f>16499+3658</f>
        <v/>
      </c>
      <c r="N203" s="91" t="n"/>
      <c r="O203" s="91" t="n"/>
      <c r="P203" s="91" t="n"/>
      <c r="Q203" s="91" t="n"/>
      <c r="R203" s="91" t="n"/>
      <c r="S203" s="91" t="n"/>
      <c r="T203" s="91" t="n"/>
      <c r="U203" s="91" t="n"/>
      <c r="V203" s="91" t="n"/>
      <c r="W203" s="91" t="n"/>
      <c r="X203" s="91" t="n"/>
      <c r="Y203" s="91" t="n"/>
      <c r="Z203" s="91" t="n"/>
      <c r="AA203" s="91" t="n"/>
      <c r="AB203" s="91" t="n"/>
      <c r="AC203" s="91" t="n"/>
      <c r="AD203" s="91" t="n"/>
      <c r="AE203" s="91" t="n"/>
      <c r="AF203" s="91" t="n"/>
      <c r="AG203" s="30" t="n"/>
      <c r="AH203" s="30" t="n"/>
      <c r="AI203" s="30" t="n"/>
      <c r="AJ203" s="30" t="n"/>
      <c r="AK203" s="30" t="n"/>
      <c r="AL203" s="30" t="n"/>
      <c r="AM203" s="91" t="n"/>
      <c r="AN203" s="91" t="n"/>
      <c r="AO203" s="91" t="n"/>
      <c r="AP203" s="91" t="n"/>
      <c r="AQ203" s="91" t="n"/>
      <c r="AR203" s="91" t="n"/>
      <c r="AS203" s="91" t="n"/>
      <c r="AT203" s="91" t="n"/>
      <c r="AU203" s="91" t="n"/>
      <c r="AV203" s="31" t="n"/>
      <c r="AW203" s="36" t="n"/>
      <c r="AX203" s="16" t="n"/>
      <c r="AY203" s="31" t="n"/>
      <c r="AZ203" s="92" t="n"/>
      <c r="BA203" s="91" t="n"/>
      <c r="BB203" s="91" t="n"/>
      <c r="BC203" s="91" t="n"/>
      <c r="BD203" s="91" t="n"/>
      <c r="BE203" s="91" t="n"/>
      <c r="BF203" s="91" t="n"/>
      <c r="BG203" s="91" t="n"/>
      <c r="BH203" s="91" t="n"/>
      <c r="BI203" s="91" t="n"/>
      <c r="BJ203" s="91" t="n"/>
      <c r="BK203" s="91" t="n"/>
      <c r="BL203" s="91" t="n"/>
      <c r="BM203" s="91" t="n"/>
      <c r="BN203" s="91" t="n"/>
      <c r="BO203" s="91" t="n"/>
      <c r="BP203" s="91" t="n"/>
      <c r="BQ203" s="91" t="n"/>
      <c r="BR203" s="91" t="n"/>
      <c r="BS203" s="91" t="n"/>
      <c r="BT203" s="91" t="n"/>
      <c r="BU203" s="91" t="n"/>
      <c r="BV203" s="91" t="n"/>
      <c r="BW203" s="91" t="n"/>
      <c r="BX203" s="91" t="n"/>
      <c r="BY203" s="91" t="n"/>
      <c r="BZ203" s="91">
        <f>SUM(BN203:BY203)</f>
        <v/>
      </c>
      <c r="CA203" s="91" t="n"/>
      <c r="CB203" s="91" t="n"/>
      <c r="CC203" s="91" t="n"/>
      <c r="CD203" s="91" t="n"/>
      <c r="CE203" s="91" t="n"/>
      <c r="CF203" s="91" t="n">
        <v>118</v>
      </c>
      <c r="CG203" s="91" t="n"/>
      <c r="CH203" s="91" t="inlineStr"/>
      <c r="CI203" s="91" t="n"/>
      <c r="CJ203" s="91" t="n">
        <v>32663</v>
      </c>
      <c r="CK203" s="91" t="n"/>
      <c r="CL203" s="91" t="n">
        <v>2226</v>
      </c>
      <c r="CM203" s="91">
        <f>SUM(CA203:CL203)</f>
        <v/>
      </c>
      <c r="CN203" s="91" t="n"/>
      <c r="CO203" s="91" t="n"/>
      <c r="CP203" s="91" t="n"/>
      <c r="CQ203" s="93" t="n"/>
      <c r="CR203" s="94" t="n"/>
      <c r="CS203" s="94" t="n"/>
      <c r="CT203" s="91" t="n"/>
      <c r="CU203" s="91" t="n"/>
      <c r="CV203" s="91" t="n"/>
      <c r="CW203" s="91" t="n"/>
      <c r="CX203" s="91" t="n"/>
      <c r="CY203" s="91" t="n"/>
      <c r="CZ203" s="91">
        <f>SUM(CN203:CY203)</f>
        <v/>
      </c>
      <c r="DA203" s="35" t="n"/>
    </row>
    <row r="204" ht="18.75" customFormat="1" customHeight="1" s="1">
      <c r="A204" s="30" t="n">
        <v>205</v>
      </c>
      <c r="B204" s="31" t="inlineStr">
        <is>
          <t>安徽</t>
        </is>
      </c>
      <c r="C204" s="31" t="inlineStr">
        <is>
          <t>合肥</t>
        </is>
      </c>
      <c r="D204" s="31" t="inlineStr">
        <is>
          <t>袁丽丽</t>
        </is>
      </c>
      <c r="E204" s="89" t="n"/>
      <c r="F204" s="27" t="inlineStr">
        <is>
          <t>2023</t>
        </is>
      </c>
      <c r="G204" s="27" t="inlineStr">
        <is>
          <t>5</t>
        </is>
      </c>
      <c r="H204" s="91" t="n"/>
      <c r="I204" s="91" t="n"/>
      <c r="J204" s="91" t="n"/>
      <c r="K204" s="91">
        <f>+H204+I204+J204</f>
        <v/>
      </c>
      <c r="L204" s="91" t="n"/>
      <c r="M204" s="91" t="inlineStr"/>
      <c r="N204" s="91" t="n"/>
      <c r="O204" s="91" t="n"/>
      <c r="P204" s="91" t="n"/>
      <c r="Q204" s="91" t="n"/>
      <c r="R204" s="91" t="n"/>
      <c r="S204" s="91" t="n"/>
      <c r="T204" s="91" t="n"/>
      <c r="U204" s="91" t="n"/>
      <c r="V204" s="91" t="n"/>
      <c r="W204" s="91" t="n"/>
      <c r="X204" s="91" t="n"/>
      <c r="Y204" s="91" t="n"/>
      <c r="Z204" s="91" t="n"/>
      <c r="AA204" s="91" t="n"/>
      <c r="AB204" s="91" t="n"/>
      <c r="AC204" s="91" t="n"/>
      <c r="AD204" s="91" t="n"/>
      <c r="AE204" s="91" t="n"/>
      <c r="AF204" s="91" t="n"/>
      <c r="AG204" s="30" t="n"/>
      <c r="AH204" s="30" t="n"/>
      <c r="AI204" s="30" t="n"/>
      <c r="AJ204" s="30" t="n"/>
      <c r="AK204" s="30" t="n"/>
      <c r="AL204" s="30" t="n"/>
      <c r="AM204" s="91" t="n"/>
      <c r="AN204" s="91" t="n"/>
      <c r="AO204" s="91" t="n"/>
      <c r="AP204" s="91" t="n"/>
      <c r="AQ204" s="91" t="n"/>
      <c r="AR204" s="91" t="n"/>
      <c r="AS204" s="91" t="n"/>
      <c r="AT204" s="91" t="n"/>
      <c r="AU204" s="91" t="n"/>
      <c r="AV204" s="31" t="n"/>
      <c r="AW204" s="36" t="n"/>
      <c r="AX204" s="16" t="n"/>
      <c r="AY204" s="31" t="n"/>
      <c r="AZ204" s="92" t="n"/>
      <c r="BA204" s="91" t="n"/>
      <c r="BB204" s="91" t="n"/>
      <c r="BC204" s="91" t="n"/>
      <c r="BD204" s="91" t="n"/>
      <c r="BE204" s="91" t="n"/>
      <c r="BF204" s="91" t="n"/>
      <c r="BG204" s="91" t="n"/>
      <c r="BH204" s="91" t="n"/>
      <c r="BI204" s="91" t="n"/>
      <c r="BJ204" s="91" t="n"/>
      <c r="BK204" s="91" t="n"/>
      <c r="BL204" s="91" t="n"/>
      <c r="BM204" s="91" t="n"/>
      <c r="BN204" s="91" t="n"/>
      <c r="BO204" s="91" t="n"/>
      <c r="BP204" s="91" t="n"/>
      <c r="BQ204" s="91" t="n"/>
      <c r="BR204" s="91" t="n"/>
      <c r="BS204" s="91" t="n"/>
      <c r="BT204" s="91" t="n"/>
      <c r="BU204" s="91" t="n"/>
      <c r="BV204" s="91" t="n"/>
      <c r="BW204" s="91" t="n"/>
      <c r="BX204" s="91" t="n"/>
      <c r="BY204" s="91" t="n"/>
      <c r="BZ204" s="91">
        <f>SUM(BN204:BY204)</f>
        <v/>
      </c>
      <c r="CA204" s="91" t="n"/>
      <c r="CB204" s="91" t="n"/>
      <c r="CC204" s="91" t="n"/>
      <c r="CD204" s="91" t="n"/>
      <c r="CE204" s="91" t="n"/>
      <c r="CF204" s="91" t="n">
        <v>3706</v>
      </c>
      <c r="CG204" s="91" t="n"/>
      <c r="CH204" s="91" t="n">
        <v>3756</v>
      </c>
      <c r="CI204" s="91" t="n">
        <v>3652</v>
      </c>
      <c r="CJ204" s="91" t="inlineStr"/>
      <c r="CK204" s="91" t="n">
        <v>2772</v>
      </c>
      <c r="CL204" s="91" t="n">
        <v>430</v>
      </c>
      <c r="CM204" s="91">
        <f>SUM(CA204:CL204)</f>
        <v/>
      </c>
      <c r="CN204" s="91" t="n"/>
      <c r="CO204" s="91" t="n"/>
      <c r="CP204" s="91" t="n"/>
      <c r="CQ204" s="93" t="n"/>
      <c r="CR204" s="94" t="n"/>
      <c r="CS204" s="94" t="n"/>
      <c r="CT204" s="91" t="n"/>
      <c r="CU204" s="91" t="n"/>
      <c r="CV204" s="91" t="n"/>
      <c r="CW204" s="91" t="n"/>
      <c r="CX204" s="91" t="n"/>
      <c r="CY204" s="91" t="n"/>
      <c r="CZ204" s="91">
        <f>SUM(CN204:CY204)</f>
        <v/>
      </c>
      <c r="DA204" s="35" t="n"/>
    </row>
    <row r="205" ht="18.75" customFormat="1" customHeight="1" s="1">
      <c r="A205" s="30" t="n">
        <v>206</v>
      </c>
      <c r="B205" s="31" t="inlineStr">
        <is>
          <t>贵州</t>
        </is>
      </c>
      <c r="C205" s="31" t="inlineStr">
        <is>
          <t>习水</t>
        </is>
      </c>
      <c r="D205" s="31" t="inlineStr">
        <is>
          <t>袁涛</t>
        </is>
      </c>
      <c r="E205" s="89" t="n"/>
      <c r="F205" s="27" t="inlineStr">
        <is>
          <t>2024</t>
        </is>
      </c>
      <c r="G205" s="27" t="inlineStr">
        <is>
          <t>12</t>
        </is>
      </c>
      <c r="H205" s="91" t="n"/>
      <c r="I205" s="91" t="n"/>
      <c r="J205" s="91" t="n">
        <v>1675</v>
      </c>
      <c r="K205" s="91">
        <f>+H205+I205+J205</f>
        <v/>
      </c>
      <c r="L205" s="91" t="inlineStr">
        <is>
          <t>5折</t>
        </is>
      </c>
      <c r="M205" s="91" t="n">
        <v>995</v>
      </c>
      <c r="N205" s="91" t="n"/>
      <c r="O205" s="91" t="n"/>
      <c r="P205" s="91" t="n"/>
      <c r="Q205" s="91" t="n"/>
      <c r="R205" s="91" t="n"/>
      <c r="S205" s="91" t="n"/>
      <c r="T205" s="91" t="n"/>
      <c r="U205" s="91" t="n"/>
      <c r="V205" s="91" t="n"/>
      <c r="W205" s="91" t="n"/>
      <c r="X205" s="91" t="n"/>
      <c r="Y205" s="91" t="n"/>
      <c r="Z205" s="91" t="n"/>
      <c r="AA205" s="91" t="n"/>
      <c r="AB205" s="91" t="n"/>
      <c r="AC205" s="91" t="n"/>
      <c r="AD205" s="91" t="n"/>
      <c r="AE205" s="91" t="n"/>
      <c r="AF205" s="91" t="n"/>
      <c r="AG205" s="30" t="n"/>
      <c r="AH205" s="30" t="n"/>
      <c r="AI205" s="30" t="n"/>
      <c r="AJ205" s="30" t="n"/>
      <c r="AK205" s="30" t="n"/>
      <c r="AL205" s="30" t="n"/>
      <c r="AM205" s="91" t="n"/>
      <c r="AN205" s="91" t="n"/>
      <c r="AO205" s="91" t="n"/>
      <c r="AP205" s="91" t="n"/>
      <c r="AQ205" s="91" t="n"/>
      <c r="AR205" s="91" t="n"/>
      <c r="AS205" s="91" t="n"/>
      <c r="AT205" s="91" t="n"/>
      <c r="AU205" s="91" t="n"/>
      <c r="AV205" s="31" t="n"/>
      <c r="AW205" s="36" t="n"/>
      <c r="AX205" s="16" t="n"/>
      <c r="AY205" s="31" t="n"/>
      <c r="AZ205" s="92" t="n"/>
      <c r="BA205" s="91" t="n"/>
      <c r="BB205" s="91" t="n"/>
      <c r="BC205" s="91" t="n"/>
      <c r="BD205" s="91" t="n"/>
      <c r="BE205" s="91" t="n"/>
      <c r="BF205" s="91" t="n"/>
      <c r="BG205" s="91" t="n"/>
      <c r="BH205" s="91" t="n"/>
      <c r="BI205" s="91" t="n"/>
      <c r="BJ205" s="91" t="n"/>
      <c r="BK205" s="91" t="n"/>
      <c r="BL205" s="91" t="n"/>
      <c r="BM205" s="91" t="n"/>
      <c r="BN205" s="91" t="n"/>
      <c r="BO205" s="91" t="n"/>
      <c r="BP205" s="91" t="n"/>
      <c r="BQ205" s="91" t="n"/>
      <c r="BR205" s="91" t="n"/>
      <c r="BS205" s="91" t="n"/>
      <c r="BT205" s="91" t="n"/>
      <c r="BU205" s="91" t="n"/>
      <c r="BV205" s="91" t="n"/>
      <c r="BW205" s="91" t="n"/>
      <c r="BX205" s="91" t="n"/>
      <c r="BY205" s="91" t="n"/>
      <c r="BZ205" s="91">
        <f>SUM(BN205:BY205)</f>
        <v/>
      </c>
      <c r="CA205" s="91" t="n"/>
      <c r="CB205" s="91" t="n"/>
      <c r="CC205" s="91" t="n"/>
      <c r="CD205" s="91" t="n"/>
      <c r="CE205" s="91" t="n"/>
      <c r="CF205" s="91" t="n">
        <v>3359</v>
      </c>
      <c r="CG205" s="91" t="n"/>
      <c r="CH205" s="91" t="inlineStr"/>
      <c r="CI205" s="91" t="n"/>
      <c r="CJ205" s="91" t="inlineStr"/>
      <c r="CK205" s="91" t="n"/>
      <c r="CL205" s="91" t="inlineStr"/>
      <c r="CM205" s="91">
        <f>SUM(CA205:CL205)</f>
        <v/>
      </c>
      <c r="CN205" s="91" t="n"/>
      <c r="CO205" s="91" t="n"/>
      <c r="CP205" s="91" t="n"/>
      <c r="CQ205" s="93" t="n"/>
      <c r="CR205" s="94" t="n"/>
      <c r="CS205" s="94" t="n"/>
      <c r="CT205" s="91" t="n"/>
      <c r="CU205" s="91" t="n"/>
      <c r="CV205" s="91" t="n"/>
      <c r="CW205" s="91" t="n"/>
      <c r="CX205" s="91" t="n"/>
      <c r="CY205" s="91" t="n"/>
      <c r="CZ205" s="91">
        <f>SUM(CN205:CY205)</f>
        <v/>
      </c>
      <c r="DA205" s="35" t="n"/>
    </row>
    <row r="206" ht="18.75" customFormat="1" customHeight="1" s="1">
      <c r="A206" s="30" t="n">
        <v>207</v>
      </c>
      <c r="B206" s="31" t="inlineStr">
        <is>
          <t>四川</t>
        </is>
      </c>
      <c r="C206" s="31" t="inlineStr">
        <is>
          <t>西充</t>
        </is>
      </c>
      <c r="D206" s="31" t="inlineStr">
        <is>
          <t>杜元志</t>
        </is>
      </c>
      <c r="E206" s="89" t="n"/>
      <c r="F206" s="27" t="inlineStr">
        <is>
          <t>2025</t>
        </is>
      </c>
      <c r="G206" s="27" t="inlineStr">
        <is>
          <t>6/7</t>
        </is>
      </c>
      <c r="H206" s="91">
        <f>46442.17+487</f>
        <v/>
      </c>
      <c r="I206" s="91" t="n"/>
      <c r="J206" s="91" t="n">
        <v>2287</v>
      </c>
      <c r="K206" s="91">
        <f>+H206+I206+J206</f>
        <v/>
      </c>
      <c r="L206" s="91" t="inlineStr">
        <is>
          <t>5折</t>
        </is>
      </c>
      <c r="M206" s="91">
        <f>32058+244</f>
        <v/>
      </c>
      <c r="N206" s="91" t="n"/>
      <c r="O206" s="91" t="n"/>
      <c r="P206" s="91" t="n"/>
      <c r="Q206" s="91" t="n"/>
      <c r="R206" s="91" t="n"/>
      <c r="S206" s="91" t="n"/>
      <c r="T206" s="91" t="n"/>
      <c r="U206" s="91" t="n"/>
      <c r="V206" s="91" t="n"/>
      <c r="W206" s="91" t="n"/>
      <c r="X206" s="91" t="n"/>
      <c r="Y206" s="91" t="n"/>
      <c r="Z206" s="91" t="n"/>
      <c r="AA206" s="91" t="n"/>
      <c r="AB206" s="91" t="n"/>
      <c r="AC206" s="91" t="n"/>
      <c r="AD206" s="91" t="n"/>
      <c r="AE206" s="91" t="n"/>
      <c r="AF206" s="91" t="n"/>
      <c r="AG206" s="30" t="n"/>
      <c r="AH206" s="30" t="n"/>
      <c r="AI206" s="30" t="n"/>
      <c r="AJ206" s="30" t="n"/>
      <c r="AK206" s="30" t="n"/>
      <c r="AL206" s="30" t="n"/>
      <c r="AM206" s="91" t="n"/>
      <c r="AN206" s="91" t="n"/>
      <c r="AO206" s="91" t="n"/>
      <c r="AP206" s="91" t="n"/>
      <c r="AQ206" s="91" t="n"/>
      <c r="AR206" s="91" t="n"/>
      <c r="AS206" s="91" t="n"/>
      <c r="AT206" s="91" t="n"/>
      <c r="AU206" s="91" t="n"/>
      <c r="AV206" s="31" t="n"/>
      <c r="AW206" s="36" t="n"/>
      <c r="AX206" s="16" t="n"/>
      <c r="AY206" s="31" t="n"/>
      <c r="AZ206" s="92" t="n"/>
      <c r="BA206" s="91" t="n"/>
      <c r="BB206" s="91" t="n"/>
      <c r="BC206" s="91" t="n"/>
      <c r="BD206" s="91" t="n"/>
      <c r="BE206" s="91" t="n"/>
      <c r="BF206" s="91" t="n"/>
      <c r="BG206" s="91" t="n"/>
      <c r="BH206" s="91" t="n"/>
      <c r="BI206" s="91" t="n"/>
      <c r="BJ206" s="91" t="n"/>
      <c r="BK206" s="91" t="n"/>
      <c r="BL206" s="91" t="n"/>
      <c r="BM206" s="91" t="n"/>
      <c r="BN206" s="91" t="n"/>
      <c r="BO206" s="91" t="n"/>
      <c r="BP206" s="91" t="n"/>
      <c r="BQ206" s="91" t="n"/>
      <c r="BR206" s="91" t="n"/>
      <c r="BS206" s="91" t="n"/>
      <c r="BT206" s="91" t="n"/>
      <c r="BU206" s="91" t="n"/>
      <c r="BV206" s="91" t="n"/>
      <c r="BW206" s="91" t="n"/>
      <c r="BX206" s="91" t="n"/>
      <c r="BY206" s="91" t="n"/>
      <c r="BZ206" s="91">
        <f>SUM(BN206:BY206)</f>
        <v/>
      </c>
      <c r="CA206" s="91" t="n"/>
      <c r="CB206" s="91" t="n"/>
      <c r="CC206" s="91" t="n"/>
      <c r="CD206" s="91" t="n"/>
      <c r="CE206" s="91" t="n"/>
      <c r="CF206" s="91" t="n"/>
      <c r="CG206" s="91" t="n"/>
      <c r="CH206" s="91" t="inlineStr"/>
      <c r="CI206" s="91" t="n"/>
      <c r="CJ206" s="91" t="inlineStr"/>
      <c r="CK206" s="91" t="n"/>
      <c r="CL206" s="91" t="n">
        <v>15838</v>
      </c>
      <c r="CM206" s="91">
        <f>SUM(CA206:CL206)</f>
        <v/>
      </c>
      <c r="CN206" s="91" t="n"/>
      <c r="CO206" s="91" t="n"/>
      <c r="CP206" s="91" t="n"/>
      <c r="CQ206" s="93" t="n"/>
      <c r="CR206" s="94" t="n"/>
      <c r="CS206" s="94" t="n"/>
      <c r="CT206" s="91" t="n"/>
      <c r="CU206" s="91" t="n"/>
      <c r="CV206" s="91" t="n"/>
      <c r="CW206" s="91" t="n"/>
      <c r="CX206" s="91" t="n"/>
      <c r="CY206" s="91" t="n"/>
      <c r="CZ206" s="91">
        <f>SUM(CN206:CY206)</f>
        <v/>
      </c>
      <c r="DA206" s="35" t="n"/>
    </row>
    <row r="207" ht="18.75" customFormat="1" customHeight="1" s="1">
      <c r="A207" s="30" t="n">
        <v>208</v>
      </c>
      <c r="B207" s="31" t="inlineStr">
        <is>
          <t>山东</t>
        </is>
      </c>
      <c r="C207" s="31" t="inlineStr">
        <is>
          <t>青岛</t>
        </is>
      </c>
      <c r="D207" s="31" t="inlineStr">
        <is>
          <t>纪鹏</t>
        </is>
      </c>
      <c r="E207" s="89" t="n"/>
      <c r="F207" s="27" t="inlineStr">
        <is>
          <t>2025/2026</t>
        </is>
      </c>
      <c r="G207" s="27" t="inlineStr">
        <is>
          <t>6/3</t>
        </is>
      </c>
      <c r="H207" s="91">
        <f>30075.45+1494</f>
        <v/>
      </c>
      <c r="I207" s="91" t="n">
        <v>13510</v>
      </c>
      <c r="J207" s="91" t="n"/>
      <c r="K207" s="91">
        <f>+H207+I207+J207</f>
        <v/>
      </c>
      <c r="L207" s="91" t="inlineStr">
        <is>
          <t>5折</t>
        </is>
      </c>
      <c r="M207" s="91" t="n">
        <v>29250</v>
      </c>
      <c r="N207" s="91" t="n"/>
      <c r="O207" s="91" t="n"/>
      <c r="P207" s="91" t="n"/>
      <c r="Q207" s="91" t="n"/>
      <c r="R207" s="91" t="n"/>
      <c r="S207" s="91" t="n"/>
      <c r="T207" s="91" t="n"/>
      <c r="U207" s="91" t="n"/>
      <c r="V207" s="91" t="n"/>
      <c r="W207" s="91" t="n"/>
      <c r="X207" s="91" t="n"/>
      <c r="Y207" s="91" t="n"/>
      <c r="Z207" s="91" t="n"/>
      <c r="AA207" s="91" t="n"/>
      <c r="AB207" s="91" t="n"/>
      <c r="AC207" s="91" t="n"/>
      <c r="AD207" s="91" t="n"/>
      <c r="AE207" s="91" t="n"/>
      <c r="AF207" s="91" t="n"/>
      <c r="AG207" s="30" t="n"/>
      <c r="AH207" s="30" t="n"/>
      <c r="AI207" s="30" t="n"/>
      <c r="AJ207" s="30" t="n"/>
      <c r="AK207" s="30" t="n"/>
      <c r="AL207" s="30" t="n"/>
      <c r="AM207" s="91" t="n"/>
      <c r="AN207" s="91" t="n"/>
      <c r="AO207" s="91" t="n"/>
      <c r="AP207" s="91" t="n"/>
      <c r="AQ207" s="91" t="n"/>
      <c r="AR207" s="91" t="n"/>
      <c r="AS207" s="91" t="n"/>
      <c r="AT207" s="91" t="n"/>
      <c r="AU207" s="91" t="n"/>
      <c r="AV207" s="31" t="n"/>
      <c r="AW207" s="36" t="n"/>
      <c r="AX207" s="16" t="n"/>
      <c r="AY207" s="31" t="n"/>
      <c r="AZ207" s="92" t="n"/>
      <c r="BA207" s="91" t="n"/>
      <c r="BB207" s="91" t="n"/>
      <c r="BC207" s="91" t="n"/>
      <c r="BD207" s="91" t="n"/>
      <c r="BE207" s="91" t="n"/>
      <c r="BF207" s="91" t="n"/>
      <c r="BG207" s="91" t="n"/>
      <c r="BH207" s="91" t="n"/>
      <c r="BI207" s="91" t="n"/>
      <c r="BJ207" s="91" t="n"/>
      <c r="BK207" s="91" t="n"/>
      <c r="BL207" s="91" t="n"/>
      <c r="BM207" s="91" t="n"/>
      <c r="BN207" s="91" t="n"/>
      <c r="BO207" s="91" t="n"/>
      <c r="BP207" s="91" t="n"/>
      <c r="BQ207" s="91" t="n"/>
      <c r="BR207" s="91" t="n"/>
      <c r="BS207" s="91" t="n"/>
      <c r="BT207" s="91" t="n"/>
      <c r="BU207" s="91" t="n"/>
      <c r="BV207" s="91" t="n"/>
      <c r="BW207" s="91" t="n"/>
      <c r="BX207" s="91" t="n"/>
      <c r="BY207" s="91" t="n"/>
      <c r="BZ207" s="91">
        <f>SUM(BN207:BY207)</f>
        <v/>
      </c>
      <c r="CA207" s="91" t="n"/>
      <c r="CB207" s="91" t="n"/>
      <c r="CC207" s="91" t="n"/>
      <c r="CD207" s="91" t="n"/>
      <c r="CE207" s="91" t="n"/>
      <c r="CF207" s="91" t="n"/>
      <c r="CG207" s="91" t="n"/>
      <c r="CH207" s="91" t="inlineStr"/>
      <c r="CI207" s="91" t="n"/>
      <c r="CJ207" s="91" t="inlineStr"/>
      <c r="CK207" s="91" t="n"/>
      <c r="CL207" s="91" t="inlineStr"/>
      <c r="CM207" s="91">
        <f>SUM(CA207:CL207)</f>
        <v/>
      </c>
      <c r="CN207" s="91" t="n"/>
      <c r="CO207" s="91" t="n"/>
      <c r="CP207" s="91" t="n"/>
      <c r="CQ207" s="93" t="n"/>
      <c r="CR207" s="94" t="n"/>
      <c r="CS207" s="94" t="n"/>
      <c r="CT207" s="91" t="n"/>
      <c r="CU207" s="91" t="n"/>
      <c r="CV207" s="91" t="n"/>
      <c r="CW207" s="91" t="n"/>
      <c r="CX207" s="91" t="n"/>
      <c r="CY207" s="91" t="n"/>
      <c r="CZ207" s="91">
        <f>SUM(CN207:CY207)</f>
        <v/>
      </c>
      <c r="DA207" s="35" t="n"/>
    </row>
    <row r="208" ht="18.75" customFormat="1" customHeight="1" s="1">
      <c r="A208" s="30" t="n">
        <v>209</v>
      </c>
      <c r="B208" s="31" t="inlineStr">
        <is>
          <t>江苏</t>
        </is>
      </c>
      <c r="C208" s="31" t="inlineStr">
        <is>
          <t>兴化</t>
        </is>
      </c>
      <c r="D208" s="31" t="inlineStr">
        <is>
          <t>尹太洋</t>
        </is>
      </c>
      <c r="E208" s="89" t="n"/>
      <c r="F208" s="27" t="inlineStr">
        <is>
          <t>2025</t>
        </is>
      </c>
      <c r="G208" s="27" t="inlineStr">
        <is>
          <t>6/7</t>
        </is>
      </c>
      <c r="H208" s="91" t="n">
        <v>51006</v>
      </c>
      <c r="I208" s="91" t="n">
        <v>4259</v>
      </c>
      <c r="J208" s="91" t="n">
        <v>2005</v>
      </c>
      <c r="K208" s="91">
        <f>+H208+I208+J208</f>
        <v/>
      </c>
      <c r="L208" s="91" t="inlineStr">
        <is>
          <t>5折</t>
        </is>
      </c>
      <c r="M208" s="91">
        <f>31981+1138</f>
        <v/>
      </c>
      <c r="N208" s="91" t="n"/>
      <c r="O208" s="91" t="n"/>
      <c r="P208" s="91" t="n"/>
      <c r="Q208" s="91" t="n"/>
      <c r="R208" s="91" t="n"/>
      <c r="S208" s="91" t="n"/>
      <c r="T208" s="91" t="n"/>
      <c r="U208" s="91" t="n"/>
      <c r="V208" s="91" t="n"/>
      <c r="W208" s="91" t="n"/>
      <c r="X208" s="91" t="n"/>
      <c r="Y208" s="91" t="n"/>
      <c r="Z208" s="91" t="n"/>
      <c r="AA208" s="91" t="n"/>
      <c r="AB208" s="91" t="n"/>
      <c r="AC208" s="91" t="n"/>
      <c r="AD208" s="91" t="n"/>
      <c r="AE208" s="91" t="n"/>
      <c r="AF208" s="91" t="n"/>
      <c r="AG208" s="30" t="n"/>
      <c r="AH208" s="30" t="n"/>
      <c r="AI208" s="30" t="n"/>
      <c r="AJ208" s="30" t="n"/>
      <c r="AK208" s="30" t="n"/>
      <c r="AL208" s="30" t="n"/>
      <c r="AM208" s="91" t="n"/>
      <c r="AN208" s="91" t="n"/>
      <c r="AO208" s="91" t="n"/>
      <c r="AP208" s="91" t="n"/>
      <c r="AQ208" s="91" t="n"/>
      <c r="AR208" s="91" t="n"/>
      <c r="AS208" s="91" t="n"/>
      <c r="AT208" s="91" t="n"/>
      <c r="AU208" s="91" t="n"/>
      <c r="AV208" s="31" t="n"/>
      <c r="AW208" s="36" t="n"/>
      <c r="AX208" s="16" t="n"/>
      <c r="AY208" s="31" t="n"/>
      <c r="AZ208" s="92" t="n"/>
      <c r="BA208" s="91" t="n"/>
      <c r="BB208" s="91" t="n"/>
      <c r="BC208" s="91" t="n"/>
      <c r="BD208" s="91" t="n"/>
      <c r="BE208" s="91" t="n"/>
      <c r="BF208" s="91" t="n"/>
      <c r="BG208" s="91" t="n"/>
      <c r="BH208" s="91" t="n"/>
      <c r="BI208" s="91" t="n"/>
      <c r="BJ208" s="91" t="n"/>
      <c r="BK208" s="91" t="n"/>
      <c r="BL208" s="91" t="n"/>
      <c r="BM208" s="91" t="n"/>
      <c r="BN208" s="91" t="n"/>
      <c r="BO208" s="91" t="n"/>
      <c r="BP208" s="91" t="n"/>
      <c r="BQ208" s="91" t="n"/>
      <c r="BR208" s="91" t="n"/>
      <c r="BS208" s="91" t="n"/>
      <c r="BT208" s="91" t="n"/>
      <c r="BU208" s="91" t="n"/>
      <c r="BV208" s="91" t="n"/>
      <c r="BW208" s="91" t="n"/>
      <c r="BX208" s="91" t="n"/>
      <c r="BY208" s="91" t="n"/>
      <c r="BZ208" s="91">
        <f>SUM(BN208:BY208)</f>
        <v/>
      </c>
      <c r="CA208" s="91" t="n"/>
      <c r="CB208" s="91" t="n"/>
      <c r="CC208" s="91" t="n"/>
      <c r="CD208" s="91" t="n"/>
      <c r="CE208" s="91" t="n"/>
      <c r="CF208" s="91" t="n"/>
      <c r="CG208" s="91" t="n"/>
      <c r="CH208" s="91" t="inlineStr"/>
      <c r="CI208" s="91" t="n"/>
      <c r="CJ208" s="91" t="inlineStr"/>
      <c r="CK208" s="91" t="n"/>
      <c r="CL208" s="91" t="inlineStr"/>
      <c r="CM208" s="91">
        <f>SUM(CA208:CL208)</f>
        <v/>
      </c>
      <c r="CN208" s="91" t="n"/>
      <c r="CO208" s="91" t="n"/>
      <c r="CP208" s="91" t="n"/>
      <c r="CQ208" s="93" t="n"/>
      <c r="CR208" s="94" t="n"/>
      <c r="CS208" s="94" t="n"/>
      <c r="CT208" s="91" t="n"/>
      <c r="CU208" s="91" t="n"/>
      <c r="CV208" s="91" t="n"/>
      <c r="CW208" s="91" t="n"/>
      <c r="CX208" s="91" t="n"/>
      <c r="CY208" s="91" t="n"/>
      <c r="CZ208" s="91">
        <f>SUM(CN208:CY208)</f>
        <v/>
      </c>
      <c r="DA208" s="35" t="n"/>
    </row>
    <row r="209" ht="18.75" customFormat="1" customHeight="1" s="1">
      <c r="A209" s="30" t="n">
        <v>210</v>
      </c>
      <c r="B209" s="31" t="inlineStr">
        <is>
          <t>贵州</t>
        </is>
      </c>
      <c r="C209" s="31" t="inlineStr">
        <is>
          <t>毕节</t>
        </is>
      </c>
      <c r="D209" s="31" t="inlineStr">
        <is>
          <t>张景涛</t>
        </is>
      </c>
      <c r="E209" s="89" t="n"/>
      <c r="F209" s="27" t="n"/>
      <c r="G209" s="27" t="n"/>
      <c r="H209" s="91" t="n"/>
      <c r="I209" s="91" t="n"/>
      <c r="J209" s="91" t="n"/>
      <c r="K209" s="91">
        <f>+H209+I209+J209</f>
        <v/>
      </c>
      <c r="L209" s="91" t="n"/>
      <c r="M209" s="91" t="inlineStr"/>
      <c r="N209" s="91" t="n"/>
      <c r="O209" s="91" t="n"/>
      <c r="P209" s="91" t="n"/>
      <c r="Q209" s="91" t="n"/>
      <c r="R209" s="91" t="n"/>
      <c r="S209" s="91" t="n"/>
      <c r="T209" s="91" t="n"/>
      <c r="U209" s="91" t="n"/>
      <c r="V209" s="91" t="n"/>
      <c r="W209" s="91" t="n"/>
      <c r="X209" s="91" t="n"/>
      <c r="Y209" s="91" t="n"/>
      <c r="Z209" s="91" t="n"/>
      <c r="AA209" s="91" t="n"/>
      <c r="AB209" s="91" t="n"/>
      <c r="AC209" s="91" t="n"/>
      <c r="AD209" s="91" t="n"/>
      <c r="AE209" s="91" t="n"/>
      <c r="AF209" s="91" t="n"/>
      <c r="AG209" s="30" t="n"/>
      <c r="AH209" s="30" t="n"/>
      <c r="AI209" s="30" t="n"/>
      <c r="AJ209" s="30" t="n"/>
      <c r="AK209" s="30" t="n"/>
      <c r="AL209" s="30" t="n"/>
      <c r="AM209" s="91" t="n"/>
      <c r="AN209" s="91" t="n"/>
      <c r="AO209" s="91" t="n"/>
      <c r="AP209" s="91" t="n"/>
      <c r="AQ209" s="91" t="n"/>
      <c r="AR209" s="91" t="n"/>
      <c r="AS209" s="91" t="n"/>
      <c r="AT209" s="91" t="n"/>
      <c r="AU209" s="91" t="n"/>
      <c r="AV209" s="31" t="n"/>
      <c r="AW209" s="36" t="n"/>
      <c r="AX209" s="16" t="n"/>
      <c r="AY209" s="31" t="n"/>
      <c r="AZ209" s="92" t="n"/>
      <c r="BA209" s="91" t="n"/>
      <c r="BB209" s="91" t="n"/>
      <c r="BC209" s="91" t="n"/>
      <c r="BD209" s="91" t="n"/>
      <c r="BE209" s="91" t="n"/>
      <c r="BF209" s="91" t="n"/>
      <c r="BG209" s="91" t="n"/>
      <c r="BH209" s="91" t="n"/>
      <c r="BI209" s="91" t="n"/>
      <c r="BJ209" s="91" t="n"/>
      <c r="BK209" s="91" t="n"/>
      <c r="BL209" s="91" t="n"/>
      <c r="BM209" s="91" t="n"/>
      <c r="BN209" s="91" t="n"/>
      <c r="BO209" s="91" t="n"/>
      <c r="BP209" s="91" t="n"/>
      <c r="BQ209" s="91" t="n"/>
      <c r="BR209" s="91" t="n"/>
      <c r="BS209" s="91" t="n"/>
      <c r="BT209" s="91" t="n"/>
      <c r="BU209" s="91" t="n"/>
      <c r="BV209" s="91" t="n"/>
      <c r="BW209" s="91" t="n"/>
      <c r="BX209" s="91" t="n"/>
      <c r="BY209" s="91" t="n"/>
      <c r="BZ209" s="91">
        <f>SUM(BN209:BY209)</f>
        <v/>
      </c>
      <c r="CA209" s="91" t="n"/>
      <c r="CB209" s="91" t="n"/>
      <c r="CC209" s="91" t="n"/>
      <c r="CD209" s="91" t="n"/>
      <c r="CE209" s="91" t="n"/>
      <c r="CF209" s="91" t="n">
        <v>62215</v>
      </c>
      <c r="CG209" s="91" t="n">
        <v>9698</v>
      </c>
      <c r="CH209" s="91" t="inlineStr"/>
      <c r="CI209" s="91" t="n">
        <v>4309</v>
      </c>
      <c r="CJ209" s="91" t="n">
        <v>353</v>
      </c>
      <c r="CK209" s="91" t="n"/>
      <c r="CL209" s="91" t="inlineStr"/>
      <c r="CM209" s="91">
        <f>SUM(CA209:CL209)</f>
        <v/>
      </c>
      <c r="CN209" s="91" t="n"/>
      <c r="CO209" s="91" t="n"/>
      <c r="CP209" s="91" t="n"/>
      <c r="CQ209" s="93" t="n"/>
      <c r="CR209" s="94" t="n"/>
      <c r="CS209" s="94" t="n"/>
      <c r="CT209" s="91" t="n"/>
      <c r="CU209" s="91" t="n"/>
      <c r="CV209" s="91" t="n"/>
      <c r="CW209" s="91" t="n"/>
      <c r="CX209" s="91" t="n"/>
      <c r="CY209" s="91" t="n"/>
      <c r="CZ209" s="91">
        <f>SUM(CN209:CY209)</f>
        <v/>
      </c>
      <c r="DA209" s="35" t="n"/>
    </row>
    <row r="210" ht="18.75" customFormat="1" customHeight="1" s="1">
      <c r="A210" s="30" t="n">
        <v>211</v>
      </c>
      <c r="B210" s="31" t="inlineStr">
        <is>
          <t>江苏</t>
        </is>
      </c>
      <c r="C210" s="31" t="inlineStr">
        <is>
          <t>南京溧水区</t>
        </is>
      </c>
      <c r="D210" s="31" t="inlineStr">
        <is>
          <t>李俊</t>
        </is>
      </c>
      <c r="E210" s="89" t="n"/>
      <c r="F210" s="27" t="inlineStr">
        <is>
          <t>2025</t>
        </is>
      </c>
      <c r="G210" s="27" t="inlineStr">
        <is>
          <t>3/5</t>
        </is>
      </c>
      <c r="H210" s="91" t="n">
        <v>5793</v>
      </c>
      <c r="I210" s="91" t="n"/>
      <c r="J210" s="91" t="n"/>
      <c r="K210" s="91">
        <f>+H210+I210+J210</f>
        <v/>
      </c>
      <c r="L210" s="91" t="inlineStr">
        <is>
          <t>免费</t>
        </is>
      </c>
      <c r="M210" s="91" t="inlineStr"/>
      <c r="N210" s="91" t="n"/>
      <c r="O210" s="91" t="n"/>
      <c r="P210" s="91" t="n"/>
      <c r="Q210" s="91" t="n"/>
      <c r="R210" s="91" t="n"/>
      <c r="S210" s="91" t="n"/>
      <c r="T210" s="91" t="n"/>
      <c r="U210" s="91" t="n"/>
      <c r="V210" s="91" t="n"/>
      <c r="W210" s="91" t="n"/>
      <c r="X210" s="91" t="n"/>
      <c r="Y210" s="91" t="n"/>
      <c r="Z210" s="91" t="n"/>
      <c r="AA210" s="91" t="n"/>
      <c r="AB210" s="91" t="n"/>
      <c r="AC210" s="91" t="n"/>
      <c r="AD210" s="91" t="n"/>
      <c r="AE210" s="91" t="n"/>
      <c r="AF210" s="91" t="n"/>
      <c r="AG210" s="30" t="n"/>
      <c r="AH210" s="30" t="n"/>
      <c r="AI210" s="30" t="n"/>
      <c r="AJ210" s="30" t="n"/>
      <c r="AK210" s="30" t="n"/>
      <c r="AL210" s="30" t="n"/>
      <c r="AM210" s="91" t="n"/>
      <c r="AN210" s="91" t="n"/>
      <c r="AO210" s="91" t="n"/>
      <c r="AP210" s="91" t="n"/>
      <c r="AQ210" s="91" t="n"/>
      <c r="AR210" s="91" t="n"/>
      <c r="AS210" s="91" t="n"/>
      <c r="AT210" s="91" t="n"/>
      <c r="AU210" s="91" t="n"/>
      <c r="AV210" s="31" t="n"/>
      <c r="AW210" s="36" t="n"/>
      <c r="AX210" s="16" t="n"/>
      <c r="AY210" s="31" t="n"/>
      <c r="AZ210" s="92" t="n"/>
      <c r="BA210" s="91" t="n"/>
      <c r="BB210" s="91" t="n"/>
      <c r="BC210" s="91" t="n"/>
      <c r="BD210" s="91" t="n"/>
      <c r="BE210" s="91" t="n"/>
      <c r="BF210" s="91" t="n"/>
      <c r="BG210" s="91" t="n"/>
      <c r="BH210" s="91" t="n"/>
      <c r="BI210" s="91" t="n"/>
      <c r="BJ210" s="91" t="n"/>
      <c r="BK210" s="91" t="n"/>
      <c r="BL210" s="91" t="n"/>
      <c r="BM210" s="91" t="n"/>
      <c r="BN210" s="91" t="n"/>
      <c r="BO210" s="91" t="n"/>
      <c r="BP210" s="91" t="n"/>
      <c r="BQ210" s="91" t="n"/>
      <c r="BR210" s="91" t="n"/>
      <c r="BS210" s="91" t="n"/>
      <c r="BT210" s="91" t="n"/>
      <c r="BU210" s="91" t="n"/>
      <c r="BV210" s="91" t="n"/>
      <c r="BW210" s="91" t="n"/>
      <c r="BX210" s="91" t="n"/>
      <c r="BY210" s="91" t="n"/>
      <c r="BZ210" s="91">
        <f>SUM(BN210:BY210)</f>
        <v/>
      </c>
      <c r="CA210" s="91" t="n"/>
      <c r="CB210" s="91" t="n"/>
      <c r="CC210" s="91" t="n"/>
      <c r="CD210" s="91" t="n"/>
      <c r="CE210" s="91" t="n"/>
      <c r="CF210" s="91" t="n"/>
      <c r="CG210" s="91" t="n">
        <v>126677</v>
      </c>
      <c r="CH210" s="91" t="n">
        <v>26561</v>
      </c>
      <c r="CI210" s="91" t="n">
        <v>499</v>
      </c>
      <c r="CJ210" s="91" t="inlineStr"/>
      <c r="CK210" s="91" t="n"/>
      <c r="CL210" s="91" t="inlineStr"/>
      <c r="CM210" s="91">
        <f>SUM(CA210:CL210)</f>
        <v/>
      </c>
      <c r="CN210" s="91" t="n"/>
      <c r="CO210" s="91" t="n"/>
      <c r="CP210" s="91" t="n"/>
      <c r="CQ210" s="93" t="n"/>
      <c r="CR210" s="94" t="n"/>
      <c r="CS210" s="94" t="n"/>
      <c r="CT210" s="91" t="n"/>
      <c r="CU210" s="91" t="n"/>
      <c r="CV210" s="91" t="n"/>
      <c r="CW210" s="91" t="n"/>
      <c r="CX210" s="91" t="n"/>
      <c r="CY210" s="91" t="n"/>
      <c r="CZ210" s="91">
        <f>SUM(CN210:CY210)</f>
        <v/>
      </c>
      <c r="DA210" s="35" t="n"/>
    </row>
    <row r="211" ht="18.75" customFormat="1" customHeight="1" s="1">
      <c r="A211" s="30" t="n">
        <v>212</v>
      </c>
      <c r="B211" s="31" t="inlineStr">
        <is>
          <t>新疆</t>
        </is>
      </c>
      <c r="C211" s="31" t="inlineStr">
        <is>
          <t>伊宁</t>
        </is>
      </c>
      <c r="D211" s="31" t="inlineStr">
        <is>
          <t>袁锦年</t>
        </is>
      </c>
      <c r="E211" s="89" t="n"/>
      <c r="F211" s="27" t="inlineStr">
        <is>
          <t>2024</t>
        </is>
      </c>
      <c r="G211" s="27" t="inlineStr">
        <is>
          <t>3</t>
        </is>
      </c>
      <c r="H211" s="91" t="n"/>
      <c r="I211" s="91" t="n"/>
      <c r="J211" s="91" t="n"/>
      <c r="K211" s="91">
        <f>+H211+I211+J211</f>
        <v/>
      </c>
      <c r="L211" s="91" t="n"/>
      <c r="M211" s="91" t="inlineStr"/>
      <c r="N211" s="91" t="n"/>
      <c r="O211" s="91" t="n"/>
      <c r="P211" s="91" t="n"/>
      <c r="Q211" s="91" t="n"/>
      <c r="R211" s="91" t="n"/>
      <c r="S211" s="91" t="n"/>
      <c r="T211" s="91" t="n"/>
      <c r="U211" s="91" t="n"/>
      <c r="V211" s="91" t="n"/>
      <c r="W211" s="91" t="n"/>
      <c r="X211" s="91" t="n"/>
      <c r="Y211" s="91" t="n"/>
      <c r="Z211" s="91" t="n"/>
      <c r="AA211" s="91" t="n"/>
      <c r="AB211" s="91" t="n"/>
      <c r="AC211" s="91" t="n"/>
      <c r="AD211" s="91" t="n"/>
      <c r="AE211" s="91" t="n"/>
      <c r="AF211" s="91" t="n"/>
      <c r="AG211" s="30" t="n"/>
      <c r="AH211" s="30" t="n"/>
      <c r="AI211" s="30" t="n"/>
      <c r="AJ211" s="30" t="n"/>
      <c r="AK211" s="30" t="n"/>
      <c r="AL211" s="30" t="n"/>
      <c r="AM211" s="91" t="n"/>
      <c r="AN211" s="91" t="n"/>
      <c r="AO211" s="91" t="n"/>
      <c r="AP211" s="91" t="n"/>
      <c r="AQ211" s="91" t="n"/>
      <c r="AR211" s="91" t="n"/>
      <c r="AS211" s="91" t="n"/>
      <c r="AT211" s="91" t="n"/>
      <c r="AU211" s="91" t="n"/>
      <c r="AV211" s="31" t="n"/>
      <c r="AW211" s="36" t="n"/>
      <c r="AX211" s="16" t="n"/>
      <c r="AY211" s="31" t="n"/>
      <c r="AZ211" s="92" t="n"/>
      <c r="BA211" s="91" t="n"/>
      <c r="BB211" s="91" t="n"/>
      <c r="BC211" s="91" t="n"/>
      <c r="BD211" s="91" t="n"/>
      <c r="BE211" s="91" t="n"/>
      <c r="BF211" s="91" t="n"/>
      <c r="BG211" s="91" t="n"/>
      <c r="BH211" s="91" t="n"/>
      <c r="BI211" s="91" t="n"/>
      <c r="BJ211" s="91" t="n"/>
      <c r="BK211" s="91" t="n"/>
      <c r="BL211" s="91" t="n"/>
      <c r="BM211" s="91" t="n"/>
      <c r="BN211" s="91" t="n"/>
      <c r="BO211" s="91" t="n"/>
      <c r="BP211" s="91" t="n"/>
      <c r="BQ211" s="91" t="n"/>
      <c r="BR211" s="91" t="n"/>
      <c r="BS211" s="91" t="n"/>
      <c r="BT211" s="91" t="n"/>
      <c r="BU211" s="91" t="n"/>
      <c r="BV211" s="91" t="n"/>
      <c r="BW211" s="91" t="n"/>
      <c r="BX211" s="91" t="n"/>
      <c r="BY211" s="91" t="n"/>
      <c r="BZ211" s="91">
        <f>SUM(BN211:BY211)</f>
        <v/>
      </c>
      <c r="CA211" s="91" t="n"/>
      <c r="CB211" s="91" t="n"/>
      <c r="CC211" s="91" t="n"/>
      <c r="CD211" s="91" t="n"/>
      <c r="CE211" s="91" t="n"/>
      <c r="CF211" s="91" t="n"/>
      <c r="CG211" s="91" t="n">
        <v>2181</v>
      </c>
      <c r="CH211" s="91" t="inlineStr"/>
      <c r="CI211" s="91" t="n"/>
      <c r="CJ211" s="91" t="inlineStr"/>
      <c r="CK211" s="91" t="n">
        <v>2428</v>
      </c>
      <c r="CL211" s="91" t="inlineStr"/>
      <c r="CM211" s="91">
        <f>SUM(CA211:CL211)</f>
        <v/>
      </c>
      <c r="CN211" s="91" t="n"/>
      <c r="CO211" s="91" t="n"/>
      <c r="CP211" s="91" t="n"/>
      <c r="CQ211" s="93" t="n"/>
      <c r="CR211" s="94" t="n"/>
      <c r="CS211" s="94" t="n"/>
      <c r="CT211" s="91" t="n"/>
      <c r="CU211" s="91" t="n"/>
      <c r="CV211" s="91" t="n"/>
      <c r="CW211" s="91" t="n"/>
      <c r="CX211" s="91" t="n"/>
      <c r="CY211" s="91" t="n"/>
      <c r="CZ211" s="91">
        <f>SUM(CN211:CY211)</f>
        <v/>
      </c>
      <c r="DA211" s="35" t="n"/>
    </row>
    <row r="212" ht="18.75" customFormat="1" customHeight="1" s="1">
      <c r="A212" s="30" t="n">
        <v>213</v>
      </c>
      <c r="B212" s="31" t="inlineStr">
        <is>
          <t>安徽省</t>
        </is>
      </c>
      <c r="C212" s="31" t="inlineStr">
        <is>
          <t>滁州市</t>
        </is>
      </c>
      <c r="D212" s="31" t="inlineStr">
        <is>
          <t>郑冬冬</t>
        </is>
      </c>
      <c r="E212" s="89" t="n"/>
      <c r="F212" s="27" t="inlineStr">
        <is>
          <t>2026</t>
        </is>
      </c>
      <c r="G212" s="27" t="inlineStr">
        <is>
          <t>6</t>
        </is>
      </c>
      <c r="H212" s="91" t="n">
        <v>3352</v>
      </c>
      <c r="I212" s="91" t="n">
        <v>3352</v>
      </c>
      <c r="J212" s="91" t="n"/>
      <c r="K212" s="91">
        <f>+H212+I212+J212</f>
        <v/>
      </c>
      <c r="L212" s="91" t="n"/>
      <c r="M212" s="91" t="inlineStr"/>
      <c r="N212" s="91" t="n"/>
      <c r="O212" s="91" t="n"/>
      <c r="P212" s="91" t="n"/>
      <c r="Q212" s="91" t="n"/>
      <c r="R212" s="91" t="n"/>
      <c r="S212" s="91" t="n"/>
      <c r="T212" s="91" t="n"/>
      <c r="U212" s="91" t="n"/>
      <c r="V212" s="91" t="n"/>
      <c r="W212" s="91" t="n"/>
      <c r="X212" s="91" t="n"/>
      <c r="Y212" s="91" t="n"/>
      <c r="Z212" s="91" t="n"/>
      <c r="AA212" s="91" t="n"/>
      <c r="AB212" s="91" t="n"/>
      <c r="AC212" s="91" t="n"/>
      <c r="AD212" s="91" t="n"/>
      <c r="AE212" s="91" t="n"/>
      <c r="AF212" s="91" t="n"/>
      <c r="AG212" s="30" t="n"/>
      <c r="AH212" s="30" t="n"/>
      <c r="AI212" s="30" t="n"/>
      <c r="AJ212" s="30" t="n"/>
      <c r="AK212" s="30" t="n"/>
      <c r="AL212" s="30" t="n"/>
      <c r="AM212" s="91" t="n"/>
      <c r="AN212" s="91" t="n"/>
      <c r="AO212" s="91" t="n"/>
      <c r="AP212" s="91" t="n"/>
      <c r="AQ212" s="91" t="n"/>
      <c r="AR212" s="91" t="n"/>
      <c r="AS212" s="91" t="n"/>
      <c r="AT212" s="91" t="n"/>
      <c r="AU212" s="91" t="n"/>
      <c r="AV212" s="31" t="n"/>
      <c r="AW212" s="36" t="n"/>
      <c r="AX212" s="16" t="n"/>
      <c r="AY212" s="31" t="n"/>
      <c r="AZ212" s="92" t="n"/>
      <c r="BA212" s="91" t="n"/>
      <c r="BB212" s="91" t="n"/>
      <c r="BC212" s="91" t="n"/>
      <c r="BD212" s="91" t="n"/>
      <c r="BE212" s="91" t="n"/>
      <c r="BF212" s="91" t="n"/>
      <c r="BG212" s="91" t="n"/>
      <c r="BH212" s="91" t="n"/>
      <c r="BI212" s="91" t="n"/>
      <c r="BJ212" s="91" t="n"/>
      <c r="BK212" s="91" t="n"/>
      <c r="BL212" s="91" t="n"/>
      <c r="BM212" s="91" t="n"/>
      <c r="BN212" s="91" t="n"/>
      <c r="BO212" s="91" t="n"/>
      <c r="BP212" s="91" t="n"/>
      <c r="BQ212" s="91" t="n"/>
      <c r="BR212" s="91" t="n"/>
      <c r="BS212" s="91" t="n"/>
      <c r="BT212" s="91" t="n"/>
      <c r="BU212" s="91" t="n"/>
      <c r="BV212" s="91" t="n"/>
      <c r="BW212" s="91" t="n"/>
      <c r="BX212" s="91" t="n"/>
      <c r="BY212" s="91" t="n"/>
      <c r="BZ212" s="91">
        <f>SUM(BN212:BY212)</f>
        <v/>
      </c>
      <c r="CA212" s="91" t="n"/>
      <c r="CB212" s="91" t="n"/>
      <c r="CC212" s="91" t="n"/>
      <c r="CD212" s="91" t="n"/>
      <c r="CE212" s="91" t="n"/>
      <c r="CF212" s="91" t="n"/>
      <c r="CG212" s="91" t="n">
        <v>43630.55</v>
      </c>
      <c r="CH212" s="91" t="n">
        <v>209.41</v>
      </c>
      <c r="CI212" s="91" t="n">
        <v>1223.55</v>
      </c>
      <c r="CJ212" s="91" t="inlineStr"/>
      <c r="CK212" s="91" t="n">
        <v>247.23</v>
      </c>
      <c r="CL212" s="91" t="inlineStr"/>
      <c r="CM212" s="91">
        <f>SUM(CA212:CL212)</f>
        <v/>
      </c>
      <c r="CN212" s="91" t="n"/>
      <c r="CO212" s="91" t="n"/>
      <c r="CP212" s="91" t="n"/>
      <c r="CQ212" s="93" t="n"/>
      <c r="CR212" s="94" t="n"/>
      <c r="CS212" s="94" t="n"/>
      <c r="CT212" s="91" t="n"/>
      <c r="CU212" s="91" t="n"/>
      <c r="CV212" s="91" t="n"/>
      <c r="CW212" s="91" t="n"/>
      <c r="CX212" s="91" t="n"/>
      <c r="CY212" s="91" t="n"/>
      <c r="CZ212" s="91">
        <f>SUM(CN212:CY212)</f>
        <v/>
      </c>
      <c r="DA212" s="35" t="n"/>
    </row>
    <row r="213" ht="18.75" customFormat="1" customHeight="1" s="1">
      <c r="A213" s="30" t="n">
        <v>214</v>
      </c>
      <c r="B213" s="31" t="inlineStr">
        <is>
          <t>河北</t>
        </is>
      </c>
      <c r="C213" s="31" t="inlineStr">
        <is>
          <t>廊坊</t>
        </is>
      </c>
      <c r="D213" s="31" t="inlineStr">
        <is>
          <t>袁晓丹</t>
        </is>
      </c>
      <c r="E213" s="89" t="n"/>
      <c r="F213" s="27" t="n"/>
      <c r="G213" s="27" t="n"/>
      <c r="H213" s="91" t="n"/>
      <c r="I213" s="91" t="n"/>
      <c r="J213" s="91" t="n"/>
      <c r="K213" s="91">
        <f>+H213+I213+J213</f>
        <v/>
      </c>
      <c r="L213" s="91" t="n"/>
      <c r="M213" s="91" t="inlineStr"/>
      <c r="N213" s="91" t="n"/>
      <c r="O213" s="91" t="n"/>
      <c r="P213" s="91" t="n"/>
      <c r="Q213" s="91" t="n"/>
      <c r="R213" s="91" t="n"/>
      <c r="S213" s="91" t="n"/>
      <c r="T213" s="91" t="n"/>
      <c r="U213" s="91" t="n"/>
      <c r="V213" s="91" t="n"/>
      <c r="W213" s="91" t="n"/>
      <c r="X213" s="91" t="n"/>
      <c r="Y213" s="91" t="n"/>
      <c r="Z213" s="91" t="n"/>
      <c r="AA213" s="91" t="n"/>
      <c r="AB213" s="91" t="n"/>
      <c r="AC213" s="91" t="n"/>
      <c r="AD213" s="91" t="n"/>
      <c r="AE213" s="91" t="n"/>
      <c r="AF213" s="91" t="n"/>
      <c r="AG213" s="30" t="n"/>
      <c r="AH213" s="30" t="n"/>
      <c r="AI213" s="30" t="n"/>
      <c r="AJ213" s="30" t="n"/>
      <c r="AK213" s="30" t="n"/>
      <c r="AL213" s="30" t="n"/>
      <c r="AM213" s="91" t="n"/>
      <c r="AN213" s="91" t="n"/>
      <c r="AO213" s="91" t="n"/>
      <c r="AP213" s="91" t="n"/>
      <c r="AQ213" s="91" t="n"/>
      <c r="AR213" s="91" t="n"/>
      <c r="AS213" s="91" t="n"/>
      <c r="AT213" s="91" t="n"/>
      <c r="AU213" s="91" t="n"/>
      <c r="AV213" s="31" t="n"/>
      <c r="AW213" s="36" t="n"/>
      <c r="AX213" s="16" t="n"/>
      <c r="AY213" s="31" t="n"/>
      <c r="AZ213" s="92" t="n"/>
      <c r="BA213" s="91" t="n"/>
      <c r="BB213" s="91" t="n"/>
      <c r="BC213" s="91" t="n"/>
      <c r="BD213" s="91" t="n"/>
      <c r="BE213" s="91" t="n"/>
      <c r="BF213" s="91" t="n"/>
      <c r="BG213" s="91" t="n"/>
      <c r="BH213" s="91" t="n"/>
      <c r="BI213" s="91" t="n"/>
      <c r="BJ213" s="91" t="n"/>
      <c r="BK213" s="91" t="n"/>
      <c r="BL213" s="91" t="n"/>
      <c r="BM213" s="91" t="n"/>
      <c r="BN213" s="91" t="n"/>
      <c r="BO213" s="91" t="n"/>
      <c r="BP213" s="91" t="n"/>
      <c r="BQ213" s="91" t="n"/>
      <c r="BR213" s="91" t="n"/>
      <c r="BS213" s="91" t="n"/>
      <c r="BT213" s="91" t="n"/>
      <c r="BU213" s="91" t="n"/>
      <c r="BV213" s="91" t="n"/>
      <c r="BW213" s="91" t="n"/>
      <c r="BX213" s="91" t="n"/>
      <c r="BY213" s="91" t="n"/>
      <c r="BZ213" s="91">
        <f>SUM(BN213:BY213)</f>
        <v/>
      </c>
      <c r="CA213" s="91" t="n"/>
      <c r="CB213" s="91" t="n"/>
      <c r="CC213" s="91" t="n"/>
      <c r="CD213" s="91" t="n"/>
      <c r="CE213" s="91" t="n"/>
      <c r="CF213" s="91" t="n"/>
      <c r="CG213" s="91" t="n">
        <v>2212</v>
      </c>
      <c r="CH213" s="91" t="inlineStr"/>
      <c r="CI213" s="91" t="n">
        <v>11600</v>
      </c>
      <c r="CJ213" s="91" t="n">
        <v>2712</v>
      </c>
      <c r="CK213" s="91" t="n">
        <v>53</v>
      </c>
      <c r="CL213" s="91" t="n">
        <v>1259</v>
      </c>
      <c r="CM213" s="91">
        <f>SUM(CA213:CL213)</f>
        <v/>
      </c>
      <c r="CN213" s="91" t="n"/>
      <c r="CO213" s="91" t="n"/>
      <c r="CP213" s="91" t="n"/>
      <c r="CQ213" s="93" t="n"/>
      <c r="CR213" s="94" t="n"/>
      <c r="CS213" s="94" t="n"/>
      <c r="CT213" s="91" t="n"/>
      <c r="CU213" s="91" t="n"/>
      <c r="CV213" s="91" t="n"/>
      <c r="CW213" s="91" t="n"/>
      <c r="CX213" s="91" t="n"/>
      <c r="CY213" s="91" t="n"/>
      <c r="CZ213" s="91">
        <f>SUM(CN213:CY213)</f>
        <v/>
      </c>
      <c r="DA213" s="35" t="n"/>
    </row>
    <row r="214" ht="18.75" customFormat="1" customHeight="1" s="1">
      <c r="A214" s="30" t="n">
        <v>215</v>
      </c>
      <c r="B214" s="31" t="inlineStr">
        <is>
          <t>湖北</t>
        </is>
      </c>
      <c r="C214" s="31" t="inlineStr">
        <is>
          <t>襄阳</t>
        </is>
      </c>
      <c r="D214" s="31" t="inlineStr">
        <is>
          <t>李红波</t>
        </is>
      </c>
      <c r="E214" s="89" t="n"/>
      <c r="F214" s="27" t="n"/>
      <c r="G214" s="27" t="n"/>
      <c r="H214" s="91" t="n"/>
      <c r="I214" s="91" t="n"/>
      <c r="J214" s="91" t="n"/>
      <c r="K214" s="91">
        <f>+H214+I214+J214</f>
        <v/>
      </c>
      <c r="L214" s="91" t="n"/>
      <c r="M214" s="91" t="inlineStr"/>
      <c r="N214" s="91" t="n"/>
      <c r="O214" s="91" t="n"/>
      <c r="P214" s="91" t="n"/>
      <c r="Q214" s="91" t="n"/>
      <c r="R214" s="91" t="n"/>
      <c r="S214" s="91" t="n"/>
      <c r="T214" s="91" t="n"/>
      <c r="U214" s="91" t="n"/>
      <c r="V214" s="91" t="n"/>
      <c r="W214" s="91" t="n"/>
      <c r="X214" s="91" t="n"/>
      <c r="Y214" s="91" t="n"/>
      <c r="Z214" s="91" t="n"/>
      <c r="AA214" s="91" t="n"/>
      <c r="AB214" s="91" t="n"/>
      <c r="AC214" s="91" t="n"/>
      <c r="AD214" s="91" t="n"/>
      <c r="AE214" s="91" t="n"/>
      <c r="AF214" s="91" t="n"/>
      <c r="AG214" s="30" t="n"/>
      <c r="AH214" s="30" t="n"/>
      <c r="AI214" s="30" t="n"/>
      <c r="AJ214" s="30" t="n"/>
      <c r="AK214" s="30" t="n"/>
      <c r="AL214" s="30" t="n"/>
      <c r="AM214" s="91" t="n"/>
      <c r="AN214" s="91" t="n"/>
      <c r="AO214" s="91" t="n"/>
      <c r="AP214" s="91" t="n"/>
      <c r="AQ214" s="91" t="n"/>
      <c r="AR214" s="91" t="n"/>
      <c r="AS214" s="91" t="n"/>
      <c r="AT214" s="91" t="n"/>
      <c r="AU214" s="91" t="n"/>
      <c r="AV214" s="31" t="n"/>
      <c r="AW214" s="36" t="n"/>
      <c r="AX214" s="16" t="n"/>
      <c r="AY214" s="31" t="n"/>
      <c r="AZ214" s="92" t="n"/>
      <c r="BA214" s="91" t="n"/>
      <c r="BB214" s="91" t="n"/>
      <c r="BC214" s="91" t="n"/>
      <c r="BD214" s="91" t="n"/>
      <c r="BE214" s="91" t="n"/>
      <c r="BF214" s="91" t="n"/>
      <c r="BG214" s="91" t="n"/>
      <c r="BH214" s="91" t="n"/>
      <c r="BI214" s="91" t="n"/>
      <c r="BJ214" s="91" t="n"/>
      <c r="BK214" s="91" t="n"/>
      <c r="BL214" s="91" t="n"/>
      <c r="BM214" s="91" t="n"/>
      <c r="BN214" s="91" t="n"/>
      <c r="BO214" s="91" t="n"/>
      <c r="BP214" s="91" t="n"/>
      <c r="BQ214" s="91" t="n"/>
      <c r="BR214" s="91" t="n"/>
      <c r="BS214" s="91" t="n"/>
      <c r="BT214" s="91" t="n"/>
      <c r="BU214" s="91" t="n"/>
      <c r="BV214" s="91" t="n"/>
      <c r="BW214" s="91" t="n"/>
      <c r="BX214" s="91" t="n"/>
      <c r="BY214" s="91" t="n"/>
      <c r="BZ214" s="91">
        <f>SUM(BN214:BY214)</f>
        <v/>
      </c>
      <c r="CA214" s="91" t="n"/>
      <c r="CB214" s="91" t="n"/>
      <c r="CC214" s="91" t="n"/>
      <c r="CD214" s="91" t="n"/>
      <c r="CE214" s="91" t="n"/>
      <c r="CF214" s="91" t="n"/>
      <c r="CG214" s="91" t="n">
        <v>681</v>
      </c>
      <c r="CH214" s="91" t="n">
        <v>220</v>
      </c>
      <c r="CI214" s="91" t="n"/>
      <c r="CJ214" s="91" t="inlineStr"/>
      <c r="CK214" s="91" t="n"/>
      <c r="CL214" s="91" t="n">
        <v>68</v>
      </c>
      <c r="CM214" s="91">
        <f>SUM(CA214:CL214)</f>
        <v/>
      </c>
      <c r="CN214" s="91" t="n"/>
      <c r="CO214" s="91" t="n"/>
      <c r="CP214" s="91" t="n"/>
      <c r="CQ214" s="93" t="n"/>
      <c r="CR214" s="94" t="n"/>
      <c r="CS214" s="94" t="n"/>
      <c r="CT214" s="91" t="n"/>
      <c r="CU214" s="91" t="n"/>
      <c r="CV214" s="91" t="n"/>
      <c r="CW214" s="91" t="n"/>
      <c r="CX214" s="91" t="n"/>
      <c r="CY214" s="91" t="n"/>
      <c r="CZ214" s="91">
        <f>SUM(CN214:CY214)</f>
        <v/>
      </c>
      <c r="DA214" s="35" t="n"/>
    </row>
    <row r="215" ht="18.75" customFormat="1" customHeight="1" s="1">
      <c r="A215" s="30" t="n">
        <v>216</v>
      </c>
      <c r="B215" s="31" t="inlineStr">
        <is>
          <t>云南</t>
        </is>
      </c>
      <c r="C215" s="31" t="inlineStr">
        <is>
          <t>官渡</t>
        </is>
      </c>
      <c r="D215" s="31" t="inlineStr">
        <is>
          <t>孔飞宏</t>
        </is>
      </c>
      <c r="E215" s="89" t="n"/>
      <c r="F215" s="27" t="inlineStr">
        <is>
          <t>2022</t>
        </is>
      </c>
      <c r="G215" s="27" t="n"/>
      <c r="H215" s="91" t="n"/>
      <c r="I215" s="91" t="n"/>
      <c r="J215" s="91" t="n"/>
      <c r="K215" s="91">
        <f>+H215+I215+J215</f>
        <v/>
      </c>
      <c r="L215" s="91" t="n"/>
      <c r="M215" s="91" t="inlineStr"/>
      <c r="N215" s="91" t="n"/>
      <c r="O215" s="91" t="n"/>
      <c r="P215" s="91" t="n"/>
      <c r="Q215" s="91" t="n"/>
      <c r="R215" s="91" t="n"/>
      <c r="S215" s="91" t="n"/>
      <c r="T215" s="91" t="n"/>
      <c r="U215" s="91" t="n"/>
      <c r="V215" s="91" t="n"/>
      <c r="W215" s="91" t="n"/>
      <c r="X215" s="91" t="n"/>
      <c r="Y215" s="91" t="n"/>
      <c r="Z215" s="91" t="n"/>
      <c r="AA215" s="91" t="n"/>
      <c r="AB215" s="91" t="n"/>
      <c r="AC215" s="91" t="n"/>
      <c r="AD215" s="91" t="n"/>
      <c r="AE215" s="91" t="n"/>
      <c r="AF215" s="91" t="n"/>
      <c r="AG215" s="30" t="n"/>
      <c r="AH215" s="30" t="n"/>
      <c r="AI215" s="30" t="n"/>
      <c r="AJ215" s="30" t="n"/>
      <c r="AK215" s="30" t="n"/>
      <c r="AL215" s="30" t="n"/>
      <c r="AM215" s="91" t="n"/>
      <c r="AN215" s="91" t="n"/>
      <c r="AO215" s="91" t="n"/>
      <c r="AP215" s="91" t="n"/>
      <c r="AQ215" s="91" t="n"/>
      <c r="AR215" s="91" t="n"/>
      <c r="AS215" s="91" t="n"/>
      <c r="AT215" s="91" t="n"/>
      <c r="AU215" s="91" t="n"/>
      <c r="AV215" s="31" t="n"/>
      <c r="AW215" s="36" t="n"/>
      <c r="AX215" s="16" t="n"/>
      <c r="AY215" s="31" t="n"/>
      <c r="AZ215" s="92" t="n"/>
      <c r="BA215" s="91" t="n"/>
      <c r="BB215" s="91" t="n"/>
      <c r="BC215" s="91" t="n"/>
      <c r="BD215" s="91" t="n"/>
      <c r="BE215" s="91" t="n"/>
      <c r="BF215" s="91" t="n"/>
      <c r="BG215" s="91" t="n"/>
      <c r="BH215" s="91" t="n"/>
      <c r="BI215" s="91" t="n"/>
      <c r="BJ215" s="91" t="n"/>
      <c r="BK215" s="91" t="n"/>
      <c r="BL215" s="91" t="n"/>
      <c r="BM215" s="91" t="n"/>
      <c r="BN215" s="91" t="n"/>
      <c r="BO215" s="91" t="n"/>
      <c r="BP215" s="91" t="n"/>
      <c r="BQ215" s="91" t="n"/>
      <c r="BR215" s="91" t="n"/>
      <c r="BS215" s="91" t="n"/>
      <c r="BT215" s="91" t="n"/>
      <c r="BU215" s="91" t="n"/>
      <c r="BV215" s="91" t="n"/>
      <c r="BW215" s="91" t="n"/>
      <c r="BX215" s="91" t="n"/>
      <c r="BY215" s="91" t="n"/>
      <c r="BZ215" s="91">
        <f>SUM(BN215:BY215)</f>
        <v/>
      </c>
      <c r="CA215" s="91" t="n"/>
      <c r="CB215" s="91" t="n"/>
      <c r="CC215" s="91" t="n"/>
      <c r="CD215" s="91" t="n"/>
      <c r="CE215" s="91" t="n"/>
      <c r="CF215" s="91" t="n"/>
      <c r="CG215" s="91" t="n">
        <v>27775</v>
      </c>
      <c r="CH215" s="91" t="inlineStr"/>
      <c r="CI215" s="91" t="n"/>
      <c r="CJ215" s="91" t="inlineStr"/>
      <c r="CK215" s="91" t="n"/>
      <c r="CL215" s="91" t="inlineStr"/>
      <c r="CM215" s="91">
        <f>SUM(CA215:CL215)</f>
        <v/>
      </c>
      <c r="CN215" s="91" t="n"/>
      <c r="CO215" s="91" t="n"/>
      <c r="CP215" s="91" t="n"/>
      <c r="CQ215" s="93" t="n"/>
      <c r="CR215" s="94" t="n"/>
      <c r="CS215" s="94" t="n"/>
      <c r="CT215" s="91" t="n"/>
      <c r="CU215" s="91" t="n"/>
      <c r="CV215" s="91" t="n"/>
      <c r="CW215" s="91" t="n"/>
      <c r="CX215" s="91" t="n"/>
      <c r="CY215" s="91" t="n"/>
      <c r="CZ215" s="91">
        <f>SUM(CN215:CY215)</f>
        <v/>
      </c>
      <c r="DA215" s="35" t="n"/>
    </row>
    <row r="216" ht="18.75" customFormat="1" customHeight="1" s="1">
      <c r="A216" s="30" t="n">
        <v>217</v>
      </c>
      <c r="B216" s="31" t="inlineStr">
        <is>
          <t>甘肃</t>
        </is>
      </c>
      <c r="C216" s="31" t="inlineStr">
        <is>
          <t>平凉静宁</t>
        </is>
      </c>
      <c r="D216" s="31" t="inlineStr">
        <is>
          <t>王高伟</t>
        </is>
      </c>
      <c r="E216" s="89" t="n"/>
      <c r="F216" s="27" t="inlineStr">
        <is>
          <t>2025</t>
        </is>
      </c>
      <c r="G216" s="27" t="inlineStr">
        <is>
          <t>7/9</t>
        </is>
      </c>
      <c r="H216" s="91">
        <f>34806+46</f>
        <v/>
      </c>
      <c r="I216" s="91" t="n"/>
      <c r="J216" s="91" t="n">
        <v>2488</v>
      </c>
      <c r="K216" s="91">
        <f>+H216+I216+J216</f>
        <v/>
      </c>
      <c r="L216" s="91" t="inlineStr">
        <is>
          <t>5折</t>
        </is>
      </c>
      <c r="M216" s="91">
        <f>21801+2488</f>
        <v/>
      </c>
      <c r="N216" s="91" t="n"/>
      <c r="O216" s="91" t="n"/>
      <c r="P216" s="91" t="n"/>
      <c r="Q216" s="91" t="n"/>
      <c r="R216" s="91" t="n"/>
      <c r="S216" s="91" t="n"/>
      <c r="T216" s="91" t="n"/>
      <c r="U216" s="91" t="n"/>
      <c r="V216" s="91" t="n"/>
      <c r="W216" s="91" t="n"/>
      <c r="X216" s="91" t="n"/>
      <c r="Y216" s="91" t="n"/>
      <c r="Z216" s="91" t="n"/>
      <c r="AA216" s="91" t="n"/>
      <c r="AB216" s="91" t="n"/>
      <c r="AC216" s="91" t="n"/>
      <c r="AD216" s="91" t="n"/>
      <c r="AE216" s="91" t="n"/>
      <c r="AF216" s="91" t="n"/>
      <c r="AG216" s="30" t="n"/>
      <c r="AH216" s="30" t="n"/>
      <c r="AI216" s="30" t="n"/>
      <c r="AJ216" s="30" t="n"/>
      <c r="AK216" s="30" t="n"/>
      <c r="AL216" s="30" t="n"/>
      <c r="AM216" s="91" t="n"/>
      <c r="AN216" s="91" t="n"/>
      <c r="AO216" s="91" t="n"/>
      <c r="AP216" s="91" t="n"/>
      <c r="AQ216" s="91" t="n"/>
      <c r="AR216" s="91" t="n"/>
      <c r="AS216" s="91" t="n"/>
      <c r="AT216" s="91" t="n"/>
      <c r="AU216" s="91" t="n"/>
      <c r="AV216" s="31" t="n"/>
      <c r="AW216" s="36" t="n"/>
      <c r="AX216" s="16" t="n"/>
      <c r="AY216" s="31" t="n"/>
      <c r="AZ216" s="92" t="n"/>
      <c r="BA216" s="91" t="n"/>
      <c r="BB216" s="91" t="n"/>
      <c r="BC216" s="91" t="n"/>
      <c r="BD216" s="91" t="n"/>
      <c r="BE216" s="91" t="n"/>
      <c r="BF216" s="91" t="n"/>
      <c r="BG216" s="91" t="n"/>
      <c r="BH216" s="91" t="n"/>
      <c r="BI216" s="91" t="n"/>
      <c r="BJ216" s="91" t="n"/>
      <c r="BK216" s="91" t="n"/>
      <c r="BL216" s="91" t="n"/>
      <c r="BM216" s="91" t="n"/>
      <c r="BN216" s="91" t="n"/>
      <c r="BO216" s="91" t="n"/>
      <c r="BP216" s="91" t="n"/>
      <c r="BQ216" s="91" t="n"/>
      <c r="BR216" s="91" t="n"/>
      <c r="BS216" s="91" t="n"/>
      <c r="BT216" s="91" t="n"/>
      <c r="BU216" s="91" t="n"/>
      <c r="BV216" s="91" t="n"/>
      <c r="BW216" s="91" t="n"/>
      <c r="BX216" s="91" t="n"/>
      <c r="BY216" s="91" t="n"/>
      <c r="BZ216" s="91">
        <f>SUM(BN216:BY216)</f>
        <v/>
      </c>
      <c r="CA216" s="91" t="n"/>
      <c r="CB216" s="91" t="n"/>
      <c r="CC216" s="91" t="n"/>
      <c r="CD216" s="91" t="n"/>
      <c r="CE216" s="91" t="n"/>
      <c r="CF216" s="91" t="n"/>
      <c r="CG216" s="91" t="n"/>
      <c r="CH216" s="91" t="inlineStr"/>
      <c r="CI216" s="91" t="n"/>
      <c r="CJ216" s="91" t="n">
        <v>1979</v>
      </c>
      <c r="CK216" s="91" t="n"/>
      <c r="CL216" s="91" t="n">
        <v>25274.4</v>
      </c>
      <c r="CM216" s="91">
        <f>SUM(CA216:CL216)</f>
        <v/>
      </c>
      <c r="CN216" s="91" t="n"/>
      <c r="CO216" s="91" t="n"/>
      <c r="CP216" s="91" t="n"/>
      <c r="CQ216" s="93" t="n"/>
      <c r="CR216" s="94" t="n"/>
      <c r="CS216" s="94" t="n"/>
      <c r="CT216" s="91" t="n"/>
      <c r="CU216" s="91" t="n"/>
      <c r="CV216" s="91" t="n"/>
      <c r="CW216" s="91" t="n"/>
      <c r="CX216" s="91" t="n"/>
      <c r="CY216" s="91" t="n"/>
      <c r="CZ216" s="91">
        <f>SUM(CN216:CY216)</f>
        <v/>
      </c>
      <c r="DA216" s="35" t="n"/>
    </row>
    <row r="217" ht="18.75" customFormat="1" customHeight="1" s="1">
      <c r="A217" s="30" t="n">
        <v>218</v>
      </c>
      <c r="B217" s="31" t="inlineStr">
        <is>
          <t>云南</t>
        </is>
      </c>
      <c r="C217" s="31" t="inlineStr">
        <is>
          <t>永善</t>
        </is>
      </c>
      <c r="D217" s="31" t="inlineStr">
        <is>
          <t>谢玉龙</t>
        </is>
      </c>
      <c r="E217" s="89" t="n"/>
      <c r="F217" s="27" t="inlineStr">
        <is>
          <t>2025</t>
        </is>
      </c>
      <c r="G217" s="27" t="inlineStr">
        <is>
          <t>7/9</t>
        </is>
      </c>
      <c r="H217" s="91">
        <f>41369+298</f>
        <v/>
      </c>
      <c r="I217" s="91" t="n"/>
      <c r="J217" s="91" t="n">
        <v>4835</v>
      </c>
      <c r="K217" s="91">
        <f>+H217+I217+J217</f>
        <v/>
      </c>
      <c r="L217" s="91" t="inlineStr">
        <is>
          <t>5折</t>
        </is>
      </c>
      <c r="M217" s="91">
        <f>27194+2976</f>
        <v/>
      </c>
      <c r="N217" s="91" t="n"/>
      <c r="O217" s="91" t="n"/>
      <c r="P217" s="91" t="n"/>
      <c r="Q217" s="91" t="n"/>
      <c r="R217" s="91" t="n"/>
      <c r="S217" s="91" t="n"/>
      <c r="T217" s="91" t="n"/>
      <c r="U217" s="91" t="n"/>
      <c r="V217" s="91" t="n"/>
      <c r="W217" s="91" t="n"/>
      <c r="X217" s="91" t="n"/>
      <c r="Y217" s="91" t="n"/>
      <c r="Z217" s="91" t="n"/>
      <c r="AA217" s="91" t="n"/>
      <c r="AB217" s="91" t="n"/>
      <c r="AC217" s="91" t="n"/>
      <c r="AD217" s="91" t="n"/>
      <c r="AE217" s="91" t="n"/>
      <c r="AF217" s="91" t="n"/>
      <c r="AG217" s="30" t="n"/>
      <c r="AH217" s="30" t="n"/>
      <c r="AI217" s="30" t="n"/>
      <c r="AJ217" s="30" t="n"/>
      <c r="AK217" s="30" t="n"/>
      <c r="AL217" s="30" t="n"/>
      <c r="AM217" s="91" t="n"/>
      <c r="AN217" s="91" t="n"/>
      <c r="AO217" s="91" t="n"/>
      <c r="AP217" s="91" t="n"/>
      <c r="AQ217" s="91" t="n"/>
      <c r="AR217" s="91" t="n"/>
      <c r="AS217" s="91" t="n"/>
      <c r="AT217" s="91" t="n"/>
      <c r="AU217" s="91" t="n"/>
      <c r="AV217" s="31" t="n"/>
      <c r="AW217" s="36" t="n"/>
      <c r="AX217" s="16" t="n"/>
      <c r="AY217" s="31" t="n"/>
      <c r="AZ217" s="92" t="n"/>
      <c r="BA217" s="91" t="n"/>
      <c r="BB217" s="91" t="n"/>
      <c r="BC217" s="91" t="n"/>
      <c r="BD217" s="91" t="n"/>
      <c r="BE217" s="91" t="n"/>
      <c r="BF217" s="91" t="n"/>
      <c r="BG217" s="91" t="n"/>
      <c r="BH217" s="91" t="n"/>
      <c r="BI217" s="91" t="n"/>
      <c r="BJ217" s="91" t="n"/>
      <c r="BK217" s="91" t="n"/>
      <c r="BL217" s="91" t="n"/>
      <c r="BM217" s="91" t="n"/>
      <c r="BN217" s="91" t="n"/>
      <c r="BO217" s="91" t="n"/>
      <c r="BP217" s="91" t="n"/>
      <c r="BQ217" s="91" t="n"/>
      <c r="BR217" s="91" t="n"/>
      <c r="BS217" s="91" t="n"/>
      <c r="BT217" s="91" t="n"/>
      <c r="BU217" s="91" t="n"/>
      <c r="BV217" s="91" t="n"/>
      <c r="BW217" s="91" t="n"/>
      <c r="BX217" s="91" t="n"/>
      <c r="BY217" s="91" t="n"/>
      <c r="BZ217" s="91">
        <f>SUM(BN217:BY217)</f>
        <v/>
      </c>
      <c r="CA217" s="91" t="n"/>
      <c r="CB217" s="91" t="n"/>
      <c r="CC217" s="91" t="n"/>
      <c r="CD217" s="91" t="n"/>
      <c r="CE217" s="91" t="n"/>
      <c r="CF217" s="91" t="n"/>
      <c r="CG217" s="91" t="n"/>
      <c r="CH217" s="91" t="inlineStr"/>
      <c r="CI217" s="91" t="n"/>
      <c r="CJ217" s="91" t="inlineStr"/>
      <c r="CK217" s="91" t="n"/>
      <c r="CL217" s="91" t="inlineStr"/>
      <c r="CM217" s="91">
        <f>SUM(CA217:CL217)</f>
        <v/>
      </c>
      <c r="CN217" s="91" t="n"/>
      <c r="CO217" s="91" t="n"/>
      <c r="CP217" s="91" t="n"/>
      <c r="CQ217" s="93" t="n"/>
      <c r="CR217" s="94" t="n"/>
      <c r="CS217" s="94" t="n"/>
      <c r="CT217" s="91" t="n"/>
      <c r="CU217" s="91" t="n"/>
      <c r="CV217" s="91" t="n"/>
      <c r="CW217" s="91" t="n"/>
      <c r="CX217" s="91" t="n"/>
      <c r="CY217" s="91" t="n"/>
      <c r="CZ217" s="91">
        <f>SUM(CN217:CY217)</f>
        <v/>
      </c>
      <c r="DA217" s="35" t="n"/>
    </row>
    <row r="218" ht="18.75" customFormat="1" customHeight="1" s="1">
      <c r="A218" s="30" t="n">
        <v>219</v>
      </c>
      <c r="B218" s="31" t="inlineStr">
        <is>
          <t>湖南</t>
        </is>
      </c>
      <c r="C218" s="31" t="inlineStr">
        <is>
          <t>石门</t>
        </is>
      </c>
      <c r="D218" s="31" t="inlineStr">
        <is>
          <t>毛家怡</t>
        </is>
      </c>
      <c r="E218" s="89" t="n"/>
      <c r="F218" s="27" t="inlineStr">
        <is>
          <t>2025</t>
        </is>
      </c>
      <c r="G218" s="27" t="inlineStr">
        <is>
          <t>7</t>
        </is>
      </c>
      <c r="H218" s="91">
        <f>18675+224</f>
        <v/>
      </c>
      <c r="I218" s="91" t="n"/>
      <c r="J218" s="91" t="n">
        <v>657</v>
      </c>
      <c r="K218" s="91">
        <f>+H218+I218+J218</f>
        <v/>
      </c>
      <c r="L218" s="91" t="inlineStr">
        <is>
          <t>5折</t>
        </is>
      </c>
      <c r="M218" s="91">
        <f>11580+329</f>
        <v/>
      </c>
      <c r="N218" s="91" t="n"/>
      <c r="O218" s="91" t="n"/>
      <c r="P218" s="91" t="n"/>
      <c r="Q218" s="91" t="n"/>
      <c r="R218" s="91" t="n"/>
      <c r="S218" s="91" t="n"/>
      <c r="T218" s="91" t="n"/>
      <c r="U218" s="91" t="n"/>
      <c r="V218" s="91" t="n"/>
      <c r="W218" s="91" t="n"/>
      <c r="X218" s="91" t="n"/>
      <c r="Y218" s="91" t="n"/>
      <c r="Z218" s="91" t="n"/>
      <c r="AA218" s="91" t="n"/>
      <c r="AB218" s="91" t="n"/>
      <c r="AC218" s="91" t="n"/>
      <c r="AD218" s="91" t="n"/>
      <c r="AE218" s="91" t="n"/>
      <c r="AF218" s="91" t="n"/>
      <c r="AG218" s="30" t="n"/>
      <c r="AH218" s="30" t="n"/>
      <c r="AI218" s="30" t="n"/>
      <c r="AJ218" s="30" t="n"/>
      <c r="AK218" s="30" t="n"/>
      <c r="AL218" s="30" t="n"/>
      <c r="AM218" s="91" t="n"/>
      <c r="AN218" s="91" t="n"/>
      <c r="AO218" s="91" t="n"/>
      <c r="AP218" s="91" t="n"/>
      <c r="AQ218" s="91" t="n"/>
      <c r="AR218" s="91" t="n"/>
      <c r="AS218" s="91" t="n"/>
      <c r="AT218" s="91" t="n"/>
      <c r="AU218" s="91" t="n"/>
      <c r="AV218" s="31" t="n"/>
      <c r="AW218" s="36" t="n"/>
      <c r="AX218" s="16" t="n"/>
      <c r="AY218" s="31" t="n"/>
      <c r="AZ218" s="92" t="n"/>
      <c r="BA218" s="91" t="n"/>
      <c r="BB218" s="91" t="n"/>
      <c r="BC218" s="91" t="n"/>
      <c r="BD218" s="91" t="n"/>
      <c r="BE218" s="91" t="n"/>
      <c r="BF218" s="91" t="n"/>
      <c r="BG218" s="91" t="n"/>
      <c r="BH218" s="91" t="n"/>
      <c r="BI218" s="91" t="n"/>
      <c r="BJ218" s="91" t="n"/>
      <c r="BK218" s="91" t="n"/>
      <c r="BL218" s="91" t="n"/>
      <c r="BM218" s="91" t="n"/>
      <c r="BN218" s="91" t="n"/>
      <c r="BO218" s="91" t="n"/>
      <c r="BP218" s="91" t="n"/>
      <c r="BQ218" s="91" t="n"/>
      <c r="BR218" s="91" t="n"/>
      <c r="BS218" s="91" t="n"/>
      <c r="BT218" s="91" t="n"/>
      <c r="BU218" s="91" t="n"/>
      <c r="BV218" s="91" t="n"/>
      <c r="BW218" s="91" t="n"/>
      <c r="BX218" s="91" t="n"/>
      <c r="BY218" s="91" t="n"/>
      <c r="BZ218" s="91">
        <f>SUM(BN218:BY218)</f>
        <v/>
      </c>
      <c r="CA218" s="91" t="n"/>
      <c r="CB218" s="91" t="n"/>
      <c r="CC218" s="91" t="n"/>
      <c r="CD218" s="91" t="n"/>
      <c r="CE218" s="91" t="n"/>
      <c r="CF218" s="91" t="n"/>
      <c r="CG218" s="91" t="n"/>
      <c r="CH218" s="91" t="inlineStr"/>
      <c r="CI218" s="91" t="n"/>
      <c r="CJ218" s="91" t="inlineStr"/>
      <c r="CK218" s="91" t="n"/>
      <c r="CL218" s="91" t="inlineStr"/>
      <c r="CM218" s="91">
        <f>SUM(CA218:CL218)</f>
        <v/>
      </c>
      <c r="CN218" s="91" t="n"/>
      <c r="CO218" s="91" t="n"/>
      <c r="CP218" s="91" t="n"/>
      <c r="CQ218" s="93" t="n"/>
      <c r="CR218" s="94" t="n"/>
      <c r="CS218" s="94" t="n"/>
      <c r="CT218" s="91" t="n"/>
      <c r="CU218" s="91" t="n"/>
      <c r="CV218" s="91" t="n"/>
      <c r="CW218" s="91" t="n"/>
      <c r="CX218" s="91" t="n"/>
      <c r="CY218" s="91" t="n"/>
      <c r="CZ218" s="91">
        <f>SUM(CN218:CY218)</f>
        <v/>
      </c>
      <c r="DA218" s="35" t="n"/>
    </row>
    <row r="219" ht="18.75" customFormat="1" customHeight="1" s="1">
      <c r="A219" s="30" t="n">
        <v>220</v>
      </c>
      <c r="B219" s="31" t="inlineStr">
        <is>
          <t>云南</t>
        </is>
      </c>
      <c r="C219" s="31" t="inlineStr">
        <is>
          <t>西双版纳</t>
        </is>
      </c>
      <c r="D219" s="31" t="inlineStr">
        <is>
          <t>刘元林</t>
        </is>
      </c>
      <c r="E219" s="89" t="n"/>
      <c r="F219" s="27" t="inlineStr">
        <is>
          <t>2025</t>
        </is>
      </c>
      <c r="G219" s="27" t="inlineStr">
        <is>
          <t>8/11</t>
        </is>
      </c>
      <c r="H219" s="91">
        <f>119974.72+5200</f>
        <v/>
      </c>
      <c r="I219" s="91" t="n">
        <v>39819</v>
      </c>
      <c r="J219" s="91" t="n">
        <v>17802</v>
      </c>
      <c r="K219" s="91">
        <f>+H219+I219+J219</f>
        <v/>
      </c>
      <c r="L219" s="91" t="inlineStr">
        <is>
          <t>4折</t>
        </is>
      </c>
      <c r="M219" s="91">
        <f>+K219*0.4+5200</f>
        <v/>
      </c>
      <c r="N219" s="91" t="n"/>
      <c r="O219" s="91" t="n"/>
      <c r="P219" s="91" t="n"/>
      <c r="Q219" s="91" t="n"/>
      <c r="R219" s="91" t="n"/>
      <c r="S219" s="91" t="n"/>
      <c r="T219" s="91" t="n"/>
      <c r="U219" s="91" t="n"/>
      <c r="V219" s="91" t="n"/>
      <c r="W219" s="91" t="n"/>
      <c r="X219" s="91" t="n"/>
      <c r="Y219" s="91" t="n"/>
      <c r="Z219" s="91" t="n"/>
      <c r="AA219" s="91" t="n"/>
      <c r="AB219" s="91" t="n"/>
      <c r="AC219" s="91" t="n"/>
      <c r="AD219" s="91" t="n"/>
      <c r="AE219" s="91" t="n"/>
      <c r="AF219" s="91" t="n"/>
      <c r="AG219" s="30" t="n"/>
      <c r="AH219" s="30" t="n"/>
      <c r="AI219" s="30" t="n"/>
      <c r="AJ219" s="30" t="n"/>
      <c r="AK219" s="30" t="n"/>
      <c r="AL219" s="30" t="n"/>
      <c r="AM219" s="91" t="n"/>
      <c r="AN219" s="91" t="n"/>
      <c r="AO219" s="91" t="n"/>
      <c r="AP219" s="91" t="n"/>
      <c r="AQ219" s="91" t="n"/>
      <c r="AR219" s="91" t="n"/>
      <c r="AS219" s="91" t="n"/>
      <c r="AT219" s="91" t="n"/>
      <c r="AU219" s="91" t="n"/>
      <c r="AV219" s="31" t="n"/>
      <c r="AW219" s="36" t="n"/>
      <c r="AX219" s="16" t="n"/>
      <c r="AY219" s="31" t="n"/>
      <c r="AZ219" s="92" t="n"/>
      <c r="BA219" s="91" t="n"/>
      <c r="BB219" s="91" t="n"/>
      <c r="BC219" s="91" t="n"/>
      <c r="BD219" s="91" t="n"/>
      <c r="BE219" s="91" t="n"/>
      <c r="BF219" s="91" t="n"/>
      <c r="BG219" s="91" t="n"/>
      <c r="BH219" s="91" t="n"/>
      <c r="BI219" s="91" t="n"/>
      <c r="BJ219" s="91" t="n"/>
      <c r="BK219" s="91" t="n"/>
      <c r="BL219" s="91" t="n"/>
      <c r="BM219" s="91" t="n"/>
      <c r="BN219" s="91" t="n"/>
      <c r="BO219" s="91" t="n"/>
      <c r="BP219" s="91" t="n"/>
      <c r="BQ219" s="91" t="n"/>
      <c r="BR219" s="91" t="n"/>
      <c r="BS219" s="91" t="n"/>
      <c r="BT219" s="91" t="n"/>
      <c r="BU219" s="91" t="n"/>
      <c r="BV219" s="91" t="n"/>
      <c r="BW219" s="91" t="n"/>
      <c r="BX219" s="91" t="n"/>
      <c r="BY219" s="91" t="n"/>
      <c r="BZ219" s="91">
        <f>SUM(BN219:BY219)</f>
        <v/>
      </c>
      <c r="CA219" s="91" t="n"/>
      <c r="CB219" s="91" t="n"/>
      <c r="CC219" s="91" t="n"/>
      <c r="CD219" s="91" t="n"/>
      <c r="CE219" s="91" t="n"/>
      <c r="CF219" s="91" t="n"/>
      <c r="CG219" s="91" t="n"/>
      <c r="CH219" s="91" t="inlineStr"/>
      <c r="CI219" s="91" t="n"/>
      <c r="CJ219" s="91" t="inlineStr"/>
      <c r="CK219" s="91" t="n">
        <v>3786</v>
      </c>
      <c r="CL219" s="91" t="inlineStr"/>
      <c r="CM219" s="91">
        <f>SUM(CA219:CL219)</f>
        <v/>
      </c>
      <c r="CN219" s="91" t="n"/>
      <c r="CO219" s="91" t="n"/>
      <c r="CP219" s="91" t="n"/>
      <c r="CQ219" s="93" t="n"/>
      <c r="CR219" s="94" t="n"/>
      <c r="CS219" s="94" t="n"/>
      <c r="CT219" s="91" t="n"/>
      <c r="CU219" s="91" t="n"/>
      <c r="CV219" s="91" t="n"/>
      <c r="CW219" s="91" t="n"/>
      <c r="CX219" s="91" t="n"/>
      <c r="CY219" s="91" t="n"/>
      <c r="CZ219" s="91">
        <f>SUM(CN219:CY219)</f>
        <v/>
      </c>
      <c r="DA219" s="35" t="n"/>
    </row>
    <row r="220" ht="18.75" customFormat="1" customHeight="1" s="1">
      <c r="A220" s="30" t="n">
        <v>221</v>
      </c>
      <c r="B220" s="31" t="inlineStr">
        <is>
          <t>贵州</t>
        </is>
      </c>
      <c r="C220" s="31" t="inlineStr">
        <is>
          <t>铜仁</t>
        </is>
      </c>
      <c r="D220" s="31" t="inlineStr">
        <is>
          <t>倪浩博</t>
        </is>
      </c>
      <c r="E220" s="89" t="n"/>
      <c r="F220" s="27" t="inlineStr">
        <is>
          <t>2025</t>
        </is>
      </c>
      <c r="G220" s="27" t="inlineStr">
        <is>
          <t>8/11</t>
        </is>
      </c>
      <c r="H220" s="91">
        <f>41248.93+4020</f>
        <v/>
      </c>
      <c r="I220" s="91" t="n">
        <v>71691</v>
      </c>
      <c r="J220" s="91" t="n">
        <v>9524</v>
      </c>
      <c r="K220" s="91">
        <f>+H220+I220+J220</f>
        <v/>
      </c>
      <c r="L220" s="91" t="inlineStr">
        <is>
          <t>5折</t>
        </is>
      </c>
      <c r="M220" s="91">
        <f>+K220*0.5+4020</f>
        <v/>
      </c>
      <c r="N220" s="91" t="n"/>
      <c r="O220" s="91" t="n"/>
      <c r="P220" s="91" t="n"/>
      <c r="Q220" s="91" t="n"/>
      <c r="R220" s="91" t="n"/>
      <c r="S220" s="91" t="n"/>
      <c r="T220" s="91" t="n"/>
      <c r="U220" s="91" t="n"/>
      <c r="V220" s="91" t="n"/>
      <c r="W220" s="91" t="n"/>
      <c r="X220" s="91" t="n"/>
      <c r="Y220" s="91" t="n"/>
      <c r="Z220" s="91" t="n"/>
      <c r="AA220" s="91" t="n"/>
      <c r="AB220" s="91" t="n"/>
      <c r="AC220" s="91" t="n"/>
      <c r="AD220" s="91" t="n"/>
      <c r="AE220" s="91" t="n"/>
      <c r="AF220" s="91" t="n"/>
      <c r="AG220" s="30" t="n"/>
      <c r="AH220" s="30" t="n"/>
      <c r="AI220" s="30" t="n"/>
      <c r="AJ220" s="30" t="n"/>
      <c r="AK220" s="30" t="n"/>
      <c r="AL220" s="30" t="n"/>
      <c r="AM220" s="91" t="n"/>
      <c r="AN220" s="91" t="n"/>
      <c r="AO220" s="91" t="n"/>
      <c r="AP220" s="91" t="n"/>
      <c r="AQ220" s="91" t="n"/>
      <c r="AR220" s="91" t="n"/>
      <c r="AS220" s="91" t="n"/>
      <c r="AT220" s="91" t="n"/>
      <c r="AU220" s="91" t="n"/>
      <c r="AV220" s="31" t="n"/>
      <c r="AW220" s="36" t="n"/>
      <c r="AX220" s="16" t="n"/>
      <c r="AY220" s="31" t="n"/>
      <c r="AZ220" s="92" t="n"/>
      <c r="BA220" s="91" t="n"/>
      <c r="BB220" s="91" t="n"/>
      <c r="BC220" s="91" t="n"/>
      <c r="BD220" s="91" t="n"/>
      <c r="BE220" s="91" t="n"/>
      <c r="BF220" s="91" t="n"/>
      <c r="BG220" s="91" t="n"/>
      <c r="BH220" s="91" t="n"/>
      <c r="BI220" s="91" t="n"/>
      <c r="BJ220" s="91" t="n"/>
      <c r="BK220" s="91" t="n"/>
      <c r="BL220" s="91" t="n"/>
      <c r="BM220" s="91" t="n"/>
      <c r="BN220" s="91" t="n"/>
      <c r="BO220" s="91" t="n"/>
      <c r="BP220" s="91" t="n"/>
      <c r="BQ220" s="91" t="n"/>
      <c r="BR220" s="91" t="n"/>
      <c r="BS220" s="91" t="n"/>
      <c r="BT220" s="91" t="n"/>
      <c r="BU220" s="91" t="n"/>
      <c r="BV220" s="91" t="n"/>
      <c r="BW220" s="91" t="n"/>
      <c r="BX220" s="91" t="n"/>
      <c r="BY220" s="91" t="n"/>
      <c r="BZ220" s="91">
        <f>SUM(BN220:BY220)</f>
        <v/>
      </c>
      <c r="CA220" s="91" t="n"/>
      <c r="CB220" s="91" t="n"/>
      <c r="CC220" s="91" t="n"/>
      <c r="CD220" s="91" t="n"/>
      <c r="CE220" s="91" t="n"/>
      <c r="CF220" s="91" t="n"/>
      <c r="CG220" s="91" t="n"/>
      <c r="CH220" s="91" t="inlineStr"/>
      <c r="CI220" s="91" t="n"/>
      <c r="CJ220" s="91" t="inlineStr"/>
      <c r="CK220" s="91" t="n"/>
      <c r="CL220" s="91" t="inlineStr"/>
      <c r="CM220" s="91">
        <f>SUM(CA220:CL220)</f>
        <v/>
      </c>
      <c r="CN220" s="91" t="n"/>
      <c r="CO220" s="91" t="n"/>
      <c r="CP220" s="91" t="n"/>
      <c r="CQ220" s="93" t="n"/>
      <c r="CR220" s="94" t="n"/>
      <c r="CS220" s="94" t="n"/>
      <c r="CT220" s="91" t="n"/>
      <c r="CU220" s="91" t="n"/>
      <c r="CV220" s="91" t="n"/>
      <c r="CW220" s="91" t="n"/>
      <c r="CX220" s="91" t="n"/>
      <c r="CY220" s="91" t="n"/>
      <c r="CZ220" s="91">
        <f>SUM(CN220:CY220)</f>
        <v/>
      </c>
      <c r="DA220" s="35" t="n"/>
    </row>
    <row r="221" ht="18.75" customFormat="1" customHeight="1" s="1">
      <c r="A221" s="30" t="n">
        <v>222</v>
      </c>
      <c r="B221" s="31" t="inlineStr">
        <is>
          <t>湖南</t>
        </is>
      </c>
      <c r="C221" s="31" t="inlineStr">
        <is>
          <t>炎陵县</t>
        </is>
      </c>
      <c r="D221" s="31" t="inlineStr">
        <is>
          <t>赖瑞剑</t>
        </is>
      </c>
      <c r="E221" s="89" t="n"/>
      <c r="F221" s="27" t="inlineStr">
        <is>
          <t>2025/2026</t>
        </is>
      </c>
      <c r="G221" s="27" t="inlineStr">
        <is>
          <t>9/11/3</t>
        </is>
      </c>
      <c r="H221" s="91">
        <f>129310+4020+815</f>
        <v/>
      </c>
      <c r="I221" s="91" t="n">
        <v>163349</v>
      </c>
      <c r="J221" s="91" t="n">
        <v>3040</v>
      </c>
      <c r="K221" s="91">
        <f>+H221+I221+J221</f>
        <v/>
      </c>
      <c r="L221" s="91" t="inlineStr">
        <is>
          <t>5折</t>
        </is>
      </c>
      <c r="M221" s="91">
        <f>+K221*0.5+4020</f>
        <v/>
      </c>
      <c r="N221" s="91" t="n"/>
      <c r="O221" s="91" t="n"/>
      <c r="P221" s="91" t="n"/>
      <c r="Q221" s="91" t="n"/>
      <c r="R221" s="91" t="n"/>
      <c r="S221" s="91" t="n"/>
      <c r="T221" s="91" t="n"/>
      <c r="U221" s="91" t="n"/>
      <c r="V221" s="91" t="n"/>
      <c r="W221" s="91" t="n"/>
      <c r="X221" s="91" t="n"/>
      <c r="Y221" s="91" t="n"/>
      <c r="Z221" s="91" t="n"/>
      <c r="AA221" s="91" t="n"/>
      <c r="AB221" s="91" t="n"/>
      <c r="AC221" s="91" t="n"/>
      <c r="AD221" s="91" t="n"/>
      <c r="AE221" s="91" t="n"/>
      <c r="AF221" s="91" t="n"/>
      <c r="AG221" s="30" t="n"/>
      <c r="AH221" s="30" t="n"/>
      <c r="AI221" s="30" t="n"/>
      <c r="AJ221" s="30" t="n"/>
      <c r="AK221" s="30" t="n"/>
      <c r="AL221" s="30" t="n"/>
      <c r="AM221" s="91" t="n"/>
      <c r="AN221" s="91" t="n"/>
      <c r="AO221" s="91" t="n"/>
      <c r="AP221" s="91" t="n"/>
      <c r="AQ221" s="91" t="n"/>
      <c r="AR221" s="91" t="n"/>
      <c r="AS221" s="91" t="n"/>
      <c r="AT221" s="91" t="n"/>
      <c r="AU221" s="91" t="n"/>
      <c r="AV221" s="31" t="n"/>
      <c r="AW221" s="36" t="n"/>
      <c r="AX221" s="16" t="n"/>
      <c r="AY221" s="31" t="n"/>
      <c r="AZ221" s="92" t="n"/>
      <c r="BA221" s="91" t="n"/>
      <c r="BB221" s="91" t="n"/>
      <c r="BC221" s="91" t="n"/>
      <c r="BD221" s="91" t="n"/>
      <c r="BE221" s="91" t="n"/>
      <c r="BF221" s="91" t="n"/>
      <c r="BG221" s="91" t="n"/>
      <c r="BH221" s="91" t="n"/>
      <c r="BI221" s="91" t="n"/>
      <c r="BJ221" s="91" t="n"/>
      <c r="BK221" s="91" t="n"/>
      <c r="BL221" s="91" t="n"/>
      <c r="BM221" s="91" t="n"/>
      <c r="BN221" s="91" t="n"/>
      <c r="BO221" s="91" t="n"/>
      <c r="BP221" s="91" t="n"/>
      <c r="BQ221" s="91" t="n"/>
      <c r="BR221" s="91" t="n"/>
      <c r="BS221" s="91" t="n"/>
      <c r="BT221" s="91" t="n"/>
      <c r="BU221" s="91" t="n"/>
      <c r="BV221" s="91" t="n"/>
      <c r="BW221" s="91" t="n"/>
      <c r="BX221" s="91" t="n"/>
      <c r="BY221" s="91" t="n"/>
      <c r="BZ221" s="91">
        <f>SUM(BN221:BY221)</f>
        <v/>
      </c>
      <c r="CA221" s="91" t="n"/>
      <c r="CB221" s="91" t="n"/>
      <c r="CC221" s="91" t="n"/>
      <c r="CD221" s="91" t="n"/>
      <c r="CE221" s="91" t="n"/>
      <c r="CF221" s="91" t="n"/>
      <c r="CG221" s="91" t="n"/>
      <c r="CH221" s="91" t="inlineStr"/>
      <c r="CI221" s="91" t="n"/>
      <c r="CJ221" s="91" t="inlineStr"/>
      <c r="CK221" s="91" t="n"/>
      <c r="CL221" s="91" t="inlineStr"/>
      <c r="CM221" s="91">
        <f>SUM(CA221:CL221)</f>
        <v/>
      </c>
      <c r="CN221" s="91" t="n"/>
      <c r="CO221" s="91" t="n"/>
      <c r="CP221" s="91" t="n"/>
      <c r="CQ221" s="93" t="n"/>
      <c r="CR221" s="94" t="n"/>
      <c r="CS221" s="94" t="n"/>
      <c r="CT221" s="91" t="n"/>
      <c r="CU221" s="91" t="n"/>
      <c r="CV221" s="91" t="n"/>
      <c r="CW221" s="91" t="n"/>
      <c r="CX221" s="91" t="n"/>
      <c r="CY221" s="91" t="n"/>
      <c r="CZ221" s="91">
        <f>SUM(CN221:CY221)</f>
        <v/>
      </c>
      <c r="DA221" s="35" t="n"/>
    </row>
    <row r="222" ht="28.5" customFormat="1" customHeight="1" s="1">
      <c r="A222" s="30" t="n">
        <v>223</v>
      </c>
      <c r="B222" s="31" t="inlineStr">
        <is>
          <t>湖南</t>
        </is>
      </c>
      <c r="C222" s="31" t="inlineStr">
        <is>
          <t>宁乡</t>
        </is>
      </c>
      <c r="D222" s="31" t="inlineStr">
        <is>
          <t>王端益</t>
        </is>
      </c>
      <c r="E222" s="89" t="n"/>
      <c r="F222" s="27" t="inlineStr">
        <is>
          <t>2025/2026</t>
        </is>
      </c>
      <c r="G222" s="27" t="inlineStr">
        <is>
          <t>9/10/11/1/2</t>
        </is>
      </c>
      <c r="H222" s="91">
        <f>120958+6490+2698+3117</f>
        <v/>
      </c>
      <c r="I222" s="91">
        <f>7966+9400+2293</f>
        <v/>
      </c>
      <c r="J222" s="91" t="n">
        <v>12233</v>
      </c>
      <c r="K222" s="91">
        <f>+H222+I222+J222</f>
        <v/>
      </c>
      <c r="L222" s="91" t="inlineStr">
        <is>
          <t>8折</t>
        </is>
      </c>
      <c r="M222" s="91">
        <f>+K222*0.8+10603</f>
        <v/>
      </c>
      <c r="N222" s="91" t="n"/>
      <c r="O222" s="91" t="n"/>
      <c r="P222" s="91" t="n"/>
      <c r="Q222" s="91" t="n"/>
      <c r="R222" s="91" t="n"/>
      <c r="S222" s="91" t="n"/>
      <c r="T222" s="91" t="n"/>
      <c r="U222" s="91" t="n"/>
      <c r="V222" s="91" t="n"/>
      <c r="W222" s="91" t="n"/>
      <c r="X222" s="91" t="n"/>
      <c r="Y222" s="91" t="n"/>
      <c r="Z222" s="91" t="n"/>
      <c r="AA222" s="91" t="n"/>
      <c r="AB222" s="91" t="n"/>
      <c r="AC222" s="91" t="n"/>
      <c r="AD222" s="91" t="n"/>
      <c r="AE222" s="91" t="n"/>
      <c r="AF222" s="91" t="n"/>
      <c r="AG222" s="30" t="n"/>
      <c r="AH222" s="30" t="n"/>
      <c r="AI222" s="30" t="n"/>
      <c r="AJ222" s="30" t="n"/>
      <c r="AK222" s="30" t="n"/>
      <c r="AL222" s="30" t="n"/>
      <c r="AM222" s="91" t="n"/>
      <c r="AN222" s="91" t="n"/>
      <c r="AO222" s="91" t="n"/>
      <c r="AP222" s="91" t="n"/>
      <c r="AQ222" s="91" t="n"/>
      <c r="AR222" s="91" t="n"/>
      <c r="AS222" s="91" t="n"/>
      <c r="AT222" s="91" t="n"/>
      <c r="AU222" s="91" t="n"/>
      <c r="AV222" s="31" t="n"/>
      <c r="AW222" s="36" t="n"/>
      <c r="AX222" s="16" t="n"/>
      <c r="AY222" s="31" t="n"/>
      <c r="AZ222" s="92" t="n"/>
      <c r="BA222" s="91" t="n"/>
      <c r="BB222" s="91" t="n"/>
      <c r="BC222" s="91" t="n"/>
      <c r="BD222" s="91" t="n"/>
      <c r="BE222" s="91" t="n"/>
      <c r="BF222" s="91" t="n"/>
      <c r="BG222" s="91" t="n"/>
      <c r="BH222" s="91" t="n"/>
      <c r="BI222" s="91" t="n"/>
      <c r="BJ222" s="91" t="n"/>
      <c r="BK222" s="91" t="n"/>
      <c r="BL222" s="91" t="n"/>
      <c r="BM222" s="91" t="n"/>
      <c r="BN222" s="91" t="n"/>
      <c r="BO222" s="91" t="n"/>
      <c r="BP222" s="91" t="n"/>
      <c r="BQ222" s="91" t="n"/>
      <c r="BR222" s="91" t="n"/>
      <c r="BS222" s="91" t="n"/>
      <c r="BT222" s="91" t="n"/>
      <c r="BU222" s="91" t="n"/>
      <c r="BV222" s="91" t="n"/>
      <c r="BW222" s="91" t="n"/>
      <c r="BX222" s="91" t="n"/>
      <c r="BY222" s="91" t="n"/>
      <c r="BZ222" s="91">
        <f>SUM(BN222:BY222)</f>
        <v/>
      </c>
      <c r="CA222" s="91" t="n"/>
      <c r="CB222" s="91" t="n"/>
      <c r="CC222" s="91" t="n"/>
      <c r="CD222" s="91" t="n"/>
      <c r="CE222" s="91" t="n"/>
      <c r="CF222" s="91" t="n"/>
      <c r="CG222" s="91" t="n"/>
      <c r="CH222" s="91" t="inlineStr"/>
      <c r="CI222" s="91" t="n"/>
      <c r="CJ222" s="91" t="n">
        <v>0</v>
      </c>
      <c r="CK222" s="91" t="n"/>
      <c r="CL222" s="91" t="inlineStr"/>
      <c r="CM222" s="91">
        <f>SUM(CA222:CL222)</f>
        <v/>
      </c>
      <c r="CN222" s="91" t="n"/>
      <c r="CO222" s="91" t="n"/>
      <c r="CP222" s="91" t="n"/>
      <c r="CQ222" s="93" t="n"/>
      <c r="CR222" s="94" t="n"/>
      <c r="CS222" s="94" t="n"/>
      <c r="CT222" s="91" t="n"/>
      <c r="CU222" s="91" t="n"/>
      <c r="CV222" s="91" t="n"/>
      <c r="CW222" s="91" t="n"/>
      <c r="CX222" s="91" t="n"/>
      <c r="CY222" s="91" t="n"/>
      <c r="CZ222" s="91">
        <f>SUM(CN222:CY222)</f>
        <v/>
      </c>
      <c r="DA222" s="35" t="n"/>
    </row>
    <row r="223" ht="18.75" customFormat="1" customHeight="1" s="1">
      <c r="A223" s="30" t="n">
        <v>224</v>
      </c>
      <c r="B223" s="31" t="inlineStr">
        <is>
          <t>江西</t>
        </is>
      </c>
      <c r="C223" s="31" t="inlineStr">
        <is>
          <t>修水</t>
        </is>
      </c>
      <c r="D223" s="31" t="inlineStr">
        <is>
          <t>邵慧满</t>
        </is>
      </c>
      <c r="E223" s="89" t="n"/>
      <c r="F223" s="27" t="inlineStr">
        <is>
          <t>2025</t>
        </is>
      </c>
      <c r="G223" s="27" t="inlineStr">
        <is>
          <t>9/10</t>
        </is>
      </c>
      <c r="H223" s="91">
        <f>73673+4704.97</f>
        <v/>
      </c>
      <c r="I223" s="91">
        <f>136792+9960</f>
        <v/>
      </c>
      <c r="J223" s="91" t="n">
        <v>3142</v>
      </c>
      <c r="K223" s="91">
        <f>+H223+I223+J223</f>
        <v/>
      </c>
      <c r="L223" s="91" t="inlineStr">
        <is>
          <t>5折</t>
        </is>
      </c>
      <c r="M223" s="91">
        <f>+K223*0.5</f>
        <v/>
      </c>
      <c r="N223" s="91" t="n"/>
      <c r="O223" s="91" t="n"/>
      <c r="P223" s="91" t="n"/>
      <c r="Q223" s="91" t="n"/>
      <c r="R223" s="91" t="n"/>
      <c r="S223" s="91" t="n"/>
      <c r="T223" s="91" t="n"/>
      <c r="U223" s="91" t="n"/>
      <c r="V223" s="91" t="n"/>
      <c r="W223" s="91" t="n"/>
      <c r="X223" s="91" t="n"/>
      <c r="Y223" s="91" t="n"/>
      <c r="Z223" s="91" t="n"/>
      <c r="AA223" s="91" t="n"/>
      <c r="AB223" s="91" t="n"/>
      <c r="AC223" s="91" t="n"/>
      <c r="AD223" s="91" t="n"/>
      <c r="AE223" s="91" t="n"/>
      <c r="AF223" s="91" t="n"/>
      <c r="AG223" s="30" t="n"/>
      <c r="AH223" s="30" t="n"/>
      <c r="AI223" s="30" t="n"/>
      <c r="AJ223" s="30" t="n"/>
      <c r="AK223" s="30" t="n"/>
      <c r="AL223" s="30" t="n"/>
      <c r="AM223" s="91" t="n"/>
      <c r="AN223" s="91" t="n"/>
      <c r="AO223" s="91" t="n"/>
      <c r="AP223" s="91" t="n"/>
      <c r="AQ223" s="91" t="n"/>
      <c r="AR223" s="91" t="n"/>
      <c r="AS223" s="91" t="n"/>
      <c r="AT223" s="91" t="n"/>
      <c r="AU223" s="91" t="n"/>
      <c r="AV223" s="31" t="n"/>
      <c r="AW223" s="36" t="n"/>
      <c r="AX223" s="16" t="n"/>
      <c r="AY223" s="31" t="n"/>
      <c r="AZ223" s="92" t="n"/>
      <c r="BA223" s="91" t="n"/>
      <c r="BB223" s="91" t="n"/>
      <c r="BC223" s="91" t="n"/>
      <c r="BD223" s="91" t="n"/>
      <c r="BE223" s="91" t="n"/>
      <c r="BF223" s="91" t="n"/>
      <c r="BG223" s="91" t="n"/>
      <c r="BH223" s="91" t="n"/>
      <c r="BI223" s="91" t="n"/>
      <c r="BJ223" s="91" t="n"/>
      <c r="BK223" s="91" t="n"/>
      <c r="BL223" s="91" t="n"/>
      <c r="BM223" s="91" t="n"/>
      <c r="BN223" s="91" t="n"/>
      <c r="BO223" s="91" t="n"/>
      <c r="BP223" s="91" t="n"/>
      <c r="BQ223" s="91" t="n"/>
      <c r="BR223" s="91" t="n"/>
      <c r="BS223" s="91" t="n"/>
      <c r="BT223" s="91" t="n"/>
      <c r="BU223" s="91" t="n"/>
      <c r="BV223" s="91" t="n"/>
      <c r="BW223" s="91" t="n"/>
      <c r="BX223" s="91" t="n"/>
      <c r="BY223" s="91" t="n"/>
      <c r="BZ223" s="91">
        <f>SUM(BN223:BY223)</f>
        <v/>
      </c>
      <c r="CA223" s="91" t="n"/>
      <c r="CB223" s="91" t="n"/>
      <c r="CC223" s="91" t="n"/>
      <c r="CD223" s="91" t="n"/>
      <c r="CE223" s="91" t="n"/>
      <c r="CF223" s="91" t="n"/>
      <c r="CG223" s="91" t="n"/>
      <c r="CH223" s="91" t="inlineStr"/>
      <c r="CI223" s="91" t="n"/>
      <c r="CJ223" s="91" t="n">
        <v>0</v>
      </c>
      <c r="CK223" s="91" t="n"/>
      <c r="CL223" s="91" t="inlineStr"/>
      <c r="CM223" s="91">
        <f>SUM(CA223:CL223)</f>
        <v/>
      </c>
      <c r="CN223" s="91" t="n"/>
      <c r="CO223" s="91" t="n"/>
      <c r="CP223" s="91" t="n"/>
      <c r="CQ223" s="93" t="n"/>
      <c r="CR223" s="94" t="n"/>
      <c r="CS223" s="94" t="n"/>
      <c r="CT223" s="91" t="n"/>
      <c r="CU223" s="91" t="n"/>
      <c r="CV223" s="91" t="n"/>
      <c r="CW223" s="91" t="n"/>
      <c r="CX223" s="91" t="n"/>
      <c r="CY223" s="91" t="n"/>
      <c r="CZ223" s="91">
        <f>SUM(CN223:CY223)</f>
        <v/>
      </c>
      <c r="DA223" s="35" t="n"/>
    </row>
    <row r="224" ht="18.75" customFormat="1" customHeight="1" s="1">
      <c r="A224" s="30" t="n">
        <v>225</v>
      </c>
      <c r="B224" s="31" t="inlineStr">
        <is>
          <t>河南</t>
        </is>
      </c>
      <c r="C224" s="31" t="inlineStr">
        <is>
          <t>安阳</t>
        </is>
      </c>
      <c r="D224" s="31" t="inlineStr">
        <is>
          <t>李松景</t>
        </is>
      </c>
      <c r="E224" s="89" t="n"/>
      <c r="F224" s="27" t="inlineStr">
        <is>
          <t>2025</t>
        </is>
      </c>
      <c r="G224" s="27" t="inlineStr">
        <is>
          <t>9/11</t>
        </is>
      </c>
      <c r="H224" s="91">
        <f>73689+4070</f>
        <v/>
      </c>
      <c r="I224" s="91" t="n">
        <v>16548</v>
      </c>
      <c r="J224" s="91" t="n">
        <v>2447</v>
      </c>
      <c r="K224" s="91">
        <f>+H224+I224+J224</f>
        <v/>
      </c>
      <c r="L224" s="91" t="inlineStr">
        <is>
          <t>5折</t>
        </is>
      </c>
      <c r="M224" s="91">
        <f>+K224*0.5+4070</f>
        <v/>
      </c>
      <c r="N224" s="91" t="n"/>
      <c r="O224" s="91" t="n"/>
      <c r="P224" s="91" t="n"/>
      <c r="Q224" s="91" t="n"/>
      <c r="R224" s="91" t="n"/>
      <c r="S224" s="91" t="n"/>
      <c r="T224" s="91" t="n"/>
      <c r="U224" s="91" t="n"/>
      <c r="V224" s="91" t="n"/>
      <c r="W224" s="91" t="n"/>
      <c r="X224" s="91" t="n"/>
      <c r="Y224" s="91" t="n"/>
      <c r="Z224" s="91" t="n"/>
      <c r="AA224" s="91" t="n"/>
      <c r="AB224" s="91" t="n"/>
      <c r="AC224" s="91" t="n"/>
      <c r="AD224" s="91" t="n"/>
      <c r="AE224" s="91" t="n"/>
      <c r="AF224" s="91" t="n"/>
      <c r="AG224" s="30" t="n"/>
      <c r="AH224" s="30" t="n"/>
      <c r="AI224" s="30" t="n"/>
      <c r="AJ224" s="30" t="n"/>
      <c r="AK224" s="30" t="n"/>
      <c r="AL224" s="30" t="n"/>
      <c r="AM224" s="91" t="n"/>
      <c r="AN224" s="91" t="n"/>
      <c r="AO224" s="91" t="n"/>
      <c r="AP224" s="91" t="n"/>
      <c r="AQ224" s="91" t="n"/>
      <c r="AR224" s="91" t="n"/>
      <c r="AS224" s="91" t="n"/>
      <c r="AT224" s="91" t="n"/>
      <c r="AU224" s="91" t="n"/>
      <c r="AV224" s="31" t="n"/>
      <c r="AW224" s="36" t="n"/>
      <c r="AX224" s="16" t="n"/>
      <c r="AY224" s="31" t="n"/>
      <c r="AZ224" s="92" t="n"/>
      <c r="BA224" s="91" t="n"/>
      <c r="BB224" s="91" t="n"/>
      <c r="BC224" s="91" t="n"/>
      <c r="BD224" s="91" t="n"/>
      <c r="BE224" s="91" t="n"/>
      <c r="BF224" s="91" t="n"/>
      <c r="BG224" s="91" t="n"/>
      <c r="BH224" s="91" t="n"/>
      <c r="BI224" s="91" t="n"/>
      <c r="BJ224" s="91" t="n"/>
      <c r="BK224" s="91" t="n"/>
      <c r="BL224" s="91" t="n"/>
      <c r="BM224" s="91" t="n"/>
      <c r="BN224" s="91" t="n"/>
      <c r="BO224" s="91" t="n"/>
      <c r="BP224" s="91" t="n"/>
      <c r="BQ224" s="91" t="n"/>
      <c r="BR224" s="91" t="n"/>
      <c r="BS224" s="91" t="n"/>
      <c r="BT224" s="91" t="n"/>
      <c r="BU224" s="91" t="n"/>
      <c r="BV224" s="91" t="n"/>
      <c r="BW224" s="91" t="n"/>
      <c r="BX224" s="91" t="n"/>
      <c r="BY224" s="91" t="n"/>
      <c r="BZ224" s="91">
        <f>SUM(BN224:BY224)</f>
        <v/>
      </c>
      <c r="CA224" s="91" t="n"/>
      <c r="CB224" s="91" t="n"/>
      <c r="CC224" s="91" t="n"/>
      <c r="CD224" s="91" t="n"/>
      <c r="CE224" s="91" t="n"/>
      <c r="CF224" s="91" t="n"/>
      <c r="CG224" s="91" t="n"/>
      <c r="CH224" s="91" t="inlineStr"/>
      <c r="CI224" s="91" t="n"/>
      <c r="CJ224" s="91" t="inlineStr"/>
      <c r="CK224" s="91" t="n"/>
      <c r="CL224" s="91" t="n">
        <v>40287.17</v>
      </c>
      <c r="CM224" s="91">
        <f>SUM(CA224:CL224)</f>
        <v/>
      </c>
      <c r="CN224" s="91" t="n"/>
      <c r="CO224" s="91" t="n"/>
      <c r="CP224" s="91" t="n"/>
      <c r="CQ224" s="93" t="n"/>
      <c r="CR224" s="94" t="n"/>
      <c r="CS224" s="94" t="n"/>
      <c r="CT224" s="91" t="n"/>
      <c r="CU224" s="91" t="n"/>
      <c r="CV224" s="91" t="n"/>
      <c r="CW224" s="91" t="n"/>
      <c r="CX224" s="91" t="n"/>
      <c r="CY224" s="91" t="n"/>
      <c r="CZ224" s="91">
        <f>SUM(CN224:CY224)</f>
        <v/>
      </c>
      <c r="DA224" s="35" t="n"/>
    </row>
    <row r="225" ht="18.75" customFormat="1" customHeight="1" s="1">
      <c r="A225" s="30" t="n">
        <v>226</v>
      </c>
      <c r="B225" s="31" t="inlineStr">
        <is>
          <t>湖南</t>
        </is>
      </c>
      <c r="C225" s="31" t="inlineStr">
        <is>
          <t>衡阳</t>
        </is>
      </c>
      <c r="D225" s="31" t="inlineStr">
        <is>
          <t>曹平安</t>
        </is>
      </c>
      <c r="E225" s="89" t="n"/>
      <c r="F225" s="27" t="inlineStr">
        <is>
          <t>2025/2026</t>
        </is>
      </c>
      <c r="G225" s="27" t="inlineStr">
        <is>
          <t>9/2</t>
        </is>
      </c>
      <c r="H225" s="91">
        <f>16389+3290</f>
        <v/>
      </c>
      <c r="I225" s="91" t="n">
        <v>88731</v>
      </c>
      <c r="J225" s="91" t="n"/>
      <c r="K225" s="91">
        <f>+H225+I225+J225</f>
        <v/>
      </c>
      <c r="L225" s="91" t="inlineStr">
        <is>
          <t>5折</t>
        </is>
      </c>
      <c r="M225" s="91">
        <f>+K225*0.5</f>
        <v/>
      </c>
      <c r="N225" s="91" t="n"/>
      <c r="O225" s="91" t="n"/>
      <c r="P225" s="91" t="n"/>
      <c r="Q225" s="91" t="n"/>
      <c r="R225" s="91" t="n"/>
      <c r="S225" s="91" t="n"/>
      <c r="T225" s="91" t="n"/>
      <c r="U225" s="91" t="n"/>
      <c r="V225" s="91" t="n"/>
      <c r="W225" s="91" t="n"/>
      <c r="X225" s="91" t="n"/>
      <c r="Y225" s="91" t="n"/>
      <c r="Z225" s="91" t="n"/>
      <c r="AA225" s="91" t="n"/>
      <c r="AB225" s="91" t="n"/>
      <c r="AC225" s="91" t="n"/>
      <c r="AD225" s="91" t="n"/>
      <c r="AE225" s="91" t="n"/>
      <c r="AF225" s="91" t="n"/>
      <c r="AG225" s="30" t="n"/>
      <c r="AH225" s="30" t="n"/>
      <c r="AI225" s="30" t="n"/>
      <c r="AJ225" s="30" t="n"/>
      <c r="AK225" s="30" t="n"/>
      <c r="AL225" s="30" t="n"/>
      <c r="AM225" s="91" t="n"/>
      <c r="AN225" s="91" t="n"/>
      <c r="AO225" s="91" t="n"/>
      <c r="AP225" s="91" t="n"/>
      <c r="AQ225" s="91" t="n"/>
      <c r="AR225" s="91" t="n"/>
      <c r="AS225" s="91" t="n"/>
      <c r="AT225" s="91" t="n"/>
      <c r="AU225" s="91" t="n"/>
      <c r="AV225" s="31" t="n"/>
      <c r="AW225" s="36" t="n"/>
      <c r="AX225" s="16" t="n"/>
      <c r="AY225" s="31" t="n"/>
      <c r="AZ225" s="92" t="n"/>
      <c r="BA225" s="91" t="n"/>
      <c r="BB225" s="91" t="n"/>
      <c r="BC225" s="91" t="n"/>
      <c r="BD225" s="91" t="n"/>
      <c r="BE225" s="91" t="n"/>
      <c r="BF225" s="91" t="n"/>
      <c r="BG225" s="91" t="n"/>
      <c r="BH225" s="91" t="n"/>
      <c r="BI225" s="91" t="n"/>
      <c r="BJ225" s="91" t="n"/>
      <c r="BK225" s="91" t="n"/>
      <c r="BL225" s="91" t="n"/>
      <c r="BM225" s="91" t="n"/>
      <c r="BN225" s="91" t="n"/>
      <c r="BO225" s="91" t="n"/>
      <c r="BP225" s="91" t="n"/>
      <c r="BQ225" s="91" t="n"/>
      <c r="BR225" s="91" t="n"/>
      <c r="BS225" s="91" t="n"/>
      <c r="BT225" s="91" t="n"/>
      <c r="BU225" s="91" t="n"/>
      <c r="BV225" s="91" t="n"/>
      <c r="BW225" s="91" t="n"/>
      <c r="BX225" s="91" t="n"/>
      <c r="BY225" s="91" t="n"/>
      <c r="BZ225" s="91">
        <f>SUM(BN225:BY225)</f>
        <v/>
      </c>
      <c r="CA225" s="91" t="n"/>
      <c r="CB225" s="91" t="n"/>
      <c r="CC225" s="91" t="n"/>
      <c r="CD225" s="91" t="n"/>
      <c r="CE225" s="91" t="n"/>
      <c r="CF225" s="91" t="n"/>
      <c r="CG225" s="91" t="n"/>
      <c r="CH225" s="91" t="inlineStr"/>
      <c r="CI225" s="91" t="n"/>
      <c r="CJ225" s="91" t="inlineStr"/>
      <c r="CK225" s="91" t="n"/>
      <c r="CL225" s="91" t="inlineStr"/>
      <c r="CM225" s="91">
        <f>SUM(CA225:CL225)</f>
        <v/>
      </c>
      <c r="CN225" s="91" t="n"/>
      <c r="CO225" s="91" t="n"/>
      <c r="CP225" s="91" t="n"/>
      <c r="CQ225" s="93" t="n"/>
      <c r="CR225" s="94" t="n"/>
      <c r="CS225" s="94" t="n"/>
      <c r="CT225" s="91" t="n"/>
      <c r="CU225" s="91" t="n"/>
      <c r="CV225" s="91" t="n"/>
      <c r="CW225" s="91" t="n"/>
      <c r="CX225" s="91" t="n"/>
      <c r="CY225" s="91" t="n"/>
      <c r="CZ225" s="91">
        <f>SUM(CN225:CY225)</f>
        <v/>
      </c>
      <c r="DA225" s="35" t="n"/>
    </row>
    <row r="226" ht="18.75" customFormat="1" customHeight="1" s="1">
      <c r="A226" s="30" t="n">
        <v>227</v>
      </c>
      <c r="B226" s="31" t="inlineStr">
        <is>
          <t>江苏</t>
        </is>
      </c>
      <c r="C226" s="31" t="inlineStr">
        <is>
          <t>常熟</t>
        </is>
      </c>
      <c r="D226" s="31" t="inlineStr">
        <is>
          <t>施金金</t>
        </is>
      </c>
      <c r="E226" s="89" t="n"/>
      <c r="F226" s="27" t="n"/>
      <c r="G226" s="27" t="n"/>
      <c r="H226" s="91" t="n"/>
      <c r="I226" s="91" t="n"/>
      <c r="J226" s="91" t="n"/>
      <c r="K226" s="91">
        <f>+H226+I226+J226</f>
        <v/>
      </c>
      <c r="L226" s="91" t="n"/>
      <c r="M226" s="91" t="n"/>
      <c r="N226" s="91" t="n"/>
      <c r="O226" s="91" t="n"/>
      <c r="P226" s="91" t="n"/>
      <c r="Q226" s="91" t="n"/>
      <c r="R226" s="91" t="n"/>
      <c r="S226" s="91" t="n"/>
      <c r="T226" s="91" t="n"/>
      <c r="U226" s="91" t="n"/>
      <c r="V226" s="91" t="n"/>
      <c r="W226" s="91" t="n"/>
      <c r="X226" s="91" t="n"/>
      <c r="Y226" s="91" t="n"/>
      <c r="Z226" s="91" t="n"/>
      <c r="AA226" s="91" t="n"/>
      <c r="AB226" s="91" t="n"/>
      <c r="AC226" s="91" t="n"/>
      <c r="AD226" s="91" t="n"/>
      <c r="AE226" s="91" t="n"/>
      <c r="AF226" s="91" t="n"/>
      <c r="AG226" s="30" t="n"/>
      <c r="AH226" s="30" t="n"/>
      <c r="AI226" s="30" t="n"/>
      <c r="AJ226" s="30" t="n"/>
      <c r="AK226" s="30" t="n"/>
      <c r="AL226" s="30" t="n"/>
      <c r="AM226" s="91" t="n"/>
      <c r="AN226" s="91" t="n"/>
      <c r="AO226" s="91" t="n"/>
      <c r="AP226" s="91" t="n"/>
      <c r="AQ226" s="91" t="n"/>
      <c r="AR226" s="91" t="n"/>
      <c r="AS226" s="91" t="n"/>
      <c r="AT226" s="91" t="n"/>
      <c r="AU226" s="91" t="n"/>
      <c r="AV226" s="31" t="n"/>
      <c r="AW226" s="36" t="n"/>
      <c r="AX226" s="16" t="n"/>
      <c r="AY226" s="31" t="n"/>
      <c r="AZ226" s="92" t="n"/>
      <c r="BA226" s="91" t="n"/>
      <c r="BB226" s="91" t="n"/>
      <c r="BC226" s="91" t="n"/>
      <c r="BD226" s="91" t="n"/>
      <c r="BE226" s="91" t="n"/>
      <c r="BF226" s="91" t="n"/>
      <c r="BG226" s="91" t="n"/>
      <c r="BH226" s="91" t="n"/>
      <c r="BI226" s="91" t="n"/>
      <c r="BJ226" s="91" t="n"/>
      <c r="BK226" s="91" t="n"/>
      <c r="BL226" s="91" t="n"/>
      <c r="BM226" s="91" t="n"/>
      <c r="BN226" s="91" t="n"/>
      <c r="BO226" s="91" t="n"/>
      <c r="BP226" s="91" t="n"/>
      <c r="BQ226" s="91" t="n"/>
      <c r="BR226" s="91" t="n"/>
      <c r="BS226" s="91" t="n"/>
      <c r="BT226" s="91" t="n"/>
      <c r="BU226" s="91" t="n"/>
      <c r="BV226" s="91" t="n"/>
      <c r="BW226" s="91" t="n"/>
      <c r="BX226" s="91" t="n"/>
      <c r="BY226" s="91" t="n"/>
      <c r="BZ226" s="91">
        <f>SUM(BN226:BY226)</f>
        <v/>
      </c>
      <c r="CA226" s="91" t="n"/>
      <c r="CB226" s="91" t="n"/>
      <c r="CC226" s="91" t="n"/>
      <c r="CD226" s="91" t="n"/>
      <c r="CE226" s="91" t="n"/>
      <c r="CF226" s="91" t="n"/>
      <c r="CG226" s="91" t="n"/>
      <c r="CH226" s="91" t="inlineStr"/>
      <c r="CI226" s="91" t="n">
        <v>116896</v>
      </c>
      <c r="CJ226" s="91" t="n">
        <v>4593</v>
      </c>
      <c r="CK226" s="91" t="n">
        <v>2635.17</v>
      </c>
      <c r="CL226" s="91" t="inlineStr"/>
      <c r="CM226" s="91">
        <f>SUM(CA226:CL226)</f>
        <v/>
      </c>
      <c r="CN226" s="91" t="n"/>
      <c r="CO226" s="91" t="n"/>
      <c r="CP226" s="91" t="n"/>
      <c r="CQ226" s="93" t="n"/>
      <c r="CR226" s="94" t="n"/>
      <c r="CS226" s="94" t="n"/>
      <c r="CT226" s="91" t="n"/>
      <c r="CU226" s="91" t="n"/>
      <c r="CV226" s="91" t="n"/>
      <c r="CW226" s="91" t="n"/>
      <c r="CX226" s="91" t="n"/>
      <c r="CY226" s="91" t="n"/>
      <c r="CZ226" s="91">
        <f>SUM(CN226:CY226)</f>
        <v/>
      </c>
      <c r="DA226" s="35" t="n"/>
    </row>
    <row r="227" ht="18.75" customFormat="1" customHeight="1" s="1">
      <c r="A227" s="30" t="n">
        <v>228</v>
      </c>
      <c r="B227" s="31" t="inlineStr">
        <is>
          <t>浙江</t>
        </is>
      </c>
      <c r="C227" s="31" t="inlineStr">
        <is>
          <t>衢州</t>
        </is>
      </c>
      <c r="D227" s="31" t="inlineStr">
        <is>
          <t>项向</t>
        </is>
      </c>
      <c r="E227" s="89" t="n"/>
      <c r="F227" s="27" t="n"/>
      <c r="G227" s="27" t="n"/>
      <c r="H227" s="91" t="n"/>
      <c r="I227" s="91" t="n"/>
      <c r="J227" s="91" t="n"/>
      <c r="K227" s="91">
        <f>+H227+I227+J227</f>
        <v/>
      </c>
      <c r="L227" s="91" t="n"/>
      <c r="M227" s="91" t="n"/>
      <c r="N227" s="91" t="n"/>
      <c r="O227" s="91" t="n"/>
      <c r="P227" s="91" t="n"/>
      <c r="Q227" s="91" t="n"/>
      <c r="R227" s="91" t="n"/>
      <c r="S227" s="91" t="n"/>
      <c r="T227" s="91" t="n"/>
      <c r="U227" s="91" t="n"/>
      <c r="V227" s="91" t="n"/>
      <c r="W227" s="91" t="n"/>
      <c r="X227" s="91" t="n"/>
      <c r="Y227" s="91" t="n"/>
      <c r="Z227" s="91" t="n"/>
      <c r="AA227" s="91" t="n"/>
      <c r="AB227" s="91" t="n"/>
      <c r="AC227" s="91" t="n"/>
      <c r="AD227" s="91" t="n"/>
      <c r="AE227" s="91" t="n"/>
      <c r="AF227" s="91" t="n"/>
      <c r="AG227" s="30" t="n"/>
      <c r="AH227" s="30" t="n"/>
      <c r="AI227" s="30" t="n"/>
      <c r="AJ227" s="30" t="n"/>
      <c r="AK227" s="30" t="n"/>
      <c r="AL227" s="30" t="n"/>
      <c r="AM227" s="91" t="n"/>
      <c r="AN227" s="91" t="n"/>
      <c r="AO227" s="91" t="n"/>
      <c r="AP227" s="91" t="n"/>
      <c r="AQ227" s="91" t="n"/>
      <c r="AR227" s="91" t="n"/>
      <c r="AS227" s="91" t="n"/>
      <c r="AT227" s="91" t="n"/>
      <c r="AU227" s="91" t="n"/>
      <c r="AV227" s="31" t="n"/>
      <c r="AW227" s="36" t="n"/>
      <c r="AX227" s="16" t="n"/>
      <c r="AY227" s="31" t="n"/>
      <c r="AZ227" s="92" t="n"/>
      <c r="BA227" s="91" t="n"/>
      <c r="BB227" s="91" t="n"/>
      <c r="BC227" s="91" t="n"/>
      <c r="BD227" s="91" t="n"/>
      <c r="BE227" s="91" t="n"/>
      <c r="BF227" s="91" t="n"/>
      <c r="BG227" s="91" t="n"/>
      <c r="BH227" s="91" t="n"/>
      <c r="BI227" s="91" t="n"/>
      <c r="BJ227" s="91" t="n"/>
      <c r="BK227" s="91" t="n"/>
      <c r="BL227" s="91" t="n"/>
      <c r="BM227" s="91" t="n"/>
      <c r="BN227" s="91" t="n"/>
      <c r="BO227" s="91" t="n"/>
      <c r="BP227" s="91" t="n"/>
      <c r="BQ227" s="91" t="n"/>
      <c r="BR227" s="91" t="n"/>
      <c r="BS227" s="91" t="n"/>
      <c r="BT227" s="91" t="n"/>
      <c r="BU227" s="91" t="n"/>
      <c r="BV227" s="91" t="n"/>
      <c r="BW227" s="91" t="n"/>
      <c r="BX227" s="91" t="n"/>
      <c r="BY227" s="91" t="n"/>
      <c r="BZ227" s="91">
        <f>SUM(BN227:BY227)</f>
        <v/>
      </c>
      <c r="CA227" s="91" t="n"/>
      <c r="CB227" s="91" t="n"/>
      <c r="CC227" s="91" t="n"/>
      <c r="CD227" s="91" t="n"/>
      <c r="CE227" s="91" t="n"/>
      <c r="CF227" s="91" t="n"/>
      <c r="CG227" s="91" t="n"/>
      <c r="CH227" s="91" t="inlineStr"/>
      <c r="CI227" s="91" t="n">
        <v>30672</v>
      </c>
      <c r="CJ227" s="91" t="n">
        <v>19197</v>
      </c>
      <c r="CK227" s="91" t="n">
        <v>13191</v>
      </c>
      <c r="CL227" s="91" t="inlineStr"/>
      <c r="CM227" s="91">
        <f>SUM(CA227:CL227)</f>
        <v/>
      </c>
      <c r="CN227" s="91" t="n"/>
      <c r="CO227" s="91" t="n"/>
      <c r="CP227" s="91" t="n"/>
      <c r="CQ227" s="93" t="n"/>
      <c r="CR227" s="94" t="n"/>
      <c r="CS227" s="94" t="n"/>
      <c r="CT227" s="91" t="n"/>
      <c r="CU227" s="91" t="n"/>
      <c r="CV227" s="91" t="n"/>
      <c r="CW227" s="91" t="n"/>
      <c r="CX227" s="91" t="n"/>
      <c r="CY227" s="91" t="n"/>
      <c r="CZ227" s="91">
        <f>SUM(CN227:CY227)</f>
        <v/>
      </c>
      <c r="DA227" s="35" t="n"/>
    </row>
    <row r="228" ht="18.75" customFormat="1" customHeight="1" s="1">
      <c r="A228" s="30" t="n">
        <v>229</v>
      </c>
      <c r="B228" s="31" t="inlineStr">
        <is>
          <t>浙江</t>
        </is>
      </c>
      <c r="C228" s="31" t="inlineStr">
        <is>
          <t>平阳</t>
        </is>
      </c>
      <c r="D228" s="31" t="inlineStr">
        <is>
          <t>符斌</t>
        </is>
      </c>
      <c r="E228" s="89" t="n"/>
      <c r="F228" s="27" t="n"/>
      <c r="G228" s="27" t="n"/>
      <c r="H228" s="91" t="n"/>
      <c r="I228" s="91" t="n"/>
      <c r="J228" s="91" t="n"/>
      <c r="K228" s="91">
        <f>+H228+I228+J228</f>
        <v/>
      </c>
      <c r="L228" s="91" t="n"/>
      <c r="M228" s="91" t="n"/>
      <c r="N228" s="91" t="n"/>
      <c r="O228" s="91" t="n"/>
      <c r="P228" s="91" t="n"/>
      <c r="Q228" s="91" t="n"/>
      <c r="R228" s="91" t="n"/>
      <c r="S228" s="91" t="n"/>
      <c r="T228" s="91" t="n"/>
      <c r="U228" s="91" t="n"/>
      <c r="V228" s="91" t="n"/>
      <c r="W228" s="91" t="n"/>
      <c r="X228" s="91" t="n"/>
      <c r="Y228" s="91" t="n"/>
      <c r="Z228" s="91" t="n"/>
      <c r="AA228" s="91" t="n"/>
      <c r="AB228" s="91" t="n"/>
      <c r="AC228" s="91" t="n"/>
      <c r="AD228" s="91" t="n"/>
      <c r="AE228" s="91" t="n"/>
      <c r="AF228" s="91" t="n"/>
      <c r="AG228" s="30" t="n"/>
      <c r="AH228" s="30" t="n"/>
      <c r="AI228" s="30" t="n"/>
      <c r="AJ228" s="30" t="n"/>
      <c r="AK228" s="30" t="n"/>
      <c r="AL228" s="30" t="n"/>
      <c r="AM228" s="91" t="n"/>
      <c r="AN228" s="91" t="n"/>
      <c r="AO228" s="91" t="n"/>
      <c r="AP228" s="91" t="n"/>
      <c r="AQ228" s="91" t="n"/>
      <c r="AR228" s="91" t="n"/>
      <c r="AS228" s="91" t="n"/>
      <c r="AT228" s="91" t="n"/>
      <c r="AU228" s="91" t="n"/>
      <c r="AV228" s="31" t="n"/>
      <c r="AW228" s="36" t="n"/>
      <c r="AX228" s="16" t="n"/>
      <c r="AY228" s="31" t="n"/>
      <c r="AZ228" s="92" t="n"/>
      <c r="BA228" s="91" t="n"/>
      <c r="BB228" s="91" t="n"/>
      <c r="BC228" s="91" t="n"/>
      <c r="BD228" s="91" t="n"/>
      <c r="BE228" s="91" t="n"/>
      <c r="BF228" s="91" t="n"/>
      <c r="BG228" s="91" t="n"/>
      <c r="BH228" s="91" t="n"/>
      <c r="BI228" s="91" t="n"/>
      <c r="BJ228" s="91" t="n"/>
      <c r="BK228" s="91" t="n"/>
      <c r="BL228" s="91" t="n"/>
      <c r="BM228" s="91" t="n"/>
      <c r="BN228" s="91" t="n"/>
      <c r="BO228" s="91" t="n"/>
      <c r="BP228" s="91" t="n"/>
      <c r="BQ228" s="91" t="n"/>
      <c r="BR228" s="91" t="n"/>
      <c r="BS228" s="91" t="n"/>
      <c r="BT228" s="91" t="n"/>
      <c r="BU228" s="91" t="n"/>
      <c r="BV228" s="91" t="n"/>
      <c r="BW228" s="91" t="n"/>
      <c r="BX228" s="91" t="n"/>
      <c r="BY228" s="91" t="n"/>
      <c r="BZ228" s="91">
        <f>SUM(BN228:BY228)</f>
        <v/>
      </c>
      <c r="CA228" s="91" t="n"/>
      <c r="CB228" s="91" t="n"/>
      <c r="CC228" s="91" t="n"/>
      <c r="CD228" s="91" t="n"/>
      <c r="CE228" s="91" t="n"/>
      <c r="CF228" s="91" t="n"/>
      <c r="CG228" s="91" t="n"/>
      <c r="CH228" s="91" t="inlineStr"/>
      <c r="CI228" s="91" t="n">
        <v>62413</v>
      </c>
      <c r="CJ228" s="91" t="inlineStr"/>
      <c r="CK228" s="91" t="n"/>
      <c r="CL228" s="91" t="n">
        <v>1117.81</v>
      </c>
      <c r="CM228" s="91">
        <f>SUM(CA228:CL228)</f>
        <v/>
      </c>
      <c r="CN228" s="91" t="n"/>
      <c r="CO228" s="91" t="n"/>
      <c r="CP228" s="91" t="n"/>
      <c r="CQ228" s="93" t="n"/>
      <c r="CR228" s="94" t="n"/>
      <c r="CS228" s="94" t="n"/>
      <c r="CT228" s="91" t="n"/>
      <c r="CU228" s="91" t="n"/>
      <c r="CV228" s="91" t="n"/>
      <c r="CW228" s="91" t="n"/>
      <c r="CX228" s="91" t="n"/>
      <c r="CY228" s="91" t="n"/>
      <c r="CZ228" s="91">
        <f>SUM(CN228:CY228)</f>
        <v/>
      </c>
      <c r="DA228" s="35" t="n"/>
    </row>
    <row r="229" ht="18.75" customFormat="1" customHeight="1" s="1">
      <c r="A229" s="30" t="n">
        <v>230</v>
      </c>
      <c r="B229" s="31" t="inlineStr">
        <is>
          <t>江苏</t>
        </is>
      </c>
      <c r="C229" s="31" t="inlineStr">
        <is>
          <t>常州金坛</t>
        </is>
      </c>
      <c r="D229" s="31" t="inlineStr">
        <is>
          <t>汤磊</t>
        </is>
      </c>
      <c r="E229" s="89" t="n"/>
      <c r="F229" s="27" t="n"/>
      <c r="G229" s="27" t="n"/>
      <c r="H229" s="91" t="n"/>
      <c r="I229" s="91" t="n"/>
      <c r="J229" s="91" t="n"/>
      <c r="K229" s="91">
        <f>+H229+I229+J229</f>
        <v/>
      </c>
      <c r="L229" s="91" t="n"/>
      <c r="M229" s="91" t="inlineStr"/>
      <c r="N229" s="91" t="n"/>
      <c r="O229" s="91" t="n"/>
      <c r="P229" s="91" t="n"/>
      <c r="Q229" s="91" t="n"/>
      <c r="R229" s="91" t="n"/>
      <c r="S229" s="91" t="n"/>
      <c r="T229" s="91" t="n"/>
      <c r="U229" s="91" t="n"/>
      <c r="V229" s="91" t="n"/>
      <c r="W229" s="91" t="n"/>
      <c r="X229" s="91" t="n"/>
      <c r="Y229" s="91" t="n"/>
      <c r="Z229" s="91" t="n"/>
      <c r="AA229" s="91" t="n"/>
      <c r="AB229" s="91" t="n"/>
      <c r="AC229" s="91" t="n"/>
      <c r="AD229" s="91" t="n"/>
      <c r="AE229" s="91" t="n"/>
      <c r="AF229" s="91" t="n"/>
      <c r="AG229" s="30" t="n"/>
      <c r="AH229" s="30" t="n"/>
      <c r="AI229" s="30" t="n"/>
      <c r="AJ229" s="30" t="n"/>
      <c r="AK229" s="30" t="n"/>
      <c r="AL229" s="30" t="n"/>
      <c r="AM229" s="91" t="n"/>
      <c r="AN229" s="91" t="n"/>
      <c r="AO229" s="91" t="n"/>
      <c r="AP229" s="91" t="n"/>
      <c r="AQ229" s="91" t="n"/>
      <c r="AR229" s="91" t="n"/>
      <c r="AS229" s="91" t="n"/>
      <c r="AT229" s="91" t="n"/>
      <c r="AU229" s="91" t="n"/>
      <c r="AV229" s="31" t="n"/>
      <c r="AW229" s="36" t="n"/>
      <c r="AX229" s="16" t="n"/>
      <c r="AY229" s="31" t="n"/>
      <c r="AZ229" s="92" t="n"/>
      <c r="BA229" s="91" t="n"/>
      <c r="BB229" s="91" t="n"/>
      <c r="BC229" s="91" t="n"/>
      <c r="BD229" s="91" t="n"/>
      <c r="BE229" s="91" t="n"/>
      <c r="BF229" s="91" t="n"/>
      <c r="BG229" s="91" t="n"/>
      <c r="BH229" s="91" t="n"/>
      <c r="BI229" s="91" t="n"/>
      <c r="BJ229" s="91" t="n"/>
      <c r="BK229" s="91" t="n"/>
      <c r="BL229" s="91" t="n"/>
      <c r="BM229" s="91" t="n"/>
      <c r="BN229" s="91" t="n"/>
      <c r="BO229" s="91" t="n"/>
      <c r="BP229" s="91" t="n"/>
      <c r="BQ229" s="91" t="n"/>
      <c r="BR229" s="91" t="n"/>
      <c r="BS229" s="91" t="n"/>
      <c r="BT229" s="91" t="n"/>
      <c r="BU229" s="91" t="n"/>
      <c r="BV229" s="91" t="n"/>
      <c r="BW229" s="91" t="n"/>
      <c r="BX229" s="91" t="n"/>
      <c r="BY229" s="91" t="n"/>
      <c r="BZ229" s="91">
        <f>SUM(BN229:BY229)</f>
        <v/>
      </c>
      <c r="CA229" s="91" t="n"/>
      <c r="CB229" s="91" t="n"/>
      <c r="CC229" s="91" t="n"/>
      <c r="CD229" s="91" t="n"/>
      <c r="CE229" s="91" t="n"/>
      <c r="CF229" s="91" t="n"/>
      <c r="CG229" s="91" t="n"/>
      <c r="CH229" s="91" t="inlineStr"/>
      <c r="CI229" s="91" t="n">
        <v>75794</v>
      </c>
      <c r="CJ229" s="91" t="inlineStr"/>
      <c r="CK229" s="91" t="n">
        <v>1696.38</v>
      </c>
      <c r="CL229" s="91" t="inlineStr"/>
      <c r="CM229" s="91">
        <f>SUM(CA229:CL229)</f>
        <v/>
      </c>
      <c r="CN229" s="91" t="n"/>
      <c r="CO229" s="91" t="n"/>
      <c r="CP229" s="91" t="n"/>
      <c r="CQ229" s="93" t="n"/>
      <c r="CR229" s="94" t="n"/>
      <c r="CS229" s="94" t="n"/>
      <c r="CT229" s="91" t="n"/>
      <c r="CU229" s="91" t="n"/>
      <c r="CV229" s="91" t="n"/>
      <c r="CW229" s="91" t="n"/>
      <c r="CX229" s="91" t="n"/>
      <c r="CY229" s="91" t="n"/>
      <c r="CZ229" s="91">
        <f>SUM(CN229:CY229)</f>
        <v/>
      </c>
      <c r="DA229" s="35" t="n"/>
    </row>
    <row r="230" ht="18.75" customFormat="1" customHeight="1" s="1">
      <c r="A230" s="30" t="n">
        <v>231</v>
      </c>
      <c r="B230" s="31" t="inlineStr">
        <is>
          <t>内蒙古</t>
        </is>
      </c>
      <c r="C230" s="31" t="inlineStr">
        <is>
          <t>伊金霍洛旗</t>
        </is>
      </c>
      <c r="D230" s="31" t="inlineStr">
        <is>
          <t>奇敖日其楞</t>
        </is>
      </c>
      <c r="E230" s="89" t="n"/>
      <c r="F230" s="27" t="n"/>
      <c r="G230" s="27" t="n"/>
      <c r="H230" s="91" t="n"/>
      <c r="I230" s="91" t="n"/>
      <c r="J230" s="91" t="n"/>
      <c r="K230" s="91">
        <f>+H230+I230+J230</f>
        <v/>
      </c>
      <c r="L230" s="91" t="n"/>
      <c r="M230" s="91" t="inlineStr"/>
      <c r="N230" s="91" t="n"/>
      <c r="O230" s="91" t="n"/>
      <c r="P230" s="91" t="n"/>
      <c r="Q230" s="91" t="n"/>
      <c r="R230" s="91" t="n"/>
      <c r="S230" s="91" t="n"/>
      <c r="T230" s="91" t="n"/>
      <c r="U230" s="91" t="n"/>
      <c r="V230" s="91" t="n"/>
      <c r="W230" s="91" t="n"/>
      <c r="X230" s="91" t="n"/>
      <c r="Y230" s="91" t="n"/>
      <c r="Z230" s="91" t="n"/>
      <c r="AA230" s="91" t="n"/>
      <c r="AB230" s="91" t="n"/>
      <c r="AC230" s="91" t="n"/>
      <c r="AD230" s="91" t="n"/>
      <c r="AE230" s="91" t="n"/>
      <c r="AF230" s="91" t="n"/>
      <c r="AG230" s="30" t="n"/>
      <c r="AH230" s="30" t="n"/>
      <c r="AI230" s="30" t="n"/>
      <c r="AJ230" s="30" t="n"/>
      <c r="AK230" s="30" t="n"/>
      <c r="AL230" s="30" t="n"/>
      <c r="AM230" s="91" t="n"/>
      <c r="AN230" s="91" t="n"/>
      <c r="AO230" s="91" t="n"/>
      <c r="AP230" s="91" t="n"/>
      <c r="AQ230" s="91" t="n"/>
      <c r="AR230" s="91" t="n"/>
      <c r="AS230" s="91" t="n"/>
      <c r="AT230" s="91" t="n"/>
      <c r="AU230" s="91" t="n"/>
      <c r="AV230" s="31" t="n"/>
      <c r="AW230" s="36" t="n"/>
      <c r="AX230" s="16" t="n"/>
      <c r="AY230" s="31" t="n"/>
      <c r="AZ230" s="92" t="n"/>
      <c r="BA230" s="91" t="n"/>
      <c r="BB230" s="91" t="n"/>
      <c r="BC230" s="91" t="n"/>
      <c r="BD230" s="91" t="n"/>
      <c r="BE230" s="91" t="n"/>
      <c r="BF230" s="91" t="n"/>
      <c r="BG230" s="91" t="n"/>
      <c r="BH230" s="91" t="n"/>
      <c r="BI230" s="91" t="n"/>
      <c r="BJ230" s="91" t="n"/>
      <c r="BK230" s="91" t="n"/>
      <c r="BL230" s="91" t="n"/>
      <c r="BM230" s="91" t="n"/>
      <c r="BN230" s="91" t="n"/>
      <c r="BO230" s="91" t="n"/>
      <c r="BP230" s="91" t="n"/>
      <c r="BQ230" s="91" t="n"/>
      <c r="BR230" s="91" t="n"/>
      <c r="BS230" s="91" t="n"/>
      <c r="BT230" s="91" t="n"/>
      <c r="BU230" s="91" t="n"/>
      <c r="BV230" s="91" t="n"/>
      <c r="BW230" s="91" t="n"/>
      <c r="BX230" s="91" t="n"/>
      <c r="BY230" s="91" t="n"/>
      <c r="BZ230" s="91">
        <f>SUM(BN230:BY230)</f>
        <v/>
      </c>
      <c r="CA230" s="91" t="n"/>
      <c r="CB230" s="91" t="n"/>
      <c r="CC230" s="91" t="n"/>
      <c r="CD230" s="91" t="n"/>
      <c r="CE230" s="91" t="n"/>
      <c r="CF230" s="91" t="n"/>
      <c r="CG230" s="91" t="n"/>
      <c r="CH230" s="91" t="inlineStr"/>
      <c r="CI230" s="91" t="n">
        <v>22434</v>
      </c>
      <c r="CJ230" s="91" t="inlineStr"/>
      <c r="CK230" s="91" t="n">
        <v>55061</v>
      </c>
      <c r="CL230" s="91" t="n">
        <v>58603</v>
      </c>
      <c r="CM230" s="91">
        <f>SUM(CA230:CL230)</f>
        <v/>
      </c>
      <c r="CN230" s="91" t="n"/>
      <c r="CO230" s="91" t="n"/>
      <c r="CP230" s="91" t="n"/>
      <c r="CQ230" s="93" t="n"/>
      <c r="CR230" s="94" t="n"/>
      <c r="CS230" s="94" t="n"/>
      <c r="CT230" s="91" t="n"/>
      <c r="CU230" s="91" t="n"/>
      <c r="CV230" s="91" t="n"/>
      <c r="CW230" s="91" t="n"/>
      <c r="CX230" s="91" t="n"/>
      <c r="CY230" s="91" t="n"/>
      <c r="CZ230" s="91">
        <f>SUM(CN230:CY230)</f>
        <v/>
      </c>
      <c r="DA230" s="35" t="n"/>
    </row>
    <row r="231" ht="18.75" customFormat="1" customHeight="1" s="1">
      <c r="A231" s="30" t="n">
        <v>232</v>
      </c>
      <c r="B231" s="31" t="inlineStr">
        <is>
          <t>湖南</t>
        </is>
      </c>
      <c r="C231" s="31" t="inlineStr">
        <is>
          <t>株洲</t>
        </is>
      </c>
      <c r="D231" s="31" t="inlineStr">
        <is>
          <t>郭亮</t>
        </is>
      </c>
      <c r="E231" s="89" t="n"/>
      <c r="F231" s="27" t="inlineStr">
        <is>
          <t>2025</t>
        </is>
      </c>
      <c r="G231" s="27" t="n"/>
      <c r="H231" s="91" t="n"/>
      <c r="I231" s="91" t="n"/>
      <c r="J231" s="91" t="n"/>
      <c r="K231" s="91">
        <f>+H231+I231+J231</f>
        <v/>
      </c>
      <c r="L231" s="91" t="n"/>
      <c r="M231" s="91" t="n"/>
      <c r="N231" s="91" t="n"/>
      <c r="O231" s="91" t="n"/>
      <c r="P231" s="91" t="n"/>
      <c r="Q231" s="91" t="n"/>
      <c r="R231" s="91" t="n"/>
      <c r="S231" s="91" t="n"/>
      <c r="T231" s="91" t="n"/>
      <c r="U231" s="91" t="n"/>
      <c r="V231" s="91" t="n"/>
      <c r="W231" s="91" t="n"/>
      <c r="X231" s="91" t="n"/>
      <c r="Y231" s="91" t="n"/>
      <c r="Z231" s="91" t="n"/>
      <c r="AA231" s="91" t="n"/>
      <c r="AB231" s="91" t="n"/>
      <c r="AC231" s="91" t="n"/>
      <c r="AD231" s="91" t="n"/>
      <c r="AE231" s="91" t="n"/>
      <c r="AF231" s="91" t="n"/>
      <c r="AG231" s="30" t="n"/>
      <c r="AH231" s="30" t="n"/>
      <c r="AI231" s="30" t="n"/>
      <c r="AJ231" s="30" t="n"/>
      <c r="AK231" s="30" t="n"/>
      <c r="AL231" s="30" t="n"/>
      <c r="AM231" s="91" t="n"/>
      <c r="AN231" s="91" t="n"/>
      <c r="AO231" s="91" t="n"/>
      <c r="AP231" s="91" t="n"/>
      <c r="AQ231" s="91" t="n"/>
      <c r="AR231" s="91" t="n"/>
      <c r="AS231" s="91" t="n"/>
      <c r="AT231" s="91" t="n"/>
      <c r="AU231" s="91" t="n"/>
      <c r="AV231" s="31" t="n"/>
      <c r="AW231" s="36" t="n"/>
      <c r="AX231" s="16" t="n"/>
      <c r="AY231" s="31" t="n"/>
      <c r="AZ231" s="92" t="n"/>
      <c r="BA231" s="91" t="n"/>
      <c r="BB231" s="91" t="n"/>
      <c r="BC231" s="91" t="n"/>
      <c r="BD231" s="91" t="n"/>
      <c r="BE231" s="91" t="n"/>
      <c r="BF231" s="91" t="n"/>
      <c r="BG231" s="91" t="n"/>
      <c r="BH231" s="91" t="n"/>
      <c r="BI231" s="91" t="n"/>
      <c r="BJ231" s="91" t="n"/>
      <c r="BK231" s="91" t="n"/>
      <c r="BL231" s="91" t="n"/>
      <c r="BM231" s="91" t="n"/>
      <c r="BN231" s="91" t="n"/>
      <c r="BO231" s="91" t="n"/>
      <c r="BP231" s="91" t="n"/>
      <c r="BQ231" s="91" t="n"/>
      <c r="BR231" s="91" t="n"/>
      <c r="BS231" s="91" t="n"/>
      <c r="BT231" s="91" t="n"/>
      <c r="BU231" s="91" t="n"/>
      <c r="BV231" s="91" t="n"/>
      <c r="BW231" s="91" t="n"/>
      <c r="BX231" s="91" t="n"/>
      <c r="BY231" s="91" t="n"/>
      <c r="BZ231" s="91">
        <f>SUM(BN231:BY231)</f>
        <v/>
      </c>
      <c r="CA231" s="91" t="n"/>
      <c r="CB231" s="91" t="n"/>
      <c r="CC231" s="91" t="n"/>
      <c r="CD231" s="91" t="n"/>
      <c r="CE231" s="91" t="n"/>
      <c r="CF231" s="91" t="n"/>
      <c r="CG231" s="91" t="n"/>
      <c r="CH231" s="91" t="inlineStr"/>
      <c r="CI231" s="91" t="n"/>
      <c r="CJ231" s="91" t="n">
        <v>14327.76</v>
      </c>
      <c r="CK231" s="91" t="n">
        <v>274</v>
      </c>
      <c r="CL231" s="91" t="n">
        <v>319</v>
      </c>
      <c r="CM231" s="91">
        <f>SUM(CA231:CL231)</f>
        <v/>
      </c>
      <c r="CN231" s="91" t="n"/>
      <c r="CO231" s="91" t="n"/>
      <c r="CP231" s="91" t="n"/>
      <c r="CQ231" s="93" t="n"/>
      <c r="CR231" s="94" t="n"/>
      <c r="CS231" s="94" t="n"/>
      <c r="CT231" s="91" t="n"/>
      <c r="CU231" s="91" t="n"/>
      <c r="CV231" s="91" t="n"/>
      <c r="CW231" s="91" t="n"/>
      <c r="CX231" s="91" t="n"/>
      <c r="CY231" s="91" t="n"/>
      <c r="CZ231" s="91">
        <f>SUM(CN231:CY231)</f>
        <v/>
      </c>
      <c r="DA231" s="35" t="n"/>
    </row>
    <row r="232" ht="18.75" customFormat="1" customHeight="1" s="1">
      <c r="A232" s="30" t="n">
        <v>233</v>
      </c>
      <c r="B232" s="31" t="inlineStr">
        <is>
          <t>河南</t>
        </is>
      </c>
      <c r="C232" s="31" t="inlineStr">
        <is>
          <t>南阳市</t>
        </is>
      </c>
      <c r="D232" s="31" t="inlineStr">
        <is>
          <t>朱建想</t>
        </is>
      </c>
      <c r="E232" s="89" t="n"/>
      <c r="F232" s="27" t="inlineStr">
        <is>
          <t>2025</t>
        </is>
      </c>
      <c r="G232" s="27" t="inlineStr">
        <is>
          <t>7</t>
        </is>
      </c>
      <c r="H232" s="91" t="n"/>
      <c r="I232" s="91" t="n">
        <v>3529</v>
      </c>
      <c r="J232" s="91" t="n"/>
      <c r="K232" s="91">
        <f>+H232+I232+J232</f>
        <v/>
      </c>
      <c r="L232" s="91" t="inlineStr">
        <is>
          <t>免费</t>
        </is>
      </c>
      <c r="M232" s="91" t="n"/>
      <c r="N232" s="91" t="n"/>
      <c r="O232" s="91" t="n"/>
      <c r="P232" s="91" t="n"/>
      <c r="Q232" s="91" t="n"/>
      <c r="R232" s="91" t="n"/>
      <c r="S232" s="91" t="n"/>
      <c r="T232" s="91" t="n"/>
      <c r="U232" s="91" t="n"/>
      <c r="V232" s="91" t="n"/>
      <c r="W232" s="91" t="n"/>
      <c r="X232" s="91" t="n"/>
      <c r="Y232" s="91" t="n"/>
      <c r="Z232" s="91" t="n"/>
      <c r="AA232" s="91" t="n"/>
      <c r="AB232" s="91" t="n"/>
      <c r="AC232" s="91" t="n"/>
      <c r="AD232" s="91" t="n"/>
      <c r="AE232" s="91" t="n"/>
      <c r="AF232" s="91" t="n"/>
      <c r="AG232" s="30" t="n"/>
      <c r="AH232" s="30" t="n"/>
      <c r="AI232" s="30" t="n"/>
      <c r="AJ232" s="30" t="n"/>
      <c r="AK232" s="30" t="n"/>
      <c r="AL232" s="30" t="n"/>
      <c r="AM232" s="91" t="n"/>
      <c r="AN232" s="91" t="n"/>
      <c r="AO232" s="91" t="n"/>
      <c r="AP232" s="91" t="n"/>
      <c r="AQ232" s="91" t="n"/>
      <c r="AR232" s="91" t="n"/>
      <c r="AS232" s="91" t="n"/>
      <c r="AT232" s="91" t="n"/>
      <c r="AU232" s="91" t="n"/>
      <c r="AV232" s="31" t="n"/>
      <c r="AW232" s="36" t="n"/>
      <c r="AX232" s="16" t="n"/>
      <c r="AY232" s="31" t="n"/>
      <c r="AZ232" s="92" t="n"/>
      <c r="BA232" s="91" t="n"/>
      <c r="BB232" s="91" t="n"/>
      <c r="BC232" s="91" t="n"/>
      <c r="BD232" s="91" t="n"/>
      <c r="BE232" s="91" t="n"/>
      <c r="BF232" s="91" t="n"/>
      <c r="BG232" s="91" t="n"/>
      <c r="BH232" s="91" t="n"/>
      <c r="BI232" s="91" t="n"/>
      <c r="BJ232" s="91" t="n"/>
      <c r="BK232" s="91" t="n"/>
      <c r="BL232" s="91" t="n"/>
      <c r="BM232" s="91" t="n"/>
      <c r="BN232" s="91" t="n"/>
      <c r="BO232" s="91" t="n"/>
      <c r="BP232" s="91" t="n"/>
      <c r="BQ232" s="91" t="n"/>
      <c r="BR232" s="91" t="n"/>
      <c r="BS232" s="91" t="n"/>
      <c r="BT232" s="91" t="n"/>
      <c r="BU232" s="91" t="n"/>
      <c r="BV232" s="91" t="n"/>
      <c r="BW232" s="91" t="n"/>
      <c r="BX232" s="91" t="n"/>
      <c r="BY232" s="91" t="n"/>
      <c r="BZ232" s="91">
        <f>SUM(BN232:BY232)</f>
        <v/>
      </c>
      <c r="CA232" s="91" t="n"/>
      <c r="CB232" s="91" t="n"/>
      <c r="CC232" s="91" t="n"/>
      <c r="CD232" s="91" t="n"/>
      <c r="CE232" s="91" t="n"/>
      <c r="CF232" s="91" t="n"/>
      <c r="CG232" s="91" t="n"/>
      <c r="CH232" s="91" t="inlineStr"/>
      <c r="CI232" s="91" t="n"/>
      <c r="CJ232" s="91" t="n">
        <v>67451</v>
      </c>
      <c r="CK232" s="91" t="n">
        <v>132299.14</v>
      </c>
      <c r="CL232" s="91" t="inlineStr"/>
      <c r="CM232" s="91">
        <f>SUM(CA232:CL232)</f>
        <v/>
      </c>
      <c r="CN232" s="91" t="n"/>
      <c r="CO232" s="91" t="n"/>
      <c r="CP232" s="91" t="n"/>
      <c r="CQ232" s="93" t="n"/>
      <c r="CR232" s="94" t="n"/>
      <c r="CS232" s="94" t="n"/>
      <c r="CT232" s="91" t="n"/>
      <c r="CU232" s="91" t="n"/>
      <c r="CV232" s="91" t="n"/>
      <c r="CW232" s="91" t="n"/>
      <c r="CX232" s="91" t="n"/>
      <c r="CY232" s="91" t="n"/>
      <c r="CZ232" s="91">
        <f>SUM(CN232:CY232)</f>
        <v/>
      </c>
      <c r="DA232" s="35" t="n"/>
    </row>
    <row r="233" ht="18.75" customFormat="1" customHeight="1" s="1">
      <c r="A233" s="30" t="n">
        <v>234</v>
      </c>
      <c r="B233" s="31" t="inlineStr">
        <is>
          <t>安徽</t>
        </is>
      </c>
      <c r="C233" s="31" t="inlineStr">
        <is>
          <t>六安</t>
        </is>
      </c>
      <c r="D233" s="31" t="inlineStr">
        <is>
          <t>陈军</t>
        </is>
      </c>
      <c r="E233" s="89" t="n"/>
      <c r="F233" s="27" t="inlineStr">
        <is>
          <t>2025</t>
        </is>
      </c>
      <c r="G233" s="27" t="inlineStr">
        <is>
          <t>9/10/12</t>
        </is>
      </c>
      <c r="H233" s="91">
        <f>85030+30600+41356</f>
        <v/>
      </c>
      <c r="I233" s="91">
        <f>9950+129692+1810</f>
        <v/>
      </c>
      <c r="J233" s="91" t="n"/>
      <c r="K233" s="91">
        <f>+H233+I233+J233</f>
        <v/>
      </c>
      <c r="L233" s="91" t="inlineStr">
        <is>
          <t>8折</t>
        </is>
      </c>
      <c r="M233" s="91">
        <f>104902+41302+25667</f>
        <v/>
      </c>
      <c r="N233" s="91" t="n"/>
      <c r="O233" s="91" t="n"/>
      <c r="P233" s="91" t="n"/>
      <c r="Q233" s="91" t="n"/>
      <c r="R233" s="91" t="n"/>
      <c r="S233" s="91" t="n"/>
      <c r="T233" s="91" t="n"/>
      <c r="U233" s="91" t="n"/>
      <c r="V233" s="91" t="n"/>
      <c r="W233" s="91" t="n"/>
      <c r="X233" s="91" t="n"/>
      <c r="Y233" s="91" t="n"/>
      <c r="Z233" s="91" t="n"/>
      <c r="AA233" s="91" t="n"/>
      <c r="AB233" s="91" t="n"/>
      <c r="AC233" s="91" t="n"/>
      <c r="AD233" s="91" t="n"/>
      <c r="AE233" s="91" t="n"/>
      <c r="AF233" s="91" t="n"/>
      <c r="AG233" s="30" t="n"/>
      <c r="AH233" s="30" t="n"/>
      <c r="AI233" s="30" t="n"/>
      <c r="AJ233" s="30" t="n"/>
      <c r="AK233" s="30" t="n"/>
      <c r="AL233" s="30" t="n"/>
      <c r="AM233" s="91" t="n"/>
      <c r="AN233" s="91" t="n"/>
      <c r="AO233" s="91" t="n"/>
      <c r="AP233" s="91" t="n"/>
      <c r="AQ233" s="91" t="n"/>
      <c r="AR233" s="91" t="n"/>
      <c r="AS233" s="91" t="n"/>
      <c r="AT233" s="91" t="n"/>
      <c r="AU233" s="91" t="n"/>
      <c r="AV233" s="31" t="n"/>
      <c r="AW233" s="36" t="n"/>
      <c r="AX233" s="16" t="n"/>
      <c r="AY233" s="31" t="n"/>
      <c r="AZ233" s="92" t="n"/>
      <c r="BA233" s="91" t="n"/>
      <c r="BB233" s="91" t="n"/>
      <c r="BC233" s="91" t="n"/>
      <c r="BD233" s="91" t="n"/>
      <c r="BE233" s="91" t="n"/>
      <c r="BF233" s="91" t="n"/>
      <c r="BG233" s="91" t="n"/>
      <c r="BH233" s="91" t="n"/>
      <c r="BI233" s="91" t="n"/>
      <c r="BJ233" s="91" t="n"/>
      <c r="BK233" s="91" t="n"/>
      <c r="BL233" s="91" t="n"/>
      <c r="BM233" s="91" t="n"/>
      <c r="BN233" s="91" t="n"/>
      <c r="BO233" s="91" t="n"/>
      <c r="BP233" s="91" t="n"/>
      <c r="BQ233" s="91" t="n"/>
      <c r="BR233" s="91" t="n"/>
      <c r="BS233" s="91" t="n"/>
      <c r="BT233" s="91" t="n"/>
      <c r="BU233" s="91" t="n"/>
      <c r="BV233" s="91" t="n"/>
      <c r="BW233" s="91" t="n"/>
      <c r="BX233" s="91" t="n"/>
      <c r="BY233" s="91" t="n"/>
      <c r="BZ233" s="91">
        <f>SUM(BN233:BY233)</f>
        <v/>
      </c>
      <c r="CA233" s="91" t="n"/>
      <c r="CB233" s="91" t="n"/>
      <c r="CC233" s="91" t="n"/>
      <c r="CD233" s="91" t="n"/>
      <c r="CE233" s="91" t="n"/>
      <c r="CF233" s="91" t="n"/>
      <c r="CG233" s="91" t="n"/>
      <c r="CH233" s="91" t="inlineStr"/>
      <c r="CI233" s="91" t="n"/>
      <c r="CJ233" s="91" t="inlineStr"/>
      <c r="CK233" s="91" t="n"/>
      <c r="CL233" s="91" t="inlineStr"/>
      <c r="CM233" s="91">
        <f>SUM(CA233:CL233)</f>
        <v/>
      </c>
      <c r="CN233" s="91" t="n"/>
      <c r="CO233" s="91" t="n"/>
      <c r="CP233" s="91" t="n"/>
      <c r="CQ233" s="93" t="n"/>
      <c r="CR233" s="94" t="n"/>
      <c r="CS233" s="94" t="n"/>
      <c r="CT233" s="91" t="n"/>
      <c r="CU233" s="91" t="n"/>
      <c r="CV233" s="91" t="n"/>
      <c r="CW233" s="91" t="n"/>
      <c r="CX233" s="91" t="n"/>
      <c r="CY233" s="91" t="n"/>
      <c r="CZ233" s="91">
        <f>SUM(CN233:CY233)</f>
        <v/>
      </c>
      <c r="DA233" s="35" t="n"/>
    </row>
    <row r="234" ht="18.75" customFormat="1" customHeight="1" s="1">
      <c r="A234" s="30" t="n">
        <v>235</v>
      </c>
      <c r="B234" s="31" t="inlineStr">
        <is>
          <t>甘肃</t>
        </is>
      </c>
      <c r="C234" s="31" t="inlineStr">
        <is>
          <t>天水</t>
        </is>
      </c>
      <c r="D234" s="31" t="inlineStr">
        <is>
          <t>董孝军</t>
        </is>
      </c>
      <c r="E234" s="89" t="n"/>
      <c r="F234" s="27" t="inlineStr">
        <is>
          <t>2025/2026</t>
        </is>
      </c>
      <c r="G234" s="27" t="inlineStr">
        <is>
          <t>10/3/4</t>
        </is>
      </c>
      <c r="H234" s="91">
        <f>2134+85850</f>
        <v/>
      </c>
      <c r="I234" s="91">
        <f>4245+66955</f>
        <v/>
      </c>
      <c r="J234" s="91" t="n"/>
      <c r="K234" s="91">
        <f>+H234+I234+J234</f>
        <v/>
      </c>
      <c r="L234" s="91" t="inlineStr">
        <is>
          <t>8折</t>
        </is>
      </c>
      <c r="M234" s="91" t="n">
        <v>5103</v>
      </c>
      <c r="N234" s="91" t="n"/>
      <c r="O234" s="91" t="n"/>
      <c r="P234" s="91" t="n"/>
      <c r="Q234" s="91" t="n"/>
      <c r="R234" s="91" t="n"/>
      <c r="S234" s="91" t="n"/>
      <c r="T234" s="91" t="n"/>
      <c r="U234" s="91" t="n"/>
      <c r="V234" s="91" t="n"/>
      <c r="W234" s="91" t="n"/>
      <c r="X234" s="91" t="n"/>
      <c r="Y234" s="91" t="n"/>
      <c r="Z234" s="91" t="n"/>
      <c r="AA234" s="91" t="n"/>
      <c r="AB234" s="91" t="n"/>
      <c r="AC234" s="91" t="n"/>
      <c r="AD234" s="91" t="n"/>
      <c r="AE234" s="91" t="n"/>
      <c r="AF234" s="91" t="n"/>
      <c r="AG234" s="30" t="n"/>
      <c r="AH234" s="30" t="n"/>
      <c r="AI234" s="30" t="n"/>
      <c r="AJ234" s="30" t="n"/>
      <c r="AK234" s="30" t="n"/>
      <c r="AL234" s="30" t="n"/>
      <c r="AM234" s="91" t="n"/>
      <c r="AN234" s="91" t="n"/>
      <c r="AO234" s="91" t="n"/>
      <c r="AP234" s="91" t="n"/>
      <c r="AQ234" s="91" t="n"/>
      <c r="AR234" s="91" t="n"/>
      <c r="AS234" s="91" t="n"/>
      <c r="AT234" s="91" t="n"/>
      <c r="AU234" s="91" t="n"/>
      <c r="AV234" s="31" t="n"/>
      <c r="AW234" s="36" t="n"/>
      <c r="AX234" s="16" t="n"/>
      <c r="AY234" s="31" t="n"/>
      <c r="AZ234" s="92" t="n"/>
      <c r="BA234" s="91" t="n"/>
      <c r="BB234" s="91" t="n"/>
      <c r="BC234" s="91" t="n"/>
      <c r="BD234" s="91" t="n"/>
      <c r="BE234" s="91" t="n"/>
      <c r="BF234" s="91" t="n"/>
      <c r="BG234" s="91" t="n"/>
      <c r="BH234" s="91" t="n"/>
      <c r="BI234" s="91" t="n"/>
      <c r="BJ234" s="91" t="n"/>
      <c r="BK234" s="91" t="n"/>
      <c r="BL234" s="91" t="n"/>
      <c r="BM234" s="91" t="n"/>
      <c r="BN234" s="91" t="n"/>
      <c r="BO234" s="91" t="n"/>
      <c r="BP234" s="91" t="n"/>
      <c r="BQ234" s="91" t="n"/>
      <c r="BR234" s="91" t="n"/>
      <c r="BS234" s="91" t="n"/>
      <c r="BT234" s="91" t="n"/>
      <c r="BU234" s="91" t="n"/>
      <c r="BV234" s="91" t="n"/>
      <c r="BW234" s="91" t="n"/>
      <c r="BX234" s="91" t="n"/>
      <c r="BY234" s="91" t="n"/>
      <c r="BZ234" s="91">
        <f>SUM(BN234:BY234)</f>
        <v/>
      </c>
      <c r="CA234" s="91" t="n"/>
      <c r="CB234" s="91" t="n"/>
      <c r="CC234" s="91" t="n"/>
      <c r="CD234" s="91" t="n"/>
      <c r="CE234" s="91" t="n"/>
      <c r="CF234" s="91" t="n"/>
      <c r="CG234" s="91" t="n"/>
      <c r="CH234" s="91" t="inlineStr"/>
      <c r="CI234" s="91" t="n"/>
      <c r="CJ234" s="91" t="inlineStr"/>
      <c r="CK234" s="91" t="n"/>
      <c r="CL234" s="91" t="n">
        <v>34691</v>
      </c>
      <c r="CM234" s="91">
        <f>SUM(CA234:CL234)</f>
        <v/>
      </c>
      <c r="CN234" s="91" t="n"/>
      <c r="CO234" s="91" t="n"/>
      <c r="CP234" s="91" t="n"/>
      <c r="CQ234" s="93" t="n"/>
      <c r="CR234" s="94" t="n"/>
      <c r="CS234" s="94" t="n"/>
      <c r="CT234" s="91" t="n"/>
      <c r="CU234" s="91" t="n"/>
      <c r="CV234" s="91" t="n"/>
      <c r="CW234" s="91" t="n"/>
      <c r="CX234" s="91" t="n"/>
      <c r="CY234" s="91" t="n"/>
      <c r="CZ234" s="91">
        <f>SUM(CN234:CY234)</f>
        <v/>
      </c>
      <c r="DA234" s="35" t="n"/>
    </row>
    <row r="235" ht="18.75" customFormat="1" customHeight="1" s="1">
      <c r="A235" s="30" t="n">
        <v>236</v>
      </c>
      <c r="B235" s="31" t="inlineStr">
        <is>
          <t>江苏</t>
        </is>
      </c>
      <c r="C235" s="31" t="inlineStr">
        <is>
          <t>常州</t>
        </is>
      </c>
      <c r="D235" s="31" t="inlineStr">
        <is>
          <t>高铮</t>
        </is>
      </c>
      <c r="E235" s="89" t="n"/>
      <c r="F235" s="27" t="inlineStr">
        <is>
          <t>2025</t>
        </is>
      </c>
      <c r="G235" s="27" t="inlineStr">
        <is>
          <t>9/10/12</t>
        </is>
      </c>
      <c r="H235" s="83">
        <f>34360+5525+2110</f>
        <v/>
      </c>
      <c r="I235" s="91" t="n">
        <v>20175</v>
      </c>
      <c r="J235" s="91" t="n"/>
      <c r="K235" s="91">
        <f>+H235+I235+J235</f>
        <v/>
      </c>
      <c r="L235" s="91" t="inlineStr">
        <is>
          <t>8折</t>
        </is>
      </c>
      <c r="M235" s="91" t="n">
        <v>43497</v>
      </c>
      <c r="N235" s="91" t="n"/>
      <c r="O235" s="91" t="n"/>
      <c r="P235" s="91" t="n"/>
      <c r="Q235" s="91" t="n"/>
      <c r="R235" s="91" t="n"/>
      <c r="S235" s="91" t="n"/>
      <c r="T235" s="91" t="n"/>
      <c r="U235" s="91" t="n"/>
      <c r="V235" s="91" t="n"/>
      <c r="W235" s="91" t="n"/>
      <c r="X235" s="91" t="n"/>
      <c r="Y235" s="91" t="n"/>
      <c r="Z235" s="91" t="n"/>
      <c r="AA235" s="91" t="n"/>
      <c r="AB235" s="91" t="n"/>
      <c r="AC235" s="91" t="n"/>
      <c r="AD235" s="91" t="n"/>
      <c r="AE235" s="91" t="n"/>
      <c r="AF235" s="91" t="n"/>
      <c r="AG235" s="30" t="n"/>
      <c r="AH235" s="30" t="n"/>
      <c r="AI235" s="30" t="n"/>
      <c r="AJ235" s="30" t="n"/>
      <c r="AK235" s="30" t="n"/>
      <c r="AL235" s="30" t="n"/>
      <c r="AM235" s="91" t="n"/>
      <c r="AN235" s="91" t="n"/>
      <c r="AO235" s="91" t="n"/>
      <c r="AP235" s="91" t="n"/>
      <c r="AQ235" s="91" t="n"/>
      <c r="AR235" s="91" t="n"/>
      <c r="AS235" s="91" t="n"/>
      <c r="AT235" s="91" t="n"/>
      <c r="AU235" s="91" t="n"/>
      <c r="AV235" s="31" t="n"/>
      <c r="AW235" s="36" t="n"/>
      <c r="AX235" s="16" t="n"/>
      <c r="AY235" s="31" t="n"/>
      <c r="AZ235" s="92" t="n"/>
      <c r="BA235" s="91" t="n"/>
      <c r="BB235" s="91" t="n"/>
      <c r="BC235" s="91" t="n"/>
      <c r="BD235" s="91" t="n"/>
      <c r="BE235" s="91" t="n"/>
      <c r="BF235" s="91" t="n"/>
      <c r="BG235" s="91" t="n"/>
      <c r="BH235" s="91" t="n"/>
      <c r="BI235" s="91" t="n"/>
      <c r="BJ235" s="91" t="n"/>
      <c r="BK235" s="91" t="n"/>
      <c r="BL235" s="91" t="n"/>
      <c r="BM235" s="91" t="n"/>
      <c r="BN235" s="91" t="n"/>
      <c r="BO235" s="91" t="n"/>
      <c r="BP235" s="91" t="n"/>
      <c r="BQ235" s="91" t="n"/>
      <c r="BR235" s="91" t="n"/>
      <c r="BS235" s="91" t="n"/>
      <c r="BT235" s="91" t="n"/>
      <c r="BU235" s="91" t="n"/>
      <c r="BV235" s="91" t="n"/>
      <c r="BW235" s="91" t="n"/>
      <c r="BX235" s="91" t="n"/>
      <c r="BY235" s="91" t="n"/>
      <c r="BZ235" s="91">
        <f>SUM(BN235:BY235)</f>
        <v/>
      </c>
      <c r="CA235" s="91" t="n"/>
      <c r="CB235" s="91" t="n"/>
      <c r="CC235" s="91" t="n"/>
      <c r="CD235" s="91" t="n"/>
      <c r="CE235" s="91" t="n"/>
      <c r="CF235" s="91" t="n"/>
      <c r="CG235" s="91" t="n"/>
      <c r="CH235" s="91" t="inlineStr"/>
      <c r="CI235" s="91" t="n"/>
      <c r="CJ235" s="91" t="inlineStr"/>
      <c r="CK235" s="91" t="n"/>
      <c r="CL235" s="91" t="inlineStr"/>
      <c r="CM235" s="91">
        <f>SUM(CA235:CL235)</f>
        <v/>
      </c>
      <c r="CN235" s="91" t="n"/>
      <c r="CO235" s="91" t="n"/>
      <c r="CP235" s="91" t="n"/>
      <c r="CQ235" s="93" t="n"/>
      <c r="CR235" s="94" t="n"/>
      <c r="CS235" s="94" t="n"/>
      <c r="CT235" s="91" t="n"/>
      <c r="CU235" s="91" t="n"/>
      <c r="CV235" s="91" t="n"/>
      <c r="CW235" s="91" t="n"/>
      <c r="CX235" s="91" t="n"/>
      <c r="CY235" s="91" t="n"/>
      <c r="CZ235" s="91">
        <f>SUM(CN235:CY235)</f>
        <v/>
      </c>
      <c r="DA235" s="35" t="n"/>
    </row>
    <row r="236" ht="28.5" customFormat="1" customHeight="1" s="1">
      <c r="A236" s="30" t="n">
        <v>237</v>
      </c>
      <c r="B236" s="31" t="inlineStr">
        <is>
          <t>江西</t>
        </is>
      </c>
      <c r="C236" s="31" t="inlineStr">
        <is>
          <t>庐山</t>
        </is>
      </c>
      <c r="D236" s="31" t="inlineStr">
        <is>
          <t>吴兰玲</t>
        </is>
      </c>
      <c r="E236" s="89" t="n"/>
      <c r="F236" s="27" t="inlineStr">
        <is>
          <t>2025/2026</t>
        </is>
      </c>
      <c r="G236" s="27" t="inlineStr">
        <is>
          <t>10/11/12/1</t>
        </is>
      </c>
      <c r="H236" s="91">
        <f>37424+50440+58550+24044.49+2014</f>
        <v/>
      </c>
      <c r="I236" s="91">
        <f>103314+33229+6440</f>
        <v/>
      </c>
      <c r="J236" s="91" t="n">
        <v>11711</v>
      </c>
      <c r="K236" s="91">
        <f>+H236+I236+J236</f>
        <v/>
      </c>
      <c r="L236" s="91" t="inlineStr">
        <is>
          <t>5折</t>
        </is>
      </c>
      <c r="M236" s="91">
        <f>24046+29719+55057+36757.05</f>
        <v/>
      </c>
      <c r="N236" s="91" t="n"/>
      <c r="O236" s="91" t="n"/>
      <c r="P236" s="91" t="n"/>
      <c r="Q236" s="91" t="n"/>
      <c r="R236" s="91" t="n"/>
      <c r="S236" s="91" t="n"/>
      <c r="T236" s="91" t="n"/>
      <c r="U236" s="91" t="n"/>
      <c r="V236" s="91" t="n"/>
      <c r="W236" s="91" t="n"/>
      <c r="X236" s="91" t="n"/>
      <c r="Y236" s="91" t="n"/>
      <c r="Z236" s="91" t="n"/>
      <c r="AA236" s="91" t="n"/>
      <c r="AB236" s="91" t="n"/>
      <c r="AC236" s="91" t="n"/>
      <c r="AD236" s="91" t="n"/>
      <c r="AE236" s="91" t="n"/>
      <c r="AF236" s="91" t="n"/>
      <c r="AG236" s="30" t="n"/>
      <c r="AH236" s="30" t="n"/>
      <c r="AI236" s="30" t="n"/>
      <c r="AJ236" s="30" t="n"/>
      <c r="AK236" s="30" t="n"/>
      <c r="AL236" s="30" t="n"/>
      <c r="AM236" s="91" t="n"/>
      <c r="AN236" s="91" t="n"/>
      <c r="AO236" s="91" t="n"/>
      <c r="AP236" s="91" t="n"/>
      <c r="AQ236" s="91" t="n"/>
      <c r="AR236" s="91" t="n"/>
      <c r="AS236" s="91" t="n"/>
      <c r="AT236" s="91" t="n"/>
      <c r="AU236" s="91" t="n"/>
      <c r="AV236" s="31" t="n"/>
      <c r="AW236" s="36" t="n"/>
      <c r="AX236" s="16" t="n"/>
      <c r="AY236" s="31" t="n"/>
      <c r="AZ236" s="92" t="n"/>
      <c r="BA236" s="91" t="n"/>
      <c r="BB236" s="91" t="n"/>
      <c r="BC236" s="91" t="n"/>
      <c r="BD236" s="91" t="n"/>
      <c r="BE236" s="91" t="n"/>
      <c r="BF236" s="91" t="n"/>
      <c r="BG236" s="91" t="n"/>
      <c r="BH236" s="91" t="n"/>
      <c r="BI236" s="91" t="n"/>
      <c r="BJ236" s="91" t="n"/>
      <c r="BK236" s="91" t="n"/>
      <c r="BL236" s="91" t="n"/>
      <c r="BM236" s="91" t="n"/>
      <c r="BN236" s="91" t="n"/>
      <c r="BO236" s="91" t="n"/>
      <c r="BP236" s="91" t="n"/>
      <c r="BQ236" s="91" t="n"/>
      <c r="BR236" s="91" t="n"/>
      <c r="BS236" s="91" t="n"/>
      <c r="BT236" s="91" t="n"/>
      <c r="BU236" s="91" t="n"/>
      <c r="BV236" s="91" t="n"/>
      <c r="BW236" s="91" t="n"/>
      <c r="BX236" s="91" t="n"/>
      <c r="BY236" s="91" t="n"/>
      <c r="BZ236" s="91">
        <f>SUM(BN236:BY236)</f>
        <v/>
      </c>
      <c r="CA236" s="91" t="n"/>
      <c r="CB236" s="91" t="n"/>
      <c r="CC236" s="91" t="n"/>
      <c r="CD236" s="91" t="n"/>
      <c r="CE236" s="91" t="n"/>
      <c r="CF236" s="91" t="n"/>
      <c r="CG236" s="91" t="n"/>
      <c r="CH236" s="91" t="inlineStr"/>
      <c r="CI236" s="91" t="n"/>
      <c r="CJ236" s="91" t="inlineStr"/>
      <c r="CK236" s="91" t="n"/>
      <c r="CL236" s="91" t="inlineStr"/>
      <c r="CM236" s="91">
        <f>SUM(CA236:CL236)</f>
        <v/>
      </c>
      <c r="CN236" s="91" t="n"/>
      <c r="CO236" s="91" t="n"/>
      <c r="CP236" s="91" t="n"/>
      <c r="CQ236" s="93" t="n"/>
      <c r="CR236" s="94" t="n"/>
      <c r="CS236" s="94" t="n"/>
      <c r="CT236" s="91" t="n"/>
      <c r="CU236" s="91" t="n"/>
      <c r="CV236" s="91" t="n"/>
      <c r="CW236" s="91" t="n"/>
      <c r="CX236" s="91" t="n"/>
      <c r="CY236" s="91" t="n"/>
      <c r="CZ236" s="91">
        <f>SUM(CN236:CY236)</f>
        <v/>
      </c>
      <c r="DA236" s="35" t="n"/>
    </row>
    <row r="237" ht="18.75" customFormat="1" customHeight="1" s="1">
      <c r="A237" s="30" t="n">
        <v>238</v>
      </c>
      <c r="B237" s="31" t="inlineStr">
        <is>
          <t>贵州省</t>
        </is>
      </c>
      <c r="C237" s="31" t="inlineStr">
        <is>
          <t>贵阳市开阳县城关镇</t>
        </is>
      </c>
      <c r="D237" s="31" t="inlineStr">
        <is>
          <t>翟爱东</t>
        </is>
      </c>
      <c r="E237" s="89" t="n"/>
      <c r="F237" s="27" t="inlineStr">
        <is>
          <t>2025/2026</t>
        </is>
      </c>
      <c r="G237" s="27" t="inlineStr">
        <is>
          <t>11/4</t>
        </is>
      </c>
      <c r="H237" s="105">
        <f>130977.11+3512</f>
        <v/>
      </c>
      <c r="I237" s="91" t="n">
        <v>32683</v>
      </c>
      <c r="J237" s="91" t="n">
        <v>2183</v>
      </c>
      <c r="K237" s="91">
        <f>+H237+I237+J237</f>
        <v/>
      </c>
      <c r="L237" s="91" t="inlineStr">
        <is>
          <t>5折</t>
        </is>
      </c>
      <c r="M237" s="91">
        <f>90596+16342+1343</f>
        <v/>
      </c>
      <c r="N237" s="91" t="n"/>
      <c r="O237" s="91" t="n"/>
      <c r="P237" s="91" t="n"/>
      <c r="Q237" s="91" t="n"/>
      <c r="R237" s="91" t="n"/>
      <c r="S237" s="91" t="n"/>
      <c r="T237" s="91" t="n"/>
      <c r="U237" s="91" t="n"/>
      <c r="V237" s="91" t="n"/>
      <c r="W237" s="91" t="n"/>
      <c r="X237" s="91" t="n"/>
      <c r="Y237" s="91" t="n"/>
      <c r="Z237" s="91" t="n"/>
      <c r="AA237" s="91" t="n"/>
      <c r="AB237" s="91" t="n"/>
      <c r="AC237" s="91" t="n"/>
      <c r="AD237" s="91" t="n"/>
      <c r="AE237" s="91" t="n"/>
      <c r="AF237" s="91" t="n"/>
      <c r="AG237" s="30" t="n"/>
      <c r="AH237" s="30" t="n"/>
      <c r="AI237" s="30" t="n"/>
      <c r="AJ237" s="30" t="n"/>
      <c r="AK237" s="30" t="n"/>
      <c r="AL237" s="30" t="n"/>
      <c r="AM237" s="91" t="n"/>
      <c r="AN237" s="91" t="n"/>
      <c r="AO237" s="91" t="n"/>
      <c r="AP237" s="91" t="n"/>
      <c r="AQ237" s="91" t="n"/>
      <c r="AR237" s="91" t="n"/>
      <c r="AS237" s="91" t="n"/>
      <c r="AT237" s="91" t="n"/>
      <c r="AU237" s="91" t="n"/>
      <c r="AV237" s="31" t="n"/>
      <c r="AW237" s="36" t="n"/>
      <c r="AX237" s="16" t="n"/>
      <c r="AY237" s="31" t="n"/>
      <c r="AZ237" s="92" t="n"/>
      <c r="BA237" s="91" t="n"/>
      <c r="BB237" s="91" t="n"/>
      <c r="BC237" s="91" t="n"/>
      <c r="BD237" s="91" t="n"/>
      <c r="BE237" s="91" t="n"/>
      <c r="BF237" s="91" t="n"/>
      <c r="BG237" s="91" t="n"/>
      <c r="BH237" s="91" t="n"/>
      <c r="BI237" s="91" t="n"/>
      <c r="BJ237" s="91" t="n"/>
      <c r="BK237" s="91" t="n"/>
      <c r="BL237" s="91" t="n"/>
      <c r="BM237" s="91" t="n"/>
      <c r="BN237" s="91" t="n"/>
      <c r="BO237" s="91" t="n"/>
      <c r="BP237" s="91" t="n"/>
      <c r="BQ237" s="91" t="n"/>
      <c r="BR237" s="91" t="n"/>
      <c r="BS237" s="91" t="n"/>
      <c r="BT237" s="91" t="n"/>
      <c r="BU237" s="91" t="n"/>
      <c r="BV237" s="91" t="n"/>
      <c r="BW237" s="91" t="n"/>
      <c r="BX237" s="91" t="n"/>
      <c r="BY237" s="91" t="n"/>
      <c r="BZ237" s="91">
        <f>SUM(BN237:BY237)</f>
        <v/>
      </c>
      <c r="CA237" s="91" t="n"/>
      <c r="CB237" s="91" t="n"/>
      <c r="CC237" s="91" t="n"/>
      <c r="CD237" s="91" t="n"/>
      <c r="CE237" s="91" t="n"/>
      <c r="CF237" s="91" t="n"/>
      <c r="CG237" s="91" t="n"/>
      <c r="CH237" s="91" t="inlineStr"/>
      <c r="CI237" s="91" t="n"/>
      <c r="CJ237" s="91" t="inlineStr"/>
      <c r="CK237" s="91" t="n"/>
      <c r="CL237" s="91" t="inlineStr"/>
      <c r="CM237" s="91">
        <f>SUM(CA237:CL237)</f>
        <v/>
      </c>
      <c r="CN237" s="91" t="n"/>
      <c r="CO237" s="91" t="n"/>
      <c r="CP237" s="91" t="n"/>
      <c r="CQ237" s="93" t="n"/>
      <c r="CR237" s="94" t="n"/>
      <c r="CS237" s="94" t="n"/>
      <c r="CT237" s="91" t="n"/>
      <c r="CU237" s="91" t="n"/>
      <c r="CV237" s="91" t="n"/>
      <c r="CW237" s="91" t="n"/>
      <c r="CX237" s="91" t="n"/>
      <c r="CY237" s="91" t="n"/>
      <c r="CZ237" s="91">
        <f>SUM(CN237:CY237)</f>
        <v/>
      </c>
      <c r="DA237" s="35" t="n"/>
    </row>
    <row r="238" ht="20.25" customFormat="1" customHeight="1" s="1">
      <c r="A238" s="30" t="n">
        <v>239</v>
      </c>
      <c r="B238" s="31" t="inlineStr">
        <is>
          <t>湖南</t>
        </is>
      </c>
      <c r="C238" s="31" t="inlineStr">
        <is>
          <t>浏阳</t>
        </is>
      </c>
      <c r="D238" s="31" t="inlineStr">
        <is>
          <t>陈专兴</t>
        </is>
      </c>
      <c r="E238" s="89" t="n"/>
      <c r="F238" s="27" t="n"/>
      <c r="G238" s="27" t="n"/>
      <c r="H238" s="91" t="n"/>
      <c r="I238" s="91" t="n"/>
      <c r="J238" s="91" t="n"/>
      <c r="K238" s="91">
        <f>+H238+I238+J238</f>
        <v/>
      </c>
      <c r="L238" s="91" t="n"/>
      <c r="M238" s="91" t="n"/>
      <c r="N238" s="91" t="n"/>
      <c r="O238" s="91" t="n"/>
      <c r="P238" s="91" t="n"/>
      <c r="Q238" s="91" t="n"/>
      <c r="R238" s="91" t="n"/>
      <c r="S238" s="91" t="n"/>
      <c r="T238" s="91" t="n"/>
      <c r="U238" s="91" t="n"/>
      <c r="V238" s="91" t="n"/>
      <c r="W238" s="91" t="n"/>
      <c r="X238" s="91" t="n"/>
      <c r="Y238" s="91" t="n"/>
      <c r="Z238" s="91" t="n"/>
      <c r="AA238" s="91" t="n"/>
      <c r="AB238" s="91" t="n"/>
      <c r="AC238" s="91" t="n"/>
      <c r="AD238" s="91" t="n"/>
      <c r="AE238" s="91" t="n"/>
      <c r="AF238" s="91" t="n"/>
      <c r="AG238" s="30" t="n"/>
      <c r="AH238" s="30" t="n"/>
      <c r="AI238" s="30" t="n"/>
      <c r="AJ238" s="30" t="n"/>
      <c r="AK238" s="30" t="n"/>
      <c r="AL238" s="30" t="n"/>
      <c r="AM238" s="91" t="n"/>
      <c r="AN238" s="91" t="n"/>
      <c r="AO238" s="91" t="n"/>
      <c r="AP238" s="91" t="n"/>
      <c r="AQ238" s="91" t="n"/>
      <c r="AR238" s="91" t="n"/>
      <c r="AS238" s="91" t="n"/>
      <c r="AT238" s="91" t="n"/>
      <c r="AU238" s="91" t="n"/>
      <c r="AV238" s="31" t="n"/>
      <c r="AW238" s="36" t="n"/>
      <c r="AX238" s="16" t="n"/>
      <c r="AY238" s="31" t="n"/>
      <c r="AZ238" s="92" t="n"/>
      <c r="BA238" s="91" t="n"/>
      <c r="BB238" s="91" t="n"/>
      <c r="BC238" s="91" t="n"/>
      <c r="BD238" s="91" t="n"/>
      <c r="BE238" s="91" t="n"/>
      <c r="BF238" s="91" t="n"/>
      <c r="BG238" s="91" t="n"/>
      <c r="BH238" s="91" t="n"/>
      <c r="BI238" s="91" t="n"/>
      <c r="BJ238" s="91" t="n"/>
      <c r="BK238" s="91" t="n"/>
      <c r="BL238" s="91" t="n"/>
      <c r="BM238" s="91" t="n"/>
      <c r="BN238" s="91" t="n"/>
      <c r="BO238" s="91" t="n"/>
      <c r="BP238" s="91" t="n"/>
      <c r="BQ238" s="91" t="n"/>
      <c r="BR238" s="91" t="n"/>
      <c r="BS238" s="91" t="n"/>
      <c r="BT238" s="91" t="n"/>
      <c r="BU238" s="91" t="n"/>
      <c r="BV238" s="91" t="n"/>
      <c r="BW238" s="91" t="n"/>
      <c r="BX238" s="91" t="n"/>
      <c r="BY238" s="91" t="n"/>
      <c r="BZ238" s="91">
        <f>SUM(BN238:BY238)</f>
        <v/>
      </c>
      <c r="CA238" s="91" t="n"/>
      <c r="CB238" s="91" t="n"/>
      <c r="CC238" s="91" t="n"/>
      <c r="CD238" s="91" t="n"/>
      <c r="CE238" s="91" t="n"/>
      <c r="CF238" s="91" t="n"/>
      <c r="CG238" s="91" t="n"/>
      <c r="CH238" s="91" t="inlineStr"/>
      <c r="CI238" s="91" t="n"/>
      <c r="CJ238" s="91" t="inlineStr"/>
      <c r="CK238" s="91" t="n">
        <v>46833</v>
      </c>
      <c r="CL238" s="91" t="n">
        <v>11191</v>
      </c>
      <c r="CM238" s="91">
        <f>SUM(CA238:CL238)</f>
        <v/>
      </c>
      <c r="CN238" s="91" t="n"/>
      <c r="CO238" s="91" t="n"/>
      <c r="CP238" s="91" t="n"/>
      <c r="CQ238" s="93" t="n"/>
      <c r="CR238" s="94" t="n"/>
      <c r="CS238" s="94" t="n"/>
      <c r="CT238" s="91" t="n"/>
      <c r="CU238" s="91" t="n"/>
      <c r="CV238" s="91" t="n"/>
      <c r="CW238" s="91" t="n"/>
      <c r="CX238" s="91" t="n"/>
      <c r="CY238" s="91" t="n"/>
      <c r="CZ238" s="91">
        <f>SUM(CN238:CY238)</f>
        <v/>
      </c>
      <c r="DA238" s="35" t="n"/>
      <c r="DB238" s="2" t="n"/>
      <c r="DC238" s="2" t="n"/>
      <c r="DD238" s="2" t="n"/>
      <c r="DE238" s="2" t="n"/>
      <c r="DF238" s="2" t="n"/>
      <c r="DG238" s="2" t="n"/>
      <c r="DH238" s="2" t="n"/>
      <c r="DI238" s="2" t="n"/>
      <c r="DJ238" s="2" t="n"/>
      <c r="DK238" s="2" t="n"/>
      <c r="DL238" s="2" t="n"/>
      <c r="DM238" s="2" t="n"/>
      <c r="DN238" s="2" t="n"/>
      <c r="DO238" s="2" t="n"/>
      <c r="DP238" s="2" t="n"/>
      <c r="DQ238" s="2" t="n"/>
      <c r="DR238" s="2" t="n"/>
      <c r="DS238" s="2" t="n"/>
      <c r="DT238" s="2" t="n"/>
      <c r="DU238" s="2" t="n"/>
      <c r="DV238" s="2" t="n"/>
      <c r="DW238" s="2" t="n"/>
      <c r="DX238" s="2" t="n"/>
      <c r="DY238" s="2" t="n"/>
      <c r="DZ238" s="2" t="n"/>
      <c r="EA238" s="2" t="n"/>
      <c r="EB238" s="2" t="n"/>
      <c r="EC238" s="2" t="n"/>
      <c r="ED238" s="2" t="n"/>
      <c r="EE238" s="2" t="n"/>
      <c r="EF238" s="2" t="n"/>
      <c r="EG238" s="2" t="n"/>
      <c r="EH238" s="2" t="n"/>
      <c r="EI238" s="2" t="n"/>
      <c r="EJ238" s="2" t="n"/>
      <c r="EK238" s="2" t="n"/>
      <c r="EL238" s="2" t="n"/>
      <c r="EM238" s="2" t="n"/>
      <c r="EN238" s="2" t="n"/>
      <c r="EO238" s="2" t="n"/>
      <c r="EP238" s="2" t="n"/>
      <c r="EQ238" s="2" t="n"/>
      <c r="ER238" s="2" t="n"/>
      <c r="ES238" s="2" t="n"/>
      <c r="ET238" s="2" t="n"/>
      <c r="EU238" s="2" t="n"/>
      <c r="EV238" s="2" t="n"/>
      <c r="EW238" s="2" t="n"/>
      <c r="EX238" s="2" t="n"/>
      <c r="EY238" s="2" t="n"/>
      <c r="EZ238" s="2" t="n"/>
      <c r="FA238" s="2" t="n"/>
      <c r="FB238" s="2" t="n"/>
      <c r="FC238" s="2" t="n"/>
      <c r="FD238" s="2" t="n"/>
      <c r="FE238" s="2" t="n"/>
      <c r="FF238" s="2" t="n"/>
      <c r="FG238" s="2" t="n"/>
      <c r="FH238" s="2" t="n"/>
      <c r="FI238" s="2" t="n"/>
      <c r="FJ238" s="2" t="n"/>
      <c r="FK238" s="2" t="n"/>
      <c r="FL238" s="2" t="n"/>
      <c r="FM238" s="2" t="n"/>
      <c r="FN238" s="2" t="n"/>
      <c r="FO238" s="2" t="n"/>
      <c r="FP238" s="2" t="n"/>
      <c r="FQ238" s="2" t="n"/>
      <c r="FR238" s="2" t="n"/>
      <c r="FS238" s="2" t="n"/>
      <c r="FT238" s="2" t="n"/>
      <c r="FU238" s="2" t="n"/>
      <c r="FV238" s="2" t="n"/>
      <c r="FW238" s="2" t="n"/>
      <c r="FX238" s="2" t="n"/>
      <c r="FY238" s="2" t="n"/>
      <c r="FZ238" s="2" t="n"/>
      <c r="GA238" s="2" t="n"/>
      <c r="GB238" s="2" t="n"/>
      <c r="GC238" s="2" t="n"/>
      <c r="GD238" s="2" t="n"/>
      <c r="GE238" s="2" t="n"/>
      <c r="GF238" s="2" t="n"/>
      <c r="GG238" s="2" t="n"/>
      <c r="GH238" s="2" t="n"/>
      <c r="GI238" s="2" t="n"/>
      <c r="GJ238" s="2" t="n"/>
      <c r="GK238" s="2" t="n"/>
      <c r="GL238" s="2" t="n"/>
      <c r="GM238" s="2" t="n"/>
      <c r="GN238" s="2" t="n"/>
      <c r="GO238" s="2" t="n"/>
      <c r="GP238" s="2" t="n"/>
      <c r="GQ238" s="2" t="n"/>
      <c r="GR238" s="2" t="n"/>
      <c r="GS238" s="2" t="n"/>
      <c r="GT238" s="2" t="n"/>
      <c r="GU238" s="2" t="n"/>
      <c r="GV238" s="2" t="n"/>
      <c r="GW238" s="2" t="n"/>
      <c r="GX238" s="2" t="n"/>
      <c r="GY238" s="2" t="n"/>
      <c r="GZ238" s="2" t="n"/>
      <c r="HA238" s="2" t="n"/>
      <c r="HB238" s="2" t="n"/>
      <c r="HC238" s="2" t="n"/>
      <c r="HD238" s="2" t="n"/>
      <c r="HE238" s="2" t="n"/>
      <c r="HF238" s="2" t="n"/>
      <c r="HG238" s="2" t="n"/>
      <c r="HH238" s="2" t="n"/>
      <c r="HI238" s="2" t="n"/>
      <c r="HJ238" s="2" t="n"/>
      <c r="HK238" s="2" t="n"/>
      <c r="HL238" s="2" t="n"/>
      <c r="HM238" s="2" t="n"/>
      <c r="HN238" s="2" t="n"/>
      <c r="HO238" s="2" t="n"/>
      <c r="HP238" s="2" t="n"/>
      <c r="HQ238" s="2" t="n"/>
      <c r="HR238" s="2" t="n"/>
      <c r="HS238" s="2" t="n"/>
      <c r="HT238" s="2" t="n"/>
      <c r="HU238" s="2" t="n"/>
      <c r="HV238" s="2" t="n"/>
      <c r="HW238" s="2" t="n"/>
      <c r="HX238" s="2" t="n"/>
      <c r="HY238" s="2" t="n"/>
      <c r="HZ238" s="2" t="n"/>
      <c r="IA238" s="2" t="n"/>
      <c r="IB238" s="2" t="n"/>
      <c r="IC238" s="2" t="n"/>
      <c r="ID238" s="2" t="n"/>
      <c r="IE238" s="2" t="n"/>
      <c r="IF238" s="2" t="n"/>
      <c r="IG238" s="2" t="n"/>
      <c r="IH238" s="2" t="n"/>
      <c r="II238" s="2" t="n"/>
      <c r="IJ238" s="2" t="n"/>
      <c r="IK238" s="2" t="n"/>
      <c r="IL238" s="2" t="n"/>
      <c r="IM238" s="2" t="n"/>
      <c r="IN238" s="2" t="n"/>
      <c r="IO238" s="2" t="n"/>
      <c r="IP238" s="2" t="n"/>
      <c r="IQ238" s="2" t="n"/>
      <c r="IR238" s="2" t="n"/>
      <c r="IS238" s="2" t="n"/>
      <c r="IT238" s="2" t="n"/>
      <c r="IU238" s="2" t="n"/>
      <c r="IV238" s="2" t="n"/>
      <c r="IW238" s="2" t="n"/>
      <c r="IX238" s="2" t="n"/>
      <c r="IY238" s="2" t="n"/>
      <c r="IZ238" s="2" t="n"/>
      <c r="JA238" s="2" t="n"/>
      <c r="JB238" s="2" t="n"/>
      <c r="JC238" s="2" t="n"/>
      <c r="JD238" s="2" t="n"/>
      <c r="JE238" s="2" t="n"/>
      <c r="JF238" s="2" t="n"/>
      <c r="JG238" s="2" t="n"/>
      <c r="JH238" s="2" t="n"/>
      <c r="JI238" s="2" t="n"/>
      <c r="JJ238" s="2" t="n"/>
      <c r="JK238" s="2" t="n"/>
      <c r="JL238" s="2" t="n"/>
      <c r="JM238" s="2" t="n"/>
      <c r="JN238" s="2" t="n"/>
      <c r="JO238" s="2" t="n"/>
      <c r="JP238" s="2" t="n"/>
      <c r="JQ238" s="2" t="n"/>
      <c r="JR238" s="2" t="n"/>
      <c r="JS238" s="2" t="n"/>
      <c r="JT238" s="2" t="n"/>
      <c r="JU238" s="2" t="n"/>
      <c r="JV238" s="2" t="n"/>
      <c r="JW238" s="2" t="n"/>
      <c r="JX238" s="2" t="n"/>
      <c r="JY238" s="2" t="n"/>
      <c r="JZ238" s="2" t="n"/>
      <c r="KA238" s="2" t="n"/>
      <c r="KB238" s="2" t="n"/>
      <c r="KC238" s="2" t="n"/>
      <c r="KD238" s="2" t="n"/>
      <c r="KE238" s="2" t="n"/>
      <c r="KF238" s="2" t="n"/>
      <c r="KG238" s="2" t="n"/>
      <c r="KH238" s="2" t="n"/>
      <c r="KI238" s="2" t="n"/>
      <c r="KJ238" s="2" t="n"/>
      <c r="KK238" s="2" t="n"/>
      <c r="KL238" s="2" t="n"/>
      <c r="KM238" s="2" t="n"/>
      <c r="KN238" s="2" t="n"/>
      <c r="KO238" s="2" t="n"/>
      <c r="KP238" s="2" t="n"/>
      <c r="KQ238" s="2" t="n"/>
      <c r="KR238" s="2" t="n"/>
      <c r="KS238" s="2" t="n"/>
      <c r="KT238" s="2" t="n"/>
      <c r="KU238" s="2" t="n"/>
      <c r="KV238" s="2" t="n"/>
      <c r="KW238" s="2" t="n"/>
      <c r="KX238" s="2" t="n"/>
      <c r="KY238" s="2" t="n"/>
      <c r="KZ238" s="2" t="n"/>
      <c r="LA238" s="2" t="n"/>
      <c r="LB238" s="2" t="n"/>
      <c r="LC238" s="2" t="n"/>
      <c r="LD238" s="2" t="n"/>
      <c r="LE238" s="2" t="n"/>
      <c r="LF238" s="2" t="n"/>
      <c r="LG238" s="2" t="n"/>
      <c r="LH238" s="2" t="n"/>
      <c r="LI238" s="2" t="n"/>
      <c r="LJ238" s="2" t="n"/>
      <c r="LK238" s="2" t="n"/>
      <c r="LL238" s="2" t="n"/>
      <c r="LM238" s="2" t="n"/>
      <c r="LN238" s="2" t="n"/>
      <c r="LO238" s="2" t="n"/>
      <c r="LP238" s="2" t="n"/>
      <c r="LQ238" s="2" t="n"/>
      <c r="LR238" s="2" t="n"/>
      <c r="LS238" s="2" t="n"/>
      <c r="LT238" s="2" t="n"/>
      <c r="LU238" s="2" t="n"/>
      <c r="LV238" s="2" t="n"/>
      <c r="LW238" s="2" t="n"/>
      <c r="LX238" s="2" t="n"/>
      <c r="LY238" s="2" t="n"/>
      <c r="LZ238" s="2" t="n"/>
      <c r="MA238" s="2" t="n"/>
      <c r="MB238" s="2" t="n"/>
      <c r="MC238" s="2" t="n"/>
      <c r="MD238" s="2" t="n"/>
      <c r="ME238" s="2" t="n"/>
      <c r="MF238" s="2" t="n"/>
      <c r="MG238" s="2" t="n"/>
      <c r="MH238" s="2" t="n"/>
      <c r="MI238" s="2" t="n"/>
      <c r="MJ238" s="2" t="n"/>
      <c r="MK238" s="2" t="n"/>
      <c r="ML238" s="2" t="n"/>
      <c r="MM238" s="2" t="n"/>
      <c r="MN238" s="2" t="n"/>
      <c r="MO238" s="2" t="n"/>
      <c r="MP238" s="2" t="n"/>
      <c r="MQ238" s="2" t="n"/>
      <c r="MR238" s="2" t="n"/>
      <c r="MS238" s="2" t="n"/>
      <c r="MT238" s="2" t="n"/>
      <c r="MU238" s="2" t="n"/>
      <c r="MV238" s="2" t="n"/>
      <c r="MW238" s="2" t="n"/>
      <c r="MX238" s="2" t="n"/>
      <c r="MY238" s="2" t="n"/>
      <c r="MZ238" s="2" t="n"/>
      <c r="NA238" s="2" t="n"/>
      <c r="NB238" s="2" t="n"/>
      <c r="NC238" s="2" t="n"/>
      <c r="ND238" s="2" t="n"/>
      <c r="NE238" s="2" t="n"/>
      <c r="NF238" s="2" t="n"/>
      <c r="NG238" s="2" t="n"/>
      <c r="NH238" s="2" t="n"/>
      <c r="NI238" s="2" t="n"/>
      <c r="NJ238" s="2" t="n"/>
      <c r="NK238" s="2" t="n"/>
      <c r="NL238" s="2" t="n"/>
      <c r="NM238" s="2" t="n"/>
      <c r="NN238" s="2" t="n"/>
      <c r="NO238" s="2" t="n"/>
      <c r="NP238" s="2" t="n"/>
      <c r="NQ238" s="2" t="n"/>
      <c r="NR238" s="2" t="n"/>
      <c r="NS238" s="2" t="n"/>
      <c r="NT238" s="2" t="n"/>
      <c r="NU238" s="2" t="n"/>
      <c r="NV238" s="2" t="n"/>
      <c r="NW238" s="2" t="n"/>
      <c r="NX238" s="2" t="n"/>
      <c r="NY238" s="2" t="n"/>
      <c r="NZ238" s="2" t="n"/>
      <c r="OA238" s="2" t="n"/>
      <c r="OB238" s="2" t="n"/>
      <c r="OC238" s="2" t="n"/>
      <c r="OD238" s="2" t="n"/>
      <c r="OE238" s="2" t="n"/>
      <c r="OF238" s="2" t="n"/>
      <c r="OG238" s="2" t="n"/>
      <c r="OH238" s="2" t="n"/>
      <c r="OI238" s="2" t="n"/>
      <c r="OJ238" s="2" t="n"/>
      <c r="OK238" s="2" t="n"/>
      <c r="OL238" s="2" t="n"/>
      <c r="OM238" s="2" t="n"/>
      <c r="ON238" s="2" t="n"/>
      <c r="OO238" s="2" t="n"/>
      <c r="OP238" s="2" t="n"/>
      <c r="OQ238" s="2" t="n"/>
      <c r="OR238" s="2" t="n"/>
      <c r="OS238" s="2" t="n"/>
      <c r="OT238" s="2" t="n"/>
      <c r="OU238" s="2" t="n"/>
      <c r="OV238" s="2" t="n"/>
      <c r="OW238" s="2" t="n"/>
      <c r="OX238" s="2" t="n"/>
      <c r="OY238" s="2" t="n"/>
      <c r="OZ238" s="2" t="n"/>
      <c r="PA238" s="2" t="n"/>
      <c r="PB238" s="2" t="n"/>
      <c r="PC238" s="2" t="n"/>
      <c r="PD238" s="2" t="n"/>
      <c r="PE238" s="2" t="n"/>
      <c r="PF238" s="2" t="n"/>
      <c r="PG238" s="2" t="n"/>
      <c r="PH238" s="2" t="n"/>
      <c r="PI238" s="2" t="n"/>
      <c r="PJ238" s="2" t="n"/>
      <c r="PK238" s="2" t="n"/>
      <c r="PL238" s="2" t="n"/>
      <c r="PM238" s="2" t="n"/>
      <c r="PN238" s="2" t="n"/>
      <c r="PO238" s="2" t="n"/>
      <c r="PP238" s="2" t="n"/>
      <c r="PQ238" s="2" t="n"/>
      <c r="PR238" s="2" t="n"/>
      <c r="PS238" s="2" t="n"/>
      <c r="PT238" s="2" t="n"/>
      <c r="PU238" s="2" t="n"/>
      <c r="PV238" s="2" t="n"/>
      <c r="PW238" s="2" t="n"/>
      <c r="PX238" s="2" t="n"/>
      <c r="PY238" s="2" t="n"/>
      <c r="PZ238" s="2" t="n"/>
      <c r="QA238" s="2" t="n"/>
      <c r="QB238" s="2" t="n"/>
      <c r="QC238" s="2" t="n"/>
      <c r="QD238" s="2" t="n"/>
      <c r="QE238" s="2" t="n"/>
      <c r="QF238" s="2" t="n"/>
      <c r="QG238" s="2" t="n"/>
      <c r="QH238" s="2" t="n"/>
      <c r="QI238" s="2" t="n"/>
      <c r="QJ238" s="2" t="n"/>
      <c r="QK238" s="2" t="n"/>
      <c r="QL238" s="2" t="n"/>
      <c r="QM238" s="2" t="n"/>
      <c r="QN238" s="2" t="n"/>
      <c r="QO238" s="2" t="n"/>
      <c r="QP238" s="2" t="n"/>
      <c r="QQ238" s="2" t="n"/>
      <c r="QR238" s="2" t="n"/>
      <c r="QS238" s="2" t="n"/>
      <c r="QT238" s="2" t="n"/>
      <c r="QU238" s="2" t="n"/>
      <c r="QV238" s="2" t="n"/>
      <c r="QW238" s="2" t="n"/>
      <c r="QX238" s="2" t="n"/>
      <c r="QY238" s="2" t="n"/>
      <c r="QZ238" s="2" t="n"/>
      <c r="RA238" s="2" t="n"/>
      <c r="RB238" s="2" t="n"/>
      <c r="RC238" s="2" t="n"/>
      <c r="RD238" s="2" t="n"/>
      <c r="RE238" s="2" t="n"/>
      <c r="RF238" s="2" t="n"/>
      <c r="RG238" s="2" t="n"/>
      <c r="RH238" s="2" t="n"/>
      <c r="RI238" s="2" t="n"/>
      <c r="RJ238" s="2" t="n"/>
      <c r="RK238" s="2" t="n"/>
      <c r="RL238" s="2" t="n"/>
      <c r="RM238" s="2" t="n"/>
      <c r="RN238" s="2" t="n"/>
      <c r="RO238" s="2" t="n"/>
      <c r="RP238" s="2" t="n"/>
      <c r="RQ238" s="2" t="n"/>
      <c r="RR238" s="2" t="n"/>
      <c r="RS238" s="2" t="n"/>
      <c r="RT238" s="2" t="n"/>
      <c r="RU238" s="2" t="n"/>
      <c r="RV238" s="2" t="n"/>
      <c r="RW238" s="2" t="n"/>
      <c r="RX238" s="2" t="n"/>
      <c r="RY238" s="2" t="n"/>
      <c r="RZ238" s="2" t="n"/>
      <c r="SA238" s="2" t="n"/>
      <c r="SB238" s="2" t="n"/>
      <c r="SC238" s="2" t="n"/>
      <c r="SD238" s="2" t="n"/>
      <c r="SE238" s="2" t="n"/>
      <c r="SF238" s="2" t="n"/>
      <c r="SG238" s="2" t="n"/>
      <c r="SH238" s="2" t="n"/>
      <c r="SI238" s="2" t="n"/>
      <c r="SJ238" s="2" t="n"/>
      <c r="SK238" s="2" t="n"/>
      <c r="SL238" s="2" t="n"/>
      <c r="SM238" s="2" t="n"/>
      <c r="SN238" s="2" t="n"/>
      <c r="SO238" s="2" t="n"/>
      <c r="SP238" s="2" t="n"/>
      <c r="SQ238" s="2" t="n"/>
      <c r="SR238" s="2" t="n"/>
      <c r="SS238" s="2" t="n"/>
      <c r="ST238" s="2" t="n"/>
      <c r="SU238" s="2" t="n"/>
      <c r="SV238" s="2" t="n"/>
      <c r="SW238" s="2" t="n"/>
      <c r="SX238" s="2" t="n"/>
      <c r="SY238" s="2" t="n"/>
      <c r="SZ238" s="2" t="n"/>
      <c r="TA238" s="2" t="n"/>
      <c r="TB238" s="2" t="n"/>
      <c r="TC238" s="2" t="n"/>
      <c r="TD238" s="2" t="n"/>
      <c r="TE238" s="2" t="n"/>
      <c r="TF238" s="2" t="n"/>
      <c r="TG238" s="2" t="n"/>
      <c r="TH238" s="2" t="n"/>
      <c r="TI238" s="2" t="n"/>
      <c r="TJ238" s="2" t="n"/>
      <c r="TK238" s="2" t="n"/>
      <c r="TL238" s="2" t="n"/>
      <c r="TM238" s="2" t="n"/>
      <c r="TN238" s="2" t="n"/>
      <c r="TO238" s="2" t="n"/>
      <c r="TP238" s="2" t="n"/>
      <c r="TQ238" s="2" t="n"/>
      <c r="TR238" s="2" t="n"/>
      <c r="TS238" s="2" t="n"/>
      <c r="TT238" s="2" t="n"/>
      <c r="TU238" s="2" t="n"/>
      <c r="TV238" s="2" t="n"/>
      <c r="TW238" s="2" t="n"/>
      <c r="TX238" s="2" t="n"/>
      <c r="TY238" s="2" t="n"/>
      <c r="TZ238" s="2" t="n"/>
      <c r="UA238" s="2" t="n"/>
      <c r="UB238" s="2" t="n"/>
      <c r="UC238" s="2" t="n"/>
      <c r="UD238" s="2" t="n"/>
      <c r="UE238" s="2" t="n"/>
      <c r="UF238" s="2" t="n"/>
      <c r="UG238" s="2" t="n"/>
      <c r="UH238" s="2" t="n"/>
      <c r="UI238" s="2" t="n"/>
      <c r="UJ238" s="2" t="n"/>
      <c r="UK238" s="2" t="n"/>
      <c r="UL238" s="2" t="n"/>
      <c r="UM238" s="2" t="n"/>
      <c r="UN238" s="2" t="n"/>
      <c r="UO238" s="2" t="n"/>
      <c r="UP238" s="2" t="n"/>
      <c r="UQ238" s="2" t="n"/>
      <c r="UR238" s="2" t="n"/>
      <c r="US238" s="2" t="n"/>
      <c r="UT238" s="2" t="n"/>
      <c r="UU238" s="2" t="n"/>
      <c r="UV238" s="2" t="n"/>
      <c r="UW238" s="2" t="n"/>
      <c r="UX238" s="2" t="n"/>
      <c r="UY238" s="2" t="n"/>
      <c r="UZ238" s="2" t="n"/>
      <c r="VA238" s="2" t="n"/>
      <c r="VB238" s="2" t="n"/>
      <c r="VC238" s="2" t="n"/>
      <c r="VD238" s="2" t="n"/>
      <c r="VE238" s="2" t="n"/>
      <c r="VF238" s="2" t="n"/>
      <c r="VG238" s="2" t="n"/>
      <c r="VH238" s="2" t="n"/>
      <c r="VI238" s="2" t="n"/>
      <c r="VJ238" s="2" t="n"/>
      <c r="VK238" s="2" t="n"/>
      <c r="VL238" s="2" t="n"/>
      <c r="VM238" s="2" t="n"/>
      <c r="VN238" s="2" t="n"/>
      <c r="VO238" s="2" t="n"/>
      <c r="VP238" s="2" t="n"/>
      <c r="VQ238" s="2" t="n"/>
      <c r="VR238" s="2" t="n"/>
      <c r="VS238" s="2" t="n"/>
      <c r="VT238" s="2" t="n"/>
      <c r="VU238" s="2" t="n"/>
      <c r="VV238" s="2" t="n"/>
      <c r="VW238" s="2" t="n"/>
      <c r="VX238" s="2" t="n"/>
      <c r="VY238" s="2" t="n"/>
      <c r="VZ238" s="2" t="n"/>
      <c r="WA238" s="2" t="n"/>
      <c r="WB238" s="2" t="n"/>
      <c r="WC238" s="2" t="n"/>
      <c r="WD238" s="2" t="n"/>
      <c r="WE238" s="2" t="n"/>
      <c r="WF238" s="2" t="n"/>
      <c r="WG238" s="2" t="n"/>
      <c r="WH238" s="2" t="n"/>
      <c r="WI238" s="2" t="n"/>
      <c r="WJ238" s="2" t="n"/>
      <c r="WK238" s="2" t="n"/>
      <c r="WL238" s="2" t="n"/>
      <c r="WM238" s="2" t="n"/>
      <c r="WN238" s="2" t="n"/>
      <c r="WO238" s="2" t="n"/>
      <c r="WP238" s="2" t="n"/>
      <c r="WQ238" s="2" t="n"/>
      <c r="WR238" s="2" t="n"/>
      <c r="WS238" s="2" t="n"/>
      <c r="WT238" s="2" t="n"/>
      <c r="WU238" s="2" t="n"/>
      <c r="WV238" s="2" t="n"/>
      <c r="WW238" s="2" t="n"/>
      <c r="WX238" s="2" t="n"/>
      <c r="WY238" s="2" t="n"/>
      <c r="WZ238" s="2" t="n"/>
      <c r="XA238" s="2" t="n"/>
      <c r="XB238" s="2" t="n"/>
      <c r="XC238" s="2" t="n"/>
      <c r="XD238" s="2" t="n"/>
      <c r="XE238" s="2" t="n"/>
      <c r="XF238" s="2" t="n"/>
      <c r="XG238" s="2" t="n"/>
      <c r="XH238" s="2" t="n"/>
      <c r="XI238" s="2" t="n"/>
      <c r="XJ238" s="2" t="n"/>
      <c r="XK238" s="2" t="n"/>
      <c r="XL238" s="2" t="n"/>
      <c r="XM238" s="2" t="n"/>
      <c r="XN238" s="2" t="n"/>
      <c r="XO238" s="2" t="n"/>
      <c r="XP238" s="2" t="n"/>
      <c r="XQ238" s="2" t="n"/>
      <c r="XR238" s="2" t="n"/>
      <c r="XS238" s="2" t="n"/>
      <c r="XT238" s="2" t="n"/>
      <c r="XU238" s="2" t="n"/>
      <c r="XV238" s="2" t="n"/>
      <c r="XW238" s="2" t="n"/>
      <c r="XX238" s="2" t="n"/>
      <c r="XY238" s="2" t="n"/>
      <c r="XZ238" s="2" t="n"/>
      <c r="YA238" s="2" t="n"/>
      <c r="YB238" s="2" t="n"/>
      <c r="YC238" s="2" t="n"/>
      <c r="YD238" s="2" t="n"/>
      <c r="YE238" s="2" t="n"/>
      <c r="YF238" s="2" t="n"/>
      <c r="YG238" s="2" t="n"/>
      <c r="YH238" s="2" t="n"/>
      <c r="YI238" s="2" t="n"/>
      <c r="YJ238" s="2" t="n"/>
      <c r="YK238" s="2" t="n"/>
      <c r="YL238" s="2" t="n"/>
      <c r="YM238" s="2" t="n"/>
      <c r="YN238" s="2" t="n"/>
      <c r="YO238" s="2" t="n"/>
      <c r="YP238" s="2" t="n"/>
      <c r="YQ238" s="2" t="n"/>
      <c r="YR238" s="2" t="n"/>
      <c r="YS238" s="2" t="n"/>
      <c r="YT238" s="2" t="n"/>
      <c r="YU238" s="2" t="n"/>
      <c r="YV238" s="2" t="n"/>
      <c r="YW238" s="2" t="n"/>
      <c r="YX238" s="2" t="n"/>
      <c r="YY238" s="2" t="n"/>
      <c r="YZ238" s="2" t="n"/>
      <c r="ZA238" s="2" t="n"/>
      <c r="ZB238" s="2" t="n"/>
      <c r="ZC238" s="2" t="n"/>
      <c r="ZD238" s="2" t="n"/>
      <c r="ZE238" s="2" t="n"/>
      <c r="ZF238" s="2" t="n"/>
      <c r="ZG238" s="2" t="n"/>
      <c r="ZH238" s="2" t="n"/>
      <c r="ZI238" s="2" t="n"/>
      <c r="ZJ238" s="2" t="n"/>
      <c r="ZK238" s="2" t="n"/>
      <c r="ZL238" s="2" t="n"/>
      <c r="ZM238" s="2" t="n"/>
      <c r="ZN238" s="2" t="n"/>
      <c r="ZO238" s="2" t="n"/>
      <c r="ZP238" s="2" t="n"/>
      <c r="ZQ238" s="2" t="n"/>
      <c r="ZR238" s="2" t="n"/>
      <c r="ZS238" s="2" t="n"/>
      <c r="ZT238" s="2" t="n"/>
      <c r="ZU238" s="2" t="n"/>
      <c r="ZV238" s="2" t="n"/>
      <c r="ZW238" s="2" t="n"/>
      <c r="ZX238" s="2" t="n"/>
      <c r="ZY238" s="2" t="n"/>
      <c r="ZZ238" s="2" t="n"/>
      <c r="AAA238" s="2" t="n"/>
      <c r="AAB238" s="2" t="n"/>
      <c r="AAC238" s="2" t="n"/>
      <c r="AAD238" s="2" t="n"/>
      <c r="AAE238" s="2" t="n"/>
      <c r="AAF238" s="2" t="n"/>
      <c r="AAG238" s="2" t="n"/>
      <c r="AAH238" s="2" t="n"/>
      <c r="AAI238" s="2" t="n"/>
      <c r="AAJ238" s="2" t="n"/>
      <c r="AAK238" s="2" t="n"/>
      <c r="AAL238" s="2" t="n"/>
      <c r="AAM238" s="2" t="n"/>
      <c r="AAN238" s="2" t="n"/>
      <c r="AAO238" s="2" t="n"/>
      <c r="AAP238" s="2" t="n"/>
      <c r="AAQ238" s="2" t="n"/>
      <c r="AAR238" s="2" t="n"/>
      <c r="AAS238" s="2" t="n"/>
      <c r="AAT238" s="2" t="n"/>
      <c r="AAU238" s="2" t="n"/>
      <c r="AAV238" s="2" t="n"/>
      <c r="AAW238" s="2" t="n"/>
      <c r="AAX238" s="2" t="n"/>
      <c r="AAY238" s="2" t="n"/>
      <c r="AAZ238" s="2" t="n"/>
      <c r="ABA238" s="2" t="n"/>
      <c r="ABB238" s="2" t="n"/>
      <c r="ABC238" s="2" t="n"/>
      <c r="ABD238" s="2" t="n"/>
      <c r="ABE238" s="2" t="n"/>
      <c r="ABF238" s="2" t="n"/>
      <c r="ABG238" s="2" t="n"/>
      <c r="ABH238" s="2" t="n"/>
      <c r="ABI238" s="2" t="n"/>
      <c r="ABJ238" s="2" t="n"/>
      <c r="ABK238" s="2" t="n"/>
      <c r="ABL238" s="2" t="n"/>
      <c r="ABM238" s="2" t="n"/>
      <c r="ABN238" s="2" t="n"/>
      <c r="ABO238" s="2" t="n"/>
      <c r="ABP238" s="2" t="n"/>
      <c r="ABQ238" s="2" t="n"/>
      <c r="ABR238" s="2" t="n"/>
      <c r="ABS238" s="2" t="n"/>
      <c r="ABT238" s="2" t="n"/>
      <c r="ABU238" s="2" t="n"/>
      <c r="ABV238" s="2" t="n"/>
      <c r="ABW238" s="2" t="n"/>
      <c r="ABX238" s="2" t="n"/>
      <c r="ABY238" s="2" t="n"/>
      <c r="ABZ238" s="2" t="n"/>
      <c r="ACA238" s="2" t="n"/>
      <c r="ACB238" s="2" t="n"/>
      <c r="ACC238" s="2" t="n"/>
      <c r="ACD238" s="2" t="n"/>
      <c r="ACE238" s="2" t="n"/>
      <c r="ACF238" s="2" t="n"/>
      <c r="ACG238" s="2" t="n"/>
      <c r="ACH238" s="2" t="n"/>
      <c r="ACI238" s="2" t="n"/>
      <c r="ACJ238" s="2" t="n"/>
      <c r="ACK238" s="2" t="n"/>
      <c r="ACL238" s="2" t="n"/>
      <c r="ACM238" s="2" t="n"/>
      <c r="ACN238" s="2" t="n"/>
      <c r="ACO238" s="2" t="n"/>
      <c r="ACP238" s="2" t="n"/>
      <c r="ACQ238" s="2" t="n"/>
      <c r="ACR238" s="2" t="n"/>
      <c r="ACS238" s="2" t="n"/>
      <c r="ACT238" s="2" t="n"/>
      <c r="ACU238" s="2" t="n"/>
      <c r="ACV238" s="2" t="n"/>
      <c r="ACW238" s="2" t="n"/>
      <c r="ACX238" s="2" t="n"/>
      <c r="ACY238" s="2" t="n"/>
      <c r="ACZ238" s="2" t="n"/>
      <c r="ADA238" s="2" t="n"/>
      <c r="ADB238" s="2" t="n"/>
      <c r="ADC238" s="2" t="n"/>
      <c r="ADD238" s="2" t="n"/>
      <c r="ADE238" s="2" t="n"/>
      <c r="ADF238" s="2" t="n"/>
      <c r="ADG238" s="2" t="n"/>
      <c r="ADH238" s="2" t="n"/>
      <c r="ADI238" s="2" t="n"/>
      <c r="ADJ238" s="2" t="n"/>
      <c r="ADK238" s="2" t="n"/>
      <c r="ADL238" s="2" t="n"/>
      <c r="ADM238" s="2" t="n"/>
      <c r="ADN238" s="2" t="n"/>
      <c r="ADO238" s="2" t="n"/>
      <c r="ADP238" s="2" t="n"/>
      <c r="ADQ238" s="2" t="n"/>
      <c r="ADR238" s="2" t="n"/>
      <c r="ADS238" s="2" t="n"/>
      <c r="ADT238" s="2" t="n"/>
      <c r="ADU238" s="2" t="n"/>
      <c r="ADV238" s="2" t="n"/>
      <c r="ADW238" s="2" t="n"/>
      <c r="ADX238" s="2" t="n"/>
      <c r="ADY238" s="2" t="n"/>
      <c r="ADZ238" s="2" t="n"/>
      <c r="AEA238" s="2" t="n"/>
      <c r="AEB238" s="2" t="n"/>
      <c r="AEC238" s="2" t="n"/>
      <c r="AED238" s="2" t="n"/>
      <c r="AEE238" s="2" t="n"/>
      <c r="AEF238" s="2" t="n"/>
      <c r="AEG238" s="2" t="n"/>
      <c r="AEH238" s="2" t="n"/>
      <c r="AEI238" s="2" t="n"/>
      <c r="AEJ238" s="2" t="n"/>
      <c r="AEK238" s="2" t="n"/>
      <c r="AEL238" s="2" t="n"/>
      <c r="AEM238" s="2" t="n"/>
      <c r="AEN238" s="2" t="n"/>
      <c r="AEO238" s="2" t="n"/>
      <c r="AEP238" s="2" t="n"/>
      <c r="AEQ238" s="2" t="n"/>
      <c r="AER238" s="2" t="n"/>
      <c r="AES238" s="2" t="n"/>
      <c r="AET238" s="2" t="n"/>
      <c r="AEU238" s="2" t="n"/>
      <c r="AEV238" s="2" t="n"/>
      <c r="AEW238" s="2" t="n"/>
      <c r="AEX238" s="2" t="n"/>
      <c r="AEY238" s="2" t="n"/>
      <c r="AEZ238" s="2" t="n"/>
      <c r="AFA238" s="2" t="n"/>
      <c r="AFB238" s="2" t="n"/>
      <c r="AFC238" s="2" t="n"/>
      <c r="AFD238" s="2" t="n"/>
      <c r="AFE238" s="2" t="n"/>
      <c r="AFF238" s="2" t="n"/>
      <c r="AFG238" s="2" t="n"/>
      <c r="AFH238" s="2" t="n"/>
      <c r="AFI238" s="2" t="n"/>
      <c r="AFJ238" s="2" t="n"/>
      <c r="AFK238" s="2" t="n"/>
      <c r="AFL238" s="2" t="n"/>
      <c r="AFM238" s="2" t="n"/>
      <c r="AFN238" s="2" t="n"/>
      <c r="AFO238" s="2" t="n"/>
      <c r="AFP238" s="2" t="n"/>
      <c r="AFQ238" s="2" t="n"/>
      <c r="AFR238" s="2" t="n"/>
      <c r="AFS238" s="2" t="n"/>
      <c r="AFT238" s="2" t="n"/>
      <c r="AFU238" s="2" t="n"/>
      <c r="AFV238" s="2" t="n"/>
      <c r="AFW238" s="2" t="n"/>
      <c r="AFX238" s="2" t="n"/>
      <c r="AFY238" s="2" t="n"/>
      <c r="AFZ238" s="2" t="n"/>
      <c r="AGA238" s="2" t="n"/>
      <c r="AGB238" s="2" t="n"/>
      <c r="AGC238" s="2" t="n"/>
      <c r="AGD238" s="2" t="n"/>
      <c r="AGE238" s="2" t="n"/>
      <c r="AGF238" s="2" t="n"/>
      <c r="AGG238" s="2" t="n"/>
      <c r="AGH238" s="2" t="n"/>
      <c r="AGI238" s="2" t="n"/>
      <c r="AGJ238" s="2" t="n"/>
      <c r="AGK238" s="2" t="n"/>
      <c r="AGL238" s="2" t="n"/>
      <c r="AGM238" s="2" t="n"/>
      <c r="AGN238" s="2" t="n"/>
      <c r="AGO238" s="2" t="n"/>
      <c r="AGP238" s="2" t="n"/>
      <c r="AGQ238" s="2" t="n"/>
      <c r="AGR238" s="2" t="n"/>
      <c r="AGS238" s="2" t="n"/>
      <c r="AGT238" s="2" t="n"/>
      <c r="AGU238" s="2" t="n"/>
      <c r="AGV238" s="2" t="n"/>
      <c r="AGW238" s="2" t="n"/>
      <c r="AGX238" s="2" t="n"/>
      <c r="AGY238" s="2" t="n"/>
      <c r="AGZ238" s="2" t="n"/>
      <c r="AHA238" s="2" t="n"/>
      <c r="AHB238" s="2" t="n"/>
      <c r="AHC238" s="2" t="n"/>
      <c r="AHD238" s="2" t="n"/>
      <c r="AHE238" s="2" t="n"/>
      <c r="AHF238" s="2" t="n"/>
      <c r="AHG238" s="2" t="n"/>
      <c r="AHH238" s="2" t="n"/>
      <c r="AHI238" s="2" t="n"/>
      <c r="AHJ238" s="2" t="n"/>
      <c r="AHK238" s="2" t="n"/>
      <c r="AHL238" s="2" t="n"/>
      <c r="AHM238" s="2" t="n"/>
      <c r="AHN238" s="2" t="n"/>
      <c r="AHO238" s="2" t="n"/>
      <c r="AHP238" s="2" t="n"/>
      <c r="AHQ238" s="2" t="n"/>
      <c r="AHR238" s="2" t="n"/>
      <c r="AHS238" s="2" t="n"/>
      <c r="AHT238" s="2" t="n"/>
      <c r="AHU238" s="2" t="n"/>
      <c r="AHV238" s="2" t="n"/>
      <c r="AHW238" s="2" t="n"/>
      <c r="AHX238" s="2" t="n"/>
      <c r="AHY238" s="2" t="n"/>
      <c r="AHZ238" s="2" t="n"/>
      <c r="AIA238" s="2" t="n"/>
      <c r="AIB238" s="2" t="n"/>
      <c r="AIC238" s="2" t="n"/>
      <c r="AID238" s="2" t="n"/>
      <c r="AIE238" s="2" t="n"/>
      <c r="AIF238" s="2" t="n"/>
      <c r="AIG238" s="2" t="n"/>
      <c r="AIH238" s="2" t="n"/>
      <c r="AII238" s="2" t="n"/>
      <c r="AIJ238" s="2" t="n"/>
      <c r="AIK238" s="2" t="n"/>
      <c r="AIL238" s="2" t="n"/>
      <c r="AIM238" s="2" t="n"/>
      <c r="AIN238" s="2" t="n"/>
      <c r="AIO238" s="2" t="n"/>
      <c r="AIP238" s="2" t="n"/>
      <c r="AIQ238" s="2" t="n"/>
      <c r="AIR238" s="2" t="n"/>
      <c r="AIS238" s="2" t="n"/>
      <c r="AIT238" s="2" t="n"/>
      <c r="AIU238" s="2" t="n"/>
      <c r="AIV238" s="2" t="n"/>
      <c r="AIW238" s="2" t="n"/>
      <c r="AIX238" s="2" t="n"/>
      <c r="AIY238" s="2" t="n"/>
      <c r="AIZ238" s="2" t="n"/>
      <c r="AJA238" s="2" t="n"/>
      <c r="AJB238" s="2" t="n"/>
      <c r="AJC238" s="2" t="n"/>
      <c r="AJD238" s="2" t="n"/>
      <c r="AJE238" s="2" t="n"/>
      <c r="AJF238" s="2" t="n"/>
      <c r="AJG238" s="2" t="n"/>
      <c r="AJH238" s="2" t="n"/>
      <c r="AJI238" s="2" t="n"/>
      <c r="AJJ238" s="2" t="n"/>
      <c r="AJK238" s="2" t="n"/>
      <c r="AJL238" s="2" t="n"/>
      <c r="AJM238" s="2" t="n"/>
      <c r="AJN238" s="2" t="n"/>
      <c r="AJO238" s="2" t="n"/>
      <c r="AJP238" s="2" t="n"/>
      <c r="AJQ238" s="2" t="n"/>
      <c r="AJR238" s="2" t="n"/>
      <c r="AJS238" s="2" t="n"/>
      <c r="AJT238" s="2" t="n"/>
      <c r="AJU238" s="2" t="n"/>
      <c r="AJV238" s="2" t="n"/>
      <c r="AJW238" s="2" t="n"/>
      <c r="AJX238" s="2" t="n"/>
      <c r="AJY238" s="2" t="n"/>
      <c r="AJZ238" s="2" t="n"/>
      <c r="AKA238" s="2" t="n"/>
      <c r="AKB238" s="2" t="n"/>
      <c r="AKC238" s="2" t="n"/>
      <c r="AKD238" s="2" t="n"/>
      <c r="AKE238" s="2" t="n"/>
      <c r="AKF238" s="2" t="n"/>
      <c r="AKG238" s="2" t="n"/>
      <c r="AKH238" s="2" t="n"/>
      <c r="AKI238" s="2" t="n"/>
      <c r="AKJ238" s="2" t="n"/>
      <c r="AKK238" s="2" t="n"/>
      <c r="AKL238" s="2" t="n"/>
      <c r="AKM238" s="2" t="n"/>
      <c r="AKN238" s="2" t="n"/>
      <c r="AKO238" s="2" t="n"/>
      <c r="AKP238" s="2" t="n"/>
      <c r="AKQ238" s="2" t="n"/>
      <c r="AKR238" s="2" t="n"/>
      <c r="AKS238" s="2" t="n"/>
      <c r="AKT238" s="2" t="n"/>
      <c r="AKU238" s="2" t="n"/>
      <c r="AKV238" s="2" t="n"/>
      <c r="AKW238" s="2" t="n"/>
      <c r="AKX238" s="2" t="n"/>
      <c r="AKY238" s="2" t="n"/>
      <c r="AKZ238" s="2" t="n"/>
      <c r="ALA238" s="2" t="n"/>
      <c r="ALB238" s="2" t="n"/>
      <c r="ALC238" s="2" t="n"/>
      <c r="ALD238" s="2" t="n"/>
      <c r="ALE238" s="2" t="n"/>
      <c r="ALF238" s="2" t="n"/>
      <c r="ALG238" s="2" t="n"/>
      <c r="ALH238" s="2" t="n"/>
      <c r="ALI238" s="2" t="n"/>
      <c r="ALJ238" s="2" t="n"/>
      <c r="ALK238" s="2" t="n"/>
      <c r="ALL238" s="2" t="n"/>
      <c r="ALM238" s="2" t="n"/>
      <c r="ALN238" s="2" t="n"/>
      <c r="ALO238" s="2" t="n"/>
      <c r="ALP238" s="2" t="n"/>
      <c r="ALQ238" s="2" t="n"/>
      <c r="ALR238" s="2" t="n"/>
      <c r="ALS238" s="2" t="n"/>
      <c r="ALT238" s="2" t="n"/>
      <c r="ALU238" s="2" t="n"/>
      <c r="ALV238" s="2" t="n"/>
      <c r="ALW238" s="2" t="n"/>
      <c r="ALX238" s="2" t="n"/>
      <c r="ALY238" s="2" t="n"/>
      <c r="ALZ238" s="2" t="n"/>
      <c r="AMA238" s="2" t="n"/>
      <c r="AMB238" s="2" t="n"/>
      <c r="AMC238" s="2" t="n"/>
      <c r="AMD238" s="2" t="n"/>
      <c r="AME238" s="2" t="n"/>
      <c r="AMF238" s="2" t="n"/>
      <c r="AMG238" s="2" t="n"/>
      <c r="AMH238" s="2" t="n"/>
      <c r="AMI238" s="2" t="n"/>
      <c r="AMJ238" s="2" t="n"/>
      <c r="AMK238" s="2" t="n"/>
      <c r="AML238" s="2" t="n"/>
      <c r="AMM238" s="2" t="n"/>
      <c r="AMN238" s="2" t="n"/>
      <c r="AMO238" s="2" t="n"/>
      <c r="AMP238" s="2" t="n"/>
      <c r="AMQ238" s="2" t="n"/>
      <c r="AMR238" s="2" t="n"/>
      <c r="AMS238" s="2" t="n"/>
      <c r="AMT238" s="2" t="n"/>
      <c r="AMU238" s="2" t="n"/>
      <c r="AMV238" s="2" t="n"/>
      <c r="AMW238" s="2" t="n"/>
      <c r="AMX238" s="2" t="n"/>
      <c r="AMY238" s="2" t="n"/>
      <c r="AMZ238" s="2" t="n"/>
      <c r="ANA238" s="2" t="n"/>
      <c r="ANB238" s="2" t="n"/>
      <c r="ANC238" s="2" t="n"/>
      <c r="AND238" s="2" t="n"/>
      <c r="ANE238" s="2" t="n"/>
      <c r="ANF238" s="2" t="n"/>
      <c r="ANG238" s="2" t="n"/>
      <c r="ANH238" s="2" t="n"/>
      <c r="ANI238" s="2" t="n"/>
      <c r="ANJ238" s="2" t="n"/>
      <c r="ANK238" s="2" t="n"/>
      <c r="ANL238" s="2" t="n"/>
      <c r="ANM238" s="2" t="n"/>
      <c r="ANN238" s="2" t="n"/>
      <c r="ANO238" s="2" t="n"/>
      <c r="ANP238" s="2" t="n"/>
      <c r="ANQ238" s="2" t="n"/>
      <c r="ANR238" s="2" t="n"/>
      <c r="ANS238" s="2" t="n"/>
      <c r="ANT238" s="2" t="n"/>
      <c r="ANU238" s="2" t="n"/>
      <c r="ANV238" s="2" t="n"/>
      <c r="ANW238" s="2" t="n"/>
      <c r="ANX238" s="2" t="n"/>
      <c r="ANY238" s="2" t="n"/>
      <c r="ANZ238" s="2" t="n"/>
      <c r="AOA238" s="2" t="n"/>
      <c r="AOB238" s="2" t="n"/>
      <c r="AOC238" s="2" t="n"/>
      <c r="AOD238" s="2" t="n"/>
      <c r="AOE238" s="2" t="n"/>
      <c r="AOF238" s="2" t="n"/>
      <c r="AOG238" s="2" t="n"/>
      <c r="AOH238" s="2" t="n"/>
      <c r="AOI238" s="2" t="n"/>
      <c r="AOJ238" s="2" t="n"/>
      <c r="AOK238" s="2" t="n"/>
      <c r="AOL238" s="2" t="n"/>
      <c r="AOM238" s="2" t="n"/>
      <c r="AON238" s="2" t="n"/>
      <c r="AOO238" s="2" t="n"/>
      <c r="AOP238" s="2" t="n"/>
      <c r="AOQ238" s="2" t="n"/>
      <c r="AOR238" s="2" t="n"/>
      <c r="AOS238" s="2" t="n"/>
      <c r="AOT238" s="2" t="n"/>
      <c r="AOU238" s="2" t="n"/>
      <c r="AOV238" s="2" t="n"/>
      <c r="AOW238" s="2" t="n"/>
      <c r="AOX238" s="2" t="n"/>
      <c r="AOY238" s="2" t="n"/>
      <c r="AOZ238" s="2" t="n"/>
      <c r="APA238" s="2" t="n"/>
      <c r="APB238" s="2" t="n"/>
      <c r="APC238" s="2" t="n"/>
      <c r="APD238" s="2" t="n"/>
      <c r="APE238" s="2" t="n"/>
      <c r="APF238" s="2" t="n"/>
      <c r="APG238" s="2" t="n"/>
      <c r="APH238" s="2" t="n"/>
      <c r="API238" s="2" t="n"/>
      <c r="APJ238" s="2" t="n"/>
      <c r="APK238" s="2" t="n"/>
      <c r="APL238" s="2" t="n"/>
      <c r="APM238" s="2" t="n"/>
      <c r="APN238" s="2" t="n"/>
      <c r="APO238" s="2" t="n"/>
      <c r="APP238" s="2" t="n"/>
      <c r="APQ238" s="2" t="n"/>
      <c r="APR238" s="2" t="n"/>
      <c r="APS238" s="2" t="n"/>
      <c r="APT238" s="2" t="n"/>
      <c r="APU238" s="2" t="n"/>
      <c r="APV238" s="2" t="n"/>
      <c r="APW238" s="2" t="n"/>
      <c r="APX238" s="2" t="n"/>
      <c r="APY238" s="2" t="n"/>
      <c r="APZ238" s="2" t="n"/>
      <c r="AQA238" s="2" t="n"/>
      <c r="AQB238" s="2" t="n"/>
      <c r="AQC238" s="2" t="n"/>
      <c r="AQD238" s="2" t="n"/>
      <c r="AQE238" s="2" t="n"/>
      <c r="AQF238" s="2" t="n"/>
      <c r="AQG238" s="2" t="n"/>
      <c r="AQH238" s="2" t="n"/>
      <c r="AQI238" s="2" t="n"/>
      <c r="AQJ238" s="2" t="n"/>
      <c r="AQK238" s="2" t="n"/>
      <c r="AQL238" s="2" t="n"/>
      <c r="AQM238" s="2" t="n"/>
      <c r="AQN238" s="2" t="n"/>
      <c r="AQO238" s="2" t="n"/>
      <c r="AQP238" s="2" t="n"/>
      <c r="AQQ238" s="2" t="n"/>
      <c r="AQR238" s="2" t="n"/>
      <c r="AQS238" s="2" t="n"/>
      <c r="AQT238" s="2" t="n"/>
      <c r="AQU238" s="2" t="n"/>
      <c r="AQV238" s="2" t="n"/>
      <c r="AQW238" s="2" t="n"/>
      <c r="AQX238" s="2" t="n"/>
      <c r="AQY238" s="2" t="n"/>
      <c r="AQZ238" s="2" t="n"/>
      <c r="ARA238" s="2" t="n"/>
      <c r="ARB238" s="2" t="n"/>
      <c r="ARC238" s="2" t="n"/>
      <c r="ARD238" s="2" t="n"/>
      <c r="ARE238" s="2" t="n"/>
      <c r="ARF238" s="2" t="n"/>
      <c r="ARG238" s="2" t="n"/>
      <c r="ARH238" s="2" t="n"/>
      <c r="ARI238" s="2" t="n"/>
      <c r="ARJ238" s="2" t="n"/>
      <c r="ARK238" s="2" t="n"/>
      <c r="ARL238" s="2" t="n"/>
      <c r="ARM238" s="2" t="n"/>
      <c r="ARN238" s="2" t="n"/>
      <c r="ARO238" s="2" t="n"/>
      <c r="ARP238" s="2" t="n"/>
      <c r="ARQ238" s="2" t="n"/>
      <c r="ARR238" s="2" t="n"/>
      <c r="ARS238" s="2" t="n"/>
      <c r="ART238" s="2" t="n"/>
      <c r="ARU238" s="2" t="n"/>
      <c r="ARV238" s="2" t="n"/>
      <c r="ARW238" s="2" t="n"/>
      <c r="ARX238" s="2" t="n"/>
      <c r="ARY238" s="2" t="n"/>
      <c r="ARZ238" s="2" t="n"/>
      <c r="ASA238" s="2" t="n"/>
      <c r="ASB238" s="2" t="n"/>
      <c r="ASC238" s="2" t="n"/>
      <c r="ASD238" s="2" t="n"/>
      <c r="ASE238" s="2" t="n"/>
      <c r="ASF238" s="2" t="n"/>
      <c r="ASG238" s="2" t="n"/>
      <c r="ASH238" s="2" t="n"/>
      <c r="ASI238" s="2" t="n"/>
      <c r="ASJ238" s="2" t="n"/>
      <c r="ASK238" s="2" t="n"/>
      <c r="ASL238" s="2" t="n"/>
      <c r="ASM238" s="2" t="n"/>
      <c r="ASN238" s="2" t="n"/>
      <c r="ASO238" s="2" t="n"/>
      <c r="ASP238" s="2" t="n"/>
      <c r="ASQ238" s="2" t="n"/>
      <c r="ASR238" s="2" t="n"/>
      <c r="ASS238" s="2" t="n"/>
      <c r="AST238" s="2" t="n"/>
      <c r="ASU238" s="2" t="n"/>
      <c r="ASV238" s="2" t="n"/>
      <c r="ASW238" s="2" t="n"/>
      <c r="ASX238" s="2" t="n"/>
      <c r="ASY238" s="2" t="n"/>
      <c r="ASZ238" s="2" t="n"/>
      <c r="ATA238" s="2" t="n"/>
      <c r="ATB238" s="2" t="n"/>
      <c r="ATC238" s="2" t="n"/>
      <c r="ATD238" s="2" t="n"/>
      <c r="ATE238" s="2" t="n"/>
      <c r="ATF238" s="2" t="n"/>
      <c r="ATG238" s="2" t="n"/>
      <c r="ATH238" s="2" t="n"/>
      <c r="ATI238" s="2" t="n"/>
      <c r="ATJ238" s="2" t="n"/>
      <c r="ATK238" s="2" t="n"/>
      <c r="ATL238" s="2" t="n"/>
      <c r="ATM238" s="2" t="n"/>
      <c r="ATN238" s="2" t="n"/>
      <c r="ATO238" s="2" t="n"/>
      <c r="ATP238" s="2" t="n"/>
      <c r="ATQ238" s="2" t="n"/>
      <c r="ATR238" s="2" t="n"/>
      <c r="ATS238" s="2" t="n"/>
      <c r="ATT238" s="2" t="n"/>
      <c r="ATU238" s="2" t="n"/>
      <c r="ATV238" s="2" t="n"/>
      <c r="ATW238" s="2" t="n"/>
      <c r="ATX238" s="2" t="n"/>
      <c r="ATY238" s="2" t="n"/>
      <c r="ATZ238" s="2" t="n"/>
      <c r="AUA238" s="2" t="n"/>
      <c r="AUB238" s="2" t="n"/>
      <c r="AUC238" s="2" t="n"/>
      <c r="AUD238" s="2" t="n"/>
      <c r="AUE238" s="2" t="n"/>
      <c r="AUF238" s="2" t="n"/>
      <c r="AUG238" s="2" t="n"/>
      <c r="AUH238" s="2" t="n"/>
      <c r="AUI238" s="2" t="n"/>
      <c r="AUJ238" s="2" t="n"/>
      <c r="AUK238" s="2" t="n"/>
      <c r="AUL238" s="2" t="n"/>
      <c r="AUM238" s="2" t="n"/>
      <c r="AUN238" s="2" t="n"/>
      <c r="AUO238" s="2" t="n"/>
      <c r="AUP238" s="2" t="n"/>
      <c r="AUQ238" s="2" t="n"/>
      <c r="AUR238" s="2" t="n"/>
      <c r="AUS238" s="2" t="n"/>
      <c r="AUT238" s="2" t="n"/>
      <c r="AUU238" s="2" t="n"/>
      <c r="AUV238" s="2" t="n"/>
      <c r="AUW238" s="2" t="n"/>
      <c r="AUX238" s="2" t="n"/>
      <c r="AUY238" s="2" t="n"/>
      <c r="AUZ238" s="2" t="n"/>
      <c r="AVA238" s="2" t="n"/>
      <c r="AVB238" s="2" t="n"/>
      <c r="AVC238" s="2" t="n"/>
      <c r="AVD238" s="2" t="n"/>
      <c r="AVE238" s="2" t="n"/>
      <c r="AVF238" s="2" t="n"/>
      <c r="AVG238" s="2" t="n"/>
      <c r="AVH238" s="2" t="n"/>
      <c r="AVI238" s="2" t="n"/>
      <c r="AVJ238" s="2" t="n"/>
      <c r="AVK238" s="2" t="n"/>
      <c r="AVL238" s="2" t="n"/>
      <c r="AVM238" s="2" t="n"/>
      <c r="AVN238" s="2" t="n"/>
      <c r="AVO238" s="2" t="n"/>
      <c r="AVP238" s="2" t="n"/>
      <c r="AVQ238" s="2" t="n"/>
      <c r="AVR238" s="2" t="n"/>
      <c r="AVS238" s="2" t="n"/>
      <c r="AVT238" s="2" t="n"/>
      <c r="AVU238" s="2" t="n"/>
      <c r="AVV238" s="2" t="n"/>
      <c r="AVW238" s="2" t="n"/>
      <c r="AVX238" s="2" t="n"/>
      <c r="AVY238" s="2" t="n"/>
      <c r="AVZ238" s="2" t="n"/>
      <c r="AWA238" s="2" t="n"/>
      <c r="AWB238" s="2" t="n"/>
      <c r="AWC238" s="2" t="n"/>
      <c r="AWD238" s="2" t="n"/>
      <c r="AWE238" s="2" t="n"/>
      <c r="AWF238" s="2" t="n"/>
      <c r="AWG238" s="2" t="n"/>
      <c r="AWH238" s="2" t="n"/>
      <c r="AWI238" s="2" t="n"/>
      <c r="AWJ238" s="2" t="n"/>
      <c r="AWK238" s="2" t="n"/>
      <c r="AWL238" s="2" t="n"/>
      <c r="AWM238" s="2" t="n"/>
      <c r="AWN238" s="2" t="n"/>
      <c r="AWO238" s="2" t="n"/>
      <c r="AWP238" s="2" t="n"/>
      <c r="AWQ238" s="2" t="n"/>
      <c r="AWR238" s="2" t="n"/>
      <c r="AWS238" s="2" t="n"/>
      <c r="AWT238" s="2" t="n"/>
      <c r="AWU238" s="2" t="n"/>
      <c r="AWV238" s="2" t="n"/>
      <c r="AWW238" s="2" t="n"/>
      <c r="AWX238" s="2" t="n"/>
      <c r="AWY238" s="2" t="n"/>
      <c r="AWZ238" s="2" t="n"/>
      <c r="AXA238" s="2" t="n"/>
      <c r="AXB238" s="2" t="n"/>
      <c r="AXC238" s="2" t="n"/>
      <c r="AXD238" s="2" t="n"/>
      <c r="AXE238" s="2" t="n"/>
      <c r="AXF238" s="2" t="n"/>
      <c r="AXG238" s="2" t="n"/>
      <c r="AXH238" s="2" t="n"/>
      <c r="AXI238" s="2" t="n"/>
      <c r="AXJ238" s="2" t="n"/>
      <c r="AXK238" s="2" t="n"/>
      <c r="AXL238" s="2" t="n"/>
      <c r="AXM238" s="2" t="n"/>
      <c r="AXN238" s="2" t="n"/>
      <c r="AXO238" s="2" t="n"/>
      <c r="AXP238" s="2" t="n"/>
      <c r="AXQ238" s="2" t="n"/>
      <c r="AXR238" s="2" t="n"/>
      <c r="AXS238" s="2" t="n"/>
      <c r="AXT238" s="2" t="n"/>
      <c r="AXU238" s="2" t="n"/>
      <c r="AXV238" s="2" t="n"/>
      <c r="AXW238" s="2" t="n"/>
      <c r="AXX238" s="2" t="n"/>
      <c r="AXY238" s="2" t="n"/>
      <c r="AXZ238" s="2" t="n"/>
      <c r="AYA238" s="2" t="n"/>
      <c r="AYB238" s="2" t="n"/>
      <c r="AYC238" s="2" t="n"/>
      <c r="AYD238" s="2" t="n"/>
      <c r="AYE238" s="2" t="n"/>
      <c r="AYF238" s="2" t="n"/>
      <c r="AYG238" s="2" t="n"/>
      <c r="AYH238" s="2" t="n"/>
      <c r="AYI238" s="2" t="n"/>
      <c r="AYJ238" s="2" t="n"/>
      <c r="AYK238" s="2" t="n"/>
      <c r="AYL238" s="2" t="n"/>
      <c r="AYM238" s="2" t="n"/>
      <c r="AYN238" s="2" t="n"/>
      <c r="AYO238" s="2" t="n"/>
      <c r="AYP238" s="2" t="n"/>
      <c r="AYQ238" s="2" t="n"/>
      <c r="AYR238" s="2" t="n"/>
      <c r="AYS238" s="2" t="n"/>
      <c r="AYT238" s="2" t="n"/>
      <c r="AYU238" s="2" t="n"/>
      <c r="AYV238" s="2" t="n"/>
      <c r="AYW238" s="2" t="n"/>
      <c r="AYX238" s="2" t="n"/>
      <c r="AYY238" s="2" t="n"/>
      <c r="AYZ238" s="2" t="n"/>
      <c r="AZA238" s="2" t="n"/>
      <c r="AZB238" s="2" t="n"/>
      <c r="AZC238" s="2" t="n"/>
      <c r="AZD238" s="2" t="n"/>
      <c r="AZE238" s="2" t="n"/>
      <c r="AZF238" s="2" t="n"/>
      <c r="AZG238" s="2" t="n"/>
      <c r="AZH238" s="2" t="n"/>
      <c r="AZI238" s="2" t="n"/>
      <c r="AZJ238" s="2" t="n"/>
      <c r="AZK238" s="2" t="n"/>
      <c r="AZL238" s="2" t="n"/>
      <c r="AZM238" s="2" t="n"/>
      <c r="AZN238" s="2" t="n"/>
      <c r="AZO238" s="2" t="n"/>
      <c r="AZP238" s="2" t="n"/>
      <c r="AZQ238" s="2" t="n"/>
      <c r="AZR238" s="2" t="n"/>
      <c r="AZS238" s="2" t="n"/>
      <c r="AZT238" s="2" t="n"/>
      <c r="AZU238" s="2" t="n"/>
      <c r="AZV238" s="2" t="n"/>
      <c r="AZW238" s="2" t="n"/>
      <c r="AZX238" s="2" t="n"/>
      <c r="AZY238" s="2" t="n"/>
      <c r="AZZ238" s="2" t="n"/>
      <c r="BAA238" s="2" t="n"/>
      <c r="BAB238" s="2" t="n"/>
      <c r="BAC238" s="2" t="n"/>
      <c r="BAD238" s="2" t="n"/>
      <c r="BAE238" s="2" t="n"/>
      <c r="BAF238" s="2" t="n"/>
      <c r="BAG238" s="2" t="n"/>
      <c r="BAH238" s="2" t="n"/>
      <c r="BAI238" s="2" t="n"/>
      <c r="BAJ238" s="2" t="n"/>
      <c r="BAK238" s="2" t="n"/>
      <c r="BAL238" s="2" t="n"/>
      <c r="BAM238" s="2" t="n"/>
      <c r="BAN238" s="2" t="n"/>
      <c r="BAO238" s="2" t="n"/>
      <c r="BAP238" s="2" t="n"/>
      <c r="BAQ238" s="2" t="n"/>
      <c r="BAR238" s="2" t="n"/>
      <c r="BAS238" s="2" t="n"/>
      <c r="BAT238" s="2" t="n"/>
      <c r="BAU238" s="2" t="n"/>
      <c r="BAV238" s="2" t="n"/>
      <c r="BAW238" s="2" t="n"/>
      <c r="BAX238" s="2" t="n"/>
      <c r="BAY238" s="2" t="n"/>
      <c r="BAZ238" s="2" t="n"/>
      <c r="BBA238" s="2" t="n"/>
      <c r="BBB238" s="2" t="n"/>
      <c r="BBC238" s="2" t="n"/>
      <c r="BBD238" s="2" t="n"/>
      <c r="BBE238" s="2" t="n"/>
      <c r="BBF238" s="2" t="n"/>
      <c r="BBG238" s="2" t="n"/>
      <c r="BBH238" s="2" t="n"/>
      <c r="BBI238" s="2" t="n"/>
      <c r="BBJ238" s="2" t="n"/>
      <c r="BBK238" s="2" t="n"/>
      <c r="BBL238" s="2" t="n"/>
      <c r="BBM238" s="2" t="n"/>
      <c r="BBN238" s="2" t="n"/>
      <c r="BBO238" s="2" t="n"/>
      <c r="BBP238" s="2" t="n"/>
      <c r="BBQ238" s="2" t="n"/>
      <c r="BBR238" s="2" t="n"/>
      <c r="BBS238" s="2" t="n"/>
      <c r="BBT238" s="2" t="n"/>
      <c r="BBU238" s="2" t="n"/>
      <c r="BBV238" s="2" t="n"/>
      <c r="BBW238" s="2" t="n"/>
      <c r="BBX238" s="2" t="n"/>
      <c r="BBY238" s="2" t="n"/>
      <c r="BBZ238" s="2" t="n"/>
      <c r="BCA238" s="2" t="n"/>
      <c r="BCB238" s="2" t="n"/>
      <c r="BCC238" s="2" t="n"/>
      <c r="BCD238" s="2" t="n"/>
      <c r="BCE238" s="2" t="n"/>
      <c r="BCF238" s="2" t="n"/>
      <c r="BCG238" s="2" t="n"/>
      <c r="BCH238" s="2" t="n"/>
      <c r="BCI238" s="2" t="n"/>
      <c r="BCJ238" s="2" t="n"/>
      <c r="BCK238" s="2" t="n"/>
      <c r="BCL238" s="2" t="n"/>
      <c r="BCM238" s="2" t="n"/>
      <c r="BCN238" s="2" t="n"/>
      <c r="BCO238" s="2" t="n"/>
      <c r="BCP238" s="2" t="n"/>
      <c r="BCQ238" s="2" t="n"/>
      <c r="BCR238" s="2" t="n"/>
      <c r="BCS238" s="2" t="n"/>
      <c r="BCT238" s="2" t="n"/>
      <c r="BCU238" s="2" t="n"/>
      <c r="BCV238" s="2" t="n"/>
      <c r="BCW238" s="2" t="n"/>
      <c r="BCX238" s="2" t="n"/>
      <c r="BCY238" s="2" t="n"/>
      <c r="BCZ238" s="2" t="n"/>
      <c r="BDA238" s="2" t="n"/>
      <c r="BDB238" s="2" t="n"/>
      <c r="BDC238" s="2" t="n"/>
      <c r="BDD238" s="2" t="n"/>
      <c r="BDE238" s="2" t="n"/>
      <c r="BDF238" s="2" t="n"/>
      <c r="BDG238" s="2" t="n"/>
      <c r="BDH238" s="2" t="n"/>
      <c r="BDI238" s="2" t="n"/>
      <c r="BDJ238" s="2" t="n"/>
      <c r="BDK238" s="2" t="n"/>
      <c r="BDL238" s="2" t="n"/>
      <c r="BDM238" s="2" t="n"/>
      <c r="BDN238" s="2" t="n"/>
      <c r="BDO238" s="2" t="n"/>
      <c r="BDP238" s="2" t="n"/>
      <c r="BDQ238" s="2" t="n"/>
      <c r="BDR238" s="2" t="n"/>
      <c r="BDS238" s="2" t="n"/>
      <c r="BDT238" s="2" t="n"/>
      <c r="BDU238" s="2" t="n"/>
      <c r="BDV238" s="2" t="n"/>
      <c r="BDW238" s="2" t="n"/>
      <c r="BDX238" s="2" t="n"/>
      <c r="BDY238" s="2" t="n"/>
      <c r="BDZ238" s="2" t="n"/>
      <c r="BEA238" s="2" t="n"/>
      <c r="BEB238" s="2" t="n"/>
      <c r="BEC238" s="2" t="n"/>
      <c r="BED238" s="2" t="n"/>
      <c r="BEE238" s="2" t="n"/>
      <c r="BEF238" s="2" t="n"/>
      <c r="BEG238" s="2" t="n"/>
      <c r="BEH238" s="2" t="n"/>
      <c r="BEI238" s="2" t="n"/>
      <c r="BEJ238" s="2" t="n"/>
      <c r="BEK238" s="2" t="n"/>
      <c r="BEL238" s="2" t="n"/>
      <c r="BEM238" s="2" t="n"/>
      <c r="BEN238" s="2" t="n"/>
      <c r="BEO238" s="2" t="n"/>
      <c r="BEP238" s="2" t="n"/>
      <c r="BEQ238" s="2" t="n"/>
      <c r="BER238" s="2" t="n"/>
      <c r="BES238" s="2" t="n"/>
      <c r="BET238" s="2" t="n"/>
      <c r="BEU238" s="2" t="n"/>
      <c r="BEV238" s="2" t="n"/>
      <c r="BEW238" s="2" t="n"/>
      <c r="BEX238" s="2" t="n"/>
      <c r="BEY238" s="2" t="n"/>
      <c r="BEZ238" s="2" t="n"/>
      <c r="BFA238" s="2" t="n"/>
      <c r="BFB238" s="2" t="n"/>
      <c r="BFC238" s="2" t="n"/>
      <c r="BFD238" s="2" t="n"/>
      <c r="BFE238" s="2" t="n"/>
      <c r="BFF238" s="2" t="n"/>
      <c r="BFG238" s="2" t="n"/>
      <c r="BFH238" s="2" t="n"/>
      <c r="BFI238" s="2" t="n"/>
      <c r="BFJ238" s="2" t="n"/>
      <c r="BFK238" s="2" t="n"/>
      <c r="BFL238" s="2" t="n"/>
      <c r="BFM238" s="2" t="n"/>
      <c r="BFN238" s="2" t="n"/>
      <c r="BFO238" s="2" t="n"/>
      <c r="BFP238" s="2" t="n"/>
      <c r="BFQ238" s="2" t="n"/>
      <c r="BFR238" s="2" t="n"/>
      <c r="BFS238" s="2" t="n"/>
      <c r="BFT238" s="2" t="n"/>
      <c r="BFU238" s="2" t="n"/>
      <c r="BFV238" s="2" t="n"/>
      <c r="BFW238" s="2" t="n"/>
      <c r="BFX238" s="2" t="n"/>
      <c r="BFY238" s="2" t="n"/>
      <c r="BFZ238" s="2" t="n"/>
      <c r="BGA238" s="2" t="n"/>
      <c r="BGB238" s="2" t="n"/>
      <c r="BGC238" s="2" t="n"/>
      <c r="BGD238" s="2" t="n"/>
      <c r="BGE238" s="2" t="n"/>
      <c r="BGF238" s="2" t="n"/>
      <c r="BGG238" s="2" t="n"/>
      <c r="BGH238" s="2" t="n"/>
      <c r="BGI238" s="2" t="n"/>
      <c r="BGJ238" s="2" t="n"/>
      <c r="BGK238" s="2" t="n"/>
      <c r="BGL238" s="2" t="n"/>
      <c r="BGM238" s="2" t="n"/>
      <c r="BGN238" s="2" t="n"/>
      <c r="BGO238" s="2" t="n"/>
      <c r="BGP238" s="2" t="n"/>
      <c r="BGQ238" s="2" t="n"/>
      <c r="BGR238" s="2" t="n"/>
      <c r="BGS238" s="2" t="n"/>
      <c r="BGT238" s="2" t="n"/>
      <c r="BGU238" s="2" t="n"/>
      <c r="BGV238" s="2" t="n"/>
      <c r="BGW238" s="2" t="n"/>
      <c r="BGX238" s="2" t="n"/>
      <c r="BGY238" s="2" t="n"/>
      <c r="BGZ238" s="2" t="n"/>
      <c r="BHA238" s="2" t="n"/>
      <c r="BHB238" s="2" t="n"/>
      <c r="BHC238" s="2" t="n"/>
      <c r="BHD238" s="2" t="n"/>
      <c r="BHE238" s="2" t="n"/>
      <c r="BHF238" s="2" t="n"/>
      <c r="BHG238" s="2" t="n"/>
      <c r="BHH238" s="2" t="n"/>
      <c r="BHI238" s="2" t="n"/>
      <c r="BHJ238" s="2" t="n"/>
      <c r="BHK238" s="2" t="n"/>
      <c r="BHL238" s="2" t="n"/>
      <c r="BHM238" s="2" t="n"/>
      <c r="BHN238" s="2" t="n"/>
      <c r="BHO238" s="2" t="n"/>
      <c r="BHP238" s="2" t="n"/>
      <c r="BHQ238" s="2" t="n"/>
      <c r="BHR238" s="2" t="n"/>
      <c r="BHS238" s="2" t="n"/>
      <c r="BHT238" s="2" t="n"/>
      <c r="BHU238" s="2" t="n"/>
      <c r="BHV238" s="2" t="n"/>
      <c r="BHW238" s="2" t="n"/>
      <c r="BHX238" s="2" t="n"/>
      <c r="BHY238" s="2" t="n"/>
      <c r="BHZ238" s="2" t="n"/>
      <c r="BIA238" s="2" t="n"/>
      <c r="BIB238" s="2" t="n"/>
      <c r="BIC238" s="2" t="n"/>
      <c r="BID238" s="2" t="n"/>
      <c r="BIE238" s="2" t="n"/>
      <c r="BIF238" s="2" t="n"/>
      <c r="BIG238" s="2" t="n"/>
      <c r="BIH238" s="2" t="n"/>
      <c r="BII238" s="2" t="n"/>
      <c r="BIJ238" s="2" t="n"/>
      <c r="BIK238" s="2" t="n"/>
      <c r="BIL238" s="2" t="n"/>
      <c r="BIM238" s="2" t="n"/>
      <c r="BIN238" s="2" t="n"/>
      <c r="BIO238" s="2" t="n"/>
      <c r="BIP238" s="2" t="n"/>
      <c r="BIQ238" s="2" t="n"/>
      <c r="BIR238" s="2" t="n"/>
      <c r="BIS238" s="2" t="n"/>
      <c r="BIT238" s="2" t="n"/>
      <c r="BIU238" s="2" t="n"/>
      <c r="BIV238" s="2" t="n"/>
      <c r="BIW238" s="2" t="n"/>
      <c r="BIX238" s="2" t="n"/>
      <c r="BIY238" s="2" t="n"/>
      <c r="BIZ238" s="2" t="n"/>
      <c r="BJA238" s="2" t="n"/>
      <c r="BJB238" s="2" t="n"/>
      <c r="BJC238" s="2" t="n"/>
      <c r="BJD238" s="2" t="n"/>
      <c r="BJE238" s="2" t="n"/>
      <c r="BJF238" s="2" t="n"/>
      <c r="BJG238" s="2" t="n"/>
      <c r="BJH238" s="2" t="n"/>
      <c r="BJI238" s="2" t="n"/>
      <c r="BJJ238" s="2" t="n"/>
      <c r="BJK238" s="2" t="n"/>
      <c r="BJL238" s="2" t="n"/>
      <c r="BJM238" s="2" t="n"/>
      <c r="BJN238" s="2" t="n"/>
      <c r="BJO238" s="2" t="n"/>
      <c r="BJP238" s="2" t="n"/>
      <c r="BJQ238" s="2" t="n"/>
      <c r="BJR238" s="2" t="n"/>
      <c r="BJS238" s="2" t="n"/>
      <c r="BJT238" s="2" t="n"/>
      <c r="BJU238" s="2" t="n"/>
      <c r="BJV238" s="2" t="n"/>
      <c r="BJW238" s="2" t="n"/>
      <c r="BJX238" s="2" t="n"/>
      <c r="BJY238" s="2" t="n"/>
      <c r="BJZ238" s="2" t="n"/>
      <c r="BKA238" s="2" t="n"/>
      <c r="BKB238" s="2" t="n"/>
      <c r="BKC238" s="2" t="n"/>
      <c r="BKD238" s="2" t="n"/>
      <c r="BKE238" s="2" t="n"/>
      <c r="BKF238" s="2" t="n"/>
      <c r="BKG238" s="2" t="n"/>
      <c r="BKH238" s="2" t="n"/>
      <c r="BKI238" s="2" t="n"/>
      <c r="BKJ238" s="2" t="n"/>
      <c r="BKK238" s="2" t="n"/>
      <c r="BKL238" s="2" t="n"/>
      <c r="BKM238" s="2" t="n"/>
      <c r="BKN238" s="2" t="n"/>
      <c r="BKO238" s="2" t="n"/>
      <c r="BKP238" s="2" t="n"/>
      <c r="BKQ238" s="2" t="n"/>
      <c r="BKR238" s="2" t="n"/>
      <c r="BKS238" s="2" t="n"/>
      <c r="BKT238" s="2" t="n"/>
      <c r="BKU238" s="2" t="n"/>
      <c r="BKV238" s="2" t="n"/>
      <c r="BKW238" s="2" t="n"/>
      <c r="BKX238" s="2" t="n"/>
      <c r="BKY238" s="2" t="n"/>
      <c r="BKZ238" s="2" t="n"/>
      <c r="BLA238" s="2" t="n"/>
      <c r="BLB238" s="2" t="n"/>
      <c r="BLC238" s="2" t="n"/>
      <c r="BLD238" s="2" t="n"/>
      <c r="BLE238" s="2" t="n"/>
      <c r="BLF238" s="2" t="n"/>
      <c r="BLG238" s="2" t="n"/>
      <c r="BLH238" s="2" t="n"/>
      <c r="BLI238" s="2" t="n"/>
      <c r="BLJ238" s="2" t="n"/>
      <c r="BLK238" s="2" t="n"/>
      <c r="BLL238" s="2" t="n"/>
      <c r="BLM238" s="2" t="n"/>
      <c r="BLN238" s="2" t="n"/>
      <c r="BLO238" s="2" t="n"/>
      <c r="BLP238" s="2" t="n"/>
      <c r="BLQ238" s="2" t="n"/>
      <c r="BLR238" s="2" t="n"/>
      <c r="BLS238" s="2" t="n"/>
      <c r="BLT238" s="2" t="n"/>
      <c r="BLU238" s="2" t="n"/>
      <c r="BLV238" s="2" t="n"/>
      <c r="BLW238" s="2" t="n"/>
      <c r="BLX238" s="2" t="n"/>
      <c r="BLY238" s="2" t="n"/>
      <c r="BLZ238" s="2" t="n"/>
      <c r="BMA238" s="2" t="n"/>
      <c r="BMB238" s="2" t="n"/>
      <c r="BMC238" s="2" t="n"/>
      <c r="BMD238" s="2" t="n"/>
      <c r="BME238" s="2" t="n"/>
      <c r="BMF238" s="2" t="n"/>
      <c r="BMG238" s="2" t="n"/>
      <c r="BMH238" s="2" t="n"/>
      <c r="BMI238" s="2" t="n"/>
      <c r="BMJ238" s="2" t="n"/>
      <c r="BMK238" s="2" t="n"/>
      <c r="BML238" s="2" t="n"/>
      <c r="BMM238" s="2" t="n"/>
      <c r="BMN238" s="2" t="n"/>
      <c r="BMO238" s="2" t="n"/>
      <c r="BMP238" s="2" t="n"/>
      <c r="BMQ238" s="2" t="n"/>
      <c r="BMR238" s="2" t="n"/>
      <c r="BMS238" s="2" t="n"/>
      <c r="BMT238" s="2" t="n"/>
      <c r="BMU238" s="2" t="n"/>
      <c r="BMV238" s="2" t="n"/>
      <c r="BMW238" s="2" t="n"/>
      <c r="BMX238" s="2" t="n"/>
      <c r="BMY238" s="2" t="n"/>
      <c r="BMZ238" s="2" t="n"/>
      <c r="BNA238" s="2" t="n"/>
      <c r="BNB238" s="2" t="n"/>
      <c r="BNC238" s="2" t="n"/>
      <c r="BND238" s="2" t="n"/>
      <c r="BNE238" s="2" t="n"/>
      <c r="BNF238" s="2" t="n"/>
      <c r="BNG238" s="2" t="n"/>
      <c r="BNH238" s="2" t="n"/>
      <c r="BNI238" s="2" t="n"/>
      <c r="BNJ238" s="2" t="n"/>
      <c r="BNK238" s="2" t="n"/>
      <c r="BNL238" s="2" t="n"/>
      <c r="BNM238" s="2" t="n"/>
      <c r="BNN238" s="2" t="n"/>
      <c r="BNO238" s="2" t="n"/>
      <c r="BNP238" s="2" t="n"/>
      <c r="BNQ238" s="2" t="n"/>
      <c r="BNR238" s="2" t="n"/>
      <c r="BNS238" s="2" t="n"/>
      <c r="BNT238" s="2" t="n"/>
      <c r="BNU238" s="2" t="n"/>
      <c r="BNV238" s="2" t="n"/>
      <c r="BNW238" s="2" t="n"/>
      <c r="BNX238" s="2" t="n"/>
      <c r="BNY238" s="2" t="n"/>
      <c r="BNZ238" s="2" t="n"/>
      <c r="BOA238" s="2" t="n"/>
      <c r="BOB238" s="2" t="n"/>
      <c r="BOC238" s="2" t="n"/>
      <c r="BOD238" s="2" t="n"/>
      <c r="BOE238" s="2" t="n"/>
      <c r="BOF238" s="2" t="n"/>
      <c r="BOG238" s="2" t="n"/>
      <c r="BOH238" s="2" t="n"/>
      <c r="BOI238" s="2" t="n"/>
      <c r="BOJ238" s="2" t="n"/>
      <c r="BOK238" s="2" t="n"/>
      <c r="BOL238" s="2" t="n"/>
      <c r="BOM238" s="2" t="n"/>
      <c r="BON238" s="2" t="n"/>
      <c r="BOO238" s="2" t="n"/>
      <c r="BOP238" s="2" t="n"/>
      <c r="BOQ238" s="2" t="n"/>
      <c r="BOR238" s="2" t="n"/>
      <c r="BOS238" s="2" t="n"/>
      <c r="BOT238" s="2" t="n"/>
      <c r="BOU238" s="2" t="n"/>
      <c r="BOV238" s="2" t="n"/>
      <c r="BOW238" s="2" t="n"/>
      <c r="BOX238" s="2" t="n"/>
      <c r="BOY238" s="2" t="n"/>
      <c r="BOZ238" s="2" t="n"/>
      <c r="BPA238" s="2" t="n"/>
      <c r="BPB238" s="2" t="n"/>
      <c r="BPC238" s="2" t="n"/>
      <c r="BPD238" s="2" t="n"/>
      <c r="BPE238" s="2" t="n"/>
      <c r="BPF238" s="2" t="n"/>
      <c r="BPG238" s="2" t="n"/>
      <c r="BPH238" s="2" t="n"/>
      <c r="BPI238" s="2" t="n"/>
      <c r="BPJ238" s="2" t="n"/>
      <c r="BPK238" s="2" t="n"/>
      <c r="BPL238" s="2" t="n"/>
      <c r="BPM238" s="2" t="n"/>
      <c r="BPN238" s="2" t="n"/>
      <c r="BPO238" s="2" t="n"/>
      <c r="BPP238" s="2" t="n"/>
      <c r="BPQ238" s="2" t="n"/>
      <c r="BPR238" s="2" t="n"/>
      <c r="BPS238" s="2" t="n"/>
      <c r="BPT238" s="2" t="n"/>
      <c r="BPU238" s="2" t="n"/>
      <c r="BPV238" s="2" t="n"/>
      <c r="BPW238" s="2" t="n"/>
      <c r="BPX238" s="2" t="n"/>
      <c r="BPY238" s="2" t="n"/>
      <c r="BPZ238" s="2" t="n"/>
      <c r="BQA238" s="2" t="n"/>
      <c r="BQB238" s="2" t="n"/>
      <c r="BQC238" s="2" t="n"/>
      <c r="BQD238" s="2" t="n"/>
      <c r="BQE238" s="2" t="n"/>
      <c r="BQF238" s="2" t="n"/>
      <c r="BQG238" s="2" t="n"/>
      <c r="BQH238" s="2" t="n"/>
      <c r="BQI238" s="2" t="n"/>
      <c r="BQJ238" s="2" t="n"/>
      <c r="BQK238" s="2" t="n"/>
      <c r="BQL238" s="2" t="n"/>
      <c r="BQM238" s="2" t="n"/>
      <c r="BQN238" s="2" t="n"/>
      <c r="BQO238" s="2" t="n"/>
      <c r="BQP238" s="2" t="n"/>
      <c r="BQQ238" s="2" t="n"/>
      <c r="BQR238" s="2" t="n"/>
      <c r="BQS238" s="2" t="n"/>
      <c r="BQT238" s="2" t="n"/>
      <c r="BQU238" s="2" t="n"/>
      <c r="BQV238" s="2" t="n"/>
      <c r="BQW238" s="2" t="n"/>
      <c r="BQX238" s="2" t="n"/>
      <c r="BQY238" s="2" t="n"/>
      <c r="BQZ238" s="2" t="n"/>
      <c r="BRA238" s="2" t="n"/>
      <c r="BRB238" s="2" t="n"/>
      <c r="BRC238" s="2" t="n"/>
      <c r="BRD238" s="2" t="n"/>
      <c r="BRE238" s="2" t="n"/>
      <c r="BRF238" s="2" t="n"/>
      <c r="BRG238" s="2" t="n"/>
      <c r="BRH238" s="2" t="n"/>
      <c r="BRI238" s="2" t="n"/>
      <c r="BRJ238" s="2" t="n"/>
      <c r="BRK238" s="2" t="n"/>
      <c r="BRL238" s="2" t="n"/>
      <c r="BRM238" s="2" t="n"/>
      <c r="BRN238" s="2" t="n"/>
      <c r="BRO238" s="2" t="n"/>
      <c r="BRP238" s="2" t="n"/>
      <c r="BRQ238" s="2" t="n"/>
      <c r="BRR238" s="2" t="n"/>
      <c r="BRS238" s="2" t="n"/>
      <c r="BRT238" s="2" t="n"/>
      <c r="BRU238" s="2" t="n"/>
      <c r="BRV238" s="2" t="n"/>
      <c r="BRW238" s="2" t="n"/>
      <c r="BRX238" s="2" t="n"/>
      <c r="BRY238" s="2" t="n"/>
      <c r="BRZ238" s="2" t="n"/>
      <c r="BSA238" s="2" t="n"/>
      <c r="BSB238" s="2" t="n"/>
      <c r="BSC238" s="2" t="n"/>
      <c r="BSD238" s="2" t="n"/>
      <c r="BSE238" s="2" t="n"/>
      <c r="BSF238" s="2" t="n"/>
      <c r="BSG238" s="2" t="n"/>
      <c r="BSH238" s="2" t="n"/>
      <c r="BSI238" s="2" t="n"/>
      <c r="BSJ238" s="2" t="n"/>
      <c r="BSK238" s="2" t="n"/>
      <c r="BSL238" s="2" t="n"/>
      <c r="BSM238" s="2" t="n"/>
      <c r="BSN238" s="2" t="n"/>
      <c r="BSO238" s="2" t="n"/>
      <c r="BSP238" s="2" t="n"/>
      <c r="BSQ238" s="2" t="n"/>
      <c r="BSR238" s="2" t="n"/>
      <c r="BSS238" s="2" t="n"/>
      <c r="BST238" s="2" t="n"/>
      <c r="BSU238" s="2" t="n"/>
      <c r="BSV238" s="2" t="n"/>
      <c r="BSW238" s="2" t="n"/>
      <c r="BSX238" s="2" t="n"/>
      <c r="BSY238" s="2" t="n"/>
      <c r="BSZ238" s="2" t="n"/>
      <c r="BTA238" s="2" t="n"/>
      <c r="BTB238" s="2" t="n"/>
      <c r="BTC238" s="2" t="n"/>
      <c r="BTD238" s="2" t="n"/>
      <c r="BTE238" s="2" t="n"/>
      <c r="BTF238" s="2" t="n"/>
      <c r="BTG238" s="2" t="n"/>
      <c r="BTH238" s="2" t="n"/>
      <c r="BTI238" s="2" t="n"/>
      <c r="BTJ238" s="2" t="n"/>
      <c r="BTK238" s="2" t="n"/>
      <c r="BTL238" s="2" t="n"/>
      <c r="BTM238" s="2" t="n"/>
      <c r="BTN238" s="2" t="n"/>
      <c r="BTO238" s="2" t="n"/>
      <c r="BTP238" s="2" t="n"/>
      <c r="BTQ238" s="2" t="n"/>
      <c r="BTR238" s="2" t="n"/>
      <c r="BTS238" s="2" t="n"/>
      <c r="BTT238" s="2" t="n"/>
      <c r="BTU238" s="2" t="n"/>
      <c r="BTV238" s="2" t="n"/>
      <c r="BTW238" s="2" t="n"/>
      <c r="BTX238" s="2" t="n"/>
      <c r="BTY238" s="2" t="n"/>
      <c r="BTZ238" s="2" t="n"/>
      <c r="BUA238" s="2" t="n"/>
      <c r="BUB238" s="2" t="n"/>
      <c r="BUC238" s="2" t="n"/>
      <c r="BUD238" s="2" t="n"/>
      <c r="BUE238" s="2" t="n"/>
      <c r="BUF238" s="2" t="n"/>
      <c r="BUG238" s="2" t="n"/>
      <c r="BUH238" s="2" t="n"/>
      <c r="BUI238" s="2" t="n"/>
      <c r="BUJ238" s="2" t="n"/>
      <c r="BUK238" s="2" t="n"/>
      <c r="BUL238" s="2" t="n"/>
      <c r="BUM238" s="2" t="n"/>
      <c r="BUN238" s="2" t="n"/>
      <c r="BUO238" s="2" t="n"/>
      <c r="BUP238" s="2" t="n"/>
      <c r="BUQ238" s="2" t="n"/>
      <c r="BUR238" s="2" t="n"/>
      <c r="BUS238" s="2" t="n"/>
      <c r="BUT238" s="2" t="n"/>
      <c r="BUU238" s="2" t="n"/>
      <c r="BUV238" s="2" t="n"/>
      <c r="BUW238" s="2" t="n"/>
      <c r="BUX238" s="2" t="n"/>
      <c r="BUY238" s="2" t="n"/>
      <c r="BUZ238" s="2" t="n"/>
      <c r="BVA238" s="2" t="n"/>
      <c r="BVB238" s="2" t="n"/>
      <c r="BVC238" s="2" t="n"/>
      <c r="BVD238" s="2" t="n"/>
      <c r="BVE238" s="2" t="n"/>
      <c r="BVF238" s="2" t="n"/>
      <c r="BVG238" s="2" t="n"/>
      <c r="BVH238" s="2" t="n"/>
      <c r="BVI238" s="2" t="n"/>
      <c r="BVJ238" s="2" t="n"/>
      <c r="BVK238" s="2" t="n"/>
      <c r="BVL238" s="2" t="n"/>
      <c r="BVM238" s="2" t="n"/>
      <c r="BVN238" s="2" t="n"/>
      <c r="BVO238" s="2" t="n"/>
      <c r="BVP238" s="2" t="n"/>
      <c r="BVQ238" s="2" t="n"/>
      <c r="BVR238" s="2" t="n"/>
      <c r="BVS238" s="2" t="n"/>
      <c r="BVT238" s="2" t="n"/>
      <c r="BVU238" s="2" t="n"/>
      <c r="BVV238" s="2" t="n"/>
      <c r="BVW238" s="2" t="n"/>
      <c r="BVX238" s="2" t="n"/>
      <c r="BVY238" s="2" t="n"/>
      <c r="BVZ238" s="2" t="n"/>
      <c r="BWA238" s="2" t="n"/>
      <c r="BWB238" s="2" t="n"/>
      <c r="BWC238" s="2" t="n"/>
      <c r="BWD238" s="2" t="n"/>
      <c r="BWE238" s="2" t="n"/>
      <c r="BWF238" s="2" t="n"/>
      <c r="BWG238" s="2" t="n"/>
      <c r="BWH238" s="2" t="n"/>
      <c r="BWI238" s="2" t="n"/>
      <c r="BWJ238" s="2" t="n"/>
      <c r="BWK238" s="2" t="n"/>
      <c r="BWL238" s="2" t="n"/>
      <c r="BWM238" s="2" t="n"/>
      <c r="BWN238" s="2" t="n"/>
      <c r="BWO238" s="2" t="n"/>
      <c r="BWP238" s="2" t="n"/>
      <c r="BWQ238" s="2" t="n"/>
      <c r="BWR238" s="2" t="n"/>
      <c r="BWS238" s="2" t="n"/>
      <c r="BWT238" s="2" t="n"/>
      <c r="BWU238" s="2" t="n"/>
      <c r="BWV238" s="2" t="n"/>
      <c r="BWW238" s="2" t="n"/>
      <c r="BWX238" s="2" t="n"/>
      <c r="BWY238" s="2" t="n"/>
      <c r="BWZ238" s="2" t="n"/>
      <c r="BXA238" s="2" t="n"/>
      <c r="BXB238" s="2" t="n"/>
      <c r="BXC238" s="2" t="n"/>
      <c r="BXD238" s="2" t="n"/>
      <c r="BXE238" s="2" t="n"/>
      <c r="BXF238" s="2" t="n"/>
      <c r="BXG238" s="2" t="n"/>
      <c r="BXH238" s="2" t="n"/>
      <c r="BXI238" s="2" t="n"/>
      <c r="BXJ238" s="2" t="n"/>
      <c r="BXK238" s="2" t="n"/>
      <c r="BXL238" s="2" t="n"/>
      <c r="BXM238" s="2" t="n"/>
      <c r="BXN238" s="2" t="n"/>
      <c r="BXO238" s="2" t="n"/>
      <c r="BXP238" s="2" t="n"/>
      <c r="BXQ238" s="2" t="n"/>
      <c r="BXR238" s="2" t="n"/>
      <c r="BXS238" s="2" t="n"/>
      <c r="BXT238" s="2" t="n"/>
      <c r="BXU238" s="2" t="n"/>
      <c r="BXV238" s="2" t="n"/>
      <c r="BXW238" s="2" t="n"/>
      <c r="BXX238" s="2" t="n"/>
      <c r="BXY238" s="2" t="n"/>
      <c r="BXZ238" s="2" t="n"/>
      <c r="BYA238" s="2" t="n"/>
      <c r="BYB238" s="2" t="n"/>
      <c r="BYC238" s="2" t="n"/>
      <c r="BYD238" s="2" t="n"/>
      <c r="BYE238" s="2" t="n"/>
      <c r="BYF238" s="2" t="n"/>
      <c r="BYG238" s="2" t="n"/>
      <c r="BYH238" s="2" t="n"/>
      <c r="BYI238" s="2" t="n"/>
      <c r="BYJ238" s="2" t="n"/>
      <c r="BYK238" s="2" t="n"/>
      <c r="BYL238" s="2" t="n"/>
      <c r="BYM238" s="2" t="n"/>
      <c r="BYN238" s="2" t="n"/>
      <c r="BYO238" s="2" t="n"/>
      <c r="BYP238" s="2" t="n"/>
      <c r="BYQ238" s="2" t="n"/>
      <c r="BYR238" s="2" t="n"/>
      <c r="BYS238" s="2" t="n"/>
      <c r="BYT238" s="2" t="n"/>
      <c r="BYU238" s="2" t="n"/>
      <c r="BYV238" s="2" t="n"/>
      <c r="BYW238" s="2" t="n"/>
      <c r="BYX238" s="2" t="n"/>
      <c r="BYY238" s="2" t="n"/>
      <c r="BYZ238" s="2" t="n"/>
      <c r="BZA238" s="2" t="n"/>
      <c r="BZB238" s="2" t="n"/>
      <c r="BZC238" s="2" t="n"/>
      <c r="BZD238" s="2" t="n"/>
      <c r="BZE238" s="2" t="n"/>
      <c r="BZF238" s="2" t="n"/>
      <c r="BZG238" s="2" t="n"/>
      <c r="BZH238" s="2" t="n"/>
      <c r="BZI238" s="2" t="n"/>
      <c r="BZJ238" s="2" t="n"/>
      <c r="BZK238" s="2" t="n"/>
      <c r="BZL238" s="2" t="n"/>
      <c r="BZM238" s="2" t="n"/>
      <c r="BZN238" s="2" t="n"/>
      <c r="BZO238" s="2" t="n"/>
      <c r="BZP238" s="2" t="n"/>
      <c r="BZQ238" s="2" t="n"/>
      <c r="BZR238" s="2" t="n"/>
      <c r="BZS238" s="2" t="n"/>
      <c r="BZT238" s="2" t="n"/>
      <c r="BZU238" s="2" t="n"/>
      <c r="BZV238" s="2" t="n"/>
      <c r="BZW238" s="2" t="n"/>
      <c r="BZX238" s="2" t="n"/>
      <c r="BZY238" s="2" t="n"/>
      <c r="BZZ238" s="2" t="n"/>
      <c r="CAA238" s="2" t="n"/>
      <c r="CAB238" s="2" t="n"/>
      <c r="CAC238" s="2" t="n"/>
      <c r="CAD238" s="2" t="n"/>
      <c r="CAE238" s="2" t="n"/>
      <c r="CAF238" s="2" t="n"/>
      <c r="CAG238" s="2" t="n"/>
      <c r="CAH238" s="2" t="n"/>
      <c r="CAI238" s="2" t="n"/>
      <c r="CAJ238" s="2" t="n"/>
      <c r="CAK238" s="2" t="n"/>
      <c r="CAL238" s="2" t="n"/>
      <c r="CAM238" s="2" t="n"/>
      <c r="CAN238" s="2" t="n"/>
      <c r="CAO238" s="2" t="n"/>
      <c r="CAP238" s="2" t="n"/>
      <c r="CAQ238" s="2" t="n"/>
      <c r="CAR238" s="2" t="n"/>
      <c r="CAS238" s="2" t="n"/>
      <c r="CAT238" s="2" t="n"/>
      <c r="CAU238" s="2" t="n"/>
      <c r="CAV238" s="2" t="n"/>
      <c r="CAW238" s="2" t="n"/>
      <c r="CAX238" s="2" t="n"/>
      <c r="CAY238" s="2" t="n"/>
      <c r="CAZ238" s="2" t="n"/>
      <c r="CBA238" s="2" t="n"/>
      <c r="CBB238" s="2" t="n"/>
      <c r="CBC238" s="2" t="n"/>
      <c r="CBD238" s="2" t="n"/>
      <c r="CBE238" s="2" t="n"/>
      <c r="CBF238" s="2" t="n"/>
      <c r="CBG238" s="2" t="n"/>
      <c r="CBH238" s="2" t="n"/>
      <c r="CBI238" s="2" t="n"/>
      <c r="CBJ238" s="2" t="n"/>
      <c r="CBK238" s="2" t="n"/>
      <c r="CBL238" s="2" t="n"/>
      <c r="CBM238" s="2" t="n"/>
      <c r="CBN238" s="2" t="n"/>
      <c r="CBO238" s="2" t="n"/>
      <c r="CBP238" s="2" t="n"/>
      <c r="CBQ238" s="2" t="n"/>
      <c r="CBR238" s="2" t="n"/>
      <c r="CBS238" s="2" t="n"/>
      <c r="CBT238" s="2" t="n"/>
      <c r="CBU238" s="2" t="n"/>
      <c r="CBV238" s="2" t="n"/>
      <c r="CBW238" s="2" t="n"/>
      <c r="CBX238" s="2" t="n"/>
      <c r="CBY238" s="2" t="n"/>
      <c r="CBZ238" s="2" t="n"/>
      <c r="CCA238" s="2" t="n"/>
      <c r="CCB238" s="2" t="n"/>
      <c r="CCC238" s="2" t="n"/>
      <c r="CCD238" s="2" t="n"/>
      <c r="CCE238" s="2" t="n"/>
      <c r="CCF238" s="2" t="n"/>
      <c r="CCG238" s="2" t="n"/>
      <c r="CCH238" s="2" t="n"/>
      <c r="CCI238" s="2" t="n"/>
      <c r="CCJ238" s="2" t="n"/>
      <c r="CCK238" s="2" t="n"/>
      <c r="CCL238" s="2" t="n"/>
      <c r="CCM238" s="2" t="n"/>
      <c r="CCN238" s="2" t="n"/>
      <c r="CCO238" s="2" t="n"/>
      <c r="CCP238" s="2" t="n"/>
      <c r="CCQ238" s="2" t="n"/>
      <c r="CCR238" s="2" t="n"/>
      <c r="CCS238" s="2" t="n"/>
      <c r="CCT238" s="2" t="n"/>
      <c r="CCU238" s="2" t="n"/>
      <c r="CCV238" s="2" t="n"/>
      <c r="CCW238" s="2" t="n"/>
      <c r="CCX238" s="2" t="n"/>
      <c r="CCY238" s="2" t="n"/>
      <c r="CCZ238" s="2" t="n"/>
      <c r="CDA238" s="2" t="n"/>
      <c r="CDB238" s="2" t="n"/>
      <c r="CDC238" s="2" t="n"/>
      <c r="CDD238" s="2" t="n"/>
      <c r="CDE238" s="2" t="n"/>
      <c r="CDF238" s="2" t="n"/>
      <c r="CDG238" s="2" t="n"/>
      <c r="CDH238" s="2" t="n"/>
      <c r="CDI238" s="2" t="n"/>
      <c r="CDJ238" s="2" t="n"/>
      <c r="CDK238" s="2" t="n"/>
      <c r="CDL238" s="2" t="n"/>
      <c r="CDM238" s="2" t="n"/>
      <c r="CDN238" s="2" t="n"/>
      <c r="CDO238" s="2" t="n"/>
      <c r="CDP238" s="2" t="n"/>
      <c r="CDQ238" s="2" t="n"/>
      <c r="CDR238" s="2" t="n"/>
      <c r="CDS238" s="2" t="n"/>
      <c r="CDT238" s="2" t="n"/>
      <c r="CDU238" s="2" t="n"/>
      <c r="CDV238" s="2" t="n"/>
      <c r="CDW238" s="2" t="n"/>
      <c r="CDX238" s="2" t="n"/>
      <c r="CDY238" s="2" t="n"/>
      <c r="CDZ238" s="2" t="n"/>
      <c r="CEA238" s="2" t="n"/>
      <c r="CEB238" s="2" t="n"/>
      <c r="CEC238" s="2" t="n"/>
      <c r="CED238" s="2" t="n"/>
      <c r="CEE238" s="2" t="n"/>
      <c r="CEF238" s="2" t="n"/>
      <c r="CEG238" s="2" t="n"/>
      <c r="CEH238" s="2" t="n"/>
      <c r="CEI238" s="2" t="n"/>
      <c r="CEJ238" s="2" t="n"/>
      <c r="CEK238" s="2" t="n"/>
      <c r="CEL238" s="2" t="n"/>
      <c r="CEM238" s="2" t="n"/>
      <c r="CEN238" s="2" t="n"/>
      <c r="CEO238" s="2" t="n"/>
      <c r="CEP238" s="2" t="n"/>
      <c r="CEQ238" s="2" t="n"/>
      <c r="CER238" s="2" t="n"/>
      <c r="CES238" s="2" t="n"/>
      <c r="CET238" s="2" t="n"/>
      <c r="CEU238" s="2" t="n"/>
      <c r="CEV238" s="2" t="n"/>
      <c r="CEW238" s="2" t="n"/>
      <c r="CEX238" s="2" t="n"/>
      <c r="CEY238" s="2" t="n"/>
      <c r="CEZ238" s="2" t="n"/>
      <c r="CFA238" s="2" t="n"/>
      <c r="CFB238" s="2" t="n"/>
      <c r="CFC238" s="2" t="n"/>
      <c r="CFD238" s="2" t="n"/>
      <c r="CFE238" s="2" t="n"/>
      <c r="CFF238" s="2" t="n"/>
      <c r="CFG238" s="2" t="n"/>
      <c r="CFH238" s="2" t="n"/>
      <c r="CFI238" s="2" t="n"/>
      <c r="CFJ238" s="2" t="n"/>
      <c r="CFK238" s="2" t="n"/>
      <c r="CFL238" s="2" t="n"/>
      <c r="CFM238" s="2" t="n"/>
      <c r="CFN238" s="2" t="n"/>
      <c r="CFO238" s="2" t="n"/>
      <c r="CFP238" s="2" t="n"/>
      <c r="CFQ238" s="2" t="n"/>
      <c r="CFR238" s="2" t="n"/>
      <c r="CFS238" s="2" t="n"/>
      <c r="CFT238" s="2" t="n"/>
      <c r="CFU238" s="2" t="n"/>
      <c r="CFV238" s="2" t="n"/>
      <c r="CFW238" s="2" t="n"/>
      <c r="CFX238" s="2" t="n"/>
      <c r="CFY238" s="2" t="n"/>
      <c r="CFZ238" s="2" t="n"/>
      <c r="CGA238" s="2" t="n"/>
      <c r="CGB238" s="2" t="n"/>
      <c r="CGC238" s="2" t="n"/>
      <c r="CGD238" s="2" t="n"/>
      <c r="CGE238" s="2" t="n"/>
      <c r="CGF238" s="2" t="n"/>
      <c r="CGG238" s="2" t="n"/>
      <c r="CGH238" s="2" t="n"/>
      <c r="CGI238" s="2" t="n"/>
      <c r="CGJ238" s="2" t="n"/>
      <c r="CGK238" s="2" t="n"/>
      <c r="CGL238" s="2" t="n"/>
      <c r="CGM238" s="2" t="n"/>
      <c r="CGN238" s="2" t="n"/>
      <c r="CGO238" s="2" t="n"/>
      <c r="CGP238" s="2" t="n"/>
      <c r="CGQ238" s="2" t="n"/>
      <c r="CGR238" s="2" t="n"/>
      <c r="CGS238" s="2" t="n"/>
      <c r="CGT238" s="2" t="n"/>
      <c r="CGU238" s="2" t="n"/>
      <c r="CGV238" s="2" t="n"/>
      <c r="CGW238" s="2" t="n"/>
      <c r="CGX238" s="2" t="n"/>
      <c r="CGY238" s="2" t="n"/>
      <c r="CGZ238" s="2" t="n"/>
      <c r="CHA238" s="2" t="n"/>
      <c r="CHB238" s="2" t="n"/>
      <c r="CHC238" s="2" t="n"/>
      <c r="CHD238" s="2" t="n"/>
      <c r="CHE238" s="2" t="n"/>
      <c r="CHF238" s="2" t="n"/>
      <c r="CHG238" s="2" t="n"/>
      <c r="CHH238" s="2" t="n"/>
      <c r="CHI238" s="2" t="n"/>
      <c r="CHJ238" s="2" t="n"/>
      <c r="CHK238" s="2" t="n"/>
      <c r="CHL238" s="2" t="n"/>
      <c r="CHM238" s="2" t="n"/>
      <c r="CHN238" s="2" t="n"/>
      <c r="CHO238" s="2" t="n"/>
      <c r="CHP238" s="2" t="n"/>
      <c r="CHQ238" s="2" t="n"/>
      <c r="CHR238" s="2" t="n"/>
      <c r="CHS238" s="2" t="n"/>
      <c r="CHT238" s="2" t="n"/>
      <c r="CHU238" s="2" t="n"/>
      <c r="CHV238" s="2" t="n"/>
      <c r="CHW238" s="2" t="n"/>
      <c r="CHX238" s="2" t="n"/>
      <c r="CHY238" s="2" t="n"/>
      <c r="CHZ238" s="2" t="n"/>
      <c r="CIA238" s="2" t="n"/>
      <c r="CIB238" s="2" t="n"/>
      <c r="CIC238" s="2" t="n"/>
      <c r="CID238" s="2" t="n"/>
      <c r="CIE238" s="2" t="n"/>
      <c r="CIF238" s="2" t="n"/>
      <c r="CIG238" s="2" t="n"/>
      <c r="CIH238" s="2" t="n"/>
      <c r="CII238" s="2" t="n"/>
      <c r="CIJ238" s="2" t="n"/>
      <c r="CIK238" s="2" t="n"/>
      <c r="CIL238" s="2" t="n"/>
      <c r="CIM238" s="2" t="n"/>
      <c r="CIN238" s="2" t="n"/>
      <c r="CIO238" s="2" t="n"/>
      <c r="CIP238" s="2" t="n"/>
      <c r="CIQ238" s="2" t="n"/>
      <c r="CIR238" s="2" t="n"/>
      <c r="CIS238" s="2" t="n"/>
      <c r="CIT238" s="2" t="n"/>
      <c r="CIU238" s="2" t="n"/>
      <c r="CIV238" s="2" t="n"/>
      <c r="CIW238" s="2" t="n"/>
      <c r="CIX238" s="2" t="n"/>
      <c r="CIY238" s="2" t="n"/>
      <c r="CIZ238" s="2" t="n"/>
      <c r="CJA238" s="2" t="n"/>
      <c r="CJB238" s="2" t="n"/>
      <c r="CJC238" s="2" t="n"/>
      <c r="CJD238" s="2" t="n"/>
      <c r="CJE238" s="2" t="n"/>
      <c r="CJF238" s="2" t="n"/>
      <c r="CJG238" s="2" t="n"/>
      <c r="CJH238" s="2" t="n"/>
      <c r="CJI238" s="2" t="n"/>
      <c r="CJJ238" s="2" t="n"/>
      <c r="CJK238" s="2" t="n"/>
      <c r="CJL238" s="2" t="n"/>
      <c r="CJM238" s="2" t="n"/>
      <c r="CJN238" s="2" t="n"/>
      <c r="CJO238" s="2" t="n"/>
      <c r="CJP238" s="2" t="n"/>
      <c r="CJQ238" s="2" t="n"/>
      <c r="CJR238" s="2" t="n"/>
      <c r="CJS238" s="2" t="n"/>
      <c r="CJT238" s="2" t="n"/>
      <c r="CJU238" s="2" t="n"/>
      <c r="CJV238" s="2" t="n"/>
      <c r="CJW238" s="2" t="n"/>
      <c r="CJX238" s="2" t="n"/>
      <c r="CJY238" s="2" t="n"/>
      <c r="CJZ238" s="2" t="n"/>
      <c r="CKA238" s="2" t="n"/>
      <c r="CKB238" s="2" t="n"/>
      <c r="CKC238" s="2" t="n"/>
      <c r="CKD238" s="2" t="n"/>
      <c r="CKE238" s="2" t="n"/>
      <c r="CKF238" s="2" t="n"/>
      <c r="CKG238" s="2" t="n"/>
      <c r="CKH238" s="2" t="n"/>
      <c r="CKI238" s="2" t="n"/>
      <c r="CKJ238" s="2" t="n"/>
      <c r="CKK238" s="2" t="n"/>
      <c r="CKL238" s="2" t="n"/>
      <c r="CKM238" s="2" t="n"/>
      <c r="CKN238" s="2" t="n"/>
      <c r="CKO238" s="2" t="n"/>
      <c r="CKP238" s="2" t="n"/>
      <c r="CKQ238" s="2" t="n"/>
      <c r="CKR238" s="2" t="n"/>
      <c r="CKS238" s="2" t="n"/>
      <c r="CKT238" s="2" t="n"/>
      <c r="CKU238" s="2" t="n"/>
      <c r="CKV238" s="2" t="n"/>
      <c r="CKW238" s="2" t="n"/>
      <c r="CKX238" s="2" t="n"/>
      <c r="CKY238" s="2" t="n"/>
      <c r="CKZ238" s="2" t="n"/>
      <c r="CLA238" s="2" t="n"/>
      <c r="CLB238" s="2" t="n"/>
      <c r="CLC238" s="2" t="n"/>
      <c r="CLD238" s="2" t="n"/>
      <c r="CLE238" s="2" t="n"/>
      <c r="CLF238" s="2" t="n"/>
      <c r="CLG238" s="2" t="n"/>
      <c r="CLH238" s="2" t="n"/>
      <c r="CLI238" s="2" t="n"/>
      <c r="CLJ238" s="2" t="n"/>
      <c r="CLK238" s="2" t="n"/>
      <c r="CLL238" s="2" t="n"/>
      <c r="CLM238" s="2" t="n"/>
      <c r="CLN238" s="2" t="n"/>
      <c r="CLO238" s="2" t="n"/>
      <c r="CLP238" s="2" t="n"/>
      <c r="CLQ238" s="2" t="n"/>
      <c r="CLR238" s="2" t="n"/>
      <c r="CLS238" s="2" t="n"/>
      <c r="CLT238" s="2" t="n"/>
      <c r="CLU238" s="2" t="n"/>
      <c r="CLV238" s="2" t="n"/>
      <c r="CLW238" s="2" t="n"/>
      <c r="CLX238" s="2" t="n"/>
      <c r="CLY238" s="2" t="n"/>
      <c r="CLZ238" s="2" t="n"/>
      <c r="CMA238" s="2" t="n"/>
      <c r="CMB238" s="2" t="n"/>
      <c r="CMC238" s="2" t="n"/>
      <c r="CMD238" s="2" t="n"/>
      <c r="CME238" s="2" t="n"/>
      <c r="CMF238" s="2" t="n"/>
      <c r="CMG238" s="2" t="n"/>
      <c r="CMH238" s="2" t="n"/>
      <c r="CMI238" s="2" t="n"/>
      <c r="CMJ238" s="2" t="n"/>
      <c r="CMK238" s="2" t="n"/>
      <c r="CML238" s="2" t="n"/>
      <c r="CMM238" s="2" t="n"/>
      <c r="CMN238" s="2" t="n"/>
      <c r="CMO238" s="2" t="n"/>
      <c r="CMP238" s="2" t="n"/>
      <c r="CMQ238" s="2" t="n"/>
      <c r="CMR238" s="2" t="n"/>
      <c r="CMS238" s="2" t="n"/>
      <c r="CMT238" s="2" t="n"/>
      <c r="CMU238" s="2" t="n"/>
      <c r="CMV238" s="2" t="n"/>
      <c r="CMW238" s="2" t="n"/>
      <c r="CMX238" s="2" t="n"/>
      <c r="CMY238" s="2" t="n"/>
      <c r="CMZ238" s="2" t="n"/>
      <c r="CNA238" s="2" t="n"/>
      <c r="CNB238" s="2" t="n"/>
      <c r="CNC238" s="2" t="n"/>
      <c r="CND238" s="2" t="n"/>
      <c r="CNE238" s="2" t="n"/>
      <c r="CNF238" s="2" t="n"/>
      <c r="CNG238" s="2" t="n"/>
      <c r="CNH238" s="2" t="n"/>
      <c r="CNI238" s="2" t="n"/>
      <c r="CNJ238" s="2" t="n"/>
      <c r="CNK238" s="2" t="n"/>
      <c r="CNL238" s="2" t="n"/>
      <c r="CNM238" s="2" t="n"/>
      <c r="CNN238" s="2" t="n"/>
      <c r="CNO238" s="2" t="n"/>
      <c r="CNP238" s="2" t="n"/>
      <c r="CNQ238" s="2" t="n"/>
      <c r="CNR238" s="2" t="n"/>
      <c r="CNS238" s="2" t="n"/>
      <c r="CNT238" s="2" t="n"/>
      <c r="CNU238" s="2" t="n"/>
      <c r="CNV238" s="2" t="n"/>
      <c r="CNW238" s="2" t="n"/>
      <c r="CNX238" s="2" t="n"/>
      <c r="CNY238" s="2" t="n"/>
      <c r="CNZ238" s="2" t="n"/>
      <c r="COA238" s="2" t="n"/>
      <c r="COB238" s="2" t="n"/>
      <c r="COC238" s="2" t="n"/>
      <c r="COD238" s="2" t="n"/>
      <c r="COE238" s="2" t="n"/>
      <c r="COF238" s="2" t="n"/>
      <c r="COG238" s="2" t="n"/>
      <c r="COH238" s="2" t="n"/>
      <c r="COI238" s="2" t="n"/>
      <c r="COJ238" s="2" t="n"/>
      <c r="COK238" s="2" t="n"/>
      <c r="COL238" s="2" t="n"/>
      <c r="COM238" s="2" t="n"/>
      <c r="CON238" s="2" t="n"/>
      <c r="COO238" s="2" t="n"/>
      <c r="COP238" s="2" t="n"/>
      <c r="COQ238" s="2" t="n"/>
      <c r="COR238" s="2" t="n"/>
      <c r="COS238" s="2" t="n"/>
      <c r="COT238" s="2" t="n"/>
      <c r="COU238" s="2" t="n"/>
      <c r="COV238" s="2" t="n"/>
      <c r="COW238" s="2" t="n"/>
      <c r="COX238" s="2" t="n"/>
      <c r="COY238" s="2" t="n"/>
      <c r="COZ238" s="2" t="n"/>
      <c r="CPA238" s="2" t="n"/>
      <c r="CPB238" s="2" t="n"/>
      <c r="CPC238" s="2" t="n"/>
      <c r="CPD238" s="2" t="n"/>
      <c r="CPE238" s="2" t="n"/>
      <c r="CPF238" s="2" t="n"/>
      <c r="CPG238" s="2" t="n"/>
      <c r="CPH238" s="2" t="n"/>
      <c r="CPI238" s="2" t="n"/>
      <c r="CPJ238" s="2" t="n"/>
      <c r="CPK238" s="2" t="n"/>
      <c r="CPL238" s="2" t="n"/>
      <c r="CPM238" s="2" t="n"/>
      <c r="CPN238" s="2" t="n"/>
      <c r="CPO238" s="2" t="n"/>
      <c r="CPP238" s="2" t="n"/>
      <c r="CPQ238" s="2" t="n"/>
      <c r="CPR238" s="2" t="n"/>
      <c r="CPS238" s="2" t="n"/>
      <c r="CPT238" s="2" t="n"/>
      <c r="CPU238" s="2" t="n"/>
      <c r="CPV238" s="2" t="n"/>
      <c r="CPW238" s="2" t="n"/>
      <c r="CPX238" s="2" t="n"/>
      <c r="CPY238" s="2" t="n"/>
      <c r="CPZ238" s="2" t="n"/>
      <c r="CQA238" s="2" t="n"/>
      <c r="CQB238" s="2" t="n"/>
      <c r="CQC238" s="2" t="n"/>
      <c r="CQD238" s="2" t="n"/>
      <c r="CQE238" s="2" t="n"/>
      <c r="CQF238" s="2" t="n"/>
      <c r="CQG238" s="2" t="n"/>
      <c r="CQH238" s="2" t="n"/>
      <c r="CQI238" s="2" t="n"/>
      <c r="CQJ238" s="2" t="n"/>
      <c r="CQK238" s="2" t="n"/>
      <c r="CQL238" s="2" t="n"/>
      <c r="CQM238" s="2" t="n"/>
      <c r="CQN238" s="2" t="n"/>
      <c r="CQO238" s="2" t="n"/>
      <c r="CQP238" s="2" t="n"/>
      <c r="CQQ238" s="2" t="n"/>
      <c r="CQR238" s="2" t="n"/>
      <c r="CQS238" s="2" t="n"/>
      <c r="CQT238" s="2" t="n"/>
      <c r="CQU238" s="2" t="n"/>
      <c r="CQV238" s="2" t="n"/>
      <c r="CQW238" s="2" t="n"/>
      <c r="CQX238" s="2" t="n"/>
      <c r="CQY238" s="2" t="n"/>
      <c r="CQZ238" s="2" t="n"/>
      <c r="CRA238" s="2" t="n"/>
      <c r="CRB238" s="2" t="n"/>
      <c r="CRC238" s="2" t="n"/>
      <c r="CRD238" s="2" t="n"/>
      <c r="CRE238" s="2" t="n"/>
      <c r="CRF238" s="2" t="n"/>
      <c r="CRG238" s="2" t="n"/>
      <c r="CRH238" s="2" t="n"/>
      <c r="CRI238" s="2" t="n"/>
      <c r="CRJ238" s="2" t="n"/>
      <c r="CRK238" s="2" t="n"/>
      <c r="CRL238" s="2" t="n"/>
      <c r="CRM238" s="2" t="n"/>
      <c r="CRN238" s="2" t="n"/>
      <c r="CRO238" s="2" t="n"/>
      <c r="CRP238" s="2" t="n"/>
      <c r="CRQ238" s="2" t="n"/>
      <c r="CRR238" s="2" t="n"/>
      <c r="CRS238" s="2" t="n"/>
      <c r="CRT238" s="2" t="n"/>
      <c r="CRU238" s="2" t="n"/>
      <c r="CRV238" s="2" t="n"/>
      <c r="CRW238" s="2" t="n"/>
      <c r="CRX238" s="2" t="n"/>
      <c r="CRY238" s="2" t="n"/>
      <c r="CRZ238" s="2" t="n"/>
      <c r="CSA238" s="2" t="n"/>
      <c r="CSB238" s="2" t="n"/>
      <c r="CSC238" s="2" t="n"/>
      <c r="CSD238" s="2" t="n"/>
      <c r="CSE238" s="2" t="n"/>
      <c r="CSF238" s="2" t="n"/>
      <c r="CSG238" s="2" t="n"/>
      <c r="CSH238" s="2" t="n"/>
      <c r="CSI238" s="2" t="n"/>
      <c r="CSJ238" s="2" t="n"/>
      <c r="CSK238" s="2" t="n"/>
      <c r="CSL238" s="2" t="n"/>
      <c r="CSM238" s="2" t="n"/>
      <c r="CSN238" s="2" t="n"/>
      <c r="CSO238" s="2" t="n"/>
      <c r="CSP238" s="2" t="n"/>
      <c r="CSQ238" s="2" t="n"/>
      <c r="CSR238" s="2" t="n"/>
      <c r="CSS238" s="2" t="n"/>
      <c r="CST238" s="2" t="n"/>
      <c r="CSU238" s="2" t="n"/>
      <c r="CSV238" s="2" t="n"/>
      <c r="CSW238" s="2" t="n"/>
      <c r="CSX238" s="2" t="n"/>
      <c r="CSY238" s="2" t="n"/>
      <c r="CSZ238" s="2" t="n"/>
      <c r="CTA238" s="2" t="n"/>
      <c r="CTB238" s="2" t="n"/>
      <c r="CTC238" s="2" t="n"/>
      <c r="CTD238" s="2" t="n"/>
      <c r="CTE238" s="2" t="n"/>
      <c r="CTF238" s="2" t="n"/>
      <c r="CTG238" s="2" t="n"/>
      <c r="CTH238" s="2" t="n"/>
      <c r="CTI238" s="2" t="n"/>
      <c r="CTJ238" s="2" t="n"/>
      <c r="CTK238" s="2" t="n"/>
      <c r="CTL238" s="2" t="n"/>
      <c r="CTM238" s="2" t="n"/>
      <c r="CTN238" s="2" t="n"/>
      <c r="CTO238" s="2" t="n"/>
      <c r="CTP238" s="2" t="n"/>
      <c r="CTQ238" s="2" t="n"/>
      <c r="CTR238" s="2" t="n"/>
      <c r="CTS238" s="2" t="n"/>
      <c r="CTT238" s="2" t="n"/>
      <c r="CTU238" s="2" t="n"/>
      <c r="CTV238" s="2" t="n"/>
      <c r="CTW238" s="2" t="n"/>
      <c r="CTX238" s="2" t="n"/>
      <c r="CTY238" s="2" t="n"/>
      <c r="CTZ238" s="2" t="n"/>
      <c r="CUA238" s="2" t="n"/>
      <c r="CUB238" s="2" t="n"/>
      <c r="CUC238" s="2" t="n"/>
      <c r="CUD238" s="2" t="n"/>
      <c r="CUE238" s="2" t="n"/>
      <c r="CUF238" s="2" t="n"/>
      <c r="CUG238" s="2" t="n"/>
      <c r="CUH238" s="2" t="n"/>
      <c r="CUI238" s="2" t="n"/>
      <c r="CUJ238" s="2" t="n"/>
      <c r="CUK238" s="2" t="n"/>
      <c r="CUL238" s="2" t="n"/>
      <c r="CUM238" s="2" t="n"/>
      <c r="CUN238" s="2" t="n"/>
      <c r="CUO238" s="2" t="n"/>
      <c r="CUP238" s="2" t="n"/>
      <c r="CUQ238" s="2" t="n"/>
      <c r="CUR238" s="2" t="n"/>
      <c r="CUS238" s="2" t="n"/>
      <c r="CUT238" s="2" t="n"/>
      <c r="CUU238" s="2" t="n"/>
      <c r="CUV238" s="2" t="n"/>
      <c r="CUW238" s="2" t="n"/>
      <c r="CUX238" s="2" t="n"/>
      <c r="CUY238" s="2" t="n"/>
      <c r="CUZ238" s="2" t="n"/>
      <c r="CVA238" s="2" t="n"/>
      <c r="CVB238" s="2" t="n"/>
      <c r="CVC238" s="2" t="n"/>
      <c r="CVD238" s="2" t="n"/>
      <c r="CVE238" s="2" t="n"/>
      <c r="CVF238" s="2" t="n"/>
      <c r="CVG238" s="2" t="n"/>
      <c r="CVH238" s="2" t="n"/>
      <c r="CVI238" s="2" t="n"/>
      <c r="CVJ238" s="2" t="n"/>
      <c r="CVK238" s="2" t="n"/>
      <c r="CVL238" s="2" t="n"/>
      <c r="CVM238" s="2" t="n"/>
      <c r="CVN238" s="2" t="n"/>
      <c r="CVO238" s="2" t="n"/>
      <c r="CVP238" s="2" t="n"/>
      <c r="CVQ238" s="2" t="n"/>
      <c r="CVR238" s="2" t="n"/>
      <c r="CVS238" s="2" t="n"/>
      <c r="CVT238" s="2" t="n"/>
      <c r="CVU238" s="2" t="n"/>
      <c r="CVV238" s="2" t="n"/>
      <c r="CVW238" s="2" t="n"/>
      <c r="CVX238" s="2" t="n"/>
      <c r="CVY238" s="2" t="n"/>
      <c r="CVZ238" s="2" t="n"/>
      <c r="CWA238" s="2" t="n"/>
      <c r="CWB238" s="2" t="n"/>
      <c r="CWC238" s="2" t="n"/>
      <c r="CWD238" s="2" t="n"/>
      <c r="CWE238" s="2" t="n"/>
      <c r="CWF238" s="2" t="n"/>
      <c r="CWG238" s="2" t="n"/>
      <c r="CWH238" s="2" t="n"/>
      <c r="CWI238" s="2" t="n"/>
      <c r="CWJ238" s="2" t="n"/>
      <c r="CWK238" s="2" t="n"/>
      <c r="CWL238" s="2" t="n"/>
      <c r="CWM238" s="2" t="n"/>
      <c r="CWN238" s="2" t="n"/>
      <c r="CWO238" s="2" t="n"/>
      <c r="CWP238" s="2" t="n"/>
      <c r="CWQ238" s="2" t="n"/>
      <c r="CWR238" s="2" t="n"/>
      <c r="CWS238" s="2" t="n"/>
      <c r="CWT238" s="2" t="n"/>
      <c r="CWU238" s="2" t="n"/>
      <c r="CWV238" s="2" t="n"/>
      <c r="CWW238" s="2" t="n"/>
      <c r="CWX238" s="2" t="n"/>
      <c r="CWY238" s="2" t="n"/>
      <c r="CWZ238" s="2" t="n"/>
      <c r="CXA238" s="2" t="n"/>
      <c r="CXB238" s="2" t="n"/>
      <c r="CXC238" s="2" t="n"/>
      <c r="CXD238" s="2" t="n"/>
      <c r="CXE238" s="2" t="n"/>
      <c r="CXF238" s="2" t="n"/>
      <c r="CXG238" s="2" t="n"/>
      <c r="CXH238" s="2" t="n"/>
      <c r="CXI238" s="2" t="n"/>
      <c r="CXJ238" s="2" t="n"/>
      <c r="CXK238" s="2" t="n"/>
      <c r="CXL238" s="2" t="n"/>
      <c r="CXM238" s="2" t="n"/>
      <c r="CXN238" s="2" t="n"/>
      <c r="CXO238" s="2" t="n"/>
      <c r="CXP238" s="2" t="n"/>
      <c r="CXQ238" s="2" t="n"/>
      <c r="CXR238" s="2" t="n"/>
      <c r="CXS238" s="2" t="n"/>
      <c r="CXT238" s="2" t="n"/>
      <c r="CXU238" s="2" t="n"/>
      <c r="CXV238" s="2" t="n"/>
      <c r="CXW238" s="2" t="n"/>
      <c r="CXX238" s="2" t="n"/>
      <c r="CXY238" s="2" t="n"/>
      <c r="CXZ238" s="2" t="n"/>
      <c r="CYA238" s="2" t="n"/>
      <c r="CYB238" s="2" t="n"/>
      <c r="CYC238" s="2" t="n"/>
      <c r="CYD238" s="2" t="n"/>
      <c r="CYE238" s="2" t="n"/>
      <c r="CYF238" s="2" t="n"/>
      <c r="CYG238" s="2" t="n"/>
      <c r="CYH238" s="2" t="n"/>
      <c r="CYI238" s="2" t="n"/>
      <c r="CYJ238" s="2" t="n"/>
      <c r="CYK238" s="2" t="n"/>
      <c r="CYL238" s="2" t="n"/>
      <c r="CYM238" s="2" t="n"/>
      <c r="CYN238" s="2" t="n"/>
      <c r="CYO238" s="2" t="n"/>
      <c r="CYP238" s="2" t="n"/>
      <c r="CYQ238" s="2" t="n"/>
      <c r="CYR238" s="2" t="n"/>
      <c r="CYS238" s="2" t="n"/>
      <c r="CYT238" s="2" t="n"/>
      <c r="CYU238" s="2" t="n"/>
      <c r="CYV238" s="2" t="n"/>
      <c r="CYW238" s="2" t="n"/>
      <c r="CYX238" s="2" t="n"/>
      <c r="CYY238" s="2" t="n"/>
      <c r="CYZ238" s="2" t="n"/>
      <c r="CZA238" s="2" t="n"/>
      <c r="CZB238" s="2" t="n"/>
      <c r="CZC238" s="2" t="n"/>
      <c r="CZD238" s="2" t="n"/>
      <c r="CZE238" s="2" t="n"/>
      <c r="CZF238" s="2" t="n"/>
      <c r="CZG238" s="2" t="n"/>
      <c r="CZH238" s="2" t="n"/>
      <c r="CZI238" s="2" t="n"/>
      <c r="CZJ238" s="2" t="n"/>
      <c r="CZK238" s="2" t="n"/>
      <c r="CZL238" s="2" t="n"/>
      <c r="CZM238" s="2" t="n"/>
      <c r="CZN238" s="2" t="n"/>
      <c r="CZO238" s="2" t="n"/>
      <c r="CZP238" s="2" t="n"/>
      <c r="CZQ238" s="2" t="n"/>
      <c r="CZR238" s="2" t="n"/>
      <c r="CZS238" s="2" t="n"/>
      <c r="CZT238" s="2" t="n"/>
      <c r="CZU238" s="2" t="n"/>
      <c r="CZV238" s="2" t="n"/>
      <c r="CZW238" s="2" t="n"/>
      <c r="CZX238" s="2" t="n"/>
      <c r="CZY238" s="2" t="n"/>
      <c r="CZZ238" s="2" t="n"/>
      <c r="DAA238" s="2" t="n"/>
      <c r="DAB238" s="2" t="n"/>
      <c r="DAC238" s="2" t="n"/>
      <c r="DAD238" s="2" t="n"/>
      <c r="DAE238" s="2" t="n"/>
      <c r="DAF238" s="2" t="n"/>
      <c r="DAG238" s="2" t="n"/>
      <c r="DAH238" s="2" t="n"/>
      <c r="DAI238" s="2" t="n"/>
      <c r="DAJ238" s="2" t="n"/>
      <c r="DAK238" s="2" t="n"/>
      <c r="DAL238" s="2" t="n"/>
      <c r="DAM238" s="2" t="n"/>
      <c r="DAN238" s="2" t="n"/>
      <c r="DAO238" s="2" t="n"/>
      <c r="DAP238" s="2" t="n"/>
      <c r="DAQ238" s="2" t="n"/>
      <c r="DAR238" s="2" t="n"/>
      <c r="DAS238" s="2" t="n"/>
      <c r="DAT238" s="2" t="n"/>
      <c r="DAU238" s="2" t="n"/>
      <c r="DAV238" s="2" t="n"/>
      <c r="DAW238" s="2" t="n"/>
      <c r="DAX238" s="2" t="n"/>
      <c r="DAY238" s="2" t="n"/>
      <c r="DAZ238" s="2" t="n"/>
      <c r="DBA238" s="2" t="n"/>
      <c r="DBB238" s="2" t="n"/>
      <c r="DBC238" s="2" t="n"/>
      <c r="DBD238" s="2" t="n"/>
      <c r="DBE238" s="2" t="n"/>
      <c r="DBF238" s="2" t="n"/>
      <c r="DBG238" s="2" t="n"/>
      <c r="DBH238" s="2" t="n"/>
      <c r="DBI238" s="2" t="n"/>
      <c r="DBJ238" s="2" t="n"/>
      <c r="DBK238" s="2" t="n"/>
      <c r="DBL238" s="2" t="n"/>
      <c r="DBM238" s="2" t="n"/>
      <c r="DBN238" s="2" t="n"/>
      <c r="DBO238" s="2" t="n"/>
      <c r="DBP238" s="2" t="n"/>
      <c r="DBQ238" s="2" t="n"/>
      <c r="DBR238" s="2" t="n"/>
      <c r="DBS238" s="2" t="n"/>
      <c r="DBT238" s="2" t="n"/>
      <c r="DBU238" s="2" t="n"/>
      <c r="DBV238" s="2" t="n"/>
      <c r="DBW238" s="2" t="n"/>
      <c r="DBX238" s="2" t="n"/>
      <c r="DBY238" s="2" t="n"/>
      <c r="DBZ238" s="2" t="n"/>
      <c r="DCA238" s="2" t="n"/>
      <c r="DCB238" s="2" t="n"/>
      <c r="DCC238" s="2" t="n"/>
      <c r="DCD238" s="2" t="n"/>
      <c r="DCE238" s="2" t="n"/>
      <c r="DCF238" s="2" t="n"/>
      <c r="DCG238" s="2" t="n"/>
      <c r="DCH238" s="2" t="n"/>
      <c r="DCI238" s="2" t="n"/>
      <c r="DCJ238" s="2" t="n"/>
      <c r="DCK238" s="2" t="n"/>
      <c r="DCL238" s="2" t="n"/>
      <c r="DCM238" s="2" t="n"/>
      <c r="DCN238" s="2" t="n"/>
      <c r="DCO238" s="2" t="n"/>
      <c r="DCP238" s="2" t="n"/>
      <c r="DCQ238" s="2" t="n"/>
      <c r="DCR238" s="2" t="n"/>
      <c r="DCS238" s="2" t="n"/>
      <c r="DCT238" s="2" t="n"/>
      <c r="DCU238" s="2" t="n"/>
      <c r="DCV238" s="2" t="n"/>
      <c r="DCW238" s="2" t="n"/>
      <c r="DCX238" s="2" t="n"/>
      <c r="DCY238" s="2" t="n"/>
      <c r="DCZ238" s="2" t="n"/>
      <c r="DDA238" s="2" t="n"/>
      <c r="DDB238" s="2" t="n"/>
      <c r="DDC238" s="2" t="n"/>
      <c r="DDD238" s="2" t="n"/>
      <c r="DDE238" s="2" t="n"/>
      <c r="DDF238" s="2" t="n"/>
      <c r="DDG238" s="2" t="n"/>
      <c r="DDH238" s="2" t="n"/>
      <c r="DDI238" s="2" t="n"/>
      <c r="DDJ238" s="2" t="n"/>
      <c r="DDK238" s="2" t="n"/>
      <c r="DDL238" s="2" t="n"/>
      <c r="DDM238" s="2" t="n"/>
      <c r="DDN238" s="2" t="n"/>
      <c r="DDO238" s="2" t="n"/>
      <c r="DDP238" s="2" t="n"/>
      <c r="DDQ238" s="2" t="n"/>
      <c r="DDR238" s="2" t="n"/>
      <c r="DDS238" s="2" t="n"/>
      <c r="DDT238" s="2" t="n"/>
      <c r="DDU238" s="2" t="n"/>
      <c r="DDV238" s="2" t="n"/>
      <c r="DDW238" s="2" t="n"/>
      <c r="DDX238" s="2" t="n"/>
      <c r="DDY238" s="2" t="n"/>
      <c r="DDZ238" s="2" t="n"/>
      <c r="DEA238" s="2" t="n"/>
      <c r="DEB238" s="2" t="n"/>
      <c r="DEC238" s="2" t="n"/>
      <c r="DED238" s="2" t="n"/>
      <c r="DEE238" s="2" t="n"/>
      <c r="DEF238" s="2" t="n"/>
      <c r="DEG238" s="2" t="n"/>
      <c r="DEH238" s="2" t="n"/>
      <c r="DEI238" s="2" t="n"/>
      <c r="DEJ238" s="2" t="n"/>
      <c r="DEK238" s="2" t="n"/>
      <c r="DEL238" s="2" t="n"/>
      <c r="DEM238" s="2" t="n"/>
      <c r="DEN238" s="2" t="n"/>
      <c r="DEO238" s="2" t="n"/>
      <c r="DEP238" s="2" t="n"/>
      <c r="DEQ238" s="2" t="n"/>
      <c r="DER238" s="2" t="n"/>
      <c r="DES238" s="2" t="n"/>
      <c r="DET238" s="2" t="n"/>
      <c r="DEU238" s="2" t="n"/>
      <c r="DEV238" s="2" t="n"/>
      <c r="DEW238" s="2" t="n"/>
      <c r="DEX238" s="2" t="n"/>
      <c r="DEY238" s="2" t="n"/>
      <c r="DEZ238" s="2" t="n"/>
      <c r="DFA238" s="2" t="n"/>
      <c r="DFB238" s="2" t="n"/>
      <c r="DFC238" s="2" t="n"/>
      <c r="DFD238" s="2" t="n"/>
      <c r="DFE238" s="2" t="n"/>
      <c r="DFF238" s="2" t="n"/>
      <c r="DFG238" s="2" t="n"/>
      <c r="DFH238" s="2" t="n"/>
      <c r="DFI238" s="2" t="n"/>
      <c r="DFJ238" s="2" t="n"/>
      <c r="DFK238" s="2" t="n"/>
      <c r="DFL238" s="2" t="n"/>
      <c r="DFM238" s="2" t="n"/>
      <c r="DFN238" s="2" t="n"/>
      <c r="DFO238" s="2" t="n"/>
      <c r="DFP238" s="2" t="n"/>
      <c r="DFQ238" s="2" t="n"/>
      <c r="DFR238" s="2" t="n"/>
      <c r="DFS238" s="2" t="n"/>
      <c r="DFT238" s="2" t="n"/>
      <c r="DFU238" s="2" t="n"/>
      <c r="DFV238" s="2" t="n"/>
      <c r="DFW238" s="2" t="n"/>
      <c r="DFX238" s="2" t="n"/>
      <c r="DFY238" s="2" t="n"/>
      <c r="DFZ238" s="2" t="n"/>
      <c r="DGA238" s="2" t="n"/>
      <c r="DGB238" s="2" t="n"/>
      <c r="DGC238" s="2" t="n"/>
      <c r="DGD238" s="2" t="n"/>
      <c r="DGE238" s="2" t="n"/>
      <c r="DGF238" s="2" t="n"/>
      <c r="DGG238" s="2" t="n"/>
      <c r="DGH238" s="2" t="n"/>
      <c r="DGI238" s="2" t="n"/>
      <c r="DGJ238" s="2" t="n"/>
      <c r="DGK238" s="2" t="n"/>
      <c r="DGL238" s="2" t="n"/>
      <c r="DGM238" s="2" t="n"/>
      <c r="DGN238" s="2" t="n"/>
      <c r="DGO238" s="2" t="n"/>
      <c r="DGP238" s="2" t="n"/>
      <c r="DGQ238" s="2" t="n"/>
      <c r="DGR238" s="2" t="n"/>
      <c r="DGS238" s="2" t="n"/>
      <c r="DGT238" s="2" t="n"/>
      <c r="DGU238" s="2" t="n"/>
      <c r="DGV238" s="2" t="n"/>
      <c r="DGW238" s="2" t="n"/>
      <c r="DGX238" s="2" t="n"/>
      <c r="DGY238" s="2" t="n"/>
      <c r="DGZ238" s="2" t="n"/>
      <c r="DHA238" s="2" t="n"/>
      <c r="DHB238" s="2" t="n"/>
      <c r="DHC238" s="2" t="n"/>
      <c r="DHD238" s="2" t="n"/>
      <c r="DHE238" s="2" t="n"/>
      <c r="DHF238" s="2" t="n"/>
      <c r="DHG238" s="2" t="n"/>
      <c r="DHH238" s="2" t="n"/>
      <c r="DHI238" s="2" t="n"/>
      <c r="DHJ238" s="2" t="n"/>
      <c r="DHK238" s="2" t="n"/>
      <c r="DHL238" s="2" t="n"/>
      <c r="DHM238" s="2" t="n"/>
      <c r="DHN238" s="2" t="n"/>
      <c r="DHO238" s="2" t="n"/>
      <c r="DHP238" s="2" t="n"/>
      <c r="DHQ238" s="2" t="n"/>
      <c r="DHR238" s="2" t="n"/>
      <c r="DHS238" s="2" t="n"/>
      <c r="DHT238" s="2" t="n"/>
      <c r="DHU238" s="2" t="n"/>
      <c r="DHV238" s="2" t="n"/>
      <c r="DHW238" s="2" t="n"/>
      <c r="DHX238" s="2" t="n"/>
      <c r="DHY238" s="2" t="n"/>
      <c r="DHZ238" s="2" t="n"/>
      <c r="DIA238" s="2" t="n"/>
      <c r="DIB238" s="2" t="n"/>
      <c r="DIC238" s="2" t="n"/>
      <c r="DID238" s="2" t="n"/>
      <c r="DIE238" s="2" t="n"/>
      <c r="DIF238" s="2" t="n"/>
      <c r="DIG238" s="2" t="n"/>
      <c r="DIH238" s="2" t="n"/>
      <c r="DII238" s="2" t="n"/>
      <c r="DIJ238" s="2" t="n"/>
      <c r="DIK238" s="2" t="n"/>
      <c r="DIL238" s="2" t="n"/>
      <c r="DIM238" s="2" t="n"/>
      <c r="DIN238" s="2" t="n"/>
      <c r="DIO238" s="2" t="n"/>
      <c r="DIP238" s="2" t="n"/>
      <c r="DIQ238" s="2" t="n"/>
      <c r="DIR238" s="2" t="n"/>
      <c r="DIS238" s="2" t="n"/>
      <c r="DIT238" s="2" t="n"/>
      <c r="DIU238" s="2" t="n"/>
      <c r="DIV238" s="2" t="n"/>
      <c r="DIW238" s="2" t="n"/>
      <c r="DIX238" s="2" t="n"/>
      <c r="DIY238" s="2" t="n"/>
      <c r="DIZ238" s="2" t="n"/>
      <c r="DJA238" s="2" t="n"/>
      <c r="DJB238" s="2" t="n"/>
      <c r="DJC238" s="2" t="n"/>
      <c r="DJD238" s="2" t="n"/>
      <c r="DJE238" s="2" t="n"/>
      <c r="DJF238" s="2" t="n"/>
      <c r="DJG238" s="2" t="n"/>
      <c r="DJH238" s="2" t="n"/>
      <c r="DJI238" s="2" t="n"/>
      <c r="DJJ238" s="2" t="n"/>
      <c r="DJK238" s="2" t="n"/>
      <c r="DJL238" s="2" t="n"/>
      <c r="DJM238" s="2" t="n"/>
      <c r="DJN238" s="2" t="n"/>
      <c r="DJO238" s="2" t="n"/>
      <c r="DJP238" s="2" t="n"/>
      <c r="DJQ238" s="2" t="n"/>
      <c r="DJR238" s="2" t="n"/>
      <c r="DJS238" s="2" t="n"/>
      <c r="DJT238" s="2" t="n"/>
      <c r="DJU238" s="2" t="n"/>
      <c r="DJV238" s="2" t="n"/>
      <c r="DJW238" s="2" t="n"/>
      <c r="DJX238" s="2" t="n"/>
      <c r="DJY238" s="2" t="n"/>
      <c r="DJZ238" s="2" t="n"/>
      <c r="DKA238" s="2" t="n"/>
      <c r="DKB238" s="2" t="n"/>
      <c r="DKC238" s="2" t="n"/>
      <c r="DKD238" s="2" t="n"/>
      <c r="DKE238" s="2" t="n"/>
      <c r="DKF238" s="2" t="n"/>
      <c r="DKG238" s="2" t="n"/>
      <c r="DKH238" s="2" t="n"/>
      <c r="DKI238" s="2" t="n"/>
      <c r="DKJ238" s="2" t="n"/>
      <c r="DKK238" s="2" t="n"/>
      <c r="DKL238" s="2" t="n"/>
      <c r="DKM238" s="2" t="n"/>
      <c r="DKN238" s="2" t="n"/>
      <c r="DKO238" s="2" t="n"/>
      <c r="DKP238" s="2" t="n"/>
      <c r="DKQ238" s="2" t="n"/>
      <c r="DKR238" s="2" t="n"/>
      <c r="DKS238" s="2" t="n"/>
      <c r="DKT238" s="2" t="n"/>
      <c r="DKU238" s="2" t="n"/>
      <c r="DKV238" s="2" t="n"/>
      <c r="DKW238" s="2" t="n"/>
      <c r="DKX238" s="2" t="n"/>
      <c r="DKY238" s="2" t="n"/>
      <c r="DKZ238" s="2" t="n"/>
      <c r="DLA238" s="2" t="n"/>
      <c r="DLB238" s="2" t="n"/>
      <c r="DLC238" s="2" t="n"/>
      <c r="DLD238" s="2" t="n"/>
      <c r="DLE238" s="2" t="n"/>
      <c r="DLF238" s="2" t="n"/>
      <c r="DLG238" s="2" t="n"/>
      <c r="DLH238" s="2" t="n"/>
      <c r="DLI238" s="2" t="n"/>
      <c r="DLJ238" s="2" t="n"/>
      <c r="DLK238" s="2" t="n"/>
      <c r="DLL238" s="2" t="n"/>
      <c r="DLM238" s="2" t="n"/>
      <c r="DLN238" s="2" t="n"/>
      <c r="DLO238" s="2" t="n"/>
      <c r="DLP238" s="2" t="n"/>
      <c r="DLQ238" s="2" t="n"/>
      <c r="DLR238" s="2" t="n"/>
      <c r="DLS238" s="2" t="n"/>
      <c r="DLT238" s="2" t="n"/>
      <c r="DLU238" s="2" t="n"/>
      <c r="DLV238" s="2" t="n"/>
      <c r="DLW238" s="2" t="n"/>
      <c r="DLX238" s="2" t="n"/>
      <c r="DLY238" s="2" t="n"/>
      <c r="DLZ238" s="2" t="n"/>
      <c r="DMA238" s="2" t="n"/>
      <c r="DMB238" s="2" t="n"/>
      <c r="DMC238" s="2" t="n"/>
      <c r="DMD238" s="2" t="n"/>
      <c r="DME238" s="2" t="n"/>
      <c r="DMF238" s="2" t="n"/>
      <c r="DMG238" s="2" t="n"/>
      <c r="DMH238" s="2" t="n"/>
      <c r="DMI238" s="2" t="n"/>
      <c r="DMJ238" s="2" t="n"/>
      <c r="DMK238" s="2" t="n"/>
      <c r="DML238" s="2" t="n"/>
      <c r="DMM238" s="2" t="n"/>
      <c r="DMN238" s="2" t="n"/>
      <c r="DMO238" s="2" t="n"/>
      <c r="DMP238" s="2" t="n"/>
      <c r="DMQ238" s="2" t="n"/>
      <c r="DMR238" s="2" t="n"/>
      <c r="DMS238" s="2" t="n"/>
      <c r="DMT238" s="2" t="n"/>
      <c r="DMU238" s="2" t="n"/>
      <c r="DMV238" s="2" t="n"/>
      <c r="DMW238" s="2" t="n"/>
      <c r="DMX238" s="2" t="n"/>
      <c r="DMY238" s="2" t="n"/>
      <c r="DMZ238" s="2" t="n"/>
      <c r="DNA238" s="2" t="n"/>
      <c r="DNB238" s="2" t="n"/>
      <c r="DNC238" s="2" t="n"/>
      <c r="DND238" s="2" t="n"/>
      <c r="DNE238" s="2" t="n"/>
      <c r="DNF238" s="2" t="n"/>
      <c r="DNG238" s="2" t="n"/>
      <c r="DNH238" s="2" t="n"/>
      <c r="DNI238" s="2" t="n"/>
      <c r="DNJ238" s="2" t="n"/>
      <c r="DNK238" s="2" t="n"/>
      <c r="DNL238" s="2" t="n"/>
      <c r="DNM238" s="2" t="n"/>
      <c r="DNN238" s="2" t="n"/>
      <c r="DNO238" s="2" t="n"/>
      <c r="DNP238" s="2" t="n"/>
      <c r="DNQ238" s="2" t="n"/>
      <c r="DNR238" s="2" t="n"/>
      <c r="DNS238" s="2" t="n"/>
      <c r="DNT238" s="2" t="n"/>
      <c r="DNU238" s="2" t="n"/>
      <c r="DNV238" s="2" t="n"/>
      <c r="DNW238" s="2" t="n"/>
      <c r="DNX238" s="2" t="n"/>
      <c r="DNY238" s="2" t="n"/>
      <c r="DNZ238" s="2" t="n"/>
      <c r="DOA238" s="2" t="n"/>
      <c r="DOB238" s="2" t="n"/>
      <c r="DOC238" s="2" t="n"/>
      <c r="DOD238" s="2" t="n"/>
      <c r="DOE238" s="2" t="n"/>
      <c r="DOF238" s="2" t="n"/>
      <c r="DOG238" s="2" t="n"/>
      <c r="DOH238" s="2" t="n"/>
      <c r="DOI238" s="2" t="n"/>
      <c r="DOJ238" s="2" t="n"/>
      <c r="DOK238" s="2" t="n"/>
      <c r="DOL238" s="2" t="n"/>
      <c r="DOM238" s="2" t="n"/>
      <c r="DON238" s="2" t="n"/>
      <c r="DOO238" s="2" t="n"/>
      <c r="DOP238" s="2" t="n"/>
      <c r="DOQ238" s="2" t="n"/>
      <c r="DOR238" s="2" t="n"/>
      <c r="DOS238" s="2" t="n"/>
      <c r="DOT238" s="2" t="n"/>
      <c r="DOU238" s="2" t="n"/>
      <c r="DOV238" s="2" t="n"/>
      <c r="DOW238" s="2" t="n"/>
      <c r="DOX238" s="2" t="n"/>
      <c r="DOY238" s="2" t="n"/>
      <c r="DOZ238" s="2" t="n"/>
      <c r="DPA238" s="2" t="n"/>
      <c r="DPB238" s="2" t="n"/>
      <c r="DPC238" s="2" t="n"/>
      <c r="DPD238" s="2" t="n"/>
      <c r="DPE238" s="2" t="n"/>
      <c r="DPF238" s="2" t="n"/>
      <c r="DPG238" s="2" t="n"/>
      <c r="DPH238" s="2" t="n"/>
      <c r="DPI238" s="2" t="n"/>
      <c r="DPJ238" s="2" t="n"/>
      <c r="DPK238" s="2" t="n"/>
      <c r="DPL238" s="2" t="n"/>
      <c r="DPM238" s="2" t="n"/>
      <c r="DPN238" s="2" t="n"/>
      <c r="DPO238" s="2" t="n"/>
      <c r="DPP238" s="2" t="n"/>
      <c r="DPQ238" s="2" t="n"/>
      <c r="DPR238" s="2" t="n"/>
      <c r="DPS238" s="2" t="n"/>
      <c r="DPT238" s="2" t="n"/>
      <c r="DPU238" s="2" t="n"/>
      <c r="DPV238" s="2" t="n"/>
      <c r="DPW238" s="2" t="n"/>
      <c r="DPX238" s="2" t="n"/>
      <c r="DPY238" s="2" t="n"/>
      <c r="DPZ238" s="2" t="n"/>
      <c r="DQA238" s="2" t="n"/>
      <c r="DQB238" s="2" t="n"/>
      <c r="DQC238" s="2" t="n"/>
      <c r="DQD238" s="2" t="n"/>
      <c r="DQE238" s="2" t="n"/>
      <c r="DQF238" s="2" t="n"/>
      <c r="DQG238" s="2" t="n"/>
      <c r="DQH238" s="2" t="n"/>
      <c r="DQI238" s="2" t="n"/>
      <c r="DQJ238" s="2" t="n"/>
      <c r="DQK238" s="2" t="n"/>
      <c r="DQL238" s="2" t="n"/>
      <c r="DQM238" s="2" t="n"/>
      <c r="DQN238" s="2" t="n"/>
      <c r="DQO238" s="2" t="n"/>
      <c r="DQP238" s="2" t="n"/>
      <c r="DQQ238" s="2" t="n"/>
      <c r="DQR238" s="2" t="n"/>
      <c r="DQS238" s="2" t="n"/>
      <c r="DQT238" s="2" t="n"/>
      <c r="DQU238" s="2" t="n"/>
      <c r="DQV238" s="2" t="n"/>
      <c r="DQW238" s="2" t="n"/>
      <c r="DQX238" s="2" t="n"/>
      <c r="DQY238" s="2" t="n"/>
      <c r="DQZ238" s="2" t="n"/>
      <c r="DRA238" s="2" t="n"/>
      <c r="DRB238" s="2" t="n"/>
      <c r="DRC238" s="2" t="n"/>
      <c r="DRD238" s="2" t="n"/>
      <c r="DRE238" s="2" t="n"/>
      <c r="DRF238" s="2" t="n"/>
      <c r="DRG238" s="2" t="n"/>
      <c r="DRH238" s="2" t="n"/>
      <c r="DRI238" s="2" t="n"/>
      <c r="DRJ238" s="2" t="n"/>
      <c r="DRK238" s="2" t="n"/>
      <c r="DRL238" s="2" t="n"/>
      <c r="DRM238" s="2" t="n"/>
      <c r="DRN238" s="2" t="n"/>
      <c r="DRO238" s="2" t="n"/>
      <c r="DRP238" s="2" t="n"/>
      <c r="DRQ238" s="2" t="n"/>
      <c r="DRR238" s="2" t="n"/>
      <c r="DRS238" s="2" t="n"/>
      <c r="DRT238" s="2" t="n"/>
      <c r="DRU238" s="2" t="n"/>
      <c r="DRV238" s="2" t="n"/>
      <c r="DRW238" s="2" t="n"/>
      <c r="DRX238" s="2" t="n"/>
      <c r="DRY238" s="2" t="n"/>
      <c r="DRZ238" s="2" t="n"/>
      <c r="DSA238" s="2" t="n"/>
      <c r="DSB238" s="2" t="n"/>
      <c r="DSC238" s="2" t="n"/>
      <c r="DSD238" s="2" t="n"/>
      <c r="DSE238" s="2" t="n"/>
      <c r="DSF238" s="2" t="n"/>
      <c r="DSG238" s="2" t="n"/>
      <c r="DSH238" s="2" t="n"/>
      <c r="DSI238" s="2" t="n"/>
      <c r="DSJ238" s="2" t="n"/>
      <c r="DSK238" s="2" t="n"/>
      <c r="DSL238" s="2" t="n"/>
      <c r="DSM238" s="2" t="n"/>
      <c r="DSN238" s="2" t="n"/>
      <c r="DSO238" s="2" t="n"/>
      <c r="DSP238" s="2" t="n"/>
      <c r="DSQ238" s="2" t="n"/>
      <c r="DSR238" s="2" t="n"/>
      <c r="DSS238" s="2" t="n"/>
      <c r="DST238" s="2" t="n"/>
      <c r="DSU238" s="2" t="n"/>
      <c r="DSV238" s="2" t="n"/>
      <c r="DSW238" s="2" t="n"/>
      <c r="DSX238" s="2" t="n"/>
      <c r="DSY238" s="2" t="n"/>
      <c r="DSZ238" s="2" t="n"/>
      <c r="DTA238" s="2" t="n"/>
      <c r="DTB238" s="2" t="n"/>
      <c r="DTC238" s="2" t="n"/>
      <c r="DTD238" s="2" t="n"/>
      <c r="DTE238" s="2" t="n"/>
      <c r="DTF238" s="2" t="n"/>
      <c r="DTG238" s="2" t="n"/>
      <c r="DTH238" s="2" t="n"/>
      <c r="DTI238" s="2" t="n"/>
      <c r="DTJ238" s="2" t="n"/>
      <c r="DTK238" s="2" t="n"/>
      <c r="DTL238" s="2" t="n"/>
      <c r="DTM238" s="2" t="n"/>
      <c r="DTN238" s="2" t="n"/>
      <c r="DTO238" s="2" t="n"/>
      <c r="DTP238" s="2" t="n"/>
      <c r="DTQ238" s="2" t="n"/>
      <c r="DTR238" s="2" t="n"/>
      <c r="DTS238" s="2" t="n"/>
      <c r="DTT238" s="2" t="n"/>
      <c r="DTU238" s="2" t="n"/>
      <c r="DTV238" s="2" t="n"/>
      <c r="DTW238" s="2" t="n"/>
      <c r="DTX238" s="2" t="n"/>
      <c r="DTY238" s="2" t="n"/>
      <c r="DTZ238" s="2" t="n"/>
      <c r="DUA238" s="2" t="n"/>
      <c r="DUB238" s="2" t="n"/>
      <c r="DUC238" s="2" t="n"/>
      <c r="DUD238" s="2" t="n"/>
      <c r="DUE238" s="2" t="n"/>
      <c r="DUF238" s="2" t="n"/>
      <c r="DUG238" s="2" t="n"/>
      <c r="DUH238" s="2" t="n"/>
      <c r="DUI238" s="2" t="n"/>
      <c r="DUJ238" s="2" t="n"/>
      <c r="DUK238" s="2" t="n"/>
      <c r="DUL238" s="2" t="n"/>
      <c r="DUM238" s="2" t="n"/>
      <c r="DUN238" s="2" t="n"/>
      <c r="DUO238" s="2" t="n"/>
      <c r="DUP238" s="2" t="n"/>
      <c r="DUQ238" s="2" t="n"/>
      <c r="DUR238" s="2" t="n"/>
      <c r="DUS238" s="2" t="n"/>
      <c r="DUT238" s="2" t="n"/>
      <c r="DUU238" s="2" t="n"/>
      <c r="DUV238" s="2" t="n"/>
      <c r="DUW238" s="2" t="n"/>
      <c r="DUX238" s="2" t="n"/>
      <c r="DUY238" s="2" t="n"/>
      <c r="DUZ238" s="2" t="n"/>
      <c r="DVA238" s="2" t="n"/>
      <c r="DVB238" s="2" t="n"/>
      <c r="DVC238" s="2" t="n"/>
      <c r="DVD238" s="2" t="n"/>
      <c r="DVE238" s="2" t="n"/>
      <c r="DVF238" s="2" t="n"/>
      <c r="DVG238" s="2" t="n"/>
      <c r="DVH238" s="2" t="n"/>
      <c r="DVI238" s="2" t="n"/>
      <c r="DVJ238" s="2" t="n"/>
      <c r="DVK238" s="2" t="n"/>
      <c r="DVL238" s="2" t="n"/>
      <c r="DVM238" s="2" t="n"/>
      <c r="DVN238" s="2" t="n"/>
      <c r="DVO238" s="2" t="n"/>
      <c r="DVP238" s="2" t="n"/>
      <c r="DVQ238" s="2" t="n"/>
      <c r="DVR238" s="2" t="n"/>
      <c r="DVS238" s="2" t="n"/>
      <c r="DVT238" s="2" t="n"/>
      <c r="DVU238" s="2" t="n"/>
      <c r="DVV238" s="2" t="n"/>
      <c r="DVW238" s="2" t="n"/>
      <c r="DVX238" s="2" t="n"/>
      <c r="DVY238" s="2" t="n"/>
      <c r="DVZ238" s="2" t="n"/>
      <c r="DWA238" s="2" t="n"/>
      <c r="DWB238" s="2" t="n"/>
      <c r="DWC238" s="2" t="n"/>
      <c r="DWD238" s="2" t="n"/>
      <c r="DWE238" s="2" t="n"/>
      <c r="DWF238" s="2" t="n"/>
      <c r="DWG238" s="2" t="n"/>
      <c r="DWH238" s="2" t="n"/>
      <c r="DWI238" s="2" t="n"/>
      <c r="DWJ238" s="2" t="n"/>
      <c r="DWK238" s="2" t="n"/>
      <c r="DWL238" s="2" t="n"/>
      <c r="DWM238" s="2" t="n"/>
      <c r="DWN238" s="2" t="n"/>
      <c r="DWO238" s="2" t="n"/>
      <c r="DWP238" s="2" t="n"/>
      <c r="DWQ238" s="2" t="n"/>
      <c r="DWR238" s="2" t="n"/>
      <c r="DWS238" s="2" t="n"/>
      <c r="DWT238" s="2" t="n"/>
      <c r="DWU238" s="2" t="n"/>
      <c r="DWV238" s="2" t="n"/>
      <c r="DWW238" s="2" t="n"/>
      <c r="DWX238" s="2" t="n"/>
      <c r="DWY238" s="2" t="n"/>
      <c r="DWZ238" s="2" t="n"/>
      <c r="DXA238" s="2" t="n"/>
      <c r="DXB238" s="2" t="n"/>
      <c r="DXC238" s="2" t="n"/>
      <c r="DXD238" s="2" t="n"/>
      <c r="DXE238" s="2" t="n"/>
      <c r="DXF238" s="2" t="n"/>
      <c r="DXG238" s="2" t="n"/>
      <c r="DXH238" s="2" t="n"/>
      <c r="DXI238" s="2" t="n"/>
      <c r="DXJ238" s="2" t="n"/>
      <c r="DXK238" s="2" t="n"/>
      <c r="DXL238" s="2" t="n"/>
      <c r="DXM238" s="2" t="n"/>
      <c r="DXN238" s="2" t="n"/>
      <c r="DXO238" s="2" t="n"/>
      <c r="DXP238" s="2" t="n"/>
      <c r="DXQ238" s="2" t="n"/>
      <c r="DXR238" s="2" t="n"/>
      <c r="DXS238" s="2" t="n"/>
      <c r="DXT238" s="2" t="n"/>
      <c r="DXU238" s="2" t="n"/>
      <c r="DXV238" s="2" t="n"/>
      <c r="DXW238" s="2" t="n"/>
      <c r="DXX238" s="2" t="n"/>
      <c r="DXY238" s="2" t="n"/>
      <c r="DXZ238" s="2" t="n"/>
      <c r="DYA238" s="2" t="n"/>
      <c r="DYB238" s="2" t="n"/>
      <c r="DYC238" s="2" t="n"/>
      <c r="DYD238" s="2" t="n"/>
      <c r="DYE238" s="2" t="n"/>
      <c r="DYF238" s="2" t="n"/>
      <c r="DYG238" s="2" t="n"/>
      <c r="DYH238" s="2" t="n"/>
      <c r="DYI238" s="2" t="n"/>
      <c r="DYJ238" s="2" t="n"/>
      <c r="DYK238" s="2" t="n"/>
      <c r="DYL238" s="2" t="n"/>
      <c r="DYM238" s="2" t="n"/>
      <c r="DYN238" s="2" t="n"/>
      <c r="DYO238" s="2" t="n"/>
      <c r="DYP238" s="2" t="n"/>
      <c r="DYQ238" s="2" t="n"/>
      <c r="DYR238" s="2" t="n"/>
      <c r="DYS238" s="2" t="n"/>
      <c r="DYT238" s="2" t="n"/>
      <c r="DYU238" s="2" t="n"/>
      <c r="DYV238" s="2" t="n"/>
      <c r="DYW238" s="2" t="n"/>
      <c r="DYX238" s="2" t="n"/>
      <c r="DYY238" s="2" t="n"/>
      <c r="DYZ238" s="2" t="n"/>
      <c r="DZA238" s="2" t="n"/>
      <c r="DZB238" s="2" t="n"/>
      <c r="DZC238" s="2" t="n"/>
      <c r="DZD238" s="2" t="n"/>
      <c r="DZE238" s="2" t="n"/>
      <c r="DZF238" s="2" t="n"/>
      <c r="DZG238" s="2" t="n"/>
      <c r="DZH238" s="2" t="n"/>
      <c r="DZI238" s="2" t="n"/>
      <c r="DZJ238" s="2" t="n"/>
      <c r="DZK238" s="2" t="n"/>
      <c r="DZL238" s="2" t="n"/>
      <c r="DZM238" s="2" t="n"/>
      <c r="DZN238" s="2" t="n"/>
      <c r="DZO238" s="2" t="n"/>
      <c r="DZP238" s="2" t="n"/>
      <c r="DZQ238" s="2" t="n"/>
      <c r="DZR238" s="2" t="n"/>
      <c r="DZS238" s="2" t="n"/>
      <c r="DZT238" s="2" t="n"/>
      <c r="DZU238" s="2" t="n"/>
      <c r="DZV238" s="2" t="n"/>
      <c r="DZW238" s="2" t="n"/>
      <c r="DZX238" s="2" t="n"/>
      <c r="DZY238" s="2" t="n"/>
      <c r="DZZ238" s="2" t="n"/>
      <c r="EAA238" s="2" t="n"/>
      <c r="EAB238" s="2" t="n"/>
      <c r="EAC238" s="2" t="n"/>
      <c r="EAD238" s="2" t="n"/>
      <c r="EAE238" s="2" t="n"/>
      <c r="EAF238" s="2" t="n"/>
      <c r="EAG238" s="2" t="n"/>
      <c r="EAH238" s="2" t="n"/>
      <c r="EAI238" s="2" t="n"/>
      <c r="EAJ238" s="2" t="n"/>
      <c r="EAK238" s="2" t="n"/>
      <c r="EAL238" s="2" t="n"/>
      <c r="EAM238" s="2" t="n"/>
      <c r="EAN238" s="2" t="n"/>
      <c r="EAO238" s="2" t="n"/>
      <c r="EAP238" s="2" t="n"/>
      <c r="EAQ238" s="2" t="n"/>
      <c r="EAR238" s="2" t="n"/>
      <c r="EAS238" s="2" t="n"/>
      <c r="EAT238" s="2" t="n"/>
      <c r="EAU238" s="2" t="n"/>
      <c r="EAV238" s="2" t="n"/>
      <c r="EAW238" s="2" t="n"/>
      <c r="EAX238" s="2" t="n"/>
      <c r="EAY238" s="2" t="n"/>
      <c r="EAZ238" s="2" t="n"/>
      <c r="EBA238" s="2" t="n"/>
      <c r="EBB238" s="2" t="n"/>
      <c r="EBC238" s="2" t="n"/>
      <c r="EBD238" s="2" t="n"/>
      <c r="EBE238" s="2" t="n"/>
      <c r="EBF238" s="2" t="n"/>
      <c r="EBG238" s="2" t="n"/>
      <c r="EBH238" s="2" t="n"/>
      <c r="EBI238" s="2" t="n"/>
      <c r="EBJ238" s="2" t="n"/>
      <c r="EBK238" s="2" t="n"/>
      <c r="EBL238" s="2" t="n"/>
      <c r="EBM238" s="2" t="n"/>
      <c r="EBN238" s="2" t="n"/>
      <c r="EBO238" s="2" t="n"/>
      <c r="EBP238" s="2" t="n"/>
      <c r="EBQ238" s="2" t="n"/>
      <c r="EBR238" s="2" t="n"/>
      <c r="EBS238" s="2" t="n"/>
      <c r="EBT238" s="2" t="n"/>
      <c r="EBU238" s="2" t="n"/>
      <c r="EBV238" s="2" t="n"/>
      <c r="EBW238" s="2" t="n"/>
      <c r="EBX238" s="2" t="n"/>
      <c r="EBY238" s="2" t="n"/>
      <c r="EBZ238" s="2" t="n"/>
      <c r="ECA238" s="2" t="n"/>
      <c r="ECB238" s="2" t="n"/>
      <c r="ECC238" s="2" t="n"/>
      <c r="ECD238" s="2" t="n"/>
      <c r="ECE238" s="2" t="n"/>
      <c r="ECF238" s="2" t="n"/>
      <c r="ECG238" s="2" t="n"/>
      <c r="ECH238" s="2" t="n"/>
      <c r="ECI238" s="2" t="n"/>
      <c r="ECJ238" s="2" t="n"/>
      <c r="ECK238" s="2" t="n"/>
      <c r="ECL238" s="2" t="n"/>
      <c r="ECM238" s="2" t="n"/>
      <c r="ECN238" s="2" t="n"/>
      <c r="ECO238" s="2" t="n"/>
      <c r="ECP238" s="2" t="n"/>
      <c r="ECQ238" s="2" t="n"/>
      <c r="ECR238" s="2" t="n"/>
      <c r="ECS238" s="2" t="n"/>
      <c r="ECT238" s="2" t="n"/>
      <c r="ECU238" s="2" t="n"/>
      <c r="ECV238" s="2" t="n"/>
      <c r="ECW238" s="2" t="n"/>
      <c r="ECX238" s="2" t="n"/>
      <c r="ECY238" s="2" t="n"/>
      <c r="ECZ238" s="2" t="n"/>
      <c r="EDA238" s="2" t="n"/>
      <c r="EDB238" s="2" t="n"/>
      <c r="EDC238" s="2" t="n"/>
      <c r="EDD238" s="2" t="n"/>
      <c r="EDE238" s="2" t="n"/>
      <c r="EDF238" s="2" t="n"/>
      <c r="EDG238" s="2" t="n"/>
      <c r="EDH238" s="2" t="n"/>
      <c r="EDI238" s="2" t="n"/>
      <c r="EDJ238" s="2" t="n"/>
      <c r="EDK238" s="2" t="n"/>
      <c r="EDL238" s="2" t="n"/>
      <c r="EDM238" s="2" t="n"/>
      <c r="EDN238" s="2" t="n"/>
      <c r="EDO238" s="2" t="n"/>
      <c r="EDP238" s="2" t="n"/>
      <c r="EDQ238" s="2" t="n"/>
      <c r="EDR238" s="2" t="n"/>
      <c r="EDS238" s="2" t="n"/>
      <c r="EDT238" s="2" t="n"/>
      <c r="EDU238" s="2" t="n"/>
      <c r="EDV238" s="2" t="n"/>
      <c r="EDW238" s="2" t="n"/>
      <c r="EDX238" s="2" t="n"/>
      <c r="EDY238" s="2" t="n"/>
      <c r="EDZ238" s="2" t="n"/>
      <c r="EEA238" s="2" t="n"/>
      <c r="EEB238" s="2" t="n"/>
      <c r="EEC238" s="2" t="n"/>
      <c r="EED238" s="2" t="n"/>
      <c r="EEE238" s="2" t="n"/>
      <c r="EEF238" s="2" t="n"/>
      <c r="EEG238" s="2" t="n"/>
      <c r="EEH238" s="2" t="n"/>
      <c r="EEI238" s="2" t="n"/>
      <c r="EEJ238" s="2" t="n"/>
      <c r="EEK238" s="2" t="n"/>
      <c r="EEL238" s="2" t="n"/>
      <c r="EEM238" s="2" t="n"/>
      <c r="EEN238" s="2" t="n"/>
      <c r="EEO238" s="2" t="n"/>
      <c r="EEP238" s="2" t="n"/>
      <c r="EEQ238" s="2" t="n"/>
      <c r="EER238" s="2" t="n"/>
      <c r="EES238" s="2" t="n"/>
      <c r="EET238" s="2" t="n"/>
      <c r="EEU238" s="2" t="n"/>
      <c r="EEV238" s="2" t="n"/>
      <c r="EEW238" s="2" t="n"/>
      <c r="EEX238" s="2" t="n"/>
      <c r="EEY238" s="2" t="n"/>
      <c r="EEZ238" s="2" t="n"/>
      <c r="EFA238" s="2" t="n"/>
      <c r="EFB238" s="2" t="n"/>
      <c r="EFC238" s="2" t="n"/>
      <c r="EFD238" s="2" t="n"/>
      <c r="EFE238" s="2" t="n"/>
      <c r="EFF238" s="2" t="n"/>
      <c r="EFG238" s="2" t="n"/>
      <c r="EFH238" s="2" t="n"/>
      <c r="EFI238" s="2" t="n"/>
      <c r="EFJ238" s="2" t="n"/>
      <c r="EFK238" s="2" t="n"/>
      <c r="EFL238" s="2" t="n"/>
      <c r="EFM238" s="2" t="n"/>
      <c r="EFN238" s="2" t="n"/>
      <c r="EFO238" s="2" t="n"/>
      <c r="EFP238" s="2" t="n"/>
      <c r="EFQ238" s="2" t="n"/>
      <c r="EFR238" s="2" t="n"/>
      <c r="EFS238" s="2" t="n"/>
      <c r="EFT238" s="2" t="n"/>
      <c r="EFU238" s="2" t="n"/>
      <c r="EFV238" s="2" t="n"/>
      <c r="EFW238" s="2" t="n"/>
      <c r="EFX238" s="2" t="n"/>
      <c r="EFY238" s="2" t="n"/>
      <c r="EFZ238" s="2" t="n"/>
      <c r="EGA238" s="2" t="n"/>
      <c r="EGB238" s="2" t="n"/>
      <c r="EGC238" s="2" t="n"/>
      <c r="EGD238" s="2" t="n"/>
      <c r="EGE238" s="2" t="n"/>
      <c r="EGF238" s="2" t="n"/>
      <c r="EGG238" s="2" t="n"/>
      <c r="EGH238" s="2" t="n"/>
      <c r="EGI238" s="2" t="n"/>
      <c r="EGJ238" s="2" t="n"/>
      <c r="EGK238" s="2" t="n"/>
      <c r="EGL238" s="2" t="n"/>
      <c r="EGM238" s="2" t="n"/>
      <c r="EGN238" s="2" t="n"/>
      <c r="EGO238" s="2" t="n"/>
      <c r="EGP238" s="2" t="n"/>
      <c r="EGQ238" s="2" t="n"/>
      <c r="EGR238" s="2" t="n"/>
      <c r="EGS238" s="2" t="n"/>
      <c r="EGT238" s="2" t="n"/>
      <c r="EGU238" s="2" t="n"/>
      <c r="EGV238" s="2" t="n"/>
      <c r="EGW238" s="2" t="n"/>
      <c r="EGX238" s="2" t="n"/>
      <c r="EGY238" s="2" t="n"/>
      <c r="EGZ238" s="2" t="n"/>
      <c r="EHA238" s="2" t="n"/>
      <c r="EHB238" s="2" t="n"/>
      <c r="EHC238" s="2" t="n"/>
      <c r="EHD238" s="2" t="n"/>
      <c r="EHE238" s="2" t="n"/>
      <c r="EHF238" s="2" t="n"/>
      <c r="EHG238" s="2" t="n"/>
      <c r="EHH238" s="2" t="n"/>
      <c r="EHI238" s="2" t="n"/>
      <c r="EHJ238" s="2" t="n"/>
      <c r="EHK238" s="2" t="n"/>
      <c r="EHL238" s="2" t="n"/>
      <c r="EHM238" s="2" t="n"/>
      <c r="EHN238" s="2" t="n"/>
      <c r="EHO238" s="2" t="n"/>
      <c r="EHP238" s="2" t="n"/>
      <c r="EHQ238" s="2" t="n"/>
      <c r="EHR238" s="2" t="n"/>
      <c r="EHS238" s="2" t="n"/>
      <c r="EHT238" s="2" t="n"/>
      <c r="EHU238" s="2" t="n"/>
      <c r="EHV238" s="2" t="n"/>
      <c r="EHW238" s="2" t="n"/>
      <c r="EHX238" s="2" t="n"/>
      <c r="EHY238" s="2" t="n"/>
      <c r="EHZ238" s="2" t="n"/>
      <c r="EIA238" s="2" t="n"/>
      <c r="EIB238" s="2" t="n"/>
      <c r="EIC238" s="2" t="n"/>
      <c r="EID238" s="2" t="n"/>
      <c r="EIE238" s="2" t="n"/>
      <c r="EIF238" s="2" t="n"/>
      <c r="EIG238" s="2" t="n"/>
      <c r="EIH238" s="2" t="n"/>
      <c r="EII238" s="2" t="n"/>
      <c r="EIJ238" s="2" t="n"/>
      <c r="EIK238" s="2" t="n"/>
      <c r="EIL238" s="2" t="n"/>
      <c r="EIM238" s="2" t="n"/>
      <c r="EIN238" s="2" t="n"/>
      <c r="EIO238" s="2" t="n"/>
      <c r="EIP238" s="2" t="n"/>
      <c r="EIQ238" s="2" t="n"/>
      <c r="EIR238" s="2" t="n"/>
      <c r="EIS238" s="2" t="n"/>
      <c r="EIT238" s="2" t="n"/>
      <c r="EIU238" s="2" t="n"/>
      <c r="EIV238" s="2" t="n"/>
      <c r="EIW238" s="2" t="n"/>
      <c r="EIX238" s="2" t="n"/>
      <c r="EIY238" s="2" t="n"/>
      <c r="EIZ238" s="2" t="n"/>
      <c r="EJA238" s="2" t="n"/>
      <c r="EJB238" s="2" t="n"/>
      <c r="EJC238" s="2" t="n"/>
      <c r="EJD238" s="2" t="n"/>
      <c r="EJE238" s="2" t="n"/>
      <c r="EJF238" s="2" t="n"/>
      <c r="EJG238" s="2" t="n"/>
      <c r="EJH238" s="2" t="n"/>
      <c r="EJI238" s="2" t="n"/>
      <c r="EJJ238" s="2" t="n"/>
      <c r="EJK238" s="2" t="n"/>
      <c r="EJL238" s="2" t="n"/>
      <c r="EJM238" s="2" t="n"/>
      <c r="EJN238" s="2" t="n"/>
      <c r="EJO238" s="2" t="n"/>
      <c r="EJP238" s="2" t="n"/>
      <c r="EJQ238" s="2" t="n"/>
      <c r="EJR238" s="2" t="n"/>
      <c r="EJS238" s="2" t="n"/>
      <c r="EJT238" s="2" t="n"/>
      <c r="EJU238" s="2" t="n"/>
      <c r="EJV238" s="2" t="n"/>
      <c r="EJW238" s="2" t="n"/>
      <c r="EJX238" s="2" t="n"/>
      <c r="EJY238" s="2" t="n"/>
      <c r="EJZ238" s="2" t="n"/>
      <c r="EKA238" s="2" t="n"/>
      <c r="EKB238" s="2" t="n"/>
      <c r="EKC238" s="2" t="n"/>
      <c r="EKD238" s="2" t="n"/>
      <c r="EKE238" s="2" t="n"/>
      <c r="EKF238" s="2" t="n"/>
      <c r="EKG238" s="2" t="n"/>
      <c r="EKH238" s="2" t="n"/>
      <c r="EKI238" s="2" t="n"/>
      <c r="EKJ238" s="2" t="n"/>
      <c r="EKK238" s="2" t="n"/>
      <c r="EKL238" s="2" t="n"/>
      <c r="EKM238" s="2" t="n"/>
      <c r="EKN238" s="2" t="n"/>
      <c r="EKO238" s="2" t="n"/>
      <c r="EKP238" s="2" t="n"/>
      <c r="EKQ238" s="2" t="n"/>
      <c r="EKR238" s="2" t="n"/>
      <c r="EKS238" s="2" t="n"/>
      <c r="EKT238" s="2" t="n"/>
      <c r="EKU238" s="2" t="n"/>
      <c r="EKV238" s="2" t="n"/>
      <c r="EKW238" s="2" t="n"/>
      <c r="EKX238" s="2" t="n"/>
      <c r="EKY238" s="2" t="n"/>
      <c r="EKZ238" s="2" t="n"/>
      <c r="ELA238" s="2" t="n"/>
      <c r="ELB238" s="2" t="n"/>
      <c r="ELC238" s="2" t="n"/>
      <c r="ELD238" s="2" t="n"/>
      <c r="ELE238" s="2" t="n"/>
      <c r="ELF238" s="2" t="n"/>
      <c r="ELG238" s="2" t="n"/>
      <c r="ELH238" s="2" t="n"/>
      <c r="ELI238" s="2" t="n"/>
      <c r="ELJ238" s="2" t="n"/>
      <c r="ELK238" s="2" t="n"/>
      <c r="ELL238" s="2" t="n"/>
      <c r="ELM238" s="2" t="n"/>
      <c r="ELN238" s="2" t="n"/>
      <c r="ELO238" s="2" t="n"/>
      <c r="ELP238" s="2" t="n"/>
      <c r="ELQ238" s="2" t="n"/>
      <c r="ELR238" s="2" t="n"/>
      <c r="ELS238" s="2" t="n"/>
      <c r="ELT238" s="2" t="n"/>
      <c r="ELU238" s="2" t="n"/>
      <c r="ELV238" s="2" t="n"/>
      <c r="ELW238" s="2" t="n"/>
      <c r="ELX238" s="2" t="n"/>
      <c r="ELY238" s="2" t="n"/>
      <c r="ELZ238" s="2" t="n"/>
      <c r="EMA238" s="2" t="n"/>
      <c r="EMB238" s="2" t="n"/>
      <c r="EMC238" s="2" t="n"/>
      <c r="EMD238" s="2" t="n"/>
      <c r="EME238" s="2" t="n"/>
      <c r="EMF238" s="2" t="n"/>
      <c r="EMG238" s="2" t="n"/>
      <c r="EMH238" s="2" t="n"/>
      <c r="EMI238" s="2" t="n"/>
      <c r="EMJ238" s="2" t="n"/>
      <c r="EMK238" s="2" t="n"/>
      <c r="EML238" s="2" t="n"/>
      <c r="EMM238" s="2" t="n"/>
      <c r="EMN238" s="2" t="n"/>
      <c r="EMO238" s="2" t="n"/>
      <c r="EMP238" s="2" t="n"/>
      <c r="EMQ238" s="2" t="n"/>
      <c r="EMR238" s="2" t="n"/>
      <c r="EMS238" s="2" t="n"/>
      <c r="EMT238" s="2" t="n"/>
      <c r="EMU238" s="2" t="n"/>
      <c r="EMV238" s="2" t="n"/>
      <c r="EMW238" s="2" t="n"/>
      <c r="EMX238" s="2" t="n"/>
      <c r="EMY238" s="2" t="n"/>
      <c r="EMZ238" s="2" t="n"/>
      <c r="ENA238" s="2" t="n"/>
      <c r="ENB238" s="2" t="n"/>
      <c r="ENC238" s="2" t="n"/>
      <c r="END238" s="2" t="n"/>
      <c r="ENE238" s="2" t="n"/>
      <c r="ENF238" s="2" t="n"/>
      <c r="ENG238" s="2" t="n"/>
      <c r="ENH238" s="2" t="n"/>
      <c r="ENI238" s="2" t="n"/>
      <c r="ENJ238" s="2" t="n"/>
      <c r="ENK238" s="2" t="n"/>
      <c r="ENL238" s="2" t="n"/>
      <c r="ENM238" s="2" t="n"/>
      <c r="ENN238" s="2" t="n"/>
      <c r="ENO238" s="2" t="n"/>
      <c r="ENP238" s="2" t="n"/>
      <c r="ENQ238" s="2" t="n"/>
      <c r="ENR238" s="2" t="n"/>
      <c r="ENS238" s="2" t="n"/>
      <c r="ENT238" s="2" t="n"/>
      <c r="ENU238" s="2" t="n"/>
      <c r="ENV238" s="2" t="n"/>
      <c r="ENW238" s="2" t="n"/>
      <c r="ENX238" s="2" t="n"/>
      <c r="ENY238" s="2" t="n"/>
      <c r="ENZ238" s="2" t="n"/>
      <c r="EOA238" s="2" t="n"/>
      <c r="EOB238" s="2" t="n"/>
      <c r="EOC238" s="2" t="n"/>
      <c r="EOD238" s="2" t="n"/>
      <c r="EOE238" s="2" t="n"/>
      <c r="EOF238" s="2" t="n"/>
      <c r="EOG238" s="2" t="n"/>
      <c r="EOH238" s="2" t="n"/>
      <c r="EOI238" s="2" t="n"/>
      <c r="EOJ238" s="2" t="n"/>
      <c r="EOK238" s="2" t="n"/>
      <c r="EOL238" s="2" t="n"/>
      <c r="EOM238" s="2" t="n"/>
      <c r="EON238" s="2" t="n"/>
      <c r="EOO238" s="2" t="n"/>
      <c r="EOP238" s="2" t="n"/>
      <c r="EOQ238" s="2" t="n"/>
      <c r="EOR238" s="2" t="n"/>
      <c r="EOS238" s="2" t="n"/>
      <c r="EOT238" s="2" t="n"/>
      <c r="EOU238" s="2" t="n"/>
      <c r="EOV238" s="2" t="n"/>
      <c r="EOW238" s="2" t="n"/>
      <c r="EOX238" s="2" t="n"/>
      <c r="EOY238" s="2" t="n"/>
      <c r="EOZ238" s="2" t="n"/>
      <c r="EPA238" s="2" t="n"/>
      <c r="EPB238" s="2" t="n"/>
      <c r="EPC238" s="2" t="n"/>
      <c r="EPD238" s="2" t="n"/>
      <c r="EPE238" s="2" t="n"/>
      <c r="EPF238" s="2" t="n"/>
      <c r="EPG238" s="2" t="n"/>
      <c r="EPH238" s="2" t="n"/>
      <c r="EPI238" s="2" t="n"/>
      <c r="EPJ238" s="2" t="n"/>
      <c r="EPK238" s="2" t="n"/>
      <c r="EPL238" s="2" t="n"/>
      <c r="EPM238" s="2" t="n"/>
      <c r="EPN238" s="2" t="n"/>
      <c r="EPO238" s="2" t="n"/>
      <c r="EPP238" s="2" t="n"/>
      <c r="EPQ238" s="2" t="n"/>
      <c r="EPR238" s="2" t="n"/>
      <c r="EPS238" s="2" t="n"/>
      <c r="EPT238" s="2" t="n"/>
      <c r="EPU238" s="2" t="n"/>
      <c r="EPV238" s="2" t="n"/>
      <c r="EPW238" s="2" t="n"/>
      <c r="EPX238" s="2" t="n"/>
      <c r="EPY238" s="2" t="n"/>
      <c r="EPZ238" s="2" t="n"/>
      <c r="EQA238" s="2" t="n"/>
      <c r="EQB238" s="2" t="n"/>
      <c r="EQC238" s="2" t="n"/>
      <c r="EQD238" s="2" t="n"/>
      <c r="EQE238" s="2" t="n"/>
      <c r="EQF238" s="2" t="n"/>
      <c r="EQG238" s="2" t="n"/>
      <c r="EQH238" s="2" t="n"/>
      <c r="EQI238" s="2" t="n"/>
      <c r="EQJ238" s="2" t="n"/>
      <c r="EQK238" s="2" t="n"/>
      <c r="EQL238" s="2" t="n"/>
      <c r="EQM238" s="2" t="n"/>
      <c r="EQN238" s="2" t="n"/>
      <c r="EQO238" s="2" t="n"/>
      <c r="EQP238" s="2" t="n"/>
      <c r="EQQ238" s="2" t="n"/>
      <c r="EQR238" s="2" t="n"/>
      <c r="EQS238" s="2" t="n"/>
      <c r="EQT238" s="2" t="n"/>
      <c r="EQU238" s="2" t="n"/>
      <c r="EQV238" s="2" t="n"/>
      <c r="EQW238" s="2" t="n"/>
      <c r="EQX238" s="2" t="n"/>
      <c r="EQY238" s="2" t="n"/>
      <c r="EQZ238" s="2" t="n"/>
      <c r="ERA238" s="2" t="n"/>
      <c r="ERB238" s="2" t="n"/>
      <c r="ERC238" s="2" t="n"/>
      <c r="ERD238" s="2" t="n"/>
      <c r="ERE238" s="2" t="n"/>
      <c r="ERF238" s="2" t="n"/>
      <c r="ERG238" s="2" t="n"/>
      <c r="ERH238" s="2" t="n"/>
      <c r="ERI238" s="2" t="n"/>
      <c r="ERJ238" s="2" t="n"/>
      <c r="ERK238" s="2" t="n"/>
      <c r="ERL238" s="2" t="n"/>
      <c r="ERM238" s="2" t="n"/>
      <c r="ERN238" s="2" t="n"/>
      <c r="ERO238" s="2" t="n"/>
      <c r="ERP238" s="2" t="n"/>
      <c r="ERQ238" s="2" t="n"/>
      <c r="ERR238" s="2" t="n"/>
      <c r="ERS238" s="2" t="n"/>
      <c r="ERT238" s="2" t="n"/>
      <c r="ERU238" s="2" t="n"/>
      <c r="ERV238" s="2" t="n"/>
      <c r="ERW238" s="2" t="n"/>
      <c r="ERX238" s="2" t="n"/>
      <c r="ERY238" s="2" t="n"/>
      <c r="ERZ238" s="2" t="n"/>
      <c r="ESA238" s="2" t="n"/>
      <c r="ESB238" s="2" t="n"/>
      <c r="ESC238" s="2" t="n"/>
      <c r="ESD238" s="2" t="n"/>
      <c r="ESE238" s="2" t="n"/>
      <c r="ESF238" s="2" t="n"/>
      <c r="ESG238" s="2" t="n"/>
      <c r="ESH238" s="2" t="n"/>
      <c r="ESI238" s="2" t="n"/>
      <c r="ESJ238" s="2" t="n"/>
      <c r="ESK238" s="2" t="n"/>
      <c r="ESL238" s="2" t="n"/>
      <c r="ESM238" s="2" t="n"/>
      <c r="ESN238" s="2" t="n"/>
      <c r="ESO238" s="2" t="n"/>
      <c r="ESP238" s="2" t="n"/>
      <c r="ESQ238" s="2" t="n"/>
      <c r="ESR238" s="2" t="n"/>
      <c r="ESS238" s="2" t="n"/>
      <c r="EST238" s="2" t="n"/>
      <c r="ESU238" s="2" t="n"/>
      <c r="ESV238" s="2" t="n"/>
      <c r="ESW238" s="2" t="n"/>
      <c r="ESX238" s="2" t="n"/>
      <c r="ESY238" s="2" t="n"/>
      <c r="ESZ238" s="2" t="n"/>
      <c r="ETA238" s="2" t="n"/>
      <c r="ETB238" s="2" t="n"/>
      <c r="ETC238" s="2" t="n"/>
      <c r="ETD238" s="2" t="n"/>
      <c r="ETE238" s="2" t="n"/>
      <c r="ETF238" s="2" t="n"/>
      <c r="ETG238" s="2" t="n"/>
      <c r="ETH238" s="2" t="n"/>
      <c r="ETI238" s="2" t="n"/>
      <c r="ETJ238" s="2" t="n"/>
      <c r="ETK238" s="2" t="n"/>
      <c r="ETL238" s="2" t="n"/>
      <c r="ETM238" s="2" t="n"/>
      <c r="ETN238" s="2" t="n"/>
      <c r="ETO238" s="2" t="n"/>
      <c r="ETP238" s="2" t="n"/>
      <c r="ETQ238" s="2" t="n"/>
      <c r="ETR238" s="2" t="n"/>
      <c r="ETS238" s="2" t="n"/>
      <c r="ETT238" s="2" t="n"/>
      <c r="ETU238" s="2" t="n"/>
      <c r="ETV238" s="2" t="n"/>
      <c r="ETW238" s="2" t="n"/>
      <c r="ETX238" s="2" t="n"/>
      <c r="ETY238" s="2" t="n"/>
      <c r="ETZ238" s="2" t="n"/>
      <c r="EUA238" s="2" t="n"/>
      <c r="EUB238" s="2" t="n"/>
      <c r="EUC238" s="2" t="n"/>
      <c r="EUD238" s="2" t="n"/>
      <c r="EUE238" s="2" t="n"/>
      <c r="EUF238" s="2" t="n"/>
      <c r="EUG238" s="2" t="n"/>
      <c r="EUH238" s="2" t="n"/>
      <c r="EUI238" s="2" t="n"/>
      <c r="EUJ238" s="2" t="n"/>
      <c r="EUK238" s="2" t="n"/>
      <c r="EUL238" s="2" t="n"/>
      <c r="EUM238" s="2" t="n"/>
      <c r="EUN238" s="2" t="n"/>
      <c r="EUO238" s="2" t="n"/>
      <c r="EUP238" s="2" t="n"/>
      <c r="EUQ238" s="2" t="n"/>
      <c r="EUR238" s="2" t="n"/>
      <c r="EUS238" s="2" t="n"/>
      <c r="EUT238" s="2" t="n"/>
      <c r="EUU238" s="2" t="n"/>
      <c r="EUV238" s="2" t="n"/>
      <c r="EUW238" s="2" t="n"/>
      <c r="EUX238" s="2" t="n"/>
      <c r="EUY238" s="2" t="n"/>
      <c r="EUZ238" s="2" t="n"/>
      <c r="EVA238" s="2" t="n"/>
      <c r="EVB238" s="2" t="n"/>
      <c r="EVC238" s="2" t="n"/>
      <c r="EVD238" s="2" t="n"/>
      <c r="EVE238" s="2" t="n"/>
      <c r="EVF238" s="2" t="n"/>
      <c r="EVG238" s="2" t="n"/>
      <c r="EVH238" s="2" t="n"/>
      <c r="EVI238" s="2" t="n"/>
      <c r="EVJ238" s="2" t="n"/>
      <c r="EVK238" s="2" t="n"/>
      <c r="EVL238" s="2" t="n"/>
      <c r="EVM238" s="2" t="n"/>
      <c r="EVN238" s="2" t="n"/>
      <c r="EVO238" s="2" t="n"/>
      <c r="EVP238" s="2" t="n"/>
      <c r="EVQ238" s="2" t="n"/>
      <c r="EVR238" s="2" t="n"/>
      <c r="EVS238" s="2" t="n"/>
      <c r="EVT238" s="2" t="n"/>
      <c r="EVU238" s="2" t="n"/>
      <c r="EVV238" s="2" t="n"/>
      <c r="EVW238" s="2" t="n"/>
      <c r="EVX238" s="2" t="n"/>
      <c r="EVY238" s="2" t="n"/>
      <c r="EVZ238" s="2" t="n"/>
      <c r="EWA238" s="2" t="n"/>
      <c r="EWB238" s="2" t="n"/>
      <c r="EWC238" s="2" t="n"/>
      <c r="EWD238" s="2" t="n"/>
      <c r="EWE238" s="2" t="n"/>
      <c r="EWF238" s="2" t="n"/>
      <c r="EWG238" s="2" t="n"/>
      <c r="EWH238" s="2" t="n"/>
      <c r="EWI238" s="2" t="n"/>
      <c r="EWJ238" s="2" t="n"/>
      <c r="EWK238" s="2" t="n"/>
      <c r="EWL238" s="2" t="n"/>
      <c r="EWM238" s="2" t="n"/>
      <c r="EWN238" s="2" t="n"/>
      <c r="EWO238" s="2" t="n"/>
      <c r="EWP238" s="2" t="n"/>
      <c r="EWQ238" s="2" t="n"/>
      <c r="EWR238" s="2" t="n"/>
      <c r="EWS238" s="2" t="n"/>
      <c r="EWT238" s="2" t="n"/>
      <c r="EWU238" s="2" t="n"/>
      <c r="EWV238" s="2" t="n"/>
      <c r="EWW238" s="2" t="n"/>
      <c r="EWX238" s="2" t="n"/>
      <c r="EWY238" s="2" t="n"/>
      <c r="EWZ238" s="2" t="n"/>
      <c r="EXA238" s="2" t="n"/>
      <c r="EXB238" s="2" t="n"/>
      <c r="EXC238" s="2" t="n"/>
      <c r="EXD238" s="2" t="n"/>
      <c r="EXE238" s="2" t="n"/>
      <c r="EXF238" s="2" t="n"/>
      <c r="EXG238" s="2" t="n"/>
      <c r="EXH238" s="2" t="n"/>
      <c r="EXI238" s="2" t="n"/>
      <c r="EXJ238" s="2" t="n"/>
      <c r="EXK238" s="2" t="n"/>
      <c r="EXL238" s="2" t="n"/>
      <c r="EXM238" s="2" t="n"/>
      <c r="EXN238" s="2" t="n"/>
      <c r="EXO238" s="2" t="n"/>
      <c r="EXP238" s="2" t="n"/>
      <c r="EXQ238" s="2" t="n"/>
      <c r="EXR238" s="2" t="n"/>
      <c r="EXS238" s="2" t="n"/>
      <c r="EXT238" s="2" t="n"/>
      <c r="EXU238" s="2" t="n"/>
      <c r="EXV238" s="2" t="n"/>
      <c r="EXW238" s="2" t="n"/>
      <c r="EXX238" s="2" t="n"/>
      <c r="EXY238" s="2" t="n"/>
      <c r="EXZ238" s="2" t="n"/>
      <c r="EYA238" s="2" t="n"/>
      <c r="EYB238" s="2" t="n"/>
      <c r="EYC238" s="2" t="n"/>
      <c r="EYD238" s="2" t="n"/>
      <c r="EYE238" s="2" t="n"/>
      <c r="EYF238" s="2" t="n"/>
      <c r="EYG238" s="2" t="n"/>
      <c r="EYH238" s="2" t="n"/>
      <c r="EYI238" s="2" t="n"/>
      <c r="EYJ238" s="2" t="n"/>
      <c r="EYK238" s="2" t="n"/>
      <c r="EYL238" s="2" t="n"/>
      <c r="EYM238" s="2" t="n"/>
      <c r="EYN238" s="2" t="n"/>
      <c r="EYO238" s="2" t="n"/>
      <c r="EYP238" s="2" t="n"/>
      <c r="EYQ238" s="2" t="n"/>
      <c r="EYR238" s="2" t="n"/>
      <c r="EYS238" s="2" t="n"/>
      <c r="EYT238" s="2" t="n"/>
      <c r="EYU238" s="2" t="n"/>
      <c r="EYV238" s="2" t="n"/>
      <c r="EYW238" s="2" t="n"/>
      <c r="EYX238" s="2" t="n"/>
      <c r="EYY238" s="2" t="n"/>
      <c r="EYZ238" s="2" t="n"/>
      <c r="EZA238" s="2" t="n"/>
      <c r="EZB238" s="2" t="n"/>
      <c r="EZC238" s="2" t="n"/>
      <c r="EZD238" s="2" t="n"/>
      <c r="EZE238" s="2" t="n"/>
      <c r="EZF238" s="2" t="n"/>
      <c r="EZG238" s="2" t="n"/>
      <c r="EZH238" s="2" t="n"/>
      <c r="EZI238" s="2" t="n"/>
      <c r="EZJ238" s="2" t="n"/>
      <c r="EZK238" s="2" t="n"/>
      <c r="EZL238" s="2" t="n"/>
      <c r="EZM238" s="2" t="n"/>
      <c r="EZN238" s="2" t="n"/>
      <c r="EZO238" s="2" t="n"/>
      <c r="EZP238" s="2" t="n"/>
      <c r="EZQ238" s="2" t="n"/>
      <c r="EZR238" s="2" t="n"/>
      <c r="EZS238" s="2" t="n"/>
      <c r="EZT238" s="2" t="n"/>
      <c r="EZU238" s="2" t="n"/>
      <c r="EZV238" s="2" t="n"/>
      <c r="EZW238" s="2" t="n"/>
      <c r="EZX238" s="2" t="n"/>
      <c r="EZY238" s="2" t="n"/>
      <c r="EZZ238" s="2" t="n"/>
      <c r="FAA238" s="2" t="n"/>
      <c r="FAB238" s="2" t="n"/>
      <c r="FAC238" s="2" t="n"/>
      <c r="FAD238" s="2" t="n"/>
      <c r="FAE238" s="2" t="n"/>
      <c r="FAF238" s="2" t="n"/>
      <c r="FAG238" s="2" t="n"/>
      <c r="FAH238" s="2" t="n"/>
      <c r="FAI238" s="2" t="n"/>
      <c r="FAJ238" s="2" t="n"/>
      <c r="FAK238" s="2" t="n"/>
      <c r="FAL238" s="2" t="n"/>
      <c r="FAM238" s="2" t="n"/>
      <c r="FAN238" s="2" t="n"/>
      <c r="FAO238" s="2" t="n"/>
      <c r="FAP238" s="2" t="n"/>
      <c r="FAQ238" s="2" t="n"/>
      <c r="FAR238" s="2" t="n"/>
      <c r="FAS238" s="2" t="n"/>
      <c r="FAT238" s="2" t="n"/>
      <c r="FAU238" s="2" t="n"/>
      <c r="FAV238" s="2" t="n"/>
      <c r="FAW238" s="2" t="n"/>
      <c r="FAX238" s="2" t="n"/>
      <c r="FAY238" s="2" t="n"/>
      <c r="FAZ238" s="2" t="n"/>
      <c r="FBA238" s="2" t="n"/>
      <c r="FBB238" s="2" t="n"/>
      <c r="FBC238" s="2" t="n"/>
      <c r="FBD238" s="2" t="n"/>
      <c r="FBE238" s="2" t="n"/>
      <c r="FBF238" s="2" t="n"/>
      <c r="FBG238" s="2" t="n"/>
      <c r="FBH238" s="2" t="n"/>
      <c r="FBI238" s="2" t="n"/>
      <c r="FBJ238" s="2" t="n"/>
      <c r="FBK238" s="2" t="n"/>
      <c r="FBL238" s="2" t="n"/>
      <c r="FBM238" s="2" t="n"/>
      <c r="FBN238" s="2" t="n"/>
      <c r="FBO238" s="2" t="n"/>
      <c r="FBP238" s="2" t="n"/>
      <c r="FBQ238" s="2" t="n"/>
      <c r="FBR238" s="2" t="n"/>
      <c r="FBS238" s="2" t="n"/>
      <c r="FBT238" s="2" t="n"/>
      <c r="FBU238" s="2" t="n"/>
      <c r="FBV238" s="2" t="n"/>
      <c r="FBW238" s="2" t="n"/>
      <c r="FBX238" s="2" t="n"/>
      <c r="FBY238" s="2" t="n"/>
      <c r="FBZ238" s="2" t="n"/>
      <c r="FCA238" s="2" t="n"/>
      <c r="FCB238" s="2" t="n"/>
      <c r="FCC238" s="2" t="n"/>
      <c r="FCD238" s="2" t="n"/>
      <c r="FCE238" s="2" t="n"/>
      <c r="FCF238" s="2" t="n"/>
      <c r="FCG238" s="2" t="n"/>
      <c r="FCH238" s="2" t="n"/>
      <c r="FCI238" s="2" t="n"/>
      <c r="FCJ238" s="2" t="n"/>
      <c r="FCK238" s="2" t="n"/>
      <c r="FCL238" s="2" t="n"/>
      <c r="FCM238" s="2" t="n"/>
      <c r="FCN238" s="2" t="n"/>
      <c r="FCO238" s="2" t="n"/>
      <c r="FCP238" s="2" t="n"/>
      <c r="FCQ238" s="2" t="n"/>
      <c r="FCR238" s="2" t="n"/>
      <c r="FCS238" s="2" t="n"/>
      <c r="FCT238" s="2" t="n"/>
      <c r="FCU238" s="2" t="n"/>
      <c r="FCV238" s="2" t="n"/>
      <c r="FCW238" s="2" t="n"/>
      <c r="FCX238" s="2" t="n"/>
      <c r="FCY238" s="2" t="n"/>
      <c r="FCZ238" s="2" t="n"/>
      <c r="FDA238" s="2" t="n"/>
      <c r="FDB238" s="2" t="n"/>
      <c r="FDC238" s="2" t="n"/>
      <c r="FDD238" s="2" t="n"/>
      <c r="FDE238" s="2" t="n"/>
      <c r="FDF238" s="2" t="n"/>
      <c r="FDG238" s="2" t="n"/>
      <c r="FDH238" s="2" t="n"/>
      <c r="FDI238" s="2" t="n"/>
      <c r="FDJ238" s="2" t="n"/>
      <c r="FDK238" s="2" t="n"/>
      <c r="FDL238" s="2" t="n"/>
      <c r="FDM238" s="2" t="n"/>
      <c r="FDN238" s="2" t="n"/>
      <c r="FDO238" s="2" t="n"/>
      <c r="FDP238" s="2" t="n"/>
      <c r="FDQ238" s="2" t="n"/>
      <c r="FDR238" s="2" t="n"/>
      <c r="FDS238" s="2" t="n"/>
      <c r="FDT238" s="2" t="n"/>
      <c r="FDU238" s="2" t="n"/>
      <c r="FDV238" s="2" t="n"/>
      <c r="FDW238" s="2" t="n"/>
      <c r="FDX238" s="2" t="n"/>
      <c r="FDY238" s="2" t="n"/>
      <c r="FDZ238" s="2" t="n"/>
      <c r="FEA238" s="2" t="n"/>
      <c r="FEB238" s="2" t="n"/>
      <c r="FEC238" s="2" t="n"/>
      <c r="FED238" s="2" t="n"/>
      <c r="FEE238" s="2" t="n"/>
      <c r="FEF238" s="2" t="n"/>
      <c r="FEG238" s="2" t="n"/>
      <c r="FEH238" s="2" t="n"/>
      <c r="FEI238" s="2" t="n"/>
      <c r="FEJ238" s="2" t="n"/>
      <c r="FEK238" s="2" t="n"/>
      <c r="FEL238" s="2" t="n"/>
      <c r="FEM238" s="2" t="n"/>
      <c r="FEN238" s="2" t="n"/>
      <c r="FEO238" s="2" t="n"/>
      <c r="FEP238" s="2" t="n"/>
      <c r="FEQ238" s="2" t="n"/>
      <c r="FER238" s="2" t="n"/>
      <c r="FES238" s="2" t="n"/>
      <c r="FET238" s="2" t="n"/>
      <c r="FEU238" s="2" t="n"/>
      <c r="FEV238" s="2" t="n"/>
      <c r="FEW238" s="2" t="n"/>
      <c r="FEX238" s="2" t="n"/>
      <c r="FEY238" s="2" t="n"/>
      <c r="FEZ238" s="2" t="n"/>
      <c r="FFA238" s="2" t="n"/>
      <c r="FFB238" s="2" t="n"/>
      <c r="FFC238" s="2" t="n"/>
      <c r="FFD238" s="2" t="n"/>
      <c r="FFE238" s="2" t="n"/>
      <c r="FFF238" s="2" t="n"/>
      <c r="FFG238" s="2" t="n"/>
      <c r="FFH238" s="2" t="n"/>
      <c r="FFI238" s="2" t="n"/>
      <c r="FFJ238" s="2" t="n"/>
      <c r="FFK238" s="2" t="n"/>
      <c r="FFL238" s="2" t="n"/>
      <c r="FFM238" s="2" t="n"/>
      <c r="FFN238" s="2" t="n"/>
      <c r="FFO238" s="2" t="n"/>
      <c r="FFP238" s="2" t="n"/>
      <c r="FFQ238" s="2" t="n"/>
      <c r="FFR238" s="2" t="n"/>
      <c r="FFS238" s="2" t="n"/>
      <c r="FFT238" s="2" t="n"/>
      <c r="FFU238" s="2" t="n"/>
      <c r="FFV238" s="2" t="n"/>
      <c r="FFW238" s="2" t="n"/>
      <c r="FFX238" s="2" t="n"/>
      <c r="FFY238" s="2" t="n"/>
      <c r="FFZ238" s="2" t="n"/>
      <c r="FGA238" s="2" t="n"/>
      <c r="FGB238" s="2" t="n"/>
      <c r="FGC238" s="2" t="n"/>
      <c r="FGD238" s="2" t="n"/>
      <c r="FGE238" s="2" t="n"/>
      <c r="FGF238" s="2" t="n"/>
      <c r="FGG238" s="2" t="n"/>
      <c r="FGH238" s="2" t="n"/>
      <c r="FGI238" s="2" t="n"/>
      <c r="FGJ238" s="2" t="n"/>
      <c r="FGK238" s="2" t="n"/>
      <c r="FGL238" s="2" t="n"/>
      <c r="FGM238" s="2" t="n"/>
      <c r="FGN238" s="2" t="n"/>
      <c r="FGO238" s="2" t="n"/>
      <c r="FGP238" s="2" t="n"/>
      <c r="FGQ238" s="2" t="n"/>
      <c r="FGR238" s="2" t="n"/>
      <c r="FGS238" s="2" t="n"/>
      <c r="FGT238" s="2" t="n"/>
      <c r="FGU238" s="2" t="n"/>
      <c r="FGV238" s="2" t="n"/>
      <c r="FGW238" s="2" t="n"/>
      <c r="FGX238" s="2" t="n"/>
      <c r="FGY238" s="2" t="n"/>
      <c r="FGZ238" s="2" t="n"/>
      <c r="FHA238" s="2" t="n"/>
      <c r="FHB238" s="2" t="n"/>
      <c r="FHC238" s="2" t="n"/>
      <c r="FHD238" s="2" t="n"/>
      <c r="FHE238" s="2" t="n"/>
      <c r="FHF238" s="2" t="n"/>
      <c r="FHG238" s="2" t="n"/>
      <c r="FHH238" s="2" t="n"/>
      <c r="FHI238" s="2" t="n"/>
      <c r="FHJ238" s="2" t="n"/>
      <c r="FHK238" s="2" t="n"/>
      <c r="FHL238" s="2" t="n"/>
      <c r="FHM238" s="2" t="n"/>
      <c r="FHN238" s="2" t="n"/>
      <c r="FHO238" s="2" t="n"/>
      <c r="FHP238" s="2" t="n"/>
      <c r="FHQ238" s="2" t="n"/>
      <c r="FHR238" s="2" t="n"/>
      <c r="FHS238" s="2" t="n"/>
      <c r="FHT238" s="2" t="n"/>
      <c r="FHU238" s="2" t="n"/>
      <c r="FHV238" s="2" t="n"/>
      <c r="FHW238" s="2" t="n"/>
      <c r="FHX238" s="2" t="n"/>
      <c r="FHY238" s="2" t="n"/>
      <c r="FHZ238" s="2" t="n"/>
      <c r="FIA238" s="2" t="n"/>
      <c r="FIB238" s="2" t="n"/>
      <c r="FIC238" s="2" t="n"/>
      <c r="FID238" s="2" t="n"/>
      <c r="FIE238" s="2" t="n"/>
      <c r="FIF238" s="2" t="n"/>
      <c r="FIG238" s="2" t="n"/>
      <c r="FIH238" s="2" t="n"/>
      <c r="FII238" s="2" t="n"/>
      <c r="FIJ238" s="2" t="n"/>
      <c r="FIK238" s="2" t="n"/>
      <c r="FIL238" s="2" t="n"/>
      <c r="FIM238" s="2" t="n"/>
      <c r="FIN238" s="2" t="n"/>
      <c r="FIO238" s="2" t="n"/>
      <c r="FIP238" s="2" t="n"/>
      <c r="FIQ238" s="2" t="n"/>
      <c r="FIR238" s="2" t="n"/>
      <c r="FIS238" s="2" t="n"/>
      <c r="FIT238" s="2" t="n"/>
      <c r="FIU238" s="2" t="n"/>
      <c r="FIV238" s="2" t="n"/>
      <c r="FIW238" s="2" t="n"/>
      <c r="FIX238" s="2" t="n"/>
      <c r="FIY238" s="2" t="n"/>
      <c r="FIZ238" s="2" t="n"/>
      <c r="FJA238" s="2" t="n"/>
      <c r="FJB238" s="2" t="n"/>
      <c r="FJC238" s="2" t="n"/>
      <c r="FJD238" s="2" t="n"/>
      <c r="FJE238" s="2" t="n"/>
      <c r="FJF238" s="2" t="n"/>
      <c r="FJG238" s="2" t="n"/>
      <c r="FJH238" s="2" t="n"/>
      <c r="FJI238" s="2" t="n"/>
      <c r="FJJ238" s="2" t="n"/>
      <c r="FJK238" s="2" t="n"/>
      <c r="FJL238" s="2" t="n"/>
      <c r="FJM238" s="2" t="n"/>
      <c r="FJN238" s="2" t="n"/>
      <c r="FJO238" s="2" t="n"/>
      <c r="FJP238" s="2" t="n"/>
      <c r="FJQ238" s="2" t="n"/>
      <c r="FJR238" s="2" t="n"/>
      <c r="FJS238" s="2" t="n"/>
      <c r="FJT238" s="2" t="n"/>
      <c r="FJU238" s="2" t="n"/>
      <c r="FJV238" s="2" t="n"/>
      <c r="FJW238" s="2" t="n"/>
      <c r="FJX238" s="2" t="n"/>
      <c r="FJY238" s="2" t="n"/>
      <c r="FJZ238" s="2" t="n"/>
      <c r="FKA238" s="2" t="n"/>
      <c r="FKB238" s="2" t="n"/>
      <c r="FKC238" s="2" t="n"/>
      <c r="FKD238" s="2" t="n"/>
      <c r="FKE238" s="2" t="n"/>
      <c r="FKF238" s="2" t="n"/>
      <c r="FKG238" s="2" t="n"/>
      <c r="FKH238" s="2" t="n"/>
      <c r="FKI238" s="2" t="n"/>
      <c r="FKJ238" s="2" t="n"/>
      <c r="FKK238" s="2" t="n"/>
      <c r="FKL238" s="2" t="n"/>
      <c r="FKM238" s="2" t="n"/>
      <c r="FKN238" s="2" t="n"/>
      <c r="FKO238" s="2" t="n"/>
      <c r="FKP238" s="2" t="n"/>
      <c r="FKQ238" s="2" t="n"/>
      <c r="FKR238" s="2" t="n"/>
      <c r="FKS238" s="2" t="n"/>
      <c r="FKT238" s="2" t="n"/>
      <c r="FKU238" s="2" t="n"/>
      <c r="FKV238" s="2" t="n"/>
      <c r="FKW238" s="2" t="n"/>
      <c r="FKX238" s="2" t="n"/>
      <c r="FKY238" s="2" t="n"/>
      <c r="FKZ238" s="2" t="n"/>
      <c r="FLA238" s="2" t="n"/>
      <c r="FLB238" s="2" t="n"/>
      <c r="FLC238" s="2" t="n"/>
      <c r="FLD238" s="2" t="n"/>
      <c r="FLE238" s="2" t="n"/>
      <c r="FLF238" s="2" t="n"/>
      <c r="FLG238" s="2" t="n"/>
      <c r="FLH238" s="2" t="n"/>
      <c r="FLI238" s="2" t="n"/>
      <c r="FLJ238" s="2" t="n"/>
      <c r="FLK238" s="2" t="n"/>
      <c r="FLL238" s="2" t="n"/>
      <c r="FLM238" s="2" t="n"/>
      <c r="FLN238" s="2" t="n"/>
      <c r="FLO238" s="2" t="n"/>
      <c r="FLP238" s="2" t="n"/>
      <c r="FLQ238" s="2" t="n"/>
      <c r="FLR238" s="2" t="n"/>
      <c r="FLS238" s="2" t="n"/>
      <c r="FLT238" s="2" t="n"/>
      <c r="FLU238" s="2" t="n"/>
      <c r="FLV238" s="2" t="n"/>
      <c r="FLW238" s="2" t="n"/>
      <c r="FLX238" s="2" t="n"/>
      <c r="FLY238" s="2" t="n"/>
      <c r="FLZ238" s="2" t="n"/>
      <c r="FMA238" s="2" t="n"/>
      <c r="FMB238" s="2" t="n"/>
      <c r="FMC238" s="2" t="n"/>
      <c r="FMD238" s="2" t="n"/>
      <c r="FME238" s="2" t="n"/>
      <c r="FMF238" s="2" t="n"/>
      <c r="FMG238" s="2" t="n"/>
      <c r="FMH238" s="2" t="n"/>
      <c r="FMI238" s="2" t="n"/>
      <c r="FMJ238" s="2" t="n"/>
      <c r="FMK238" s="2" t="n"/>
      <c r="FML238" s="2" t="n"/>
      <c r="FMM238" s="2" t="n"/>
      <c r="FMN238" s="2" t="n"/>
      <c r="FMO238" s="2" t="n"/>
      <c r="FMP238" s="2" t="n"/>
      <c r="FMQ238" s="2" t="n"/>
      <c r="FMR238" s="2" t="n"/>
      <c r="FMS238" s="2" t="n"/>
      <c r="FMT238" s="2" t="n"/>
      <c r="FMU238" s="2" t="n"/>
      <c r="FMV238" s="2" t="n"/>
      <c r="FMW238" s="2" t="n"/>
      <c r="FMX238" s="2" t="n"/>
      <c r="FMY238" s="2" t="n"/>
      <c r="FMZ238" s="2" t="n"/>
      <c r="FNA238" s="2" t="n"/>
      <c r="FNB238" s="2" t="n"/>
      <c r="FNC238" s="2" t="n"/>
      <c r="FND238" s="2" t="n"/>
      <c r="FNE238" s="2" t="n"/>
      <c r="FNF238" s="2" t="n"/>
      <c r="FNG238" s="2" t="n"/>
      <c r="FNH238" s="2" t="n"/>
      <c r="FNI238" s="2" t="n"/>
      <c r="FNJ238" s="2" t="n"/>
      <c r="FNK238" s="2" t="n"/>
      <c r="FNL238" s="2" t="n"/>
      <c r="FNM238" s="2" t="n"/>
      <c r="FNN238" s="2" t="n"/>
      <c r="FNO238" s="2" t="n"/>
      <c r="FNP238" s="2" t="n"/>
      <c r="FNQ238" s="2" t="n"/>
      <c r="FNR238" s="2" t="n"/>
      <c r="FNS238" s="2" t="n"/>
      <c r="FNT238" s="2" t="n"/>
      <c r="FNU238" s="2" t="n"/>
      <c r="FNV238" s="2" t="n"/>
      <c r="FNW238" s="2" t="n"/>
      <c r="FNX238" s="2" t="n"/>
      <c r="FNY238" s="2" t="n"/>
      <c r="FNZ238" s="2" t="n"/>
      <c r="FOA238" s="2" t="n"/>
      <c r="FOB238" s="2" t="n"/>
      <c r="FOC238" s="2" t="n"/>
      <c r="FOD238" s="2" t="n"/>
      <c r="FOE238" s="2" t="n"/>
      <c r="FOF238" s="2" t="n"/>
      <c r="FOG238" s="2" t="n"/>
      <c r="FOH238" s="2" t="n"/>
      <c r="FOI238" s="2" t="n"/>
      <c r="FOJ238" s="2" t="n"/>
      <c r="FOK238" s="2" t="n"/>
      <c r="FOL238" s="2" t="n"/>
      <c r="FOM238" s="2" t="n"/>
      <c r="FON238" s="2" t="n"/>
      <c r="FOO238" s="2" t="n"/>
      <c r="FOP238" s="2" t="n"/>
      <c r="FOQ238" s="2" t="n"/>
      <c r="FOR238" s="2" t="n"/>
      <c r="FOS238" s="2" t="n"/>
      <c r="FOT238" s="2" t="n"/>
      <c r="FOU238" s="2" t="n"/>
      <c r="FOV238" s="2" t="n"/>
      <c r="FOW238" s="2" t="n"/>
      <c r="FOX238" s="2" t="n"/>
      <c r="FOY238" s="2" t="n"/>
      <c r="FOZ238" s="2" t="n"/>
      <c r="FPA238" s="2" t="n"/>
      <c r="FPB238" s="2" t="n"/>
      <c r="FPC238" s="2" t="n"/>
      <c r="FPD238" s="2" t="n"/>
      <c r="FPE238" s="2" t="n"/>
      <c r="FPF238" s="2" t="n"/>
      <c r="FPG238" s="2" t="n"/>
      <c r="FPH238" s="2" t="n"/>
      <c r="FPI238" s="2" t="n"/>
      <c r="FPJ238" s="2" t="n"/>
      <c r="FPK238" s="2" t="n"/>
      <c r="FPL238" s="2" t="n"/>
      <c r="FPM238" s="2" t="n"/>
      <c r="FPN238" s="2" t="n"/>
      <c r="FPO238" s="2" t="n"/>
      <c r="FPP238" s="2" t="n"/>
      <c r="FPQ238" s="2" t="n"/>
      <c r="FPR238" s="2" t="n"/>
      <c r="FPS238" s="2" t="n"/>
      <c r="FPT238" s="2" t="n"/>
      <c r="FPU238" s="2" t="n"/>
      <c r="FPV238" s="2" t="n"/>
      <c r="FPW238" s="2" t="n"/>
      <c r="FPX238" s="2" t="n"/>
      <c r="FPY238" s="2" t="n"/>
      <c r="FPZ238" s="2" t="n"/>
      <c r="FQA238" s="2" t="n"/>
      <c r="FQB238" s="2" t="n"/>
      <c r="FQC238" s="2" t="n"/>
      <c r="FQD238" s="2" t="n"/>
      <c r="FQE238" s="2" t="n"/>
      <c r="FQF238" s="2" t="n"/>
      <c r="FQG238" s="2" t="n"/>
      <c r="FQH238" s="2" t="n"/>
      <c r="FQI238" s="2" t="n"/>
      <c r="FQJ238" s="2" t="n"/>
      <c r="FQK238" s="2" t="n"/>
      <c r="FQL238" s="2" t="n"/>
      <c r="FQM238" s="2" t="n"/>
      <c r="FQN238" s="2" t="n"/>
      <c r="FQO238" s="2" t="n"/>
      <c r="FQP238" s="2" t="n"/>
      <c r="FQQ238" s="2" t="n"/>
      <c r="FQR238" s="2" t="n"/>
      <c r="FQS238" s="2" t="n"/>
      <c r="FQT238" s="2" t="n"/>
      <c r="FQU238" s="2" t="n"/>
      <c r="FQV238" s="2" t="n"/>
      <c r="FQW238" s="2" t="n"/>
      <c r="FQX238" s="2" t="n"/>
      <c r="FQY238" s="2" t="n"/>
      <c r="FQZ238" s="2" t="n"/>
      <c r="FRA238" s="2" t="n"/>
      <c r="FRB238" s="2" t="n"/>
      <c r="FRC238" s="2" t="n"/>
      <c r="FRD238" s="2" t="n"/>
      <c r="FRE238" s="2" t="n"/>
      <c r="FRF238" s="2" t="n"/>
      <c r="FRG238" s="2" t="n"/>
      <c r="FRH238" s="2" t="n"/>
      <c r="FRI238" s="2" t="n"/>
      <c r="FRJ238" s="2" t="n"/>
      <c r="FRK238" s="2" t="n"/>
      <c r="FRL238" s="2" t="n"/>
      <c r="FRM238" s="2" t="n"/>
      <c r="FRN238" s="2" t="n"/>
      <c r="FRO238" s="2" t="n"/>
      <c r="FRP238" s="2" t="n"/>
      <c r="FRQ238" s="2" t="n"/>
      <c r="FRR238" s="2" t="n"/>
      <c r="FRS238" s="2" t="n"/>
      <c r="FRT238" s="2" t="n"/>
      <c r="FRU238" s="2" t="n"/>
      <c r="FRV238" s="2" t="n"/>
      <c r="FRW238" s="2" t="n"/>
      <c r="FRX238" s="2" t="n"/>
      <c r="FRY238" s="2" t="n"/>
      <c r="FRZ238" s="2" t="n"/>
      <c r="FSA238" s="2" t="n"/>
      <c r="FSB238" s="2" t="n"/>
      <c r="FSC238" s="2" t="n"/>
      <c r="FSD238" s="2" t="n"/>
      <c r="FSE238" s="2" t="n"/>
      <c r="FSF238" s="2" t="n"/>
      <c r="FSG238" s="2" t="n"/>
      <c r="FSH238" s="2" t="n"/>
      <c r="FSI238" s="2" t="n"/>
      <c r="FSJ238" s="2" t="n"/>
      <c r="FSK238" s="2" t="n"/>
      <c r="FSL238" s="2" t="n"/>
      <c r="FSM238" s="2" t="n"/>
      <c r="FSN238" s="2" t="n"/>
      <c r="FSO238" s="2" t="n"/>
      <c r="FSP238" s="2" t="n"/>
      <c r="FSQ238" s="2" t="n"/>
      <c r="FSR238" s="2" t="n"/>
      <c r="FSS238" s="2" t="n"/>
      <c r="FST238" s="2" t="n"/>
      <c r="FSU238" s="2" t="n"/>
      <c r="FSV238" s="2" t="n"/>
      <c r="FSW238" s="2" t="n"/>
      <c r="FSX238" s="2" t="n"/>
      <c r="FSY238" s="2" t="n"/>
      <c r="FSZ238" s="2" t="n"/>
      <c r="FTA238" s="2" t="n"/>
      <c r="FTB238" s="2" t="n"/>
      <c r="FTC238" s="2" t="n"/>
      <c r="FTD238" s="2" t="n"/>
      <c r="FTE238" s="2" t="n"/>
      <c r="FTF238" s="2" t="n"/>
      <c r="FTG238" s="2" t="n"/>
      <c r="FTH238" s="2" t="n"/>
      <c r="FTI238" s="2" t="n"/>
      <c r="FTJ238" s="2" t="n"/>
      <c r="FTK238" s="2" t="n"/>
      <c r="FTL238" s="2" t="n"/>
      <c r="FTM238" s="2" t="n"/>
      <c r="FTN238" s="2" t="n"/>
      <c r="FTO238" s="2" t="n"/>
      <c r="FTP238" s="2" t="n"/>
      <c r="FTQ238" s="2" t="n"/>
      <c r="FTR238" s="2" t="n"/>
      <c r="FTS238" s="2" t="n"/>
      <c r="FTT238" s="2" t="n"/>
      <c r="FTU238" s="2" t="n"/>
      <c r="FTV238" s="2" t="n"/>
      <c r="FTW238" s="2" t="n"/>
      <c r="FTX238" s="2" t="n"/>
      <c r="FTY238" s="2" t="n"/>
      <c r="FTZ238" s="2" t="n"/>
      <c r="FUA238" s="2" t="n"/>
      <c r="FUB238" s="2" t="n"/>
      <c r="FUC238" s="2" t="n"/>
      <c r="FUD238" s="2" t="n"/>
      <c r="FUE238" s="2" t="n"/>
      <c r="FUF238" s="2" t="n"/>
      <c r="FUG238" s="2" t="n"/>
      <c r="FUH238" s="2" t="n"/>
      <c r="FUI238" s="2" t="n"/>
      <c r="FUJ238" s="2" t="n"/>
      <c r="FUK238" s="2" t="n"/>
      <c r="FUL238" s="2" t="n"/>
      <c r="FUM238" s="2" t="n"/>
      <c r="FUN238" s="2" t="n"/>
      <c r="FUO238" s="2" t="n"/>
      <c r="FUP238" s="2" t="n"/>
      <c r="FUQ238" s="2" t="n"/>
      <c r="FUR238" s="2" t="n"/>
      <c r="FUS238" s="2" t="n"/>
      <c r="FUT238" s="2" t="n"/>
      <c r="FUU238" s="2" t="n"/>
      <c r="FUV238" s="2" t="n"/>
      <c r="FUW238" s="2" t="n"/>
      <c r="FUX238" s="2" t="n"/>
      <c r="FUY238" s="2" t="n"/>
      <c r="FUZ238" s="2" t="n"/>
      <c r="FVA238" s="2" t="n"/>
      <c r="FVB238" s="2" t="n"/>
      <c r="FVC238" s="2" t="n"/>
      <c r="FVD238" s="2" t="n"/>
      <c r="FVE238" s="2" t="n"/>
      <c r="FVF238" s="2" t="n"/>
      <c r="FVG238" s="2" t="n"/>
      <c r="FVH238" s="2" t="n"/>
      <c r="FVI238" s="2" t="n"/>
      <c r="FVJ238" s="2" t="n"/>
      <c r="FVK238" s="2" t="n"/>
      <c r="FVL238" s="2" t="n"/>
      <c r="FVM238" s="2" t="n"/>
      <c r="FVN238" s="2" t="n"/>
      <c r="FVO238" s="2" t="n"/>
      <c r="FVP238" s="2" t="n"/>
      <c r="FVQ238" s="2" t="n"/>
      <c r="FVR238" s="2" t="n"/>
      <c r="FVS238" s="2" t="n"/>
      <c r="FVT238" s="2" t="n"/>
      <c r="FVU238" s="2" t="n"/>
      <c r="FVV238" s="2" t="n"/>
      <c r="FVW238" s="2" t="n"/>
      <c r="FVX238" s="2" t="n"/>
      <c r="FVY238" s="2" t="n"/>
      <c r="FVZ238" s="2" t="n"/>
      <c r="FWA238" s="2" t="n"/>
      <c r="FWB238" s="2" t="n"/>
      <c r="FWC238" s="2" t="n"/>
      <c r="FWD238" s="2" t="n"/>
      <c r="FWE238" s="2" t="n"/>
      <c r="FWF238" s="2" t="n"/>
      <c r="FWG238" s="2" t="n"/>
      <c r="FWH238" s="2" t="n"/>
      <c r="FWI238" s="2" t="n"/>
      <c r="FWJ238" s="2" t="n"/>
      <c r="FWK238" s="2" t="n"/>
      <c r="FWL238" s="2" t="n"/>
      <c r="FWM238" s="2" t="n"/>
      <c r="FWN238" s="2" t="n"/>
      <c r="FWO238" s="2" t="n"/>
      <c r="FWP238" s="2" t="n"/>
      <c r="FWQ238" s="2" t="n"/>
      <c r="FWR238" s="2" t="n"/>
      <c r="FWS238" s="2" t="n"/>
      <c r="FWT238" s="2" t="n"/>
      <c r="FWU238" s="2" t="n"/>
      <c r="FWV238" s="2" t="n"/>
      <c r="FWW238" s="2" t="n"/>
      <c r="FWX238" s="2" t="n"/>
      <c r="FWY238" s="2" t="n"/>
      <c r="FWZ238" s="2" t="n"/>
      <c r="FXA238" s="2" t="n"/>
      <c r="FXB238" s="2" t="n"/>
      <c r="FXC238" s="2" t="n"/>
      <c r="FXD238" s="2" t="n"/>
      <c r="FXE238" s="2" t="n"/>
      <c r="FXF238" s="2" t="n"/>
      <c r="FXG238" s="2" t="n"/>
      <c r="FXH238" s="2" t="n"/>
      <c r="FXI238" s="2" t="n"/>
      <c r="FXJ238" s="2" t="n"/>
      <c r="FXK238" s="2" t="n"/>
      <c r="FXL238" s="2" t="n"/>
      <c r="FXM238" s="2" t="n"/>
      <c r="FXN238" s="2" t="n"/>
      <c r="FXO238" s="2" t="n"/>
      <c r="FXP238" s="2" t="n"/>
      <c r="FXQ238" s="2" t="n"/>
      <c r="FXR238" s="2" t="n"/>
      <c r="FXS238" s="2" t="n"/>
      <c r="FXT238" s="2" t="n"/>
      <c r="FXU238" s="2" t="n"/>
      <c r="FXV238" s="2" t="n"/>
      <c r="FXW238" s="2" t="n"/>
      <c r="FXX238" s="2" t="n"/>
      <c r="FXY238" s="2" t="n"/>
      <c r="FXZ238" s="2" t="n"/>
      <c r="FYA238" s="2" t="n"/>
      <c r="FYB238" s="2" t="n"/>
      <c r="FYC238" s="2" t="n"/>
      <c r="FYD238" s="2" t="n"/>
      <c r="FYE238" s="2" t="n"/>
      <c r="FYF238" s="2" t="n"/>
      <c r="FYG238" s="2" t="n"/>
      <c r="FYH238" s="2" t="n"/>
      <c r="FYI238" s="2" t="n"/>
      <c r="FYJ238" s="2" t="n"/>
      <c r="FYK238" s="2" t="n"/>
      <c r="FYL238" s="2" t="n"/>
      <c r="FYM238" s="2" t="n"/>
      <c r="FYN238" s="2" t="n"/>
      <c r="FYO238" s="2" t="n"/>
      <c r="FYP238" s="2" t="n"/>
      <c r="FYQ238" s="2" t="n"/>
      <c r="FYR238" s="2" t="n"/>
      <c r="FYS238" s="2" t="n"/>
      <c r="FYT238" s="2" t="n"/>
      <c r="FYU238" s="2" t="n"/>
      <c r="FYV238" s="2" t="n"/>
      <c r="FYW238" s="2" t="n"/>
      <c r="FYX238" s="2" t="n"/>
      <c r="FYY238" s="2" t="n"/>
      <c r="FYZ238" s="2" t="n"/>
      <c r="FZA238" s="2" t="n"/>
      <c r="FZB238" s="2" t="n"/>
      <c r="FZC238" s="2" t="n"/>
      <c r="FZD238" s="2" t="n"/>
      <c r="FZE238" s="2" t="n"/>
      <c r="FZF238" s="2" t="n"/>
      <c r="FZG238" s="2" t="n"/>
      <c r="FZH238" s="2" t="n"/>
      <c r="FZI238" s="2" t="n"/>
      <c r="FZJ238" s="2" t="n"/>
      <c r="FZK238" s="2" t="n"/>
      <c r="FZL238" s="2" t="n"/>
      <c r="FZM238" s="2" t="n"/>
      <c r="FZN238" s="2" t="n"/>
      <c r="FZO238" s="2" t="n"/>
      <c r="FZP238" s="2" t="n"/>
      <c r="FZQ238" s="2" t="n"/>
      <c r="FZR238" s="2" t="n"/>
      <c r="FZS238" s="2" t="n"/>
      <c r="FZT238" s="2" t="n"/>
      <c r="FZU238" s="2" t="n"/>
      <c r="FZV238" s="2" t="n"/>
      <c r="FZW238" s="2" t="n"/>
      <c r="FZX238" s="2" t="n"/>
      <c r="FZY238" s="2" t="n"/>
      <c r="FZZ238" s="2" t="n"/>
      <c r="GAA238" s="2" t="n"/>
      <c r="GAB238" s="2" t="n"/>
      <c r="GAC238" s="2" t="n"/>
      <c r="GAD238" s="2" t="n"/>
      <c r="GAE238" s="2" t="n"/>
      <c r="GAF238" s="2" t="n"/>
      <c r="GAG238" s="2" t="n"/>
      <c r="GAH238" s="2" t="n"/>
      <c r="GAI238" s="2" t="n"/>
      <c r="GAJ238" s="2" t="n"/>
      <c r="GAK238" s="2" t="n"/>
      <c r="GAL238" s="2" t="n"/>
      <c r="GAM238" s="2" t="n"/>
      <c r="GAN238" s="2" t="n"/>
      <c r="GAO238" s="2" t="n"/>
      <c r="GAP238" s="2" t="n"/>
      <c r="GAQ238" s="2" t="n"/>
      <c r="GAR238" s="2" t="n"/>
      <c r="GAS238" s="2" t="n"/>
      <c r="GAT238" s="2" t="n"/>
      <c r="GAU238" s="2" t="n"/>
      <c r="GAV238" s="2" t="n"/>
      <c r="GAW238" s="2" t="n"/>
      <c r="GAX238" s="2" t="n"/>
      <c r="GAY238" s="2" t="n"/>
      <c r="GAZ238" s="2" t="n"/>
      <c r="GBA238" s="2" t="n"/>
      <c r="GBB238" s="2" t="n"/>
      <c r="GBC238" s="2" t="n"/>
      <c r="GBD238" s="2" t="n"/>
      <c r="GBE238" s="2" t="n"/>
      <c r="GBF238" s="2" t="n"/>
      <c r="GBG238" s="2" t="n"/>
      <c r="GBH238" s="2" t="n"/>
      <c r="GBI238" s="2" t="n"/>
      <c r="GBJ238" s="2" t="n"/>
      <c r="GBK238" s="2" t="n"/>
      <c r="GBL238" s="2" t="n"/>
      <c r="GBM238" s="2" t="n"/>
      <c r="GBN238" s="2" t="n"/>
      <c r="GBO238" s="2" t="n"/>
      <c r="GBP238" s="2" t="n"/>
      <c r="GBQ238" s="2" t="n"/>
      <c r="GBR238" s="2" t="n"/>
      <c r="GBS238" s="2" t="n"/>
      <c r="GBT238" s="2" t="n"/>
      <c r="GBU238" s="2" t="n"/>
      <c r="GBV238" s="2" t="n"/>
      <c r="GBW238" s="2" t="n"/>
      <c r="GBX238" s="2" t="n"/>
      <c r="GBY238" s="2" t="n"/>
      <c r="GBZ238" s="2" t="n"/>
      <c r="GCA238" s="2" t="n"/>
      <c r="GCB238" s="2" t="n"/>
      <c r="GCC238" s="2" t="n"/>
      <c r="GCD238" s="2" t="n"/>
      <c r="GCE238" s="2" t="n"/>
      <c r="GCF238" s="2" t="n"/>
      <c r="GCG238" s="2" t="n"/>
      <c r="GCH238" s="2" t="n"/>
      <c r="GCI238" s="2" t="n"/>
      <c r="GCJ238" s="2" t="n"/>
      <c r="GCK238" s="2" t="n"/>
      <c r="GCL238" s="2" t="n"/>
      <c r="GCM238" s="2" t="n"/>
      <c r="GCN238" s="2" t="n"/>
      <c r="GCO238" s="2" t="n"/>
      <c r="GCP238" s="2" t="n"/>
      <c r="GCQ238" s="2" t="n"/>
      <c r="GCR238" s="2" t="n"/>
      <c r="GCS238" s="2" t="n"/>
      <c r="GCT238" s="2" t="n"/>
      <c r="GCU238" s="2" t="n"/>
      <c r="GCV238" s="2" t="n"/>
      <c r="GCW238" s="2" t="n"/>
      <c r="GCX238" s="2" t="n"/>
      <c r="GCY238" s="2" t="n"/>
      <c r="GCZ238" s="2" t="n"/>
      <c r="GDA238" s="2" t="n"/>
      <c r="GDB238" s="2" t="n"/>
      <c r="GDC238" s="2" t="n"/>
      <c r="GDD238" s="2" t="n"/>
      <c r="GDE238" s="2" t="n"/>
      <c r="GDF238" s="2" t="n"/>
      <c r="GDG238" s="2" t="n"/>
      <c r="GDH238" s="2" t="n"/>
      <c r="GDI238" s="2" t="n"/>
      <c r="GDJ238" s="2" t="n"/>
      <c r="GDK238" s="2" t="n"/>
      <c r="GDL238" s="2" t="n"/>
      <c r="GDM238" s="2" t="n"/>
      <c r="GDN238" s="2" t="n"/>
      <c r="GDO238" s="2" t="n"/>
      <c r="GDP238" s="2" t="n"/>
      <c r="GDQ238" s="2" t="n"/>
      <c r="GDR238" s="2" t="n"/>
      <c r="GDS238" s="2" t="n"/>
      <c r="GDT238" s="2" t="n"/>
      <c r="GDU238" s="2" t="n"/>
      <c r="GDV238" s="2" t="n"/>
      <c r="GDW238" s="2" t="n"/>
      <c r="GDX238" s="2" t="n"/>
      <c r="GDY238" s="2" t="n"/>
      <c r="GDZ238" s="2" t="n"/>
      <c r="GEA238" s="2" t="n"/>
      <c r="GEB238" s="2" t="n"/>
      <c r="GEC238" s="2" t="n"/>
      <c r="GED238" s="2" t="n"/>
      <c r="GEE238" s="2" t="n"/>
      <c r="GEF238" s="2" t="n"/>
      <c r="GEG238" s="2" t="n"/>
      <c r="GEH238" s="2" t="n"/>
      <c r="GEI238" s="2" t="n"/>
      <c r="GEJ238" s="2" t="n"/>
      <c r="GEK238" s="2" t="n"/>
      <c r="GEL238" s="2" t="n"/>
      <c r="GEM238" s="2" t="n"/>
      <c r="GEN238" s="2" t="n"/>
      <c r="GEO238" s="2" t="n"/>
      <c r="GEP238" s="2" t="n"/>
      <c r="GEQ238" s="2" t="n"/>
      <c r="GER238" s="2" t="n"/>
      <c r="GES238" s="2" t="n"/>
      <c r="GET238" s="2" t="n"/>
      <c r="GEU238" s="2" t="n"/>
      <c r="GEV238" s="2" t="n"/>
      <c r="GEW238" s="2" t="n"/>
      <c r="GEX238" s="2" t="n"/>
      <c r="GEY238" s="2" t="n"/>
      <c r="GEZ238" s="2" t="n"/>
      <c r="GFA238" s="2" t="n"/>
      <c r="GFB238" s="2" t="n"/>
      <c r="GFC238" s="2" t="n"/>
      <c r="GFD238" s="2" t="n"/>
      <c r="GFE238" s="2" t="n"/>
      <c r="GFF238" s="2" t="n"/>
      <c r="GFG238" s="2" t="n"/>
      <c r="GFH238" s="2" t="n"/>
      <c r="GFI238" s="2" t="n"/>
      <c r="GFJ238" s="2" t="n"/>
      <c r="GFK238" s="2" t="n"/>
      <c r="GFL238" s="2" t="n"/>
      <c r="GFM238" s="2" t="n"/>
      <c r="GFN238" s="2" t="n"/>
      <c r="GFO238" s="2" t="n"/>
      <c r="GFP238" s="2" t="n"/>
      <c r="GFQ238" s="2" t="n"/>
      <c r="GFR238" s="2" t="n"/>
      <c r="GFS238" s="2" t="n"/>
      <c r="GFT238" s="2" t="n"/>
      <c r="GFU238" s="2" t="n"/>
      <c r="GFV238" s="2" t="n"/>
      <c r="GFW238" s="2" t="n"/>
      <c r="GFX238" s="2" t="n"/>
      <c r="GFY238" s="2" t="n"/>
      <c r="GFZ238" s="2" t="n"/>
      <c r="GGA238" s="2" t="n"/>
      <c r="GGB238" s="2" t="n"/>
      <c r="GGC238" s="2" t="n"/>
      <c r="GGD238" s="2" t="n"/>
      <c r="GGE238" s="2" t="n"/>
      <c r="GGF238" s="2" t="n"/>
      <c r="GGG238" s="2" t="n"/>
      <c r="GGH238" s="2" t="n"/>
      <c r="GGI238" s="2" t="n"/>
      <c r="GGJ238" s="2" t="n"/>
      <c r="GGK238" s="2" t="n"/>
      <c r="GGL238" s="2" t="n"/>
      <c r="GGM238" s="2" t="n"/>
      <c r="GGN238" s="2" t="n"/>
      <c r="GGO238" s="2" t="n"/>
      <c r="GGP238" s="2" t="n"/>
      <c r="GGQ238" s="2" t="n"/>
      <c r="GGR238" s="2" t="n"/>
      <c r="GGS238" s="2" t="n"/>
      <c r="GGT238" s="2" t="n"/>
      <c r="GGU238" s="2" t="n"/>
      <c r="GGV238" s="2" t="n"/>
      <c r="GGW238" s="2" t="n"/>
      <c r="GGX238" s="2" t="n"/>
      <c r="GGY238" s="2" t="n"/>
      <c r="GGZ238" s="2" t="n"/>
      <c r="GHA238" s="2" t="n"/>
      <c r="GHB238" s="2" t="n"/>
      <c r="GHC238" s="2" t="n"/>
      <c r="GHD238" s="2" t="n"/>
      <c r="GHE238" s="2" t="n"/>
      <c r="GHF238" s="2" t="n"/>
      <c r="GHG238" s="2" t="n"/>
      <c r="GHH238" s="2" t="n"/>
      <c r="GHI238" s="2" t="n"/>
      <c r="GHJ238" s="2" t="n"/>
      <c r="GHK238" s="2" t="n"/>
      <c r="GHL238" s="2" t="n"/>
      <c r="GHM238" s="2" t="n"/>
      <c r="GHN238" s="2" t="n"/>
      <c r="GHO238" s="2" t="n"/>
      <c r="GHP238" s="2" t="n"/>
      <c r="GHQ238" s="2" t="n"/>
      <c r="GHR238" s="2" t="n"/>
      <c r="GHS238" s="2" t="n"/>
      <c r="GHT238" s="2" t="n"/>
      <c r="GHU238" s="2" t="n"/>
      <c r="GHV238" s="2" t="n"/>
      <c r="GHW238" s="2" t="n"/>
      <c r="GHX238" s="2" t="n"/>
      <c r="GHY238" s="2" t="n"/>
      <c r="GHZ238" s="2" t="n"/>
      <c r="GIA238" s="2" t="n"/>
      <c r="GIB238" s="2" t="n"/>
      <c r="GIC238" s="2" t="n"/>
      <c r="GID238" s="2" t="n"/>
      <c r="GIE238" s="2" t="n"/>
      <c r="GIF238" s="2" t="n"/>
      <c r="GIG238" s="2" t="n"/>
      <c r="GIH238" s="2" t="n"/>
      <c r="GII238" s="2" t="n"/>
      <c r="GIJ238" s="2" t="n"/>
      <c r="GIK238" s="2" t="n"/>
      <c r="GIL238" s="2" t="n"/>
      <c r="GIM238" s="2" t="n"/>
      <c r="GIN238" s="2" t="n"/>
      <c r="GIO238" s="2" t="n"/>
      <c r="GIP238" s="2" t="n"/>
      <c r="GIQ238" s="2" t="n"/>
      <c r="GIR238" s="2" t="n"/>
      <c r="GIS238" s="2" t="n"/>
      <c r="GIT238" s="2" t="n"/>
      <c r="GIU238" s="2" t="n"/>
      <c r="GIV238" s="2" t="n"/>
      <c r="GIW238" s="2" t="n"/>
      <c r="GIX238" s="2" t="n"/>
      <c r="GIY238" s="2" t="n"/>
      <c r="GIZ238" s="2" t="n"/>
      <c r="GJA238" s="2" t="n"/>
      <c r="GJB238" s="2" t="n"/>
      <c r="GJC238" s="2" t="n"/>
      <c r="GJD238" s="2" t="n"/>
      <c r="GJE238" s="2" t="n"/>
      <c r="GJF238" s="2" t="n"/>
      <c r="GJG238" s="2" t="n"/>
      <c r="GJH238" s="2" t="n"/>
      <c r="GJI238" s="2" t="n"/>
      <c r="GJJ238" s="2" t="n"/>
      <c r="GJK238" s="2" t="n"/>
      <c r="GJL238" s="2" t="n"/>
      <c r="GJM238" s="2" t="n"/>
      <c r="GJN238" s="2" t="n"/>
      <c r="GJO238" s="2" t="n"/>
      <c r="GJP238" s="2" t="n"/>
      <c r="GJQ238" s="2" t="n"/>
      <c r="GJR238" s="2" t="n"/>
      <c r="GJS238" s="2" t="n"/>
      <c r="GJT238" s="2" t="n"/>
      <c r="GJU238" s="2" t="n"/>
      <c r="GJV238" s="2" t="n"/>
      <c r="GJW238" s="2" t="n"/>
      <c r="GJX238" s="2" t="n"/>
      <c r="GJY238" s="2" t="n"/>
      <c r="GJZ238" s="2" t="n"/>
      <c r="GKA238" s="2" t="n"/>
      <c r="GKB238" s="2" t="n"/>
      <c r="GKC238" s="2" t="n"/>
      <c r="GKD238" s="2" t="n"/>
      <c r="GKE238" s="2" t="n"/>
      <c r="GKF238" s="2" t="n"/>
      <c r="GKG238" s="2" t="n"/>
      <c r="GKH238" s="2" t="n"/>
      <c r="GKI238" s="2" t="n"/>
      <c r="GKJ238" s="2" t="n"/>
      <c r="GKK238" s="2" t="n"/>
      <c r="GKL238" s="2" t="n"/>
      <c r="GKM238" s="2" t="n"/>
      <c r="GKN238" s="2" t="n"/>
      <c r="GKO238" s="2" t="n"/>
      <c r="GKP238" s="2" t="n"/>
      <c r="GKQ238" s="2" t="n"/>
      <c r="GKR238" s="2" t="n"/>
      <c r="GKS238" s="2" t="n"/>
      <c r="GKT238" s="2" t="n"/>
      <c r="GKU238" s="2" t="n"/>
      <c r="GKV238" s="2" t="n"/>
      <c r="GKW238" s="2" t="n"/>
      <c r="GKX238" s="2" t="n"/>
      <c r="GKY238" s="2" t="n"/>
      <c r="GKZ238" s="2" t="n"/>
      <c r="GLA238" s="2" t="n"/>
      <c r="GLB238" s="2" t="n"/>
      <c r="GLC238" s="2" t="n"/>
      <c r="GLD238" s="2" t="n"/>
      <c r="GLE238" s="2" t="n"/>
      <c r="GLF238" s="2" t="n"/>
      <c r="GLG238" s="2" t="n"/>
      <c r="GLH238" s="2" t="n"/>
      <c r="GLI238" s="2" t="n"/>
      <c r="GLJ238" s="2" t="n"/>
      <c r="GLK238" s="2" t="n"/>
      <c r="GLL238" s="2" t="n"/>
      <c r="GLM238" s="2" t="n"/>
      <c r="GLN238" s="2" t="n"/>
      <c r="GLO238" s="2" t="n"/>
      <c r="GLP238" s="2" t="n"/>
      <c r="GLQ238" s="2" t="n"/>
      <c r="GLR238" s="2" t="n"/>
      <c r="GLS238" s="2" t="n"/>
      <c r="GLT238" s="2" t="n"/>
      <c r="GLU238" s="2" t="n"/>
      <c r="GLV238" s="2" t="n"/>
      <c r="GLW238" s="2" t="n"/>
      <c r="GLX238" s="2" t="n"/>
      <c r="GLY238" s="2" t="n"/>
      <c r="GLZ238" s="2" t="n"/>
      <c r="GMA238" s="2" t="n"/>
      <c r="GMB238" s="2" t="n"/>
      <c r="GMC238" s="2" t="n"/>
      <c r="GMD238" s="2" t="n"/>
      <c r="GME238" s="2" t="n"/>
      <c r="GMF238" s="2" t="n"/>
      <c r="GMG238" s="2" t="n"/>
      <c r="GMH238" s="2" t="n"/>
      <c r="GMI238" s="2" t="n"/>
      <c r="GMJ238" s="2" t="n"/>
      <c r="GMK238" s="2" t="n"/>
      <c r="GML238" s="2" t="n"/>
      <c r="GMM238" s="2" t="n"/>
      <c r="GMN238" s="2" t="n"/>
      <c r="GMO238" s="2" t="n"/>
      <c r="GMP238" s="2" t="n"/>
      <c r="GMQ238" s="2" t="n"/>
      <c r="GMR238" s="2" t="n"/>
      <c r="GMS238" s="2" t="n"/>
      <c r="GMT238" s="2" t="n"/>
      <c r="GMU238" s="2" t="n"/>
      <c r="GMV238" s="2" t="n"/>
      <c r="GMW238" s="2" t="n"/>
      <c r="GMX238" s="2" t="n"/>
      <c r="GMY238" s="2" t="n"/>
      <c r="GMZ238" s="2" t="n"/>
      <c r="GNA238" s="2" t="n"/>
      <c r="GNB238" s="2" t="n"/>
      <c r="GNC238" s="2" t="n"/>
      <c r="GND238" s="2" t="n"/>
      <c r="GNE238" s="2" t="n"/>
      <c r="GNF238" s="2" t="n"/>
      <c r="GNG238" s="2" t="n"/>
      <c r="GNH238" s="2" t="n"/>
      <c r="GNI238" s="2" t="n"/>
      <c r="GNJ238" s="2" t="n"/>
      <c r="GNK238" s="2" t="n"/>
      <c r="GNL238" s="2" t="n"/>
      <c r="GNM238" s="2" t="n"/>
      <c r="GNN238" s="2" t="n"/>
      <c r="GNO238" s="2" t="n"/>
      <c r="GNP238" s="2" t="n"/>
      <c r="GNQ238" s="2" t="n"/>
      <c r="GNR238" s="2" t="n"/>
      <c r="GNS238" s="2" t="n"/>
      <c r="GNT238" s="2" t="n"/>
      <c r="GNU238" s="2" t="n"/>
      <c r="GNV238" s="2" t="n"/>
      <c r="GNW238" s="2" t="n"/>
      <c r="GNX238" s="2" t="n"/>
      <c r="GNY238" s="2" t="n"/>
      <c r="GNZ238" s="2" t="n"/>
      <c r="GOA238" s="2" t="n"/>
      <c r="GOB238" s="2" t="n"/>
      <c r="GOC238" s="2" t="n"/>
      <c r="GOD238" s="2" t="n"/>
      <c r="GOE238" s="2" t="n"/>
      <c r="GOF238" s="2" t="n"/>
      <c r="GOG238" s="2" t="n"/>
      <c r="GOH238" s="2" t="n"/>
      <c r="GOI238" s="2" t="n"/>
      <c r="GOJ238" s="2" t="n"/>
      <c r="GOK238" s="2" t="n"/>
      <c r="GOL238" s="2" t="n"/>
      <c r="GOM238" s="2" t="n"/>
      <c r="GON238" s="2" t="n"/>
      <c r="GOO238" s="2" t="n"/>
      <c r="GOP238" s="2" t="n"/>
      <c r="GOQ238" s="2" t="n"/>
      <c r="GOR238" s="2" t="n"/>
      <c r="GOS238" s="2" t="n"/>
      <c r="GOT238" s="2" t="n"/>
      <c r="GOU238" s="2" t="n"/>
      <c r="GOV238" s="2" t="n"/>
      <c r="GOW238" s="2" t="n"/>
      <c r="GOX238" s="2" t="n"/>
      <c r="GOY238" s="2" t="n"/>
      <c r="GOZ238" s="2" t="n"/>
      <c r="GPA238" s="2" t="n"/>
      <c r="GPB238" s="2" t="n"/>
      <c r="GPC238" s="2" t="n"/>
      <c r="GPD238" s="2" t="n"/>
      <c r="GPE238" s="2" t="n"/>
      <c r="GPF238" s="2" t="n"/>
      <c r="GPG238" s="2" t="n"/>
      <c r="GPH238" s="2" t="n"/>
      <c r="GPI238" s="2" t="n"/>
      <c r="GPJ238" s="2" t="n"/>
      <c r="GPK238" s="2" t="n"/>
      <c r="GPL238" s="2" t="n"/>
      <c r="GPM238" s="2" t="n"/>
      <c r="GPN238" s="2" t="n"/>
      <c r="GPO238" s="2" t="n"/>
      <c r="GPP238" s="2" t="n"/>
      <c r="GPQ238" s="2" t="n"/>
      <c r="GPR238" s="2" t="n"/>
      <c r="GPS238" s="2" t="n"/>
      <c r="GPT238" s="2" t="n"/>
      <c r="GPU238" s="2" t="n"/>
      <c r="GPV238" s="2" t="n"/>
      <c r="GPW238" s="2" t="n"/>
      <c r="GPX238" s="2" t="n"/>
      <c r="GPY238" s="2" t="n"/>
      <c r="GPZ238" s="2" t="n"/>
      <c r="GQA238" s="2" t="n"/>
      <c r="GQB238" s="2" t="n"/>
      <c r="GQC238" s="2" t="n"/>
      <c r="GQD238" s="2" t="n"/>
      <c r="GQE238" s="2" t="n"/>
      <c r="GQF238" s="2" t="n"/>
      <c r="GQG238" s="2" t="n"/>
      <c r="GQH238" s="2" t="n"/>
      <c r="GQI238" s="2" t="n"/>
      <c r="GQJ238" s="2" t="n"/>
      <c r="GQK238" s="2" t="n"/>
      <c r="GQL238" s="2" t="n"/>
      <c r="GQM238" s="2" t="n"/>
      <c r="GQN238" s="2" t="n"/>
      <c r="GQO238" s="2" t="n"/>
      <c r="GQP238" s="2" t="n"/>
      <c r="GQQ238" s="2" t="n"/>
      <c r="GQR238" s="2" t="n"/>
      <c r="GQS238" s="2" t="n"/>
      <c r="GQT238" s="2" t="n"/>
      <c r="GQU238" s="2" t="n"/>
      <c r="GQV238" s="2" t="n"/>
      <c r="GQW238" s="2" t="n"/>
      <c r="GQX238" s="2" t="n"/>
      <c r="GQY238" s="2" t="n"/>
      <c r="GQZ238" s="2" t="n"/>
      <c r="GRA238" s="2" t="n"/>
      <c r="GRB238" s="2" t="n"/>
      <c r="GRC238" s="2" t="n"/>
      <c r="GRD238" s="2" t="n"/>
      <c r="GRE238" s="2" t="n"/>
      <c r="GRF238" s="2" t="n"/>
      <c r="GRG238" s="2" t="n"/>
      <c r="GRH238" s="2" t="n"/>
      <c r="GRI238" s="2" t="n"/>
      <c r="GRJ238" s="2" t="n"/>
      <c r="GRK238" s="2" t="n"/>
      <c r="GRL238" s="2" t="n"/>
      <c r="GRM238" s="2" t="n"/>
      <c r="GRN238" s="2" t="n"/>
      <c r="GRO238" s="2" t="n"/>
      <c r="GRP238" s="2" t="n"/>
      <c r="GRQ238" s="2" t="n"/>
      <c r="GRR238" s="2" t="n"/>
      <c r="GRS238" s="2" t="n"/>
      <c r="GRT238" s="2" t="n"/>
      <c r="GRU238" s="2" t="n"/>
      <c r="GRV238" s="2" t="n"/>
      <c r="GRW238" s="2" t="n"/>
      <c r="GRX238" s="2" t="n"/>
      <c r="GRY238" s="2" t="n"/>
      <c r="GRZ238" s="2" t="n"/>
      <c r="GSA238" s="2" t="n"/>
      <c r="GSB238" s="2" t="n"/>
      <c r="GSC238" s="2" t="n"/>
      <c r="GSD238" s="2" t="n"/>
      <c r="GSE238" s="2" t="n"/>
      <c r="GSF238" s="2" t="n"/>
      <c r="GSG238" s="2" t="n"/>
      <c r="GSH238" s="2" t="n"/>
      <c r="GSI238" s="2" t="n"/>
      <c r="GSJ238" s="2" t="n"/>
      <c r="GSK238" s="2" t="n"/>
      <c r="GSL238" s="2" t="n"/>
      <c r="GSM238" s="2" t="n"/>
      <c r="GSN238" s="2" t="n"/>
      <c r="GSO238" s="2" t="n"/>
      <c r="GSP238" s="2" t="n"/>
      <c r="GSQ238" s="2" t="n"/>
      <c r="GSR238" s="2" t="n"/>
      <c r="GSS238" s="2" t="n"/>
      <c r="GST238" s="2" t="n"/>
      <c r="GSU238" s="2" t="n"/>
      <c r="GSV238" s="2" t="n"/>
      <c r="GSW238" s="2" t="n"/>
      <c r="GSX238" s="2" t="n"/>
      <c r="GSY238" s="2" t="n"/>
      <c r="GSZ238" s="2" t="n"/>
      <c r="GTA238" s="2" t="n"/>
      <c r="GTB238" s="2" t="n"/>
      <c r="GTC238" s="2" t="n"/>
      <c r="GTD238" s="2" t="n"/>
      <c r="GTE238" s="2" t="n"/>
      <c r="GTF238" s="2" t="n"/>
      <c r="GTG238" s="2" t="n"/>
      <c r="GTH238" s="2" t="n"/>
      <c r="GTI238" s="2" t="n"/>
      <c r="GTJ238" s="2" t="n"/>
      <c r="GTK238" s="2" t="n"/>
      <c r="GTL238" s="2" t="n"/>
      <c r="GTM238" s="2" t="n"/>
      <c r="GTN238" s="2" t="n"/>
      <c r="GTO238" s="2" t="n"/>
      <c r="GTP238" s="2" t="n"/>
      <c r="GTQ238" s="2" t="n"/>
      <c r="GTR238" s="2" t="n"/>
      <c r="GTS238" s="2" t="n"/>
      <c r="GTT238" s="2" t="n"/>
      <c r="GTU238" s="2" t="n"/>
      <c r="GTV238" s="2" t="n"/>
      <c r="GTW238" s="2" t="n"/>
      <c r="GTX238" s="2" t="n"/>
      <c r="GTY238" s="2" t="n"/>
      <c r="GTZ238" s="2" t="n"/>
      <c r="GUA238" s="2" t="n"/>
      <c r="GUB238" s="2" t="n"/>
      <c r="GUC238" s="2" t="n"/>
      <c r="GUD238" s="2" t="n"/>
      <c r="GUE238" s="2" t="n"/>
      <c r="GUF238" s="2" t="n"/>
      <c r="GUG238" s="2" t="n"/>
      <c r="GUH238" s="2" t="n"/>
      <c r="GUI238" s="2" t="n"/>
      <c r="GUJ238" s="2" t="n"/>
      <c r="GUK238" s="2" t="n"/>
      <c r="GUL238" s="2" t="n"/>
      <c r="GUM238" s="2" t="n"/>
      <c r="GUN238" s="2" t="n"/>
      <c r="GUO238" s="2" t="n"/>
      <c r="GUP238" s="2" t="n"/>
      <c r="GUQ238" s="2" t="n"/>
      <c r="GUR238" s="2" t="n"/>
      <c r="GUS238" s="2" t="n"/>
      <c r="GUT238" s="2" t="n"/>
      <c r="GUU238" s="2" t="n"/>
      <c r="GUV238" s="2" t="n"/>
      <c r="GUW238" s="2" t="n"/>
      <c r="GUX238" s="2" t="n"/>
      <c r="GUY238" s="2" t="n"/>
      <c r="GUZ238" s="2" t="n"/>
      <c r="GVA238" s="2" t="n"/>
      <c r="GVB238" s="2" t="n"/>
      <c r="GVC238" s="2" t="n"/>
      <c r="GVD238" s="2" t="n"/>
      <c r="GVE238" s="2" t="n"/>
      <c r="GVF238" s="2" t="n"/>
      <c r="GVG238" s="2" t="n"/>
      <c r="GVH238" s="2" t="n"/>
      <c r="GVI238" s="2" t="n"/>
      <c r="GVJ238" s="2" t="n"/>
      <c r="GVK238" s="2" t="n"/>
      <c r="GVL238" s="2" t="n"/>
      <c r="GVM238" s="2" t="n"/>
      <c r="GVN238" s="2" t="n"/>
      <c r="GVO238" s="2" t="n"/>
      <c r="GVP238" s="2" t="n"/>
      <c r="GVQ238" s="2" t="n"/>
      <c r="GVR238" s="2" t="n"/>
      <c r="GVS238" s="2" t="n"/>
      <c r="GVT238" s="2" t="n"/>
      <c r="GVU238" s="2" t="n"/>
      <c r="GVV238" s="2" t="n"/>
      <c r="GVW238" s="2" t="n"/>
      <c r="GVX238" s="2" t="n"/>
      <c r="GVY238" s="2" t="n"/>
      <c r="GVZ238" s="2" t="n"/>
      <c r="GWA238" s="2" t="n"/>
      <c r="GWB238" s="2" t="n"/>
      <c r="GWC238" s="2" t="n"/>
      <c r="GWD238" s="2" t="n"/>
      <c r="GWE238" s="2" t="n"/>
      <c r="GWF238" s="2" t="n"/>
      <c r="GWG238" s="2" t="n"/>
      <c r="GWH238" s="2" t="n"/>
      <c r="GWI238" s="2" t="n"/>
      <c r="GWJ238" s="2" t="n"/>
      <c r="GWK238" s="2" t="n"/>
      <c r="GWL238" s="2" t="n"/>
      <c r="GWM238" s="2" t="n"/>
      <c r="GWN238" s="2" t="n"/>
      <c r="GWO238" s="2" t="n"/>
      <c r="GWP238" s="2" t="n"/>
      <c r="GWQ238" s="2" t="n"/>
      <c r="GWR238" s="2" t="n"/>
      <c r="GWS238" s="2" t="n"/>
      <c r="GWT238" s="2" t="n"/>
      <c r="GWU238" s="2" t="n"/>
      <c r="GWV238" s="2" t="n"/>
      <c r="GWW238" s="2" t="n"/>
      <c r="GWX238" s="2" t="n"/>
      <c r="GWY238" s="2" t="n"/>
      <c r="GWZ238" s="2" t="n"/>
      <c r="GXA238" s="2" t="n"/>
      <c r="GXB238" s="2" t="n"/>
      <c r="GXC238" s="2" t="n"/>
      <c r="GXD238" s="2" t="n"/>
      <c r="GXE238" s="2" t="n"/>
      <c r="GXF238" s="2" t="n"/>
      <c r="GXG238" s="2" t="n"/>
      <c r="GXH238" s="2" t="n"/>
      <c r="GXI238" s="2" t="n"/>
      <c r="GXJ238" s="2" t="n"/>
      <c r="GXK238" s="2" t="n"/>
      <c r="GXL238" s="2" t="n"/>
      <c r="GXM238" s="2" t="n"/>
      <c r="GXN238" s="2" t="n"/>
      <c r="GXO238" s="2" t="n"/>
      <c r="GXP238" s="2" t="n"/>
      <c r="GXQ238" s="2" t="n"/>
      <c r="GXR238" s="2" t="n"/>
      <c r="GXS238" s="2" t="n"/>
      <c r="GXT238" s="2" t="n"/>
      <c r="GXU238" s="2" t="n"/>
      <c r="GXV238" s="2" t="n"/>
      <c r="GXW238" s="2" t="n"/>
      <c r="GXX238" s="2" t="n"/>
      <c r="GXY238" s="2" t="n"/>
      <c r="GXZ238" s="2" t="n"/>
      <c r="GYA238" s="2" t="n"/>
      <c r="GYB238" s="2" t="n"/>
      <c r="GYC238" s="2" t="n"/>
      <c r="GYD238" s="2" t="n"/>
      <c r="GYE238" s="2" t="n"/>
      <c r="GYF238" s="2" t="n"/>
      <c r="GYG238" s="2" t="n"/>
      <c r="GYH238" s="2" t="n"/>
      <c r="GYI238" s="2" t="n"/>
      <c r="GYJ238" s="2" t="n"/>
      <c r="GYK238" s="2" t="n"/>
      <c r="GYL238" s="2" t="n"/>
      <c r="GYM238" s="2" t="n"/>
      <c r="GYN238" s="2" t="n"/>
      <c r="GYO238" s="2" t="n"/>
      <c r="GYP238" s="2" t="n"/>
      <c r="GYQ238" s="2" t="n"/>
      <c r="GYR238" s="2" t="n"/>
      <c r="GYS238" s="2" t="n"/>
      <c r="GYT238" s="2" t="n"/>
      <c r="GYU238" s="2" t="n"/>
      <c r="GYV238" s="2" t="n"/>
      <c r="GYW238" s="2" t="n"/>
      <c r="GYX238" s="2" t="n"/>
      <c r="GYY238" s="2" t="n"/>
      <c r="GYZ238" s="2" t="n"/>
      <c r="GZA238" s="2" t="n"/>
      <c r="GZB238" s="2" t="n"/>
      <c r="GZC238" s="2" t="n"/>
      <c r="GZD238" s="2" t="n"/>
      <c r="GZE238" s="2" t="n"/>
      <c r="GZF238" s="2" t="n"/>
      <c r="GZG238" s="2" t="n"/>
      <c r="GZH238" s="2" t="n"/>
      <c r="GZI238" s="2" t="n"/>
      <c r="GZJ238" s="2" t="n"/>
      <c r="GZK238" s="2" t="n"/>
      <c r="GZL238" s="2" t="n"/>
      <c r="GZM238" s="2" t="n"/>
      <c r="GZN238" s="2" t="n"/>
      <c r="GZO238" s="2" t="n"/>
      <c r="GZP238" s="2" t="n"/>
      <c r="GZQ238" s="2" t="n"/>
      <c r="GZR238" s="2" t="n"/>
      <c r="GZS238" s="2" t="n"/>
      <c r="GZT238" s="2" t="n"/>
      <c r="GZU238" s="2" t="n"/>
      <c r="GZV238" s="2" t="n"/>
      <c r="GZW238" s="2" t="n"/>
      <c r="GZX238" s="2" t="n"/>
      <c r="GZY238" s="2" t="n"/>
      <c r="GZZ238" s="2" t="n"/>
      <c r="HAA238" s="2" t="n"/>
      <c r="HAB238" s="2" t="n"/>
      <c r="HAC238" s="2" t="n"/>
      <c r="HAD238" s="2" t="n"/>
      <c r="HAE238" s="2" t="n"/>
      <c r="HAF238" s="2" t="n"/>
      <c r="HAG238" s="2" t="n"/>
      <c r="HAH238" s="2" t="n"/>
      <c r="HAI238" s="2" t="n"/>
      <c r="HAJ238" s="2" t="n"/>
      <c r="HAK238" s="2" t="n"/>
      <c r="HAL238" s="2" t="n"/>
      <c r="HAM238" s="2" t="n"/>
      <c r="HAN238" s="2" t="n"/>
      <c r="HAO238" s="2" t="n"/>
      <c r="HAP238" s="2" t="n"/>
      <c r="HAQ238" s="2" t="n"/>
      <c r="HAR238" s="2" t="n"/>
      <c r="HAS238" s="2" t="n"/>
      <c r="HAT238" s="2" t="n"/>
      <c r="HAU238" s="2" t="n"/>
      <c r="HAV238" s="2" t="n"/>
      <c r="HAW238" s="2" t="n"/>
      <c r="HAX238" s="2" t="n"/>
      <c r="HAY238" s="2" t="n"/>
      <c r="HAZ238" s="2" t="n"/>
      <c r="HBA238" s="2" t="n"/>
      <c r="HBB238" s="2" t="n"/>
      <c r="HBC238" s="2" t="n"/>
      <c r="HBD238" s="2" t="n"/>
      <c r="HBE238" s="2" t="n"/>
      <c r="HBF238" s="2" t="n"/>
      <c r="HBG238" s="2" t="n"/>
      <c r="HBH238" s="2" t="n"/>
      <c r="HBI238" s="2" t="n"/>
      <c r="HBJ238" s="2" t="n"/>
      <c r="HBK238" s="2" t="n"/>
      <c r="HBL238" s="2" t="n"/>
      <c r="HBM238" s="2" t="n"/>
      <c r="HBN238" s="2" t="n"/>
      <c r="HBO238" s="2" t="n"/>
      <c r="HBP238" s="2" t="n"/>
      <c r="HBQ238" s="2" t="n"/>
      <c r="HBR238" s="2" t="n"/>
      <c r="HBS238" s="2" t="n"/>
      <c r="HBT238" s="2" t="n"/>
      <c r="HBU238" s="2" t="n"/>
      <c r="HBV238" s="2" t="n"/>
      <c r="HBW238" s="2" t="n"/>
      <c r="HBX238" s="2" t="n"/>
      <c r="HBY238" s="2" t="n"/>
      <c r="HBZ238" s="2" t="n"/>
      <c r="HCA238" s="2" t="n"/>
      <c r="HCB238" s="2" t="n"/>
      <c r="HCC238" s="2" t="n"/>
      <c r="HCD238" s="2" t="n"/>
      <c r="HCE238" s="2" t="n"/>
      <c r="HCF238" s="2" t="n"/>
      <c r="HCG238" s="2" t="n"/>
      <c r="HCH238" s="2" t="n"/>
      <c r="HCI238" s="2" t="n"/>
      <c r="HCJ238" s="2" t="n"/>
      <c r="HCK238" s="2" t="n"/>
      <c r="HCL238" s="2" t="n"/>
      <c r="HCM238" s="2" t="n"/>
      <c r="HCN238" s="2" t="n"/>
      <c r="HCO238" s="2" t="n"/>
      <c r="HCP238" s="2" t="n"/>
      <c r="HCQ238" s="2" t="n"/>
      <c r="HCR238" s="2" t="n"/>
      <c r="HCS238" s="2" t="n"/>
      <c r="HCT238" s="2" t="n"/>
      <c r="HCU238" s="2" t="n"/>
      <c r="HCV238" s="2" t="n"/>
      <c r="HCW238" s="2" t="n"/>
      <c r="HCX238" s="2" t="n"/>
      <c r="HCY238" s="2" t="n"/>
      <c r="HCZ238" s="2" t="n"/>
      <c r="HDA238" s="2" t="n"/>
      <c r="HDB238" s="2" t="n"/>
      <c r="HDC238" s="2" t="n"/>
      <c r="HDD238" s="2" t="n"/>
      <c r="HDE238" s="2" t="n"/>
      <c r="HDF238" s="2" t="n"/>
      <c r="HDG238" s="2" t="n"/>
      <c r="HDH238" s="2" t="n"/>
      <c r="HDI238" s="2" t="n"/>
      <c r="HDJ238" s="2" t="n"/>
      <c r="HDK238" s="2" t="n"/>
      <c r="HDL238" s="2" t="n"/>
      <c r="HDM238" s="2" t="n"/>
      <c r="HDN238" s="2" t="n"/>
      <c r="HDO238" s="2" t="n"/>
      <c r="HDP238" s="2" t="n"/>
      <c r="HDQ238" s="2" t="n"/>
      <c r="HDR238" s="2" t="n"/>
      <c r="HDS238" s="2" t="n"/>
      <c r="HDT238" s="2" t="n"/>
      <c r="HDU238" s="2" t="n"/>
      <c r="HDV238" s="2" t="n"/>
      <c r="HDW238" s="2" t="n"/>
      <c r="HDX238" s="2" t="n"/>
      <c r="HDY238" s="2" t="n"/>
      <c r="HDZ238" s="2" t="n"/>
      <c r="HEA238" s="2" t="n"/>
      <c r="HEB238" s="2" t="n"/>
      <c r="HEC238" s="2" t="n"/>
      <c r="HED238" s="2" t="n"/>
      <c r="HEE238" s="2" t="n"/>
      <c r="HEF238" s="2" t="n"/>
      <c r="HEG238" s="2" t="n"/>
      <c r="HEH238" s="2" t="n"/>
      <c r="HEI238" s="2" t="n"/>
      <c r="HEJ238" s="2" t="n"/>
      <c r="HEK238" s="2" t="n"/>
      <c r="HEL238" s="2" t="n"/>
      <c r="HEM238" s="2" t="n"/>
      <c r="HEN238" s="2" t="n"/>
      <c r="HEO238" s="2" t="n"/>
      <c r="HEP238" s="2" t="n"/>
      <c r="HEQ238" s="2" t="n"/>
      <c r="HER238" s="2" t="n"/>
      <c r="HES238" s="2" t="n"/>
      <c r="HET238" s="2" t="n"/>
      <c r="HEU238" s="2" t="n"/>
      <c r="HEV238" s="2" t="n"/>
      <c r="HEW238" s="2" t="n"/>
      <c r="HEX238" s="2" t="n"/>
      <c r="HEY238" s="2" t="n"/>
      <c r="HEZ238" s="2" t="n"/>
      <c r="HFA238" s="2" t="n"/>
      <c r="HFB238" s="2" t="n"/>
      <c r="HFC238" s="2" t="n"/>
      <c r="HFD238" s="2" t="n"/>
      <c r="HFE238" s="2" t="n"/>
      <c r="HFF238" s="2" t="n"/>
      <c r="HFG238" s="2" t="n"/>
      <c r="HFH238" s="2" t="n"/>
      <c r="HFI238" s="2" t="n"/>
      <c r="HFJ238" s="2" t="n"/>
      <c r="HFK238" s="2" t="n"/>
      <c r="HFL238" s="2" t="n"/>
      <c r="HFM238" s="2" t="n"/>
      <c r="HFN238" s="2" t="n"/>
      <c r="HFO238" s="2" t="n"/>
      <c r="HFP238" s="2" t="n"/>
      <c r="HFQ238" s="2" t="n"/>
      <c r="HFR238" s="2" t="n"/>
      <c r="HFS238" s="2" t="n"/>
      <c r="HFT238" s="2" t="n"/>
      <c r="HFU238" s="2" t="n"/>
      <c r="HFV238" s="2" t="n"/>
      <c r="HFW238" s="2" t="n"/>
      <c r="HFX238" s="2" t="n"/>
      <c r="HFY238" s="2" t="n"/>
      <c r="HFZ238" s="2" t="n"/>
      <c r="HGA238" s="2" t="n"/>
      <c r="HGB238" s="2" t="n"/>
      <c r="HGC238" s="2" t="n"/>
      <c r="HGD238" s="2" t="n"/>
      <c r="HGE238" s="2" t="n"/>
      <c r="HGF238" s="2" t="n"/>
      <c r="HGG238" s="2" t="n"/>
      <c r="HGH238" s="2" t="n"/>
      <c r="HGI238" s="2" t="n"/>
      <c r="HGJ238" s="2" t="n"/>
      <c r="HGK238" s="2" t="n"/>
      <c r="HGL238" s="2" t="n"/>
      <c r="HGM238" s="2" t="n"/>
      <c r="HGN238" s="2" t="n"/>
      <c r="HGO238" s="2" t="n"/>
      <c r="HGP238" s="2" t="n"/>
      <c r="HGQ238" s="2" t="n"/>
      <c r="HGR238" s="2" t="n"/>
      <c r="HGS238" s="2" t="n"/>
      <c r="HGT238" s="2" t="n"/>
      <c r="HGU238" s="2" t="n"/>
      <c r="HGV238" s="2" t="n"/>
      <c r="HGW238" s="2" t="n"/>
      <c r="HGX238" s="2" t="n"/>
      <c r="HGY238" s="2" t="n"/>
      <c r="HGZ238" s="2" t="n"/>
      <c r="HHA238" s="2" t="n"/>
      <c r="HHB238" s="2" t="n"/>
      <c r="HHC238" s="2" t="n"/>
      <c r="HHD238" s="2" t="n"/>
      <c r="HHE238" s="2" t="n"/>
      <c r="HHF238" s="2" t="n"/>
      <c r="HHG238" s="2" t="n"/>
      <c r="HHH238" s="2" t="n"/>
      <c r="HHI238" s="2" t="n"/>
      <c r="HHJ238" s="2" t="n"/>
      <c r="HHK238" s="2" t="n"/>
      <c r="HHL238" s="2" t="n"/>
      <c r="HHM238" s="2" t="n"/>
      <c r="HHN238" s="2" t="n"/>
      <c r="HHO238" s="2" t="n"/>
      <c r="HHP238" s="2" t="n"/>
      <c r="HHQ238" s="2" t="n"/>
      <c r="HHR238" s="2" t="n"/>
      <c r="HHS238" s="2" t="n"/>
      <c r="HHT238" s="2" t="n"/>
      <c r="HHU238" s="2" t="n"/>
      <c r="HHV238" s="2" t="n"/>
      <c r="HHW238" s="2" t="n"/>
      <c r="HHX238" s="2" t="n"/>
      <c r="HHY238" s="2" t="n"/>
      <c r="HHZ238" s="2" t="n"/>
      <c r="HIA238" s="2" t="n"/>
      <c r="HIB238" s="2" t="n"/>
      <c r="HIC238" s="2" t="n"/>
      <c r="HID238" s="2" t="n"/>
      <c r="HIE238" s="2" t="n"/>
      <c r="HIF238" s="2" t="n"/>
      <c r="HIG238" s="2" t="n"/>
      <c r="HIH238" s="2" t="n"/>
      <c r="HII238" s="2" t="n"/>
      <c r="HIJ238" s="2" t="n"/>
      <c r="HIK238" s="2" t="n"/>
      <c r="HIL238" s="2" t="n"/>
      <c r="HIM238" s="2" t="n"/>
      <c r="HIN238" s="2" t="n"/>
      <c r="HIO238" s="2" t="n"/>
      <c r="HIP238" s="2" t="n"/>
      <c r="HIQ238" s="2" t="n"/>
      <c r="HIR238" s="2" t="n"/>
      <c r="HIS238" s="2" t="n"/>
      <c r="HIT238" s="2" t="n"/>
      <c r="HIU238" s="2" t="n"/>
      <c r="HIV238" s="2" t="n"/>
      <c r="HIW238" s="2" t="n"/>
      <c r="HIX238" s="2" t="n"/>
      <c r="HIY238" s="2" t="n"/>
      <c r="HIZ238" s="2" t="n"/>
      <c r="HJA238" s="2" t="n"/>
      <c r="HJB238" s="2" t="n"/>
      <c r="HJC238" s="2" t="n"/>
      <c r="HJD238" s="2" t="n"/>
      <c r="HJE238" s="2" t="n"/>
      <c r="HJF238" s="2" t="n"/>
      <c r="HJG238" s="2" t="n"/>
      <c r="HJH238" s="2" t="n"/>
      <c r="HJI238" s="2" t="n"/>
      <c r="HJJ238" s="2" t="n"/>
      <c r="HJK238" s="2" t="n"/>
      <c r="HJL238" s="2" t="n"/>
      <c r="HJM238" s="2" t="n"/>
      <c r="HJN238" s="2" t="n"/>
      <c r="HJO238" s="2" t="n"/>
      <c r="HJP238" s="2" t="n"/>
      <c r="HJQ238" s="2" t="n"/>
      <c r="HJR238" s="2" t="n"/>
      <c r="HJS238" s="2" t="n"/>
      <c r="HJT238" s="2" t="n"/>
      <c r="HJU238" s="2" t="n"/>
      <c r="HJV238" s="2" t="n"/>
      <c r="HJW238" s="2" t="n"/>
      <c r="HJX238" s="2" t="n"/>
      <c r="HJY238" s="2" t="n"/>
      <c r="HJZ238" s="2" t="n"/>
      <c r="HKA238" s="2" t="n"/>
      <c r="HKB238" s="2" t="n"/>
      <c r="HKC238" s="2" t="n"/>
      <c r="HKD238" s="2" t="n"/>
      <c r="HKE238" s="2" t="n"/>
      <c r="HKF238" s="2" t="n"/>
      <c r="HKG238" s="2" t="n"/>
      <c r="HKH238" s="2" t="n"/>
      <c r="HKI238" s="2" t="n"/>
      <c r="HKJ238" s="2" t="n"/>
      <c r="HKK238" s="2" t="n"/>
      <c r="HKL238" s="2" t="n"/>
      <c r="HKM238" s="2" t="n"/>
      <c r="HKN238" s="2" t="n"/>
      <c r="HKO238" s="2" t="n"/>
      <c r="HKP238" s="2" t="n"/>
      <c r="HKQ238" s="2" t="n"/>
      <c r="HKR238" s="2" t="n"/>
      <c r="HKS238" s="2" t="n"/>
      <c r="HKT238" s="2" t="n"/>
      <c r="HKU238" s="2" t="n"/>
      <c r="HKV238" s="2" t="n"/>
      <c r="HKW238" s="2" t="n"/>
      <c r="HKX238" s="2" t="n"/>
      <c r="HKY238" s="2" t="n"/>
      <c r="HKZ238" s="2" t="n"/>
      <c r="HLA238" s="2" t="n"/>
      <c r="HLB238" s="2" t="n"/>
      <c r="HLC238" s="2" t="n"/>
      <c r="HLD238" s="2" t="n"/>
      <c r="HLE238" s="2" t="n"/>
      <c r="HLF238" s="2" t="n"/>
      <c r="HLG238" s="2" t="n"/>
      <c r="HLH238" s="2" t="n"/>
      <c r="HLI238" s="2" t="n"/>
      <c r="HLJ238" s="2" t="n"/>
      <c r="HLK238" s="2" t="n"/>
      <c r="HLL238" s="2" t="n"/>
      <c r="HLM238" s="2" t="n"/>
      <c r="HLN238" s="2" t="n"/>
      <c r="HLO238" s="2" t="n"/>
      <c r="HLP238" s="2" t="n"/>
      <c r="HLQ238" s="2" t="n"/>
      <c r="HLR238" s="2" t="n"/>
      <c r="HLS238" s="2" t="n"/>
      <c r="HLT238" s="2" t="n"/>
      <c r="HLU238" s="2" t="n"/>
      <c r="HLV238" s="2" t="n"/>
      <c r="HLW238" s="2" t="n"/>
      <c r="HLX238" s="2" t="n"/>
      <c r="HLY238" s="2" t="n"/>
      <c r="HLZ238" s="2" t="n"/>
      <c r="HMA238" s="2" t="n"/>
      <c r="HMB238" s="2" t="n"/>
      <c r="HMC238" s="2" t="n"/>
      <c r="HMD238" s="2" t="n"/>
      <c r="HME238" s="2" t="n"/>
      <c r="HMF238" s="2" t="n"/>
      <c r="HMG238" s="2" t="n"/>
      <c r="HMH238" s="2" t="n"/>
      <c r="HMI238" s="2" t="n"/>
      <c r="HMJ238" s="2" t="n"/>
      <c r="HMK238" s="2" t="n"/>
      <c r="HML238" s="2" t="n"/>
      <c r="HMM238" s="2" t="n"/>
      <c r="HMN238" s="2" t="n"/>
      <c r="HMO238" s="2" t="n"/>
      <c r="HMP238" s="2" t="n"/>
      <c r="HMQ238" s="2" t="n"/>
      <c r="HMR238" s="2" t="n"/>
      <c r="HMS238" s="2" t="n"/>
      <c r="HMT238" s="2" t="n"/>
      <c r="HMU238" s="2" t="n"/>
      <c r="HMV238" s="2" t="n"/>
      <c r="HMW238" s="2" t="n"/>
      <c r="HMX238" s="2" t="n"/>
      <c r="HMY238" s="2" t="n"/>
      <c r="HMZ238" s="2" t="n"/>
      <c r="HNA238" s="2" t="n"/>
      <c r="HNB238" s="2" t="n"/>
      <c r="HNC238" s="2" t="n"/>
      <c r="HND238" s="2" t="n"/>
      <c r="HNE238" s="2" t="n"/>
      <c r="HNF238" s="2" t="n"/>
      <c r="HNG238" s="2" t="n"/>
      <c r="HNH238" s="2" t="n"/>
      <c r="HNI238" s="2" t="n"/>
      <c r="HNJ238" s="2" t="n"/>
      <c r="HNK238" s="2" t="n"/>
      <c r="HNL238" s="2" t="n"/>
      <c r="HNM238" s="2" t="n"/>
      <c r="HNN238" s="2" t="n"/>
      <c r="HNO238" s="2" t="n"/>
      <c r="HNP238" s="2" t="n"/>
      <c r="HNQ238" s="2" t="n"/>
      <c r="HNR238" s="2" t="n"/>
      <c r="HNS238" s="2" t="n"/>
      <c r="HNT238" s="2" t="n"/>
      <c r="HNU238" s="2" t="n"/>
      <c r="HNV238" s="2" t="n"/>
      <c r="HNW238" s="2" t="n"/>
      <c r="HNX238" s="2" t="n"/>
      <c r="HNY238" s="2" t="n"/>
      <c r="HNZ238" s="2" t="n"/>
      <c r="HOA238" s="2" t="n"/>
      <c r="HOB238" s="2" t="n"/>
      <c r="HOC238" s="2" t="n"/>
      <c r="HOD238" s="2" t="n"/>
      <c r="HOE238" s="2" t="n"/>
      <c r="HOF238" s="2" t="n"/>
      <c r="HOG238" s="2" t="n"/>
      <c r="HOH238" s="2" t="n"/>
      <c r="HOI238" s="2" t="n"/>
      <c r="HOJ238" s="2" t="n"/>
      <c r="HOK238" s="2" t="n"/>
      <c r="HOL238" s="2" t="n"/>
      <c r="HOM238" s="2" t="n"/>
      <c r="HON238" s="2" t="n"/>
      <c r="HOO238" s="2" t="n"/>
      <c r="HOP238" s="2" t="n"/>
      <c r="HOQ238" s="2" t="n"/>
      <c r="HOR238" s="2" t="n"/>
      <c r="HOS238" s="2" t="n"/>
      <c r="HOT238" s="2" t="n"/>
      <c r="HOU238" s="2" t="n"/>
      <c r="HOV238" s="2" t="n"/>
      <c r="HOW238" s="2" t="n"/>
      <c r="HOX238" s="2" t="n"/>
      <c r="HOY238" s="2" t="n"/>
      <c r="HOZ238" s="2" t="n"/>
      <c r="HPA238" s="2" t="n"/>
      <c r="HPB238" s="2" t="n"/>
      <c r="HPC238" s="2" t="n"/>
      <c r="HPD238" s="2" t="n"/>
      <c r="HPE238" s="2" t="n"/>
      <c r="HPF238" s="2" t="n"/>
      <c r="HPG238" s="2" t="n"/>
      <c r="HPH238" s="2" t="n"/>
      <c r="HPI238" s="2" t="n"/>
      <c r="HPJ238" s="2" t="n"/>
      <c r="HPK238" s="2" t="n"/>
      <c r="HPL238" s="2" t="n"/>
      <c r="HPM238" s="2" t="n"/>
      <c r="HPN238" s="2" t="n"/>
      <c r="HPO238" s="2" t="n"/>
      <c r="HPP238" s="2" t="n"/>
      <c r="HPQ238" s="2" t="n"/>
      <c r="HPR238" s="2" t="n"/>
      <c r="HPS238" s="2" t="n"/>
      <c r="HPT238" s="2" t="n"/>
      <c r="HPU238" s="2" t="n"/>
      <c r="HPV238" s="2" t="n"/>
      <c r="HPW238" s="2" t="n"/>
      <c r="HPX238" s="2" t="n"/>
      <c r="HPY238" s="2" t="n"/>
      <c r="HPZ238" s="2" t="n"/>
      <c r="HQA238" s="2" t="n"/>
      <c r="HQB238" s="2" t="n"/>
      <c r="HQC238" s="2" t="n"/>
      <c r="HQD238" s="2" t="n"/>
      <c r="HQE238" s="2" t="n"/>
      <c r="HQF238" s="2" t="n"/>
      <c r="HQG238" s="2" t="n"/>
      <c r="HQH238" s="2" t="n"/>
      <c r="HQI238" s="2" t="n"/>
      <c r="HQJ238" s="2" t="n"/>
      <c r="HQK238" s="2" t="n"/>
      <c r="HQL238" s="2" t="n"/>
      <c r="HQM238" s="2" t="n"/>
      <c r="HQN238" s="2" t="n"/>
      <c r="HQO238" s="2" t="n"/>
      <c r="HQP238" s="2" t="n"/>
      <c r="HQQ238" s="2" t="n"/>
      <c r="HQR238" s="2" t="n"/>
      <c r="HQS238" s="2" t="n"/>
      <c r="HQT238" s="2" t="n"/>
      <c r="HQU238" s="2" t="n"/>
      <c r="HQV238" s="2" t="n"/>
      <c r="HQW238" s="2" t="n"/>
      <c r="HQX238" s="2" t="n"/>
      <c r="HQY238" s="2" t="n"/>
      <c r="HQZ238" s="2" t="n"/>
      <c r="HRA238" s="2" t="n"/>
      <c r="HRB238" s="2" t="n"/>
      <c r="HRC238" s="2" t="n"/>
      <c r="HRD238" s="2" t="n"/>
      <c r="HRE238" s="2" t="n"/>
      <c r="HRF238" s="2" t="n"/>
      <c r="HRG238" s="2" t="n"/>
      <c r="HRH238" s="2" t="n"/>
      <c r="HRI238" s="2" t="n"/>
      <c r="HRJ238" s="2" t="n"/>
      <c r="HRK238" s="2" t="n"/>
      <c r="HRL238" s="2" t="n"/>
      <c r="HRM238" s="2" t="n"/>
      <c r="HRN238" s="2" t="n"/>
      <c r="HRO238" s="2" t="n"/>
      <c r="HRP238" s="2" t="n"/>
      <c r="HRQ238" s="2" t="n"/>
      <c r="HRR238" s="2" t="n"/>
      <c r="HRS238" s="2" t="n"/>
      <c r="HRT238" s="2" t="n"/>
      <c r="HRU238" s="2" t="n"/>
      <c r="HRV238" s="2" t="n"/>
      <c r="HRW238" s="2" t="n"/>
      <c r="HRX238" s="2" t="n"/>
      <c r="HRY238" s="2" t="n"/>
      <c r="HRZ238" s="2" t="n"/>
      <c r="HSA238" s="2" t="n"/>
      <c r="HSB238" s="2" t="n"/>
      <c r="HSC238" s="2" t="n"/>
      <c r="HSD238" s="2" t="n"/>
      <c r="HSE238" s="2" t="n"/>
      <c r="HSF238" s="2" t="n"/>
      <c r="HSG238" s="2" t="n"/>
      <c r="HSH238" s="2" t="n"/>
      <c r="HSI238" s="2" t="n"/>
      <c r="HSJ238" s="2" t="n"/>
      <c r="HSK238" s="2" t="n"/>
      <c r="HSL238" s="2" t="n"/>
      <c r="HSM238" s="2" t="n"/>
      <c r="HSN238" s="2" t="n"/>
      <c r="HSO238" s="2" t="n"/>
      <c r="HSP238" s="2" t="n"/>
      <c r="HSQ238" s="2" t="n"/>
      <c r="HSR238" s="2" t="n"/>
      <c r="HSS238" s="2" t="n"/>
      <c r="HST238" s="2" t="n"/>
      <c r="HSU238" s="2" t="n"/>
      <c r="HSV238" s="2" t="n"/>
      <c r="HSW238" s="2" t="n"/>
      <c r="HSX238" s="2" t="n"/>
      <c r="HSY238" s="2" t="n"/>
      <c r="HSZ238" s="2" t="n"/>
      <c r="HTA238" s="2" t="n"/>
      <c r="HTB238" s="2" t="n"/>
      <c r="HTC238" s="2" t="n"/>
      <c r="HTD238" s="2" t="n"/>
      <c r="HTE238" s="2" t="n"/>
      <c r="HTF238" s="2" t="n"/>
      <c r="HTG238" s="2" t="n"/>
      <c r="HTH238" s="2" t="n"/>
      <c r="HTI238" s="2" t="n"/>
      <c r="HTJ238" s="2" t="n"/>
      <c r="HTK238" s="2" t="n"/>
      <c r="HTL238" s="2" t="n"/>
      <c r="HTM238" s="2" t="n"/>
      <c r="HTN238" s="2" t="n"/>
      <c r="HTO238" s="2" t="n"/>
      <c r="HTP238" s="2" t="n"/>
      <c r="HTQ238" s="2" t="n"/>
      <c r="HTR238" s="2" t="n"/>
      <c r="HTS238" s="2" t="n"/>
      <c r="HTT238" s="2" t="n"/>
      <c r="HTU238" s="2" t="n"/>
      <c r="HTV238" s="2" t="n"/>
      <c r="HTW238" s="2" t="n"/>
      <c r="HTX238" s="2" t="n"/>
      <c r="HTY238" s="2" t="n"/>
      <c r="HTZ238" s="2" t="n"/>
      <c r="HUA238" s="2" t="n"/>
      <c r="HUB238" s="2" t="n"/>
      <c r="HUC238" s="2" t="n"/>
      <c r="HUD238" s="2" t="n"/>
      <c r="HUE238" s="2" t="n"/>
      <c r="HUF238" s="2" t="n"/>
      <c r="HUG238" s="2" t="n"/>
      <c r="HUH238" s="2" t="n"/>
      <c r="HUI238" s="2" t="n"/>
      <c r="HUJ238" s="2" t="n"/>
      <c r="HUK238" s="2" t="n"/>
      <c r="HUL238" s="2" t="n"/>
      <c r="HUM238" s="2" t="n"/>
      <c r="HUN238" s="2" t="n"/>
      <c r="HUO238" s="2" t="n"/>
      <c r="HUP238" s="2" t="n"/>
      <c r="HUQ238" s="2" t="n"/>
      <c r="HUR238" s="2" t="n"/>
      <c r="HUS238" s="2" t="n"/>
      <c r="HUT238" s="2" t="n"/>
      <c r="HUU238" s="2" t="n"/>
      <c r="HUV238" s="2" t="n"/>
      <c r="HUW238" s="2" t="n"/>
      <c r="HUX238" s="2" t="n"/>
      <c r="HUY238" s="2" t="n"/>
      <c r="HUZ238" s="2" t="n"/>
      <c r="HVA238" s="2" t="n"/>
      <c r="HVB238" s="2" t="n"/>
      <c r="HVC238" s="2" t="n"/>
      <c r="HVD238" s="2" t="n"/>
      <c r="HVE238" s="2" t="n"/>
      <c r="HVF238" s="2" t="n"/>
      <c r="HVG238" s="2" t="n"/>
      <c r="HVH238" s="2" t="n"/>
      <c r="HVI238" s="2" t="n"/>
      <c r="HVJ238" s="2" t="n"/>
      <c r="HVK238" s="2" t="n"/>
      <c r="HVL238" s="2" t="n"/>
      <c r="HVM238" s="2" t="n"/>
      <c r="HVN238" s="2" t="n"/>
      <c r="HVO238" s="2" t="n"/>
      <c r="HVP238" s="2" t="n"/>
      <c r="HVQ238" s="2" t="n"/>
      <c r="HVR238" s="2" t="n"/>
      <c r="HVS238" s="2" t="n"/>
      <c r="HVT238" s="2" t="n"/>
      <c r="HVU238" s="2" t="n"/>
      <c r="HVV238" s="2" t="n"/>
      <c r="HVW238" s="2" t="n"/>
      <c r="HVX238" s="2" t="n"/>
      <c r="HVY238" s="2" t="n"/>
      <c r="HVZ238" s="2" t="n"/>
      <c r="HWA238" s="2" t="n"/>
      <c r="HWB238" s="2" t="n"/>
      <c r="HWC238" s="2" t="n"/>
      <c r="HWD238" s="2" t="n"/>
      <c r="HWE238" s="2" t="n"/>
      <c r="HWF238" s="2" t="n"/>
      <c r="HWG238" s="2" t="n"/>
      <c r="HWH238" s="2" t="n"/>
      <c r="HWI238" s="2" t="n"/>
      <c r="HWJ238" s="2" t="n"/>
      <c r="HWK238" s="2" t="n"/>
      <c r="HWL238" s="2" t="n"/>
      <c r="HWM238" s="2" t="n"/>
      <c r="HWN238" s="2" t="n"/>
      <c r="HWO238" s="2" t="n"/>
      <c r="HWP238" s="2" t="n"/>
      <c r="HWQ238" s="2" t="n"/>
      <c r="HWR238" s="2" t="n"/>
      <c r="HWS238" s="2" t="n"/>
      <c r="HWT238" s="2" t="n"/>
      <c r="HWU238" s="2" t="n"/>
      <c r="HWV238" s="2" t="n"/>
      <c r="HWW238" s="2" t="n"/>
      <c r="HWX238" s="2" t="n"/>
      <c r="HWY238" s="2" t="n"/>
      <c r="HWZ238" s="2" t="n"/>
      <c r="HXA238" s="2" t="n"/>
      <c r="HXB238" s="2" t="n"/>
      <c r="HXC238" s="2" t="n"/>
      <c r="HXD238" s="2" t="n"/>
      <c r="HXE238" s="2" t="n"/>
      <c r="HXF238" s="2" t="n"/>
      <c r="HXG238" s="2" t="n"/>
      <c r="HXH238" s="2" t="n"/>
      <c r="HXI238" s="2" t="n"/>
      <c r="HXJ238" s="2" t="n"/>
      <c r="HXK238" s="2" t="n"/>
      <c r="HXL238" s="2" t="n"/>
      <c r="HXM238" s="2" t="n"/>
      <c r="HXN238" s="2" t="n"/>
      <c r="HXO238" s="2" t="n"/>
      <c r="HXP238" s="2" t="n"/>
      <c r="HXQ238" s="2" t="n"/>
      <c r="HXR238" s="2" t="n"/>
      <c r="HXS238" s="2" t="n"/>
      <c r="HXT238" s="2" t="n"/>
      <c r="HXU238" s="2" t="n"/>
      <c r="HXV238" s="2" t="n"/>
      <c r="HXW238" s="2" t="n"/>
      <c r="HXX238" s="2" t="n"/>
      <c r="HXY238" s="2" t="n"/>
      <c r="HXZ238" s="2" t="n"/>
      <c r="HYA238" s="2" t="n"/>
      <c r="HYB238" s="2" t="n"/>
      <c r="HYC238" s="2" t="n"/>
      <c r="HYD238" s="2" t="n"/>
      <c r="HYE238" s="2" t="n"/>
      <c r="HYF238" s="2" t="n"/>
      <c r="HYG238" s="2" t="n"/>
      <c r="HYH238" s="2" t="n"/>
      <c r="HYI238" s="2" t="n"/>
      <c r="HYJ238" s="2" t="n"/>
      <c r="HYK238" s="2" t="n"/>
      <c r="HYL238" s="2" t="n"/>
      <c r="HYM238" s="2" t="n"/>
      <c r="HYN238" s="2" t="n"/>
      <c r="HYO238" s="2" t="n"/>
      <c r="HYP238" s="2" t="n"/>
      <c r="HYQ238" s="2" t="n"/>
      <c r="HYR238" s="2" t="n"/>
      <c r="HYS238" s="2" t="n"/>
      <c r="HYT238" s="2" t="n"/>
      <c r="HYU238" s="2" t="n"/>
      <c r="HYV238" s="2" t="n"/>
      <c r="HYW238" s="2" t="n"/>
      <c r="HYX238" s="2" t="n"/>
      <c r="HYY238" s="2" t="n"/>
      <c r="HYZ238" s="2" t="n"/>
      <c r="HZA238" s="2" t="n"/>
      <c r="HZB238" s="2" t="n"/>
      <c r="HZC238" s="2" t="n"/>
      <c r="HZD238" s="2" t="n"/>
      <c r="HZE238" s="2" t="n"/>
      <c r="HZF238" s="2" t="n"/>
      <c r="HZG238" s="2" t="n"/>
      <c r="HZH238" s="2" t="n"/>
      <c r="HZI238" s="2" t="n"/>
      <c r="HZJ238" s="2" t="n"/>
      <c r="HZK238" s="2" t="n"/>
      <c r="HZL238" s="2" t="n"/>
      <c r="HZM238" s="2" t="n"/>
      <c r="HZN238" s="2" t="n"/>
      <c r="HZO238" s="2" t="n"/>
      <c r="HZP238" s="2" t="n"/>
      <c r="HZQ238" s="2" t="n"/>
      <c r="HZR238" s="2" t="n"/>
      <c r="HZS238" s="2" t="n"/>
      <c r="HZT238" s="2" t="n"/>
      <c r="HZU238" s="2" t="n"/>
      <c r="HZV238" s="2" t="n"/>
      <c r="HZW238" s="2" t="n"/>
      <c r="HZX238" s="2" t="n"/>
      <c r="HZY238" s="2" t="n"/>
      <c r="HZZ238" s="2" t="n"/>
      <c r="IAA238" s="2" t="n"/>
      <c r="IAB238" s="2" t="n"/>
      <c r="IAC238" s="2" t="n"/>
      <c r="IAD238" s="2" t="n"/>
      <c r="IAE238" s="2" t="n"/>
      <c r="IAF238" s="2" t="n"/>
      <c r="IAG238" s="2" t="n"/>
      <c r="IAH238" s="2" t="n"/>
      <c r="IAI238" s="2" t="n"/>
      <c r="IAJ238" s="2" t="n"/>
      <c r="IAK238" s="2" t="n"/>
      <c r="IAL238" s="2" t="n"/>
      <c r="IAM238" s="2" t="n"/>
      <c r="IAN238" s="2" t="n"/>
      <c r="IAO238" s="2" t="n"/>
      <c r="IAP238" s="2" t="n"/>
      <c r="IAQ238" s="2" t="n"/>
      <c r="IAR238" s="2" t="n"/>
      <c r="IAS238" s="2" t="n"/>
      <c r="IAT238" s="2" t="n"/>
      <c r="IAU238" s="2" t="n"/>
      <c r="IAV238" s="2" t="n"/>
      <c r="IAW238" s="2" t="n"/>
      <c r="IAX238" s="2" t="n"/>
      <c r="IAY238" s="2" t="n"/>
      <c r="IAZ238" s="2" t="n"/>
      <c r="IBA238" s="2" t="n"/>
      <c r="IBB238" s="2" t="n"/>
      <c r="IBC238" s="2" t="n"/>
      <c r="IBD238" s="2" t="n"/>
      <c r="IBE238" s="2" t="n"/>
      <c r="IBF238" s="2" t="n"/>
      <c r="IBG238" s="2" t="n"/>
      <c r="IBH238" s="2" t="n"/>
      <c r="IBI238" s="2" t="n"/>
      <c r="IBJ238" s="2" t="n"/>
      <c r="IBK238" s="2" t="n"/>
      <c r="IBL238" s="2" t="n"/>
      <c r="IBM238" s="2" t="n"/>
      <c r="IBN238" s="2" t="n"/>
      <c r="IBO238" s="2" t="n"/>
      <c r="IBP238" s="2" t="n"/>
      <c r="IBQ238" s="2" t="n"/>
      <c r="IBR238" s="2" t="n"/>
      <c r="IBS238" s="2" t="n"/>
      <c r="IBT238" s="2" t="n"/>
      <c r="IBU238" s="2" t="n"/>
      <c r="IBV238" s="2" t="n"/>
      <c r="IBW238" s="2" t="n"/>
      <c r="IBX238" s="2" t="n"/>
      <c r="IBY238" s="2" t="n"/>
      <c r="IBZ238" s="2" t="n"/>
      <c r="ICA238" s="2" t="n"/>
      <c r="ICB238" s="2" t="n"/>
      <c r="ICC238" s="2" t="n"/>
      <c r="ICD238" s="2" t="n"/>
      <c r="ICE238" s="2" t="n"/>
      <c r="ICF238" s="2" t="n"/>
      <c r="ICG238" s="2" t="n"/>
      <c r="ICH238" s="2" t="n"/>
      <c r="ICI238" s="2" t="n"/>
      <c r="ICJ238" s="2" t="n"/>
      <c r="ICK238" s="2" t="n"/>
      <c r="ICL238" s="2" t="n"/>
      <c r="ICM238" s="2" t="n"/>
      <c r="ICN238" s="2" t="n"/>
      <c r="ICO238" s="2" t="n"/>
      <c r="ICP238" s="2" t="n"/>
      <c r="ICQ238" s="2" t="n"/>
      <c r="ICR238" s="2" t="n"/>
      <c r="ICS238" s="2" t="n"/>
      <c r="ICT238" s="2" t="n"/>
      <c r="ICU238" s="2" t="n"/>
      <c r="ICV238" s="2" t="n"/>
      <c r="ICW238" s="2" t="n"/>
      <c r="ICX238" s="2" t="n"/>
      <c r="ICY238" s="2" t="n"/>
      <c r="ICZ238" s="2" t="n"/>
      <c r="IDA238" s="2" t="n"/>
      <c r="IDB238" s="2" t="n"/>
      <c r="IDC238" s="2" t="n"/>
      <c r="IDD238" s="2" t="n"/>
      <c r="IDE238" s="2" t="n"/>
      <c r="IDF238" s="2" t="n"/>
      <c r="IDG238" s="2" t="n"/>
      <c r="IDH238" s="2" t="n"/>
      <c r="IDI238" s="2" t="n"/>
      <c r="IDJ238" s="2" t="n"/>
      <c r="IDK238" s="2" t="n"/>
      <c r="IDL238" s="2" t="n"/>
      <c r="IDM238" s="2" t="n"/>
      <c r="IDN238" s="2" t="n"/>
      <c r="IDO238" s="2" t="n"/>
      <c r="IDP238" s="2" t="n"/>
      <c r="IDQ238" s="2" t="n"/>
      <c r="IDR238" s="2" t="n"/>
      <c r="IDS238" s="2" t="n"/>
      <c r="IDT238" s="2" t="n"/>
      <c r="IDU238" s="2" t="n"/>
      <c r="IDV238" s="2" t="n"/>
      <c r="IDW238" s="2" t="n"/>
      <c r="IDX238" s="2" t="n"/>
      <c r="IDY238" s="2" t="n"/>
      <c r="IDZ238" s="2" t="n"/>
      <c r="IEA238" s="2" t="n"/>
      <c r="IEB238" s="2" t="n"/>
      <c r="IEC238" s="2" t="n"/>
      <c r="IED238" s="2" t="n"/>
      <c r="IEE238" s="2" t="n"/>
      <c r="IEF238" s="2" t="n"/>
      <c r="IEG238" s="2" t="n"/>
      <c r="IEH238" s="2" t="n"/>
      <c r="IEI238" s="2" t="n"/>
      <c r="IEJ238" s="2" t="n"/>
      <c r="IEK238" s="2" t="n"/>
      <c r="IEL238" s="2" t="n"/>
      <c r="IEM238" s="2" t="n"/>
      <c r="IEN238" s="2" t="n"/>
      <c r="IEO238" s="2" t="n"/>
      <c r="IEP238" s="2" t="n"/>
      <c r="IEQ238" s="2" t="n"/>
      <c r="IER238" s="2" t="n"/>
      <c r="IES238" s="2" t="n"/>
      <c r="IET238" s="2" t="n"/>
      <c r="IEU238" s="2" t="n"/>
      <c r="IEV238" s="2" t="n"/>
      <c r="IEW238" s="2" t="n"/>
      <c r="IEX238" s="2" t="n"/>
      <c r="IEY238" s="2" t="n"/>
      <c r="IEZ238" s="2" t="n"/>
      <c r="IFA238" s="2" t="n"/>
      <c r="IFB238" s="2" t="n"/>
      <c r="IFC238" s="2" t="n"/>
      <c r="IFD238" s="2" t="n"/>
      <c r="IFE238" s="2" t="n"/>
      <c r="IFF238" s="2" t="n"/>
      <c r="IFG238" s="2" t="n"/>
      <c r="IFH238" s="2" t="n"/>
      <c r="IFI238" s="2" t="n"/>
      <c r="IFJ238" s="2" t="n"/>
      <c r="IFK238" s="2" t="n"/>
      <c r="IFL238" s="2" t="n"/>
      <c r="IFM238" s="2" t="n"/>
      <c r="IFN238" s="2" t="n"/>
      <c r="IFO238" s="2" t="n"/>
      <c r="IFP238" s="2" t="n"/>
      <c r="IFQ238" s="2" t="n"/>
      <c r="IFR238" s="2" t="n"/>
      <c r="IFS238" s="2" t="n"/>
      <c r="IFT238" s="2" t="n"/>
      <c r="IFU238" s="2" t="n"/>
      <c r="IFV238" s="2" t="n"/>
      <c r="IFW238" s="2" t="n"/>
      <c r="IFX238" s="2" t="n"/>
      <c r="IFY238" s="2" t="n"/>
      <c r="IFZ238" s="2" t="n"/>
      <c r="IGA238" s="2" t="n"/>
      <c r="IGB238" s="2" t="n"/>
      <c r="IGC238" s="2" t="n"/>
      <c r="IGD238" s="2" t="n"/>
      <c r="IGE238" s="2" t="n"/>
      <c r="IGF238" s="2" t="n"/>
      <c r="IGG238" s="2" t="n"/>
      <c r="IGH238" s="2" t="n"/>
      <c r="IGI238" s="2" t="n"/>
      <c r="IGJ238" s="2" t="n"/>
      <c r="IGK238" s="2" t="n"/>
      <c r="IGL238" s="2" t="n"/>
      <c r="IGM238" s="2" t="n"/>
      <c r="IGN238" s="2" t="n"/>
      <c r="IGO238" s="2" t="n"/>
      <c r="IGP238" s="2" t="n"/>
      <c r="IGQ238" s="2" t="n"/>
      <c r="IGR238" s="2" t="n"/>
      <c r="IGS238" s="2" t="n"/>
      <c r="IGT238" s="2" t="n"/>
      <c r="IGU238" s="2" t="n"/>
      <c r="IGV238" s="2" t="n"/>
      <c r="IGW238" s="2" t="n"/>
      <c r="IGX238" s="2" t="n"/>
      <c r="IGY238" s="2" t="n"/>
      <c r="IGZ238" s="2" t="n"/>
      <c r="IHA238" s="2" t="n"/>
      <c r="IHB238" s="2" t="n"/>
      <c r="IHC238" s="2" t="n"/>
      <c r="IHD238" s="2" t="n"/>
      <c r="IHE238" s="2" t="n"/>
      <c r="IHF238" s="2" t="n"/>
      <c r="IHG238" s="2" t="n"/>
      <c r="IHH238" s="2" t="n"/>
      <c r="IHI238" s="2" t="n"/>
      <c r="IHJ238" s="2" t="n"/>
      <c r="IHK238" s="2" t="n"/>
      <c r="IHL238" s="2" t="n"/>
      <c r="IHM238" s="2" t="n"/>
      <c r="IHN238" s="2" t="n"/>
      <c r="IHO238" s="2" t="n"/>
      <c r="IHP238" s="2" t="n"/>
      <c r="IHQ238" s="2" t="n"/>
      <c r="IHR238" s="2" t="n"/>
      <c r="IHS238" s="2" t="n"/>
      <c r="IHT238" s="2" t="n"/>
      <c r="IHU238" s="2" t="n"/>
      <c r="IHV238" s="2" t="n"/>
      <c r="IHW238" s="2" t="n"/>
      <c r="IHX238" s="2" t="n"/>
      <c r="IHY238" s="2" t="n"/>
      <c r="IHZ238" s="2" t="n"/>
      <c r="IIA238" s="2" t="n"/>
      <c r="IIB238" s="2" t="n"/>
      <c r="IIC238" s="2" t="n"/>
      <c r="IID238" s="2" t="n"/>
      <c r="IIE238" s="2" t="n"/>
      <c r="IIF238" s="2" t="n"/>
      <c r="IIG238" s="2" t="n"/>
      <c r="IIH238" s="2" t="n"/>
      <c r="III238" s="2" t="n"/>
      <c r="IIJ238" s="2" t="n"/>
      <c r="IIK238" s="2" t="n"/>
      <c r="IIL238" s="2" t="n"/>
      <c r="IIM238" s="2" t="n"/>
      <c r="IIN238" s="2" t="n"/>
      <c r="IIO238" s="2" t="n"/>
      <c r="IIP238" s="2" t="n"/>
      <c r="IIQ238" s="2" t="n"/>
      <c r="IIR238" s="2" t="n"/>
      <c r="IIS238" s="2" t="n"/>
      <c r="IIT238" s="2" t="n"/>
      <c r="IIU238" s="2" t="n"/>
      <c r="IIV238" s="2" t="n"/>
      <c r="IIW238" s="2" t="n"/>
      <c r="IIX238" s="2" t="n"/>
      <c r="IIY238" s="2" t="n"/>
      <c r="IIZ238" s="2" t="n"/>
      <c r="IJA238" s="2" t="n"/>
      <c r="IJB238" s="2" t="n"/>
      <c r="IJC238" s="2" t="n"/>
      <c r="IJD238" s="2" t="n"/>
      <c r="IJE238" s="2" t="n"/>
      <c r="IJF238" s="2" t="n"/>
      <c r="IJG238" s="2" t="n"/>
      <c r="IJH238" s="2" t="n"/>
      <c r="IJI238" s="2" t="n"/>
      <c r="IJJ238" s="2" t="n"/>
      <c r="IJK238" s="2" t="n"/>
      <c r="IJL238" s="2" t="n"/>
      <c r="IJM238" s="2" t="n"/>
      <c r="IJN238" s="2" t="n"/>
      <c r="IJO238" s="2" t="n"/>
      <c r="IJP238" s="2" t="n"/>
      <c r="IJQ238" s="2" t="n"/>
      <c r="IJR238" s="2" t="n"/>
      <c r="IJS238" s="2" t="n"/>
      <c r="IJT238" s="2" t="n"/>
      <c r="IJU238" s="2" t="n"/>
      <c r="IJV238" s="2" t="n"/>
      <c r="IJW238" s="2" t="n"/>
      <c r="IJX238" s="2" t="n"/>
      <c r="IJY238" s="2" t="n"/>
      <c r="IJZ238" s="2" t="n"/>
      <c r="IKA238" s="2" t="n"/>
      <c r="IKB238" s="2" t="n"/>
      <c r="IKC238" s="2" t="n"/>
      <c r="IKD238" s="2" t="n"/>
      <c r="IKE238" s="2" t="n"/>
      <c r="IKF238" s="2" t="n"/>
      <c r="IKG238" s="2" t="n"/>
      <c r="IKH238" s="2" t="n"/>
      <c r="IKI238" s="2" t="n"/>
      <c r="IKJ238" s="2" t="n"/>
      <c r="IKK238" s="2" t="n"/>
      <c r="IKL238" s="2" t="n"/>
      <c r="IKM238" s="2" t="n"/>
      <c r="IKN238" s="2" t="n"/>
      <c r="IKO238" s="2" t="n"/>
      <c r="IKP238" s="2" t="n"/>
      <c r="IKQ238" s="2" t="n"/>
      <c r="IKR238" s="2" t="n"/>
      <c r="IKS238" s="2" t="n"/>
      <c r="IKT238" s="2" t="n"/>
      <c r="IKU238" s="2" t="n"/>
      <c r="IKV238" s="2" t="n"/>
      <c r="IKW238" s="2" t="n"/>
      <c r="IKX238" s="2" t="n"/>
      <c r="IKY238" s="2" t="n"/>
      <c r="IKZ238" s="2" t="n"/>
      <c r="ILA238" s="2" t="n"/>
      <c r="ILB238" s="2" t="n"/>
      <c r="ILC238" s="2" t="n"/>
      <c r="ILD238" s="2" t="n"/>
      <c r="ILE238" s="2" t="n"/>
      <c r="ILF238" s="2" t="n"/>
      <c r="ILG238" s="2" t="n"/>
      <c r="ILH238" s="2" t="n"/>
      <c r="ILI238" s="2" t="n"/>
      <c r="ILJ238" s="2" t="n"/>
      <c r="ILK238" s="2" t="n"/>
      <c r="ILL238" s="2" t="n"/>
      <c r="ILM238" s="2" t="n"/>
      <c r="ILN238" s="2" t="n"/>
      <c r="ILO238" s="2" t="n"/>
      <c r="ILP238" s="2" t="n"/>
      <c r="ILQ238" s="2" t="n"/>
      <c r="ILR238" s="2" t="n"/>
      <c r="ILS238" s="2" t="n"/>
      <c r="ILT238" s="2" t="n"/>
      <c r="ILU238" s="2" t="n"/>
      <c r="ILV238" s="2" t="n"/>
      <c r="ILW238" s="2" t="n"/>
      <c r="ILX238" s="2" t="n"/>
      <c r="ILY238" s="2" t="n"/>
      <c r="ILZ238" s="2" t="n"/>
      <c r="IMA238" s="2" t="n"/>
      <c r="IMB238" s="2" t="n"/>
      <c r="IMC238" s="2" t="n"/>
      <c r="IMD238" s="2" t="n"/>
      <c r="IME238" s="2" t="n"/>
      <c r="IMF238" s="2" t="n"/>
      <c r="IMG238" s="2" t="n"/>
      <c r="IMH238" s="2" t="n"/>
      <c r="IMI238" s="2" t="n"/>
      <c r="IMJ238" s="2" t="n"/>
      <c r="IMK238" s="2" t="n"/>
      <c r="IML238" s="2" t="n"/>
      <c r="IMM238" s="2" t="n"/>
      <c r="IMN238" s="2" t="n"/>
      <c r="IMO238" s="2" t="n"/>
      <c r="IMP238" s="2" t="n"/>
      <c r="IMQ238" s="2" t="n"/>
      <c r="IMR238" s="2" t="n"/>
      <c r="IMS238" s="2" t="n"/>
      <c r="IMT238" s="2" t="n"/>
      <c r="IMU238" s="2" t="n"/>
      <c r="IMV238" s="2" t="n"/>
      <c r="IMW238" s="2" t="n"/>
      <c r="IMX238" s="2" t="n"/>
      <c r="IMY238" s="2" t="n"/>
      <c r="IMZ238" s="2" t="n"/>
      <c r="INA238" s="2" t="n"/>
      <c r="INB238" s="2" t="n"/>
      <c r="INC238" s="2" t="n"/>
      <c r="IND238" s="2" t="n"/>
      <c r="INE238" s="2" t="n"/>
      <c r="INF238" s="2" t="n"/>
      <c r="ING238" s="2" t="n"/>
      <c r="INH238" s="2" t="n"/>
      <c r="INI238" s="2" t="n"/>
      <c r="INJ238" s="2" t="n"/>
      <c r="INK238" s="2" t="n"/>
      <c r="INL238" s="2" t="n"/>
      <c r="INM238" s="2" t="n"/>
      <c r="INN238" s="2" t="n"/>
      <c r="INO238" s="2" t="n"/>
      <c r="INP238" s="2" t="n"/>
      <c r="INQ238" s="2" t="n"/>
      <c r="INR238" s="2" t="n"/>
      <c r="INS238" s="2" t="n"/>
      <c r="INT238" s="2" t="n"/>
      <c r="INU238" s="2" t="n"/>
      <c r="INV238" s="2" t="n"/>
      <c r="INW238" s="2" t="n"/>
      <c r="INX238" s="2" t="n"/>
      <c r="INY238" s="2" t="n"/>
      <c r="INZ238" s="2" t="n"/>
      <c r="IOA238" s="2" t="n"/>
      <c r="IOB238" s="2" t="n"/>
      <c r="IOC238" s="2" t="n"/>
      <c r="IOD238" s="2" t="n"/>
      <c r="IOE238" s="2" t="n"/>
      <c r="IOF238" s="2" t="n"/>
      <c r="IOG238" s="2" t="n"/>
      <c r="IOH238" s="2" t="n"/>
      <c r="IOI238" s="2" t="n"/>
      <c r="IOJ238" s="2" t="n"/>
      <c r="IOK238" s="2" t="n"/>
      <c r="IOL238" s="2" t="n"/>
      <c r="IOM238" s="2" t="n"/>
      <c r="ION238" s="2" t="n"/>
      <c r="IOO238" s="2" t="n"/>
      <c r="IOP238" s="2" t="n"/>
      <c r="IOQ238" s="2" t="n"/>
      <c r="IOR238" s="2" t="n"/>
      <c r="IOS238" s="2" t="n"/>
      <c r="IOT238" s="2" t="n"/>
      <c r="IOU238" s="2" t="n"/>
      <c r="IOV238" s="2" t="n"/>
      <c r="IOW238" s="2" t="n"/>
      <c r="IOX238" s="2" t="n"/>
      <c r="IOY238" s="2" t="n"/>
      <c r="IOZ238" s="2" t="n"/>
      <c r="IPA238" s="2" t="n"/>
      <c r="IPB238" s="2" t="n"/>
      <c r="IPC238" s="2" t="n"/>
      <c r="IPD238" s="2" t="n"/>
      <c r="IPE238" s="2" t="n"/>
      <c r="IPF238" s="2" t="n"/>
      <c r="IPG238" s="2" t="n"/>
      <c r="IPH238" s="2" t="n"/>
      <c r="IPI238" s="2" t="n"/>
      <c r="IPJ238" s="2" t="n"/>
      <c r="IPK238" s="2" t="n"/>
      <c r="IPL238" s="2" t="n"/>
      <c r="IPM238" s="2" t="n"/>
      <c r="IPN238" s="2" t="n"/>
      <c r="IPO238" s="2" t="n"/>
      <c r="IPP238" s="2" t="n"/>
      <c r="IPQ238" s="2" t="n"/>
      <c r="IPR238" s="2" t="n"/>
      <c r="IPS238" s="2" t="n"/>
      <c r="IPT238" s="2" t="n"/>
      <c r="IPU238" s="2" t="n"/>
      <c r="IPV238" s="2" t="n"/>
      <c r="IPW238" s="2" t="n"/>
      <c r="IPX238" s="2" t="n"/>
      <c r="IPY238" s="2" t="n"/>
      <c r="IPZ238" s="2" t="n"/>
      <c r="IQA238" s="2" t="n"/>
      <c r="IQB238" s="2" t="n"/>
      <c r="IQC238" s="2" t="n"/>
      <c r="IQD238" s="2" t="n"/>
      <c r="IQE238" s="2" t="n"/>
      <c r="IQF238" s="2" t="n"/>
      <c r="IQG238" s="2" t="n"/>
      <c r="IQH238" s="2" t="n"/>
      <c r="IQI238" s="2" t="n"/>
      <c r="IQJ238" s="2" t="n"/>
      <c r="IQK238" s="2" t="n"/>
      <c r="IQL238" s="2" t="n"/>
      <c r="IQM238" s="2" t="n"/>
      <c r="IQN238" s="2" t="n"/>
      <c r="IQO238" s="2" t="n"/>
      <c r="IQP238" s="2" t="n"/>
      <c r="IQQ238" s="2" t="n"/>
      <c r="IQR238" s="2" t="n"/>
      <c r="IQS238" s="2" t="n"/>
      <c r="IQT238" s="2" t="n"/>
      <c r="IQU238" s="2" t="n"/>
      <c r="IQV238" s="2" t="n"/>
      <c r="IQW238" s="2" t="n"/>
      <c r="IQX238" s="2" t="n"/>
      <c r="IQY238" s="2" t="n"/>
      <c r="IQZ238" s="2" t="n"/>
      <c r="IRA238" s="2" t="n"/>
      <c r="IRB238" s="2" t="n"/>
      <c r="IRC238" s="2" t="n"/>
      <c r="IRD238" s="2" t="n"/>
      <c r="IRE238" s="2" t="n"/>
      <c r="IRF238" s="2" t="n"/>
      <c r="IRG238" s="2" t="n"/>
      <c r="IRH238" s="2" t="n"/>
      <c r="IRI238" s="2" t="n"/>
      <c r="IRJ238" s="2" t="n"/>
      <c r="IRK238" s="2" t="n"/>
      <c r="IRL238" s="2" t="n"/>
      <c r="IRM238" s="2" t="n"/>
      <c r="IRN238" s="2" t="n"/>
      <c r="IRO238" s="2" t="n"/>
      <c r="IRP238" s="2" t="n"/>
      <c r="IRQ238" s="2" t="n"/>
      <c r="IRR238" s="2" t="n"/>
      <c r="IRS238" s="2" t="n"/>
      <c r="IRT238" s="2" t="n"/>
      <c r="IRU238" s="2" t="n"/>
      <c r="IRV238" s="2" t="n"/>
      <c r="IRW238" s="2" t="n"/>
      <c r="IRX238" s="2" t="n"/>
      <c r="IRY238" s="2" t="n"/>
      <c r="IRZ238" s="2" t="n"/>
      <c r="ISA238" s="2" t="n"/>
      <c r="ISB238" s="2" t="n"/>
      <c r="ISC238" s="2" t="n"/>
      <c r="ISD238" s="2" t="n"/>
      <c r="ISE238" s="2" t="n"/>
      <c r="ISF238" s="2" t="n"/>
      <c r="ISG238" s="2" t="n"/>
      <c r="ISH238" s="2" t="n"/>
      <c r="ISI238" s="2" t="n"/>
      <c r="ISJ238" s="2" t="n"/>
      <c r="ISK238" s="2" t="n"/>
      <c r="ISL238" s="2" t="n"/>
      <c r="ISM238" s="2" t="n"/>
      <c r="ISN238" s="2" t="n"/>
      <c r="ISO238" s="2" t="n"/>
      <c r="ISP238" s="2" t="n"/>
      <c r="ISQ238" s="2" t="n"/>
      <c r="ISR238" s="2" t="n"/>
      <c r="ISS238" s="2" t="n"/>
      <c r="IST238" s="2" t="n"/>
      <c r="ISU238" s="2" t="n"/>
      <c r="ISV238" s="2" t="n"/>
      <c r="ISW238" s="2" t="n"/>
      <c r="ISX238" s="2" t="n"/>
      <c r="ISY238" s="2" t="n"/>
      <c r="ISZ238" s="2" t="n"/>
      <c r="ITA238" s="2" t="n"/>
      <c r="ITB238" s="2" t="n"/>
      <c r="ITC238" s="2" t="n"/>
      <c r="ITD238" s="2" t="n"/>
      <c r="ITE238" s="2" t="n"/>
      <c r="ITF238" s="2" t="n"/>
      <c r="ITG238" s="2" t="n"/>
      <c r="ITH238" s="2" t="n"/>
      <c r="ITI238" s="2" t="n"/>
      <c r="ITJ238" s="2" t="n"/>
      <c r="ITK238" s="2" t="n"/>
      <c r="ITL238" s="2" t="n"/>
      <c r="ITM238" s="2" t="n"/>
      <c r="ITN238" s="2" t="n"/>
      <c r="ITO238" s="2" t="n"/>
      <c r="ITP238" s="2" t="n"/>
      <c r="ITQ238" s="2" t="n"/>
      <c r="ITR238" s="2" t="n"/>
      <c r="ITS238" s="2" t="n"/>
      <c r="ITT238" s="2" t="n"/>
      <c r="ITU238" s="2" t="n"/>
      <c r="ITV238" s="2" t="n"/>
      <c r="ITW238" s="2" t="n"/>
      <c r="ITX238" s="2" t="n"/>
      <c r="ITY238" s="2" t="n"/>
      <c r="ITZ238" s="2" t="n"/>
      <c r="IUA238" s="2" t="n"/>
      <c r="IUB238" s="2" t="n"/>
      <c r="IUC238" s="2" t="n"/>
      <c r="IUD238" s="2" t="n"/>
      <c r="IUE238" s="2" t="n"/>
      <c r="IUF238" s="2" t="n"/>
      <c r="IUG238" s="2" t="n"/>
      <c r="IUH238" s="2" t="n"/>
      <c r="IUI238" s="2" t="n"/>
      <c r="IUJ238" s="2" t="n"/>
      <c r="IUK238" s="2" t="n"/>
      <c r="IUL238" s="2" t="n"/>
      <c r="IUM238" s="2" t="n"/>
      <c r="IUN238" s="2" t="n"/>
      <c r="IUO238" s="2" t="n"/>
      <c r="IUP238" s="2" t="n"/>
      <c r="IUQ238" s="2" t="n"/>
      <c r="IUR238" s="2" t="n"/>
      <c r="IUS238" s="2" t="n"/>
      <c r="IUT238" s="2" t="n"/>
      <c r="IUU238" s="2" t="n"/>
      <c r="IUV238" s="2" t="n"/>
      <c r="IUW238" s="2" t="n"/>
      <c r="IUX238" s="2" t="n"/>
      <c r="IUY238" s="2" t="n"/>
      <c r="IUZ238" s="2" t="n"/>
      <c r="IVA238" s="2" t="n"/>
      <c r="IVB238" s="2" t="n"/>
      <c r="IVC238" s="2" t="n"/>
      <c r="IVD238" s="2" t="n"/>
      <c r="IVE238" s="2" t="n"/>
      <c r="IVF238" s="2" t="n"/>
      <c r="IVG238" s="2" t="n"/>
      <c r="IVH238" s="2" t="n"/>
      <c r="IVI238" s="2" t="n"/>
      <c r="IVJ238" s="2" t="n"/>
      <c r="IVK238" s="2" t="n"/>
      <c r="IVL238" s="2" t="n"/>
      <c r="IVM238" s="2" t="n"/>
      <c r="IVN238" s="2" t="n"/>
      <c r="IVO238" s="2" t="n"/>
      <c r="IVP238" s="2" t="n"/>
      <c r="IVQ238" s="2" t="n"/>
      <c r="IVR238" s="2" t="n"/>
      <c r="IVS238" s="2" t="n"/>
      <c r="IVT238" s="2" t="n"/>
      <c r="IVU238" s="2" t="n"/>
      <c r="IVV238" s="2" t="n"/>
      <c r="IVW238" s="2" t="n"/>
      <c r="IVX238" s="2" t="n"/>
      <c r="IVY238" s="2" t="n"/>
      <c r="IVZ238" s="2" t="n"/>
      <c r="IWA238" s="2" t="n"/>
      <c r="IWB238" s="2" t="n"/>
      <c r="IWC238" s="2" t="n"/>
      <c r="IWD238" s="2" t="n"/>
      <c r="IWE238" s="2" t="n"/>
      <c r="IWF238" s="2" t="n"/>
      <c r="IWG238" s="2" t="n"/>
      <c r="IWH238" s="2" t="n"/>
      <c r="IWI238" s="2" t="n"/>
      <c r="IWJ238" s="2" t="n"/>
      <c r="IWK238" s="2" t="n"/>
      <c r="IWL238" s="2" t="n"/>
      <c r="IWM238" s="2" t="n"/>
      <c r="IWN238" s="2" t="n"/>
      <c r="IWO238" s="2" t="n"/>
      <c r="IWP238" s="2" t="n"/>
      <c r="IWQ238" s="2" t="n"/>
      <c r="IWR238" s="2" t="n"/>
      <c r="IWS238" s="2" t="n"/>
      <c r="IWT238" s="2" t="n"/>
      <c r="IWU238" s="2" t="n"/>
      <c r="IWV238" s="2" t="n"/>
      <c r="IWW238" s="2" t="n"/>
      <c r="IWX238" s="2" t="n"/>
      <c r="IWY238" s="2" t="n"/>
      <c r="IWZ238" s="2" t="n"/>
      <c r="IXA238" s="2" t="n"/>
      <c r="IXB238" s="2" t="n"/>
      <c r="IXC238" s="2" t="n"/>
      <c r="IXD238" s="2" t="n"/>
      <c r="IXE238" s="2" t="n"/>
      <c r="IXF238" s="2" t="n"/>
      <c r="IXG238" s="2" t="n"/>
      <c r="IXH238" s="2" t="n"/>
      <c r="IXI238" s="2" t="n"/>
      <c r="IXJ238" s="2" t="n"/>
      <c r="IXK238" s="2" t="n"/>
      <c r="IXL238" s="2" t="n"/>
      <c r="IXM238" s="2" t="n"/>
      <c r="IXN238" s="2" t="n"/>
      <c r="IXO238" s="2" t="n"/>
      <c r="IXP238" s="2" t="n"/>
      <c r="IXQ238" s="2" t="n"/>
      <c r="IXR238" s="2" t="n"/>
      <c r="IXS238" s="2" t="n"/>
      <c r="IXT238" s="2" t="n"/>
      <c r="IXU238" s="2" t="n"/>
      <c r="IXV238" s="2" t="n"/>
      <c r="IXW238" s="2" t="n"/>
      <c r="IXX238" s="2" t="n"/>
      <c r="IXY238" s="2" t="n"/>
      <c r="IXZ238" s="2" t="n"/>
      <c r="IYA238" s="2" t="n"/>
      <c r="IYB238" s="2" t="n"/>
      <c r="IYC238" s="2" t="n"/>
      <c r="IYD238" s="2" t="n"/>
      <c r="IYE238" s="2" t="n"/>
      <c r="IYF238" s="2" t="n"/>
      <c r="IYG238" s="2" t="n"/>
      <c r="IYH238" s="2" t="n"/>
      <c r="IYI238" s="2" t="n"/>
      <c r="IYJ238" s="2" t="n"/>
      <c r="IYK238" s="2" t="n"/>
      <c r="IYL238" s="2" t="n"/>
      <c r="IYM238" s="2" t="n"/>
      <c r="IYN238" s="2" t="n"/>
      <c r="IYO238" s="2" t="n"/>
      <c r="IYP238" s="2" t="n"/>
      <c r="IYQ238" s="2" t="n"/>
      <c r="IYR238" s="2" t="n"/>
      <c r="IYS238" s="2" t="n"/>
      <c r="IYT238" s="2" t="n"/>
      <c r="IYU238" s="2" t="n"/>
      <c r="IYV238" s="2" t="n"/>
      <c r="IYW238" s="2" t="n"/>
      <c r="IYX238" s="2" t="n"/>
      <c r="IYY238" s="2" t="n"/>
      <c r="IYZ238" s="2" t="n"/>
      <c r="IZA238" s="2" t="n"/>
      <c r="IZB238" s="2" t="n"/>
      <c r="IZC238" s="2" t="n"/>
      <c r="IZD238" s="2" t="n"/>
      <c r="IZE238" s="2" t="n"/>
      <c r="IZF238" s="2" t="n"/>
      <c r="IZG238" s="2" t="n"/>
      <c r="IZH238" s="2" t="n"/>
      <c r="IZI238" s="2" t="n"/>
      <c r="IZJ238" s="2" t="n"/>
      <c r="IZK238" s="2" t="n"/>
      <c r="IZL238" s="2" t="n"/>
      <c r="IZM238" s="2" t="n"/>
      <c r="IZN238" s="2" t="n"/>
      <c r="IZO238" s="2" t="n"/>
      <c r="IZP238" s="2" t="n"/>
      <c r="IZQ238" s="2" t="n"/>
      <c r="IZR238" s="2" t="n"/>
      <c r="IZS238" s="2" t="n"/>
      <c r="IZT238" s="2" t="n"/>
      <c r="IZU238" s="2" t="n"/>
      <c r="IZV238" s="2" t="n"/>
      <c r="IZW238" s="2" t="n"/>
      <c r="IZX238" s="2" t="n"/>
      <c r="IZY238" s="2" t="n"/>
      <c r="IZZ238" s="2" t="n"/>
      <c r="JAA238" s="2" t="n"/>
      <c r="JAB238" s="2" t="n"/>
      <c r="JAC238" s="2" t="n"/>
      <c r="JAD238" s="2" t="n"/>
      <c r="JAE238" s="2" t="n"/>
      <c r="JAF238" s="2" t="n"/>
      <c r="JAG238" s="2" t="n"/>
      <c r="JAH238" s="2" t="n"/>
      <c r="JAI238" s="2" t="n"/>
      <c r="JAJ238" s="2" t="n"/>
      <c r="JAK238" s="2" t="n"/>
      <c r="JAL238" s="2" t="n"/>
      <c r="JAM238" s="2" t="n"/>
      <c r="JAN238" s="2" t="n"/>
      <c r="JAO238" s="2" t="n"/>
      <c r="JAP238" s="2" t="n"/>
      <c r="JAQ238" s="2" t="n"/>
      <c r="JAR238" s="2" t="n"/>
      <c r="JAS238" s="2" t="n"/>
      <c r="JAT238" s="2" t="n"/>
      <c r="JAU238" s="2" t="n"/>
      <c r="JAV238" s="2" t="n"/>
      <c r="JAW238" s="2" t="n"/>
      <c r="JAX238" s="2" t="n"/>
      <c r="JAY238" s="2" t="n"/>
      <c r="JAZ238" s="2" t="n"/>
      <c r="JBA238" s="2" t="n"/>
      <c r="JBB238" s="2" t="n"/>
      <c r="JBC238" s="2" t="n"/>
      <c r="JBD238" s="2" t="n"/>
      <c r="JBE238" s="2" t="n"/>
      <c r="JBF238" s="2" t="n"/>
      <c r="JBG238" s="2" t="n"/>
      <c r="JBH238" s="2" t="n"/>
      <c r="JBI238" s="2" t="n"/>
      <c r="JBJ238" s="2" t="n"/>
      <c r="JBK238" s="2" t="n"/>
      <c r="JBL238" s="2" t="n"/>
      <c r="JBM238" s="2" t="n"/>
      <c r="JBN238" s="2" t="n"/>
      <c r="JBO238" s="2" t="n"/>
      <c r="JBP238" s="2" t="n"/>
      <c r="JBQ238" s="2" t="n"/>
      <c r="JBR238" s="2" t="n"/>
      <c r="JBS238" s="2" t="n"/>
      <c r="JBT238" s="2" t="n"/>
      <c r="JBU238" s="2" t="n"/>
      <c r="JBV238" s="2" t="n"/>
      <c r="JBW238" s="2" t="n"/>
      <c r="JBX238" s="2" t="n"/>
      <c r="JBY238" s="2" t="n"/>
      <c r="JBZ238" s="2" t="n"/>
      <c r="JCA238" s="2" t="n"/>
      <c r="JCB238" s="2" t="n"/>
      <c r="JCC238" s="2" t="n"/>
      <c r="JCD238" s="2" t="n"/>
      <c r="JCE238" s="2" t="n"/>
      <c r="JCF238" s="2" t="n"/>
      <c r="JCG238" s="2" t="n"/>
      <c r="JCH238" s="2" t="n"/>
      <c r="JCI238" s="2" t="n"/>
      <c r="JCJ238" s="2" t="n"/>
      <c r="JCK238" s="2" t="n"/>
      <c r="JCL238" s="2" t="n"/>
      <c r="JCM238" s="2" t="n"/>
      <c r="JCN238" s="2" t="n"/>
      <c r="JCO238" s="2" t="n"/>
      <c r="JCP238" s="2" t="n"/>
      <c r="JCQ238" s="2" t="n"/>
      <c r="JCR238" s="2" t="n"/>
      <c r="JCS238" s="2" t="n"/>
      <c r="JCT238" s="2" t="n"/>
      <c r="JCU238" s="2" t="n"/>
      <c r="JCV238" s="2" t="n"/>
      <c r="JCW238" s="2" t="n"/>
      <c r="JCX238" s="2" t="n"/>
      <c r="JCY238" s="2" t="n"/>
      <c r="JCZ238" s="2" t="n"/>
      <c r="JDA238" s="2" t="n"/>
      <c r="JDB238" s="2" t="n"/>
      <c r="JDC238" s="2" t="n"/>
      <c r="JDD238" s="2" t="n"/>
      <c r="JDE238" s="2" t="n"/>
      <c r="JDF238" s="2" t="n"/>
      <c r="JDG238" s="2" t="n"/>
      <c r="JDH238" s="2" t="n"/>
      <c r="JDI238" s="2" t="n"/>
      <c r="JDJ238" s="2" t="n"/>
      <c r="JDK238" s="2" t="n"/>
      <c r="JDL238" s="2" t="n"/>
      <c r="JDM238" s="2" t="n"/>
      <c r="JDN238" s="2" t="n"/>
      <c r="JDO238" s="2" t="n"/>
      <c r="JDP238" s="2" t="n"/>
      <c r="JDQ238" s="2" t="n"/>
      <c r="JDR238" s="2" t="n"/>
      <c r="JDS238" s="2" t="n"/>
      <c r="JDT238" s="2" t="n"/>
      <c r="JDU238" s="2" t="n"/>
      <c r="JDV238" s="2" t="n"/>
      <c r="JDW238" s="2" t="n"/>
      <c r="JDX238" s="2" t="n"/>
      <c r="JDY238" s="2" t="n"/>
      <c r="JDZ238" s="2" t="n"/>
      <c r="JEA238" s="2" t="n"/>
      <c r="JEB238" s="2" t="n"/>
      <c r="JEC238" s="2" t="n"/>
      <c r="JED238" s="2" t="n"/>
      <c r="JEE238" s="2" t="n"/>
      <c r="JEF238" s="2" t="n"/>
      <c r="JEG238" s="2" t="n"/>
      <c r="JEH238" s="2" t="n"/>
      <c r="JEI238" s="2" t="n"/>
      <c r="JEJ238" s="2" t="n"/>
      <c r="JEK238" s="2" t="n"/>
      <c r="JEL238" s="2" t="n"/>
      <c r="JEM238" s="2" t="n"/>
      <c r="JEN238" s="2" t="n"/>
      <c r="JEO238" s="2" t="n"/>
      <c r="JEP238" s="2" t="n"/>
      <c r="JEQ238" s="2" t="n"/>
      <c r="JER238" s="2" t="n"/>
      <c r="JES238" s="2" t="n"/>
      <c r="JET238" s="2" t="n"/>
      <c r="JEU238" s="2" t="n"/>
      <c r="JEV238" s="2" t="n"/>
      <c r="JEW238" s="2" t="n"/>
      <c r="JEX238" s="2" t="n"/>
      <c r="JEY238" s="2" t="n"/>
      <c r="JEZ238" s="2" t="n"/>
      <c r="JFA238" s="2" t="n"/>
      <c r="JFB238" s="2" t="n"/>
      <c r="JFC238" s="2" t="n"/>
      <c r="JFD238" s="2" t="n"/>
      <c r="JFE238" s="2" t="n"/>
      <c r="JFF238" s="2" t="n"/>
      <c r="JFG238" s="2" t="n"/>
      <c r="JFH238" s="2" t="n"/>
      <c r="JFI238" s="2" t="n"/>
      <c r="JFJ238" s="2" t="n"/>
      <c r="JFK238" s="2" t="n"/>
      <c r="JFL238" s="2" t="n"/>
      <c r="JFM238" s="2" t="n"/>
      <c r="JFN238" s="2" t="n"/>
      <c r="JFO238" s="2" t="n"/>
      <c r="JFP238" s="2" t="n"/>
      <c r="JFQ238" s="2" t="n"/>
      <c r="JFR238" s="2" t="n"/>
      <c r="JFS238" s="2" t="n"/>
      <c r="JFT238" s="2" t="n"/>
      <c r="JFU238" s="2" t="n"/>
      <c r="JFV238" s="2" t="n"/>
      <c r="JFW238" s="2" t="n"/>
      <c r="JFX238" s="2" t="n"/>
      <c r="JFY238" s="2" t="n"/>
      <c r="JFZ238" s="2" t="n"/>
      <c r="JGA238" s="2" t="n"/>
      <c r="JGB238" s="2" t="n"/>
      <c r="JGC238" s="2" t="n"/>
      <c r="JGD238" s="2" t="n"/>
      <c r="JGE238" s="2" t="n"/>
      <c r="JGF238" s="2" t="n"/>
      <c r="JGG238" s="2" t="n"/>
      <c r="JGH238" s="2" t="n"/>
      <c r="JGI238" s="2" t="n"/>
      <c r="JGJ238" s="2" t="n"/>
      <c r="JGK238" s="2" t="n"/>
      <c r="JGL238" s="2" t="n"/>
      <c r="JGM238" s="2" t="n"/>
      <c r="JGN238" s="2" t="n"/>
      <c r="JGO238" s="2" t="n"/>
      <c r="JGP238" s="2" t="n"/>
      <c r="JGQ238" s="2" t="n"/>
      <c r="JGR238" s="2" t="n"/>
      <c r="JGS238" s="2" t="n"/>
      <c r="JGT238" s="2" t="n"/>
      <c r="JGU238" s="2" t="n"/>
      <c r="JGV238" s="2" t="n"/>
      <c r="JGW238" s="2" t="n"/>
      <c r="JGX238" s="2" t="n"/>
      <c r="JGY238" s="2" t="n"/>
      <c r="JGZ238" s="2" t="n"/>
      <c r="JHA238" s="2" t="n"/>
      <c r="JHB238" s="2" t="n"/>
      <c r="JHC238" s="2" t="n"/>
      <c r="JHD238" s="2" t="n"/>
      <c r="JHE238" s="2" t="n"/>
      <c r="JHF238" s="2" t="n"/>
      <c r="JHG238" s="2" t="n"/>
      <c r="JHH238" s="2" t="n"/>
      <c r="JHI238" s="2" t="n"/>
      <c r="JHJ238" s="2" t="n"/>
      <c r="JHK238" s="2" t="n"/>
      <c r="JHL238" s="2" t="n"/>
      <c r="JHM238" s="2" t="n"/>
      <c r="JHN238" s="2" t="n"/>
      <c r="JHO238" s="2" t="n"/>
      <c r="JHP238" s="2" t="n"/>
      <c r="JHQ238" s="2" t="n"/>
      <c r="JHR238" s="2" t="n"/>
      <c r="JHS238" s="2" t="n"/>
      <c r="JHT238" s="2" t="n"/>
      <c r="JHU238" s="2" t="n"/>
      <c r="JHV238" s="2" t="n"/>
      <c r="JHW238" s="2" t="n"/>
      <c r="JHX238" s="2" t="n"/>
      <c r="JHY238" s="2" t="n"/>
      <c r="JHZ238" s="2" t="n"/>
      <c r="JIA238" s="2" t="n"/>
      <c r="JIB238" s="2" t="n"/>
      <c r="JIC238" s="2" t="n"/>
      <c r="JID238" s="2" t="n"/>
      <c r="JIE238" s="2" t="n"/>
      <c r="JIF238" s="2" t="n"/>
      <c r="JIG238" s="2" t="n"/>
      <c r="JIH238" s="2" t="n"/>
      <c r="JII238" s="2" t="n"/>
      <c r="JIJ238" s="2" t="n"/>
      <c r="JIK238" s="2" t="n"/>
      <c r="JIL238" s="2" t="n"/>
      <c r="JIM238" s="2" t="n"/>
      <c r="JIN238" s="2" t="n"/>
      <c r="JIO238" s="2" t="n"/>
      <c r="JIP238" s="2" t="n"/>
      <c r="JIQ238" s="2" t="n"/>
      <c r="JIR238" s="2" t="n"/>
      <c r="JIS238" s="2" t="n"/>
      <c r="JIT238" s="2" t="n"/>
      <c r="JIU238" s="2" t="n"/>
      <c r="JIV238" s="2" t="n"/>
      <c r="JIW238" s="2" t="n"/>
      <c r="JIX238" s="2" t="n"/>
      <c r="JIY238" s="2" t="n"/>
      <c r="JIZ238" s="2" t="n"/>
      <c r="JJA238" s="2" t="n"/>
      <c r="JJB238" s="2" t="n"/>
      <c r="JJC238" s="2" t="n"/>
      <c r="JJD238" s="2" t="n"/>
      <c r="JJE238" s="2" t="n"/>
      <c r="JJF238" s="2" t="n"/>
      <c r="JJG238" s="2" t="n"/>
      <c r="JJH238" s="2" t="n"/>
      <c r="JJI238" s="2" t="n"/>
      <c r="JJJ238" s="2" t="n"/>
      <c r="JJK238" s="2" t="n"/>
      <c r="JJL238" s="2" t="n"/>
      <c r="JJM238" s="2" t="n"/>
      <c r="JJN238" s="2" t="n"/>
      <c r="JJO238" s="2" t="n"/>
      <c r="JJP238" s="2" t="n"/>
      <c r="JJQ238" s="2" t="n"/>
      <c r="JJR238" s="2" t="n"/>
      <c r="JJS238" s="2" t="n"/>
      <c r="JJT238" s="2" t="n"/>
      <c r="JJU238" s="2" t="n"/>
      <c r="JJV238" s="2" t="n"/>
      <c r="JJW238" s="2" t="n"/>
      <c r="JJX238" s="2" t="n"/>
      <c r="JJY238" s="2" t="n"/>
      <c r="JJZ238" s="2" t="n"/>
      <c r="JKA238" s="2" t="n"/>
      <c r="JKB238" s="2" t="n"/>
      <c r="JKC238" s="2" t="n"/>
      <c r="JKD238" s="2" t="n"/>
      <c r="JKE238" s="2" t="n"/>
      <c r="JKF238" s="2" t="n"/>
      <c r="JKG238" s="2" t="n"/>
      <c r="JKH238" s="2" t="n"/>
      <c r="JKI238" s="2" t="n"/>
      <c r="JKJ238" s="2" t="n"/>
      <c r="JKK238" s="2" t="n"/>
      <c r="JKL238" s="2" t="n"/>
      <c r="JKM238" s="2" t="n"/>
      <c r="JKN238" s="2" t="n"/>
      <c r="JKO238" s="2" t="n"/>
      <c r="JKP238" s="2" t="n"/>
      <c r="JKQ238" s="2" t="n"/>
      <c r="JKR238" s="2" t="n"/>
      <c r="JKS238" s="2" t="n"/>
      <c r="JKT238" s="2" t="n"/>
      <c r="JKU238" s="2" t="n"/>
      <c r="JKV238" s="2" t="n"/>
      <c r="JKW238" s="2" t="n"/>
      <c r="JKX238" s="2" t="n"/>
      <c r="JKY238" s="2" t="n"/>
      <c r="JKZ238" s="2" t="n"/>
      <c r="JLA238" s="2" t="n"/>
      <c r="JLB238" s="2" t="n"/>
      <c r="JLC238" s="2" t="n"/>
      <c r="JLD238" s="2" t="n"/>
      <c r="JLE238" s="2" t="n"/>
      <c r="JLF238" s="2" t="n"/>
      <c r="JLG238" s="2" t="n"/>
      <c r="JLH238" s="2" t="n"/>
      <c r="JLI238" s="2" t="n"/>
      <c r="JLJ238" s="2" t="n"/>
      <c r="JLK238" s="2" t="n"/>
      <c r="JLL238" s="2" t="n"/>
      <c r="JLM238" s="2" t="n"/>
      <c r="JLN238" s="2" t="n"/>
      <c r="JLO238" s="2" t="n"/>
      <c r="JLP238" s="2" t="n"/>
      <c r="JLQ238" s="2" t="n"/>
      <c r="JLR238" s="2" t="n"/>
      <c r="JLS238" s="2" t="n"/>
      <c r="JLT238" s="2" t="n"/>
      <c r="JLU238" s="2" t="n"/>
      <c r="JLV238" s="2" t="n"/>
      <c r="JLW238" s="2" t="n"/>
      <c r="JLX238" s="2" t="n"/>
      <c r="JLY238" s="2" t="n"/>
      <c r="JLZ238" s="2" t="n"/>
      <c r="JMA238" s="2" t="n"/>
      <c r="JMB238" s="2" t="n"/>
      <c r="JMC238" s="2" t="n"/>
      <c r="JMD238" s="2" t="n"/>
      <c r="JME238" s="2" t="n"/>
      <c r="JMF238" s="2" t="n"/>
      <c r="JMG238" s="2" t="n"/>
      <c r="JMH238" s="2" t="n"/>
      <c r="JMI238" s="2" t="n"/>
      <c r="JMJ238" s="2" t="n"/>
      <c r="JMK238" s="2" t="n"/>
      <c r="JML238" s="2" t="n"/>
      <c r="JMM238" s="2" t="n"/>
      <c r="JMN238" s="2" t="n"/>
      <c r="JMO238" s="2" t="n"/>
      <c r="JMP238" s="2" t="n"/>
      <c r="JMQ238" s="2" t="n"/>
      <c r="JMR238" s="2" t="n"/>
      <c r="JMS238" s="2" t="n"/>
      <c r="JMT238" s="2" t="n"/>
      <c r="JMU238" s="2" t="n"/>
      <c r="JMV238" s="2" t="n"/>
      <c r="JMW238" s="2" t="n"/>
      <c r="JMX238" s="2" t="n"/>
      <c r="JMY238" s="2" t="n"/>
      <c r="JMZ238" s="2" t="n"/>
      <c r="JNA238" s="2" t="n"/>
      <c r="JNB238" s="2" t="n"/>
      <c r="JNC238" s="2" t="n"/>
      <c r="JND238" s="2" t="n"/>
      <c r="JNE238" s="2" t="n"/>
      <c r="JNF238" s="2" t="n"/>
      <c r="JNG238" s="2" t="n"/>
      <c r="JNH238" s="2" t="n"/>
      <c r="JNI238" s="2" t="n"/>
      <c r="JNJ238" s="2" t="n"/>
      <c r="JNK238" s="2" t="n"/>
      <c r="JNL238" s="2" t="n"/>
      <c r="JNM238" s="2" t="n"/>
      <c r="JNN238" s="2" t="n"/>
      <c r="JNO238" s="2" t="n"/>
      <c r="JNP238" s="2" t="n"/>
      <c r="JNQ238" s="2" t="n"/>
      <c r="JNR238" s="2" t="n"/>
      <c r="JNS238" s="2" t="n"/>
      <c r="JNT238" s="2" t="n"/>
      <c r="JNU238" s="2" t="n"/>
      <c r="JNV238" s="2" t="n"/>
      <c r="JNW238" s="2" t="n"/>
      <c r="JNX238" s="2" t="n"/>
      <c r="JNY238" s="2" t="n"/>
      <c r="JNZ238" s="2" t="n"/>
      <c r="JOA238" s="2" t="n"/>
      <c r="JOB238" s="2" t="n"/>
      <c r="JOC238" s="2" t="n"/>
      <c r="JOD238" s="2" t="n"/>
      <c r="JOE238" s="2" t="n"/>
      <c r="JOF238" s="2" t="n"/>
      <c r="JOG238" s="2" t="n"/>
      <c r="JOH238" s="2" t="n"/>
      <c r="JOI238" s="2" t="n"/>
      <c r="JOJ238" s="2" t="n"/>
      <c r="JOK238" s="2" t="n"/>
      <c r="JOL238" s="2" t="n"/>
      <c r="JOM238" s="2" t="n"/>
      <c r="JON238" s="2" t="n"/>
      <c r="JOO238" s="2" t="n"/>
      <c r="JOP238" s="2" t="n"/>
      <c r="JOQ238" s="2" t="n"/>
      <c r="JOR238" s="2" t="n"/>
      <c r="JOS238" s="2" t="n"/>
      <c r="JOT238" s="2" t="n"/>
      <c r="JOU238" s="2" t="n"/>
      <c r="JOV238" s="2" t="n"/>
      <c r="JOW238" s="2" t="n"/>
      <c r="JOX238" s="2" t="n"/>
      <c r="JOY238" s="2" t="n"/>
      <c r="JOZ238" s="2" t="n"/>
      <c r="JPA238" s="2" t="n"/>
      <c r="JPB238" s="2" t="n"/>
      <c r="JPC238" s="2" t="n"/>
      <c r="JPD238" s="2" t="n"/>
      <c r="JPE238" s="2" t="n"/>
      <c r="JPF238" s="2" t="n"/>
      <c r="JPG238" s="2" t="n"/>
      <c r="JPH238" s="2" t="n"/>
      <c r="JPI238" s="2" t="n"/>
      <c r="JPJ238" s="2" t="n"/>
      <c r="JPK238" s="2" t="n"/>
      <c r="JPL238" s="2" t="n"/>
      <c r="JPM238" s="2" t="n"/>
      <c r="JPN238" s="2" t="n"/>
      <c r="JPO238" s="2" t="n"/>
      <c r="JPP238" s="2" t="n"/>
      <c r="JPQ238" s="2" t="n"/>
      <c r="JPR238" s="2" t="n"/>
      <c r="JPS238" s="2" t="n"/>
      <c r="JPT238" s="2" t="n"/>
      <c r="JPU238" s="2" t="n"/>
      <c r="JPV238" s="2" t="n"/>
      <c r="JPW238" s="2" t="n"/>
      <c r="JPX238" s="2" t="n"/>
      <c r="JPY238" s="2" t="n"/>
      <c r="JPZ238" s="2" t="n"/>
      <c r="JQA238" s="2" t="n"/>
      <c r="JQB238" s="2" t="n"/>
      <c r="JQC238" s="2" t="n"/>
      <c r="JQD238" s="2" t="n"/>
      <c r="JQE238" s="2" t="n"/>
      <c r="JQF238" s="2" t="n"/>
      <c r="JQG238" s="2" t="n"/>
      <c r="JQH238" s="2" t="n"/>
      <c r="JQI238" s="2" t="n"/>
      <c r="JQJ238" s="2" t="n"/>
      <c r="JQK238" s="2" t="n"/>
      <c r="JQL238" s="2" t="n"/>
      <c r="JQM238" s="2" t="n"/>
      <c r="JQN238" s="2" t="n"/>
      <c r="JQO238" s="2" t="n"/>
      <c r="JQP238" s="2" t="n"/>
      <c r="JQQ238" s="2" t="n"/>
      <c r="JQR238" s="2" t="n"/>
      <c r="JQS238" s="2" t="n"/>
      <c r="JQT238" s="2" t="n"/>
      <c r="JQU238" s="2" t="n"/>
      <c r="JQV238" s="2" t="n"/>
      <c r="JQW238" s="2" t="n"/>
      <c r="JQX238" s="2" t="n"/>
      <c r="JQY238" s="2" t="n"/>
      <c r="JQZ238" s="2" t="n"/>
      <c r="JRA238" s="2" t="n"/>
      <c r="JRB238" s="2" t="n"/>
      <c r="JRC238" s="2" t="n"/>
      <c r="JRD238" s="2" t="n"/>
      <c r="JRE238" s="2" t="n"/>
      <c r="JRF238" s="2" t="n"/>
      <c r="JRG238" s="2" t="n"/>
      <c r="JRH238" s="2" t="n"/>
      <c r="JRI238" s="2" t="n"/>
      <c r="JRJ238" s="2" t="n"/>
      <c r="JRK238" s="2" t="n"/>
      <c r="JRL238" s="2" t="n"/>
      <c r="JRM238" s="2" t="n"/>
      <c r="JRN238" s="2" t="n"/>
      <c r="JRO238" s="2" t="n"/>
      <c r="JRP238" s="2" t="n"/>
      <c r="JRQ238" s="2" t="n"/>
      <c r="JRR238" s="2" t="n"/>
      <c r="JRS238" s="2" t="n"/>
      <c r="JRT238" s="2" t="n"/>
      <c r="JRU238" s="2" t="n"/>
      <c r="JRV238" s="2" t="n"/>
      <c r="JRW238" s="2" t="n"/>
      <c r="JRX238" s="2" t="n"/>
      <c r="JRY238" s="2" t="n"/>
      <c r="JRZ238" s="2" t="n"/>
      <c r="JSA238" s="2" t="n"/>
      <c r="JSB238" s="2" t="n"/>
      <c r="JSC238" s="2" t="n"/>
      <c r="JSD238" s="2" t="n"/>
      <c r="JSE238" s="2" t="n"/>
      <c r="JSF238" s="2" t="n"/>
      <c r="JSG238" s="2" t="n"/>
      <c r="JSH238" s="2" t="n"/>
      <c r="JSI238" s="2" t="n"/>
      <c r="JSJ238" s="2" t="n"/>
      <c r="JSK238" s="2" t="n"/>
      <c r="JSL238" s="2" t="n"/>
      <c r="JSM238" s="2" t="n"/>
      <c r="JSN238" s="2" t="n"/>
      <c r="JSO238" s="2" t="n"/>
      <c r="JSP238" s="2" t="n"/>
      <c r="JSQ238" s="2" t="n"/>
      <c r="JSR238" s="2" t="n"/>
      <c r="JSS238" s="2" t="n"/>
      <c r="JST238" s="2" t="n"/>
      <c r="JSU238" s="2" t="n"/>
      <c r="JSV238" s="2" t="n"/>
      <c r="JSW238" s="2" t="n"/>
      <c r="JSX238" s="2" t="n"/>
      <c r="JSY238" s="2" t="n"/>
      <c r="JSZ238" s="2" t="n"/>
      <c r="JTA238" s="2" t="n"/>
      <c r="JTB238" s="2" t="n"/>
      <c r="JTC238" s="2" t="n"/>
      <c r="JTD238" s="2" t="n"/>
      <c r="JTE238" s="2" t="n"/>
      <c r="JTF238" s="2" t="n"/>
      <c r="JTG238" s="2" t="n"/>
      <c r="JTH238" s="2" t="n"/>
      <c r="JTI238" s="2" t="n"/>
      <c r="JTJ238" s="2" t="n"/>
      <c r="JTK238" s="2" t="n"/>
      <c r="JTL238" s="2" t="n"/>
      <c r="JTM238" s="2" t="n"/>
      <c r="JTN238" s="2" t="n"/>
      <c r="JTO238" s="2" t="n"/>
      <c r="JTP238" s="2" t="n"/>
      <c r="JTQ238" s="2" t="n"/>
      <c r="JTR238" s="2" t="n"/>
      <c r="JTS238" s="2" t="n"/>
      <c r="JTT238" s="2" t="n"/>
      <c r="JTU238" s="2" t="n"/>
      <c r="JTV238" s="2" t="n"/>
      <c r="JTW238" s="2" t="n"/>
      <c r="JTX238" s="2" t="n"/>
      <c r="JTY238" s="2" t="n"/>
      <c r="JTZ238" s="2" t="n"/>
      <c r="JUA238" s="2" t="n"/>
      <c r="JUB238" s="2" t="n"/>
      <c r="JUC238" s="2" t="n"/>
      <c r="JUD238" s="2" t="n"/>
      <c r="JUE238" s="2" t="n"/>
      <c r="JUF238" s="2" t="n"/>
      <c r="JUG238" s="2" t="n"/>
      <c r="JUH238" s="2" t="n"/>
      <c r="JUI238" s="2" t="n"/>
      <c r="JUJ238" s="2" t="n"/>
      <c r="JUK238" s="2" t="n"/>
      <c r="JUL238" s="2" t="n"/>
      <c r="JUM238" s="2" t="n"/>
      <c r="JUN238" s="2" t="n"/>
      <c r="JUO238" s="2" t="n"/>
      <c r="JUP238" s="2" t="n"/>
      <c r="JUQ238" s="2" t="n"/>
      <c r="JUR238" s="2" t="n"/>
      <c r="JUS238" s="2" t="n"/>
      <c r="JUT238" s="2" t="n"/>
      <c r="JUU238" s="2" t="n"/>
      <c r="JUV238" s="2" t="n"/>
      <c r="JUW238" s="2" t="n"/>
      <c r="JUX238" s="2" t="n"/>
      <c r="JUY238" s="2" t="n"/>
      <c r="JUZ238" s="2" t="n"/>
      <c r="JVA238" s="2" t="n"/>
      <c r="JVB238" s="2" t="n"/>
      <c r="JVC238" s="2" t="n"/>
      <c r="JVD238" s="2" t="n"/>
      <c r="JVE238" s="2" t="n"/>
      <c r="JVF238" s="2" t="n"/>
      <c r="JVG238" s="2" t="n"/>
      <c r="JVH238" s="2" t="n"/>
      <c r="JVI238" s="2" t="n"/>
      <c r="JVJ238" s="2" t="n"/>
      <c r="JVK238" s="2" t="n"/>
      <c r="JVL238" s="2" t="n"/>
      <c r="JVM238" s="2" t="n"/>
      <c r="JVN238" s="2" t="n"/>
      <c r="JVO238" s="2" t="n"/>
      <c r="JVP238" s="2" t="n"/>
      <c r="JVQ238" s="2" t="n"/>
      <c r="JVR238" s="2" t="n"/>
      <c r="JVS238" s="2" t="n"/>
      <c r="JVT238" s="2" t="n"/>
      <c r="JVU238" s="2" t="n"/>
      <c r="JVV238" s="2" t="n"/>
      <c r="JVW238" s="2" t="n"/>
      <c r="JVX238" s="2" t="n"/>
      <c r="JVY238" s="2" t="n"/>
      <c r="JVZ238" s="2" t="n"/>
      <c r="JWA238" s="2" t="n"/>
      <c r="JWB238" s="2" t="n"/>
      <c r="JWC238" s="2" t="n"/>
      <c r="JWD238" s="2" t="n"/>
      <c r="JWE238" s="2" t="n"/>
      <c r="JWF238" s="2" t="n"/>
      <c r="JWG238" s="2" t="n"/>
      <c r="JWH238" s="2" t="n"/>
      <c r="JWI238" s="2" t="n"/>
      <c r="JWJ238" s="2" t="n"/>
      <c r="JWK238" s="2" t="n"/>
      <c r="JWL238" s="2" t="n"/>
      <c r="JWM238" s="2" t="n"/>
      <c r="JWN238" s="2" t="n"/>
      <c r="JWO238" s="2" t="n"/>
      <c r="JWP238" s="2" t="n"/>
      <c r="JWQ238" s="2" t="n"/>
      <c r="JWR238" s="2" t="n"/>
      <c r="JWS238" s="2" t="n"/>
      <c r="JWT238" s="2" t="n"/>
      <c r="JWU238" s="2" t="n"/>
      <c r="JWV238" s="2" t="n"/>
      <c r="JWW238" s="2" t="n"/>
      <c r="JWX238" s="2" t="n"/>
      <c r="JWY238" s="2" t="n"/>
      <c r="JWZ238" s="2" t="n"/>
      <c r="JXA238" s="2" t="n"/>
      <c r="JXB238" s="2" t="n"/>
      <c r="JXC238" s="2" t="n"/>
      <c r="JXD238" s="2" t="n"/>
      <c r="JXE238" s="2" t="n"/>
      <c r="JXF238" s="2" t="n"/>
      <c r="JXG238" s="2" t="n"/>
      <c r="JXH238" s="2" t="n"/>
      <c r="JXI238" s="2" t="n"/>
      <c r="JXJ238" s="2" t="n"/>
      <c r="JXK238" s="2" t="n"/>
      <c r="JXL238" s="2" t="n"/>
      <c r="JXM238" s="2" t="n"/>
      <c r="JXN238" s="2" t="n"/>
      <c r="JXO238" s="2" t="n"/>
      <c r="JXP238" s="2" t="n"/>
      <c r="JXQ238" s="2" t="n"/>
      <c r="JXR238" s="2" t="n"/>
      <c r="JXS238" s="2" t="n"/>
      <c r="JXT238" s="2" t="n"/>
      <c r="JXU238" s="2" t="n"/>
      <c r="JXV238" s="2" t="n"/>
      <c r="JXW238" s="2" t="n"/>
      <c r="JXX238" s="2" t="n"/>
      <c r="JXY238" s="2" t="n"/>
      <c r="JXZ238" s="2" t="n"/>
      <c r="JYA238" s="2" t="n"/>
      <c r="JYB238" s="2" t="n"/>
      <c r="JYC238" s="2" t="n"/>
      <c r="JYD238" s="2" t="n"/>
      <c r="JYE238" s="2" t="n"/>
      <c r="JYF238" s="2" t="n"/>
      <c r="JYG238" s="2" t="n"/>
      <c r="JYH238" s="2" t="n"/>
      <c r="JYI238" s="2" t="n"/>
      <c r="JYJ238" s="2" t="n"/>
      <c r="JYK238" s="2" t="n"/>
      <c r="JYL238" s="2" t="n"/>
      <c r="JYM238" s="2" t="n"/>
      <c r="JYN238" s="2" t="n"/>
      <c r="JYO238" s="2" t="n"/>
      <c r="JYP238" s="2" t="n"/>
      <c r="JYQ238" s="2" t="n"/>
      <c r="JYR238" s="2" t="n"/>
      <c r="JYS238" s="2" t="n"/>
      <c r="JYT238" s="2" t="n"/>
      <c r="JYU238" s="2" t="n"/>
      <c r="JYV238" s="2" t="n"/>
      <c r="JYW238" s="2" t="n"/>
      <c r="JYX238" s="2" t="n"/>
      <c r="JYY238" s="2" t="n"/>
      <c r="JYZ238" s="2" t="n"/>
      <c r="JZA238" s="2" t="n"/>
      <c r="JZB238" s="2" t="n"/>
      <c r="JZC238" s="2" t="n"/>
      <c r="JZD238" s="2" t="n"/>
      <c r="JZE238" s="2" t="n"/>
      <c r="JZF238" s="2" t="n"/>
      <c r="JZG238" s="2" t="n"/>
      <c r="JZH238" s="2" t="n"/>
      <c r="JZI238" s="2" t="n"/>
      <c r="JZJ238" s="2" t="n"/>
      <c r="JZK238" s="2" t="n"/>
      <c r="JZL238" s="2" t="n"/>
      <c r="JZM238" s="2" t="n"/>
      <c r="JZN238" s="2" t="n"/>
      <c r="JZO238" s="2" t="n"/>
      <c r="JZP238" s="2" t="n"/>
      <c r="JZQ238" s="2" t="n"/>
      <c r="JZR238" s="2" t="n"/>
      <c r="JZS238" s="2" t="n"/>
      <c r="JZT238" s="2" t="n"/>
      <c r="JZU238" s="2" t="n"/>
      <c r="JZV238" s="2" t="n"/>
      <c r="JZW238" s="2" t="n"/>
      <c r="JZX238" s="2" t="n"/>
      <c r="JZY238" s="2" t="n"/>
      <c r="JZZ238" s="2" t="n"/>
      <c r="KAA238" s="2" t="n"/>
      <c r="KAB238" s="2" t="n"/>
      <c r="KAC238" s="2" t="n"/>
      <c r="KAD238" s="2" t="n"/>
      <c r="KAE238" s="2" t="n"/>
      <c r="KAF238" s="2" t="n"/>
      <c r="KAG238" s="2" t="n"/>
      <c r="KAH238" s="2" t="n"/>
      <c r="KAI238" s="2" t="n"/>
      <c r="KAJ238" s="2" t="n"/>
      <c r="KAK238" s="2" t="n"/>
      <c r="KAL238" s="2" t="n"/>
      <c r="KAM238" s="2" t="n"/>
      <c r="KAN238" s="2" t="n"/>
      <c r="KAO238" s="2" t="n"/>
      <c r="KAP238" s="2" t="n"/>
      <c r="KAQ238" s="2" t="n"/>
      <c r="KAR238" s="2" t="n"/>
      <c r="KAS238" s="2" t="n"/>
      <c r="KAT238" s="2" t="n"/>
      <c r="KAU238" s="2" t="n"/>
      <c r="KAV238" s="2" t="n"/>
      <c r="KAW238" s="2" t="n"/>
      <c r="KAX238" s="2" t="n"/>
      <c r="KAY238" s="2" t="n"/>
      <c r="KAZ238" s="2" t="n"/>
      <c r="KBA238" s="2" t="n"/>
      <c r="KBB238" s="2" t="n"/>
      <c r="KBC238" s="2" t="n"/>
      <c r="KBD238" s="2" t="n"/>
      <c r="KBE238" s="2" t="n"/>
      <c r="KBF238" s="2" t="n"/>
      <c r="KBG238" s="2" t="n"/>
      <c r="KBH238" s="2" t="n"/>
      <c r="KBI238" s="2" t="n"/>
      <c r="KBJ238" s="2" t="n"/>
      <c r="KBK238" s="2" t="n"/>
      <c r="KBL238" s="2" t="n"/>
      <c r="KBM238" s="2" t="n"/>
      <c r="KBN238" s="2" t="n"/>
      <c r="KBO238" s="2" t="n"/>
      <c r="KBP238" s="2" t="n"/>
      <c r="KBQ238" s="2" t="n"/>
      <c r="KBR238" s="2" t="n"/>
      <c r="KBS238" s="2" t="n"/>
      <c r="KBT238" s="2" t="n"/>
      <c r="KBU238" s="2" t="n"/>
      <c r="KBV238" s="2" t="n"/>
      <c r="KBW238" s="2" t="n"/>
      <c r="KBX238" s="2" t="n"/>
      <c r="KBY238" s="2" t="n"/>
      <c r="KBZ238" s="2" t="n"/>
      <c r="KCA238" s="2" t="n"/>
      <c r="KCB238" s="2" t="n"/>
      <c r="KCC238" s="2" t="n"/>
      <c r="KCD238" s="2" t="n"/>
      <c r="KCE238" s="2" t="n"/>
      <c r="KCF238" s="2" t="n"/>
      <c r="KCG238" s="2" t="n"/>
      <c r="KCH238" s="2" t="n"/>
      <c r="KCI238" s="2" t="n"/>
      <c r="KCJ238" s="2" t="n"/>
      <c r="KCK238" s="2" t="n"/>
      <c r="KCL238" s="2" t="n"/>
      <c r="KCM238" s="2" t="n"/>
      <c r="KCN238" s="2" t="n"/>
      <c r="KCO238" s="2" t="n"/>
      <c r="KCP238" s="2" t="n"/>
      <c r="KCQ238" s="2" t="n"/>
      <c r="KCR238" s="2" t="n"/>
      <c r="KCS238" s="2" t="n"/>
      <c r="KCT238" s="2" t="n"/>
      <c r="KCU238" s="2" t="n"/>
      <c r="KCV238" s="2" t="n"/>
      <c r="KCW238" s="2" t="n"/>
      <c r="KCX238" s="2" t="n"/>
      <c r="KCY238" s="2" t="n"/>
      <c r="KCZ238" s="2" t="n"/>
      <c r="KDA238" s="2" t="n"/>
      <c r="KDB238" s="2" t="n"/>
      <c r="KDC238" s="2" t="n"/>
      <c r="KDD238" s="2" t="n"/>
      <c r="KDE238" s="2" t="n"/>
      <c r="KDF238" s="2" t="n"/>
      <c r="KDG238" s="2" t="n"/>
      <c r="KDH238" s="2" t="n"/>
      <c r="KDI238" s="2" t="n"/>
      <c r="KDJ238" s="2" t="n"/>
      <c r="KDK238" s="2" t="n"/>
      <c r="KDL238" s="2" t="n"/>
      <c r="KDM238" s="2" t="n"/>
      <c r="KDN238" s="2" t="n"/>
      <c r="KDO238" s="2" t="n"/>
      <c r="KDP238" s="2" t="n"/>
      <c r="KDQ238" s="2" t="n"/>
      <c r="KDR238" s="2" t="n"/>
      <c r="KDS238" s="2" t="n"/>
      <c r="KDT238" s="2" t="n"/>
      <c r="KDU238" s="2" t="n"/>
      <c r="KDV238" s="2" t="n"/>
      <c r="KDW238" s="2" t="n"/>
      <c r="KDX238" s="2" t="n"/>
      <c r="KDY238" s="2" t="n"/>
      <c r="KDZ238" s="2" t="n"/>
      <c r="KEA238" s="2" t="n"/>
      <c r="KEB238" s="2" t="n"/>
      <c r="KEC238" s="2" t="n"/>
      <c r="KED238" s="2" t="n"/>
      <c r="KEE238" s="2" t="n"/>
      <c r="KEF238" s="2" t="n"/>
      <c r="KEG238" s="2" t="n"/>
      <c r="KEH238" s="2" t="n"/>
      <c r="KEI238" s="2" t="n"/>
      <c r="KEJ238" s="2" t="n"/>
      <c r="KEK238" s="2" t="n"/>
      <c r="KEL238" s="2" t="n"/>
      <c r="KEM238" s="2" t="n"/>
      <c r="KEN238" s="2" t="n"/>
      <c r="KEO238" s="2" t="n"/>
      <c r="KEP238" s="2" t="n"/>
      <c r="KEQ238" s="2" t="n"/>
      <c r="KER238" s="2" t="n"/>
      <c r="KES238" s="2" t="n"/>
      <c r="KET238" s="2" t="n"/>
      <c r="KEU238" s="2" t="n"/>
      <c r="KEV238" s="2" t="n"/>
      <c r="KEW238" s="2" t="n"/>
      <c r="KEX238" s="2" t="n"/>
      <c r="KEY238" s="2" t="n"/>
      <c r="KEZ238" s="2" t="n"/>
      <c r="KFA238" s="2" t="n"/>
      <c r="KFB238" s="2" t="n"/>
      <c r="KFC238" s="2" t="n"/>
      <c r="KFD238" s="2" t="n"/>
      <c r="KFE238" s="2" t="n"/>
      <c r="KFF238" s="2" t="n"/>
      <c r="KFG238" s="2" t="n"/>
      <c r="KFH238" s="2" t="n"/>
      <c r="KFI238" s="2" t="n"/>
      <c r="KFJ238" s="2" t="n"/>
      <c r="KFK238" s="2" t="n"/>
      <c r="KFL238" s="2" t="n"/>
      <c r="KFM238" s="2" t="n"/>
      <c r="KFN238" s="2" t="n"/>
      <c r="KFO238" s="2" t="n"/>
      <c r="KFP238" s="2" t="n"/>
      <c r="KFQ238" s="2" t="n"/>
      <c r="KFR238" s="2" t="n"/>
      <c r="KFS238" s="2" t="n"/>
      <c r="KFT238" s="2" t="n"/>
      <c r="KFU238" s="2" t="n"/>
      <c r="KFV238" s="2" t="n"/>
      <c r="KFW238" s="2" t="n"/>
      <c r="KFX238" s="2" t="n"/>
      <c r="KFY238" s="2" t="n"/>
      <c r="KFZ238" s="2" t="n"/>
      <c r="KGA238" s="2" t="n"/>
      <c r="KGB238" s="2" t="n"/>
      <c r="KGC238" s="2" t="n"/>
      <c r="KGD238" s="2" t="n"/>
      <c r="KGE238" s="2" t="n"/>
      <c r="KGF238" s="2" t="n"/>
      <c r="KGG238" s="2" t="n"/>
      <c r="KGH238" s="2" t="n"/>
      <c r="KGI238" s="2" t="n"/>
      <c r="KGJ238" s="2" t="n"/>
      <c r="KGK238" s="2" t="n"/>
      <c r="KGL238" s="2" t="n"/>
      <c r="KGM238" s="2" t="n"/>
      <c r="KGN238" s="2" t="n"/>
      <c r="KGO238" s="2" t="n"/>
      <c r="KGP238" s="2" t="n"/>
      <c r="KGQ238" s="2" t="n"/>
      <c r="KGR238" s="2" t="n"/>
      <c r="KGS238" s="2" t="n"/>
      <c r="KGT238" s="2" t="n"/>
      <c r="KGU238" s="2" t="n"/>
      <c r="KGV238" s="2" t="n"/>
      <c r="KGW238" s="2" t="n"/>
      <c r="KGX238" s="2" t="n"/>
      <c r="KGY238" s="2" t="n"/>
      <c r="KGZ238" s="2" t="n"/>
      <c r="KHA238" s="2" t="n"/>
      <c r="KHB238" s="2" t="n"/>
      <c r="KHC238" s="2" t="n"/>
      <c r="KHD238" s="2" t="n"/>
      <c r="KHE238" s="2" t="n"/>
      <c r="KHF238" s="2" t="n"/>
      <c r="KHG238" s="2" t="n"/>
      <c r="KHH238" s="2" t="n"/>
      <c r="KHI238" s="2" t="n"/>
      <c r="KHJ238" s="2" t="n"/>
      <c r="KHK238" s="2" t="n"/>
      <c r="KHL238" s="2" t="n"/>
      <c r="KHM238" s="2" t="n"/>
      <c r="KHN238" s="2" t="n"/>
      <c r="KHO238" s="2" t="n"/>
      <c r="KHP238" s="2" t="n"/>
      <c r="KHQ238" s="2" t="n"/>
      <c r="KHR238" s="2" t="n"/>
      <c r="KHS238" s="2" t="n"/>
      <c r="KHT238" s="2" t="n"/>
      <c r="KHU238" s="2" t="n"/>
      <c r="KHV238" s="2" t="n"/>
      <c r="KHW238" s="2" t="n"/>
      <c r="KHX238" s="2" t="n"/>
      <c r="KHY238" s="2" t="n"/>
      <c r="KHZ238" s="2" t="n"/>
      <c r="KIA238" s="2" t="n"/>
      <c r="KIB238" s="2" t="n"/>
      <c r="KIC238" s="2" t="n"/>
      <c r="KID238" s="2" t="n"/>
      <c r="KIE238" s="2" t="n"/>
      <c r="KIF238" s="2" t="n"/>
      <c r="KIG238" s="2" t="n"/>
      <c r="KIH238" s="2" t="n"/>
      <c r="KII238" s="2" t="n"/>
      <c r="KIJ238" s="2" t="n"/>
      <c r="KIK238" s="2" t="n"/>
      <c r="KIL238" s="2" t="n"/>
      <c r="KIM238" s="2" t="n"/>
      <c r="KIN238" s="2" t="n"/>
      <c r="KIO238" s="2" t="n"/>
      <c r="KIP238" s="2" t="n"/>
      <c r="KIQ238" s="2" t="n"/>
      <c r="KIR238" s="2" t="n"/>
      <c r="KIS238" s="2" t="n"/>
      <c r="KIT238" s="2" t="n"/>
      <c r="KIU238" s="2" t="n"/>
      <c r="KIV238" s="2" t="n"/>
      <c r="KIW238" s="2" t="n"/>
      <c r="KIX238" s="2" t="n"/>
      <c r="KIY238" s="2" t="n"/>
      <c r="KIZ238" s="2" t="n"/>
      <c r="KJA238" s="2" t="n"/>
      <c r="KJB238" s="2" t="n"/>
      <c r="KJC238" s="2" t="n"/>
      <c r="KJD238" s="2" t="n"/>
      <c r="KJE238" s="2" t="n"/>
      <c r="KJF238" s="2" t="n"/>
      <c r="KJG238" s="2" t="n"/>
      <c r="KJH238" s="2" t="n"/>
      <c r="KJI238" s="2" t="n"/>
      <c r="KJJ238" s="2" t="n"/>
      <c r="KJK238" s="2" t="n"/>
      <c r="KJL238" s="2" t="n"/>
      <c r="KJM238" s="2" t="n"/>
      <c r="KJN238" s="2" t="n"/>
      <c r="KJO238" s="2" t="n"/>
      <c r="KJP238" s="2" t="n"/>
      <c r="KJQ238" s="2" t="n"/>
      <c r="KJR238" s="2" t="n"/>
      <c r="KJS238" s="2" t="n"/>
      <c r="KJT238" s="2" t="n"/>
      <c r="KJU238" s="2" t="n"/>
      <c r="KJV238" s="2" t="n"/>
      <c r="KJW238" s="2" t="n"/>
      <c r="KJX238" s="2" t="n"/>
      <c r="KJY238" s="2" t="n"/>
      <c r="KJZ238" s="2" t="n"/>
      <c r="KKA238" s="2" t="n"/>
      <c r="KKB238" s="2" t="n"/>
      <c r="KKC238" s="2" t="n"/>
      <c r="KKD238" s="2" t="n"/>
      <c r="KKE238" s="2" t="n"/>
      <c r="KKF238" s="2" t="n"/>
      <c r="KKG238" s="2" t="n"/>
      <c r="KKH238" s="2" t="n"/>
      <c r="KKI238" s="2" t="n"/>
      <c r="KKJ238" s="2" t="n"/>
      <c r="KKK238" s="2" t="n"/>
      <c r="KKL238" s="2" t="n"/>
      <c r="KKM238" s="2" t="n"/>
      <c r="KKN238" s="2" t="n"/>
      <c r="KKO238" s="2" t="n"/>
      <c r="KKP238" s="2" t="n"/>
      <c r="KKQ238" s="2" t="n"/>
      <c r="KKR238" s="2" t="n"/>
      <c r="KKS238" s="2" t="n"/>
      <c r="KKT238" s="2" t="n"/>
      <c r="KKU238" s="2" t="n"/>
      <c r="KKV238" s="2" t="n"/>
      <c r="KKW238" s="2" t="n"/>
      <c r="KKX238" s="2" t="n"/>
      <c r="KKY238" s="2" t="n"/>
      <c r="KKZ238" s="2" t="n"/>
      <c r="KLA238" s="2" t="n"/>
      <c r="KLB238" s="2" t="n"/>
      <c r="KLC238" s="2" t="n"/>
      <c r="KLD238" s="2" t="n"/>
      <c r="KLE238" s="2" t="n"/>
      <c r="KLF238" s="2" t="n"/>
      <c r="KLG238" s="2" t="n"/>
      <c r="KLH238" s="2" t="n"/>
      <c r="KLI238" s="2" t="n"/>
      <c r="KLJ238" s="2" t="n"/>
      <c r="KLK238" s="2" t="n"/>
      <c r="KLL238" s="2" t="n"/>
      <c r="KLM238" s="2" t="n"/>
      <c r="KLN238" s="2" t="n"/>
      <c r="KLO238" s="2" t="n"/>
      <c r="KLP238" s="2" t="n"/>
      <c r="KLQ238" s="2" t="n"/>
      <c r="KLR238" s="2" t="n"/>
      <c r="KLS238" s="2" t="n"/>
      <c r="KLT238" s="2" t="n"/>
      <c r="KLU238" s="2" t="n"/>
      <c r="KLV238" s="2" t="n"/>
      <c r="KLW238" s="2" t="n"/>
      <c r="KLX238" s="2" t="n"/>
      <c r="KLY238" s="2" t="n"/>
      <c r="KLZ238" s="2" t="n"/>
      <c r="KMA238" s="2" t="n"/>
      <c r="KMB238" s="2" t="n"/>
      <c r="KMC238" s="2" t="n"/>
      <c r="KMD238" s="2" t="n"/>
      <c r="KME238" s="2" t="n"/>
      <c r="KMF238" s="2" t="n"/>
      <c r="KMG238" s="2" t="n"/>
      <c r="KMH238" s="2" t="n"/>
      <c r="KMI238" s="2" t="n"/>
      <c r="KMJ238" s="2" t="n"/>
      <c r="KMK238" s="2" t="n"/>
      <c r="KML238" s="2" t="n"/>
      <c r="KMM238" s="2" t="n"/>
      <c r="KMN238" s="2" t="n"/>
      <c r="KMO238" s="2" t="n"/>
      <c r="KMP238" s="2" t="n"/>
      <c r="KMQ238" s="2" t="n"/>
      <c r="KMR238" s="2" t="n"/>
      <c r="KMS238" s="2" t="n"/>
      <c r="KMT238" s="2" t="n"/>
      <c r="KMU238" s="2" t="n"/>
      <c r="KMV238" s="2" t="n"/>
      <c r="KMW238" s="2" t="n"/>
      <c r="KMX238" s="2" t="n"/>
      <c r="KMY238" s="2" t="n"/>
      <c r="KMZ238" s="2" t="n"/>
      <c r="KNA238" s="2" t="n"/>
      <c r="KNB238" s="2" t="n"/>
      <c r="KNC238" s="2" t="n"/>
      <c r="KND238" s="2" t="n"/>
      <c r="KNE238" s="2" t="n"/>
      <c r="KNF238" s="2" t="n"/>
      <c r="KNG238" s="2" t="n"/>
      <c r="KNH238" s="2" t="n"/>
      <c r="KNI238" s="2" t="n"/>
      <c r="KNJ238" s="2" t="n"/>
      <c r="KNK238" s="2" t="n"/>
      <c r="KNL238" s="2" t="n"/>
      <c r="KNM238" s="2" t="n"/>
      <c r="KNN238" s="2" t="n"/>
      <c r="KNO238" s="2" t="n"/>
      <c r="KNP238" s="2" t="n"/>
      <c r="KNQ238" s="2" t="n"/>
      <c r="KNR238" s="2" t="n"/>
      <c r="KNS238" s="2" t="n"/>
      <c r="KNT238" s="2" t="n"/>
      <c r="KNU238" s="2" t="n"/>
      <c r="KNV238" s="2" t="n"/>
      <c r="KNW238" s="2" t="n"/>
      <c r="KNX238" s="2" t="n"/>
      <c r="KNY238" s="2" t="n"/>
      <c r="KNZ238" s="2" t="n"/>
      <c r="KOA238" s="2" t="n"/>
      <c r="KOB238" s="2" t="n"/>
      <c r="KOC238" s="2" t="n"/>
      <c r="KOD238" s="2" t="n"/>
      <c r="KOE238" s="2" t="n"/>
      <c r="KOF238" s="2" t="n"/>
      <c r="KOG238" s="2" t="n"/>
      <c r="KOH238" s="2" t="n"/>
      <c r="KOI238" s="2" t="n"/>
      <c r="KOJ238" s="2" t="n"/>
      <c r="KOK238" s="2" t="n"/>
      <c r="KOL238" s="2" t="n"/>
      <c r="KOM238" s="2" t="n"/>
      <c r="KON238" s="2" t="n"/>
      <c r="KOO238" s="2" t="n"/>
      <c r="KOP238" s="2" t="n"/>
      <c r="KOQ238" s="2" t="n"/>
      <c r="KOR238" s="2" t="n"/>
      <c r="KOS238" s="2" t="n"/>
      <c r="KOT238" s="2" t="n"/>
      <c r="KOU238" s="2" t="n"/>
      <c r="KOV238" s="2" t="n"/>
      <c r="KOW238" s="2" t="n"/>
      <c r="KOX238" s="2" t="n"/>
      <c r="KOY238" s="2" t="n"/>
      <c r="KOZ238" s="2" t="n"/>
      <c r="KPA238" s="2" t="n"/>
      <c r="KPB238" s="2" t="n"/>
      <c r="KPC238" s="2" t="n"/>
      <c r="KPD238" s="2" t="n"/>
      <c r="KPE238" s="2" t="n"/>
      <c r="KPF238" s="2" t="n"/>
      <c r="KPG238" s="2" t="n"/>
      <c r="KPH238" s="2" t="n"/>
      <c r="KPI238" s="2" t="n"/>
      <c r="KPJ238" s="2" t="n"/>
      <c r="KPK238" s="2" t="n"/>
      <c r="KPL238" s="2" t="n"/>
      <c r="KPM238" s="2" t="n"/>
      <c r="KPN238" s="2" t="n"/>
      <c r="KPO238" s="2" t="n"/>
      <c r="KPP238" s="2" t="n"/>
      <c r="KPQ238" s="2" t="n"/>
      <c r="KPR238" s="2" t="n"/>
      <c r="KPS238" s="2" t="n"/>
      <c r="KPT238" s="2" t="n"/>
      <c r="KPU238" s="2" t="n"/>
      <c r="KPV238" s="2" t="n"/>
      <c r="KPW238" s="2" t="n"/>
      <c r="KPX238" s="2" t="n"/>
      <c r="KPY238" s="2" t="n"/>
      <c r="KPZ238" s="2" t="n"/>
      <c r="KQA238" s="2" t="n"/>
      <c r="KQB238" s="2" t="n"/>
      <c r="KQC238" s="2" t="n"/>
      <c r="KQD238" s="2" t="n"/>
      <c r="KQE238" s="2" t="n"/>
      <c r="KQF238" s="2" t="n"/>
      <c r="KQG238" s="2" t="n"/>
      <c r="KQH238" s="2" t="n"/>
      <c r="KQI238" s="2" t="n"/>
      <c r="KQJ238" s="2" t="n"/>
      <c r="KQK238" s="2" t="n"/>
      <c r="KQL238" s="2" t="n"/>
      <c r="KQM238" s="2" t="n"/>
      <c r="KQN238" s="2" t="n"/>
      <c r="KQO238" s="2" t="n"/>
      <c r="KQP238" s="2" t="n"/>
      <c r="KQQ238" s="2" t="n"/>
      <c r="KQR238" s="2" t="n"/>
      <c r="KQS238" s="2" t="n"/>
      <c r="KQT238" s="2" t="n"/>
      <c r="KQU238" s="2" t="n"/>
      <c r="KQV238" s="2" t="n"/>
      <c r="KQW238" s="2" t="n"/>
      <c r="KQX238" s="2" t="n"/>
      <c r="KQY238" s="2" t="n"/>
      <c r="KQZ238" s="2" t="n"/>
      <c r="KRA238" s="2" t="n"/>
      <c r="KRB238" s="2" t="n"/>
      <c r="KRC238" s="2" t="n"/>
      <c r="KRD238" s="2" t="n"/>
      <c r="KRE238" s="2" t="n"/>
      <c r="KRF238" s="2" t="n"/>
      <c r="KRG238" s="2" t="n"/>
      <c r="KRH238" s="2" t="n"/>
      <c r="KRI238" s="2" t="n"/>
      <c r="KRJ238" s="2" t="n"/>
      <c r="KRK238" s="2" t="n"/>
      <c r="KRL238" s="2" t="n"/>
      <c r="KRM238" s="2" t="n"/>
      <c r="KRN238" s="2" t="n"/>
      <c r="KRO238" s="2" t="n"/>
      <c r="KRP238" s="2" t="n"/>
      <c r="KRQ238" s="2" t="n"/>
      <c r="KRR238" s="2" t="n"/>
      <c r="KRS238" s="2" t="n"/>
      <c r="KRT238" s="2" t="n"/>
      <c r="KRU238" s="2" t="n"/>
      <c r="KRV238" s="2" t="n"/>
      <c r="KRW238" s="2" t="n"/>
      <c r="KRX238" s="2" t="n"/>
      <c r="KRY238" s="2" t="n"/>
      <c r="KRZ238" s="2" t="n"/>
      <c r="KSA238" s="2" t="n"/>
      <c r="KSB238" s="2" t="n"/>
      <c r="KSC238" s="2" t="n"/>
      <c r="KSD238" s="2" t="n"/>
      <c r="KSE238" s="2" t="n"/>
      <c r="KSF238" s="2" t="n"/>
      <c r="KSG238" s="2" t="n"/>
      <c r="KSH238" s="2" t="n"/>
      <c r="KSI238" s="2" t="n"/>
      <c r="KSJ238" s="2" t="n"/>
      <c r="KSK238" s="2" t="n"/>
      <c r="KSL238" s="2" t="n"/>
      <c r="KSM238" s="2" t="n"/>
      <c r="KSN238" s="2" t="n"/>
      <c r="KSO238" s="2" t="n"/>
      <c r="KSP238" s="2" t="n"/>
      <c r="KSQ238" s="2" t="n"/>
      <c r="KSR238" s="2" t="n"/>
      <c r="KSS238" s="2" t="n"/>
      <c r="KST238" s="2" t="n"/>
      <c r="KSU238" s="2" t="n"/>
      <c r="KSV238" s="2" t="n"/>
      <c r="KSW238" s="2" t="n"/>
      <c r="KSX238" s="2" t="n"/>
      <c r="KSY238" s="2" t="n"/>
      <c r="KSZ238" s="2" t="n"/>
      <c r="KTA238" s="2" t="n"/>
      <c r="KTB238" s="2" t="n"/>
      <c r="KTC238" s="2" t="n"/>
      <c r="KTD238" s="2" t="n"/>
      <c r="KTE238" s="2" t="n"/>
      <c r="KTF238" s="2" t="n"/>
      <c r="KTG238" s="2" t="n"/>
      <c r="KTH238" s="2" t="n"/>
      <c r="KTI238" s="2" t="n"/>
      <c r="KTJ238" s="2" t="n"/>
      <c r="KTK238" s="2" t="n"/>
      <c r="KTL238" s="2" t="n"/>
      <c r="KTM238" s="2" t="n"/>
      <c r="KTN238" s="2" t="n"/>
      <c r="KTO238" s="2" t="n"/>
      <c r="KTP238" s="2" t="n"/>
      <c r="KTQ238" s="2" t="n"/>
      <c r="KTR238" s="2" t="n"/>
      <c r="KTS238" s="2" t="n"/>
      <c r="KTT238" s="2" t="n"/>
      <c r="KTU238" s="2" t="n"/>
      <c r="KTV238" s="2" t="n"/>
      <c r="KTW238" s="2" t="n"/>
      <c r="KTX238" s="2" t="n"/>
      <c r="KTY238" s="2" t="n"/>
      <c r="KTZ238" s="2" t="n"/>
      <c r="KUA238" s="2" t="n"/>
      <c r="KUB238" s="2" t="n"/>
      <c r="KUC238" s="2" t="n"/>
      <c r="KUD238" s="2" t="n"/>
      <c r="KUE238" s="2" t="n"/>
      <c r="KUF238" s="2" t="n"/>
      <c r="KUG238" s="2" t="n"/>
      <c r="KUH238" s="2" t="n"/>
      <c r="KUI238" s="2" t="n"/>
      <c r="KUJ238" s="2" t="n"/>
      <c r="KUK238" s="2" t="n"/>
      <c r="KUL238" s="2" t="n"/>
      <c r="KUM238" s="2" t="n"/>
      <c r="KUN238" s="2" t="n"/>
      <c r="KUO238" s="2" t="n"/>
      <c r="KUP238" s="2" t="n"/>
      <c r="KUQ238" s="2" t="n"/>
      <c r="KUR238" s="2" t="n"/>
      <c r="KUS238" s="2" t="n"/>
      <c r="KUT238" s="2" t="n"/>
      <c r="KUU238" s="2" t="n"/>
      <c r="KUV238" s="2" t="n"/>
      <c r="KUW238" s="2" t="n"/>
      <c r="KUX238" s="2" t="n"/>
      <c r="KUY238" s="2" t="n"/>
      <c r="KUZ238" s="2" t="n"/>
      <c r="KVA238" s="2" t="n"/>
      <c r="KVB238" s="2" t="n"/>
      <c r="KVC238" s="2" t="n"/>
      <c r="KVD238" s="2" t="n"/>
      <c r="KVE238" s="2" t="n"/>
      <c r="KVF238" s="2" t="n"/>
      <c r="KVG238" s="2" t="n"/>
      <c r="KVH238" s="2" t="n"/>
      <c r="KVI238" s="2" t="n"/>
      <c r="KVJ238" s="2" t="n"/>
      <c r="KVK238" s="2" t="n"/>
      <c r="KVL238" s="2" t="n"/>
      <c r="KVM238" s="2" t="n"/>
      <c r="KVN238" s="2" t="n"/>
      <c r="KVO238" s="2" t="n"/>
      <c r="KVP238" s="2" t="n"/>
      <c r="KVQ238" s="2" t="n"/>
      <c r="KVR238" s="2" t="n"/>
      <c r="KVS238" s="2" t="n"/>
      <c r="KVT238" s="2" t="n"/>
      <c r="KVU238" s="2" t="n"/>
      <c r="KVV238" s="2" t="n"/>
      <c r="KVW238" s="2" t="n"/>
      <c r="KVX238" s="2" t="n"/>
      <c r="KVY238" s="2" t="n"/>
      <c r="KVZ238" s="2" t="n"/>
      <c r="KWA238" s="2" t="n"/>
      <c r="KWB238" s="2" t="n"/>
      <c r="KWC238" s="2" t="n"/>
      <c r="KWD238" s="2" t="n"/>
      <c r="KWE238" s="2" t="n"/>
      <c r="KWF238" s="2" t="n"/>
      <c r="KWG238" s="2" t="n"/>
      <c r="KWH238" s="2" t="n"/>
      <c r="KWI238" s="2" t="n"/>
      <c r="KWJ238" s="2" t="n"/>
      <c r="KWK238" s="2" t="n"/>
      <c r="KWL238" s="2" t="n"/>
      <c r="KWM238" s="2" t="n"/>
      <c r="KWN238" s="2" t="n"/>
      <c r="KWO238" s="2" t="n"/>
      <c r="KWP238" s="2" t="n"/>
      <c r="KWQ238" s="2" t="n"/>
      <c r="KWR238" s="2" t="n"/>
      <c r="KWS238" s="2" t="n"/>
      <c r="KWT238" s="2" t="n"/>
      <c r="KWU238" s="2" t="n"/>
      <c r="KWV238" s="2" t="n"/>
      <c r="KWW238" s="2" t="n"/>
      <c r="KWX238" s="2" t="n"/>
      <c r="KWY238" s="2" t="n"/>
      <c r="KWZ238" s="2" t="n"/>
      <c r="KXA238" s="2" t="n"/>
      <c r="KXB238" s="2" t="n"/>
      <c r="KXC238" s="2" t="n"/>
      <c r="KXD238" s="2" t="n"/>
      <c r="KXE238" s="2" t="n"/>
      <c r="KXF238" s="2" t="n"/>
      <c r="KXG238" s="2" t="n"/>
      <c r="KXH238" s="2" t="n"/>
      <c r="KXI238" s="2" t="n"/>
      <c r="KXJ238" s="2" t="n"/>
      <c r="KXK238" s="2" t="n"/>
      <c r="KXL238" s="2" t="n"/>
      <c r="KXM238" s="2" t="n"/>
      <c r="KXN238" s="2" t="n"/>
      <c r="KXO238" s="2" t="n"/>
      <c r="KXP238" s="2" t="n"/>
      <c r="KXQ238" s="2" t="n"/>
      <c r="KXR238" s="2" t="n"/>
      <c r="KXS238" s="2" t="n"/>
      <c r="KXT238" s="2" t="n"/>
      <c r="KXU238" s="2" t="n"/>
      <c r="KXV238" s="2" t="n"/>
      <c r="KXW238" s="2" t="n"/>
      <c r="KXX238" s="2" t="n"/>
      <c r="KXY238" s="2" t="n"/>
      <c r="KXZ238" s="2" t="n"/>
      <c r="KYA238" s="2" t="n"/>
      <c r="KYB238" s="2" t="n"/>
      <c r="KYC238" s="2" t="n"/>
      <c r="KYD238" s="2" t="n"/>
      <c r="KYE238" s="2" t="n"/>
      <c r="KYF238" s="2" t="n"/>
      <c r="KYG238" s="2" t="n"/>
      <c r="KYH238" s="2" t="n"/>
      <c r="KYI238" s="2" t="n"/>
      <c r="KYJ238" s="2" t="n"/>
      <c r="KYK238" s="2" t="n"/>
      <c r="KYL238" s="2" t="n"/>
      <c r="KYM238" s="2" t="n"/>
      <c r="KYN238" s="2" t="n"/>
      <c r="KYO238" s="2" t="n"/>
      <c r="KYP238" s="2" t="n"/>
      <c r="KYQ238" s="2" t="n"/>
      <c r="KYR238" s="2" t="n"/>
      <c r="KYS238" s="2" t="n"/>
      <c r="KYT238" s="2" t="n"/>
      <c r="KYU238" s="2" t="n"/>
      <c r="KYV238" s="2" t="n"/>
      <c r="KYW238" s="2" t="n"/>
      <c r="KYX238" s="2" t="n"/>
      <c r="KYY238" s="2" t="n"/>
      <c r="KYZ238" s="2" t="n"/>
      <c r="KZA238" s="2" t="n"/>
      <c r="KZB238" s="2" t="n"/>
      <c r="KZC238" s="2" t="n"/>
      <c r="KZD238" s="2" t="n"/>
      <c r="KZE238" s="2" t="n"/>
      <c r="KZF238" s="2" t="n"/>
      <c r="KZG238" s="2" t="n"/>
      <c r="KZH238" s="2" t="n"/>
      <c r="KZI238" s="2" t="n"/>
      <c r="KZJ238" s="2" t="n"/>
      <c r="KZK238" s="2" t="n"/>
      <c r="KZL238" s="2" t="n"/>
      <c r="KZM238" s="2" t="n"/>
      <c r="KZN238" s="2" t="n"/>
      <c r="KZO238" s="2" t="n"/>
      <c r="KZP238" s="2" t="n"/>
      <c r="KZQ238" s="2" t="n"/>
      <c r="KZR238" s="2" t="n"/>
      <c r="KZS238" s="2" t="n"/>
      <c r="KZT238" s="2" t="n"/>
      <c r="KZU238" s="2" t="n"/>
      <c r="KZV238" s="2" t="n"/>
      <c r="KZW238" s="2" t="n"/>
      <c r="KZX238" s="2" t="n"/>
      <c r="KZY238" s="2" t="n"/>
      <c r="KZZ238" s="2" t="n"/>
      <c r="LAA238" s="2" t="n"/>
      <c r="LAB238" s="2" t="n"/>
      <c r="LAC238" s="2" t="n"/>
      <c r="LAD238" s="2" t="n"/>
      <c r="LAE238" s="2" t="n"/>
      <c r="LAF238" s="2" t="n"/>
      <c r="LAG238" s="2" t="n"/>
      <c r="LAH238" s="2" t="n"/>
      <c r="LAI238" s="2" t="n"/>
      <c r="LAJ238" s="2" t="n"/>
      <c r="LAK238" s="2" t="n"/>
      <c r="LAL238" s="2" t="n"/>
      <c r="LAM238" s="2" t="n"/>
      <c r="LAN238" s="2" t="n"/>
      <c r="LAO238" s="2" t="n"/>
      <c r="LAP238" s="2" t="n"/>
      <c r="LAQ238" s="2" t="n"/>
      <c r="LAR238" s="2" t="n"/>
      <c r="LAS238" s="2" t="n"/>
      <c r="LAT238" s="2" t="n"/>
      <c r="LAU238" s="2" t="n"/>
      <c r="LAV238" s="2" t="n"/>
      <c r="LAW238" s="2" t="n"/>
      <c r="LAX238" s="2" t="n"/>
      <c r="LAY238" s="2" t="n"/>
      <c r="LAZ238" s="2" t="n"/>
      <c r="LBA238" s="2" t="n"/>
      <c r="LBB238" s="2" t="n"/>
      <c r="LBC238" s="2" t="n"/>
      <c r="LBD238" s="2" t="n"/>
      <c r="LBE238" s="2" t="n"/>
      <c r="LBF238" s="2" t="n"/>
      <c r="LBG238" s="2" t="n"/>
      <c r="LBH238" s="2" t="n"/>
      <c r="LBI238" s="2" t="n"/>
      <c r="LBJ238" s="2" t="n"/>
      <c r="LBK238" s="2" t="n"/>
      <c r="LBL238" s="2" t="n"/>
      <c r="LBM238" s="2" t="n"/>
      <c r="LBN238" s="2" t="n"/>
      <c r="LBO238" s="2" t="n"/>
      <c r="LBP238" s="2" t="n"/>
      <c r="LBQ238" s="2" t="n"/>
      <c r="LBR238" s="2" t="n"/>
      <c r="LBS238" s="2" t="n"/>
      <c r="LBT238" s="2" t="n"/>
      <c r="LBU238" s="2" t="n"/>
      <c r="LBV238" s="2" t="n"/>
      <c r="LBW238" s="2" t="n"/>
      <c r="LBX238" s="2" t="n"/>
      <c r="LBY238" s="2" t="n"/>
      <c r="LBZ238" s="2" t="n"/>
      <c r="LCA238" s="2" t="n"/>
      <c r="LCB238" s="2" t="n"/>
      <c r="LCC238" s="2" t="n"/>
      <c r="LCD238" s="2" t="n"/>
      <c r="LCE238" s="2" t="n"/>
      <c r="LCF238" s="2" t="n"/>
      <c r="LCG238" s="2" t="n"/>
      <c r="LCH238" s="2" t="n"/>
      <c r="LCI238" s="2" t="n"/>
      <c r="LCJ238" s="2" t="n"/>
      <c r="LCK238" s="2" t="n"/>
      <c r="LCL238" s="2" t="n"/>
      <c r="LCM238" s="2" t="n"/>
      <c r="LCN238" s="2" t="n"/>
      <c r="LCO238" s="2" t="n"/>
      <c r="LCP238" s="2" t="n"/>
      <c r="LCQ238" s="2" t="n"/>
      <c r="LCR238" s="2" t="n"/>
      <c r="LCS238" s="2" t="n"/>
      <c r="LCT238" s="2" t="n"/>
      <c r="LCU238" s="2" t="n"/>
      <c r="LCV238" s="2" t="n"/>
      <c r="LCW238" s="2" t="n"/>
      <c r="LCX238" s="2" t="n"/>
      <c r="LCY238" s="2" t="n"/>
      <c r="LCZ238" s="2" t="n"/>
      <c r="LDA238" s="2" t="n"/>
      <c r="LDB238" s="2" t="n"/>
      <c r="LDC238" s="2" t="n"/>
      <c r="LDD238" s="2" t="n"/>
      <c r="LDE238" s="2" t="n"/>
      <c r="LDF238" s="2" t="n"/>
      <c r="LDG238" s="2" t="n"/>
      <c r="LDH238" s="2" t="n"/>
      <c r="LDI238" s="2" t="n"/>
      <c r="LDJ238" s="2" t="n"/>
      <c r="LDK238" s="2" t="n"/>
      <c r="LDL238" s="2" t="n"/>
      <c r="LDM238" s="2" t="n"/>
      <c r="LDN238" s="2" t="n"/>
      <c r="LDO238" s="2" t="n"/>
      <c r="LDP238" s="2" t="n"/>
      <c r="LDQ238" s="2" t="n"/>
      <c r="LDR238" s="2" t="n"/>
      <c r="LDS238" s="2" t="n"/>
      <c r="LDT238" s="2" t="n"/>
      <c r="LDU238" s="2" t="n"/>
      <c r="LDV238" s="2" t="n"/>
      <c r="LDW238" s="2" t="n"/>
      <c r="LDX238" s="2" t="n"/>
      <c r="LDY238" s="2" t="n"/>
      <c r="LDZ238" s="2" t="n"/>
      <c r="LEA238" s="2" t="n"/>
      <c r="LEB238" s="2" t="n"/>
      <c r="LEC238" s="2" t="n"/>
      <c r="LED238" s="2" t="n"/>
      <c r="LEE238" s="2" t="n"/>
      <c r="LEF238" s="2" t="n"/>
      <c r="LEG238" s="2" t="n"/>
      <c r="LEH238" s="2" t="n"/>
      <c r="LEI238" s="2" t="n"/>
      <c r="LEJ238" s="2" t="n"/>
      <c r="LEK238" s="2" t="n"/>
      <c r="LEL238" s="2" t="n"/>
      <c r="LEM238" s="2" t="n"/>
      <c r="LEN238" s="2" t="n"/>
      <c r="LEO238" s="2" t="n"/>
      <c r="LEP238" s="2" t="n"/>
      <c r="LEQ238" s="2" t="n"/>
      <c r="LER238" s="2" t="n"/>
      <c r="LES238" s="2" t="n"/>
      <c r="LET238" s="2" t="n"/>
      <c r="LEU238" s="2" t="n"/>
      <c r="LEV238" s="2" t="n"/>
      <c r="LEW238" s="2" t="n"/>
      <c r="LEX238" s="2" t="n"/>
      <c r="LEY238" s="2" t="n"/>
      <c r="LEZ238" s="2" t="n"/>
      <c r="LFA238" s="2" t="n"/>
      <c r="LFB238" s="2" t="n"/>
      <c r="LFC238" s="2" t="n"/>
      <c r="LFD238" s="2" t="n"/>
      <c r="LFE238" s="2" t="n"/>
      <c r="LFF238" s="2" t="n"/>
      <c r="LFG238" s="2" t="n"/>
      <c r="LFH238" s="2" t="n"/>
      <c r="LFI238" s="2" t="n"/>
      <c r="LFJ238" s="2" t="n"/>
      <c r="LFK238" s="2" t="n"/>
      <c r="LFL238" s="2" t="n"/>
      <c r="LFM238" s="2" t="n"/>
      <c r="LFN238" s="2" t="n"/>
      <c r="LFO238" s="2" t="n"/>
      <c r="LFP238" s="2" t="n"/>
      <c r="LFQ238" s="2" t="n"/>
      <c r="LFR238" s="2" t="n"/>
      <c r="LFS238" s="2" t="n"/>
      <c r="LFT238" s="2" t="n"/>
      <c r="LFU238" s="2" t="n"/>
      <c r="LFV238" s="2" t="n"/>
      <c r="LFW238" s="2" t="n"/>
      <c r="LFX238" s="2" t="n"/>
      <c r="LFY238" s="2" t="n"/>
      <c r="LFZ238" s="2" t="n"/>
      <c r="LGA238" s="2" t="n"/>
      <c r="LGB238" s="2" t="n"/>
      <c r="LGC238" s="2" t="n"/>
      <c r="LGD238" s="2" t="n"/>
      <c r="LGE238" s="2" t="n"/>
      <c r="LGF238" s="2" t="n"/>
      <c r="LGG238" s="2" t="n"/>
      <c r="LGH238" s="2" t="n"/>
      <c r="LGI238" s="2" t="n"/>
      <c r="LGJ238" s="2" t="n"/>
      <c r="LGK238" s="2" t="n"/>
      <c r="LGL238" s="2" t="n"/>
      <c r="LGM238" s="2" t="n"/>
      <c r="LGN238" s="2" t="n"/>
      <c r="LGO238" s="2" t="n"/>
      <c r="LGP238" s="2" t="n"/>
      <c r="LGQ238" s="2" t="n"/>
      <c r="LGR238" s="2" t="n"/>
      <c r="LGS238" s="2" t="n"/>
      <c r="LGT238" s="2" t="n"/>
      <c r="LGU238" s="2" t="n"/>
      <c r="LGV238" s="2" t="n"/>
      <c r="LGW238" s="2" t="n"/>
      <c r="LGX238" s="2" t="n"/>
      <c r="LGY238" s="2" t="n"/>
      <c r="LGZ238" s="2" t="n"/>
      <c r="LHA238" s="2" t="n"/>
      <c r="LHB238" s="2" t="n"/>
      <c r="LHC238" s="2" t="n"/>
      <c r="LHD238" s="2" t="n"/>
      <c r="LHE238" s="2" t="n"/>
      <c r="LHF238" s="2" t="n"/>
      <c r="LHG238" s="2" t="n"/>
      <c r="LHH238" s="2" t="n"/>
      <c r="LHI238" s="2" t="n"/>
      <c r="LHJ238" s="2" t="n"/>
      <c r="LHK238" s="2" t="n"/>
      <c r="LHL238" s="2" t="n"/>
      <c r="LHM238" s="2" t="n"/>
      <c r="LHN238" s="2" t="n"/>
      <c r="LHO238" s="2" t="n"/>
      <c r="LHP238" s="2" t="n"/>
      <c r="LHQ238" s="2" t="n"/>
      <c r="LHR238" s="2" t="n"/>
      <c r="LHS238" s="2" t="n"/>
      <c r="LHT238" s="2" t="n"/>
      <c r="LHU238" s="2" t="n"/>
      <c r="LHV238" s="2" t="n"/>
      <c r="LHW238" s="2" t="n"/>
      <c r="LHX238" s="2" t="n"/>
      <c r="LHY238" s="2" t="n"/>
      <c r="LHZ238" s="2" t="n"/>
      <c r="LIA238" s="2" t="n"/>
      <c r="LIB238" s="2" t="n"/>
      <c r="LIC238" s="2" t="n"/>
      <c r="LID238" s="2" t="n"/>
      <c r="LIE238" s="2" t="n"/>
      <c r="LIF238" s="2" t="n"/>
      <c r="LIG238" s="2" t="n"/>
      <c r="LIH238" s="2" t="n"/>
      <c r="LII238" s="2" t="n"/>
      <c r="LIJ238" s="2" t="n"/>
      <c r="LIK238" s="2" t="n"/>
      <c r="LIL238" s="2" t="n"/>
      <c r="LIM238" s="2" t="n"/>
      <c r="LIN238" s="2" t="n"/>
      <c r="LIO238" s="2" t="n"/>
      <c r="LIP238" s="2" t="n"/>
      <c r="LIQ238" s="2" t="n"/>
      <c r="LIR238" s="2" t="n"/>
      <c r="LIS238" s="2" t="n"/>
      <c r="LIT238" s="2" t="n"/>
      <c r="LIU238" s="2" t="n"/>
      <c r="LIV238" s="2" t="n"/>
      <c r="LIW238" s="2" t="n"/>
      <c r="LIX238" s="2" t="n"/>
      <c r="LIY238" s="2" t="n"/>
      <c r="LIZ238" s="2" t="n"/>
      <c r="LJA238" s="2" t="n"/>
      <c r="LJB238" s="2" t="n"/>
      <c r="LJC238" s="2" t="n"/>
      <c r="LJD238" s="2" t="n"/>
      <c r="LJE238" s="2" t="n"/>
      <c r="LJF238" s="2" t="n"/>
      <c r="LJG238" s="2" t="n"/>
      <c r="LJH238" s="2" t="n"/>
      <c r="LJI238" s="2" t="n"/>
      <c r="LJJ238" s="2" t="n"/>
      <c r="LJK238" s="2" t="n"/>
      <c r="LJL238" s="2" t="n"/>
      <c r="LJM238" s="2" t="n"/>
      <c r="LJN238" s="2" t="n"/>
      <c r="LJO238" s="2" t="n"/>
      <c r="LJP238" s="2" t="n"/>
      <c r="LJQ238" s="2" t="n"/>
      <c r="LJR238" s="2" t="n"/>
      <c r="LJS238" s="2" t="n"/>
      <c r="LJT238" s="2" t="n"/>
      <c r="LJU238" s="2" t="n"/>
      <c r="LJV238" s="2" t="n"/>
      <c r="LJW238" s="2" t="n"/>
      <c r="LJX238" s="2" t="n"/>
      <c r="LJY238" s="2" t="n"/>
      <c r="LJZ238" s="2" t="n"/>
      <c r="LKA238" s="2" t="n"/>
      <c r="LKB238" s="2" t="n"/>
      <c r="LKC238" s="2" t="n"/>
      <c r="LKD238" s="2" t="n"/>
      <c r="LKE238" s="2" t="n"/>
      <c r="LKF238" s="2" t="n"/>
      <c r="LKG238" s="2" t="n"/>
      <c r="LKH238" s="2" t="n"/>
      <c r="LKI238" s="2" t="n"/>
      <c r="LKJ238" s="2" t="n"/>
      <c r="LKK238" s="2" t="n"/>
      <c r="LKL238" s="2" t="n"/>
      <c r="LKM238" s="2" t="n"/>
      <c r="LKN238" s="2" t="n"/>
      <c r="LKO238" s="2" t="n"/>
      <c r="LKP238" s="2" t="n"/>
      <c r="LKQ238" s="2" t="n"/>
      <c r="LKR238" s="2" t="n"/>
      <c r="LKS238" s="2" t="n"/>
      <c r="LKT238" s="2" t="n"/>
      <c r="LKU238" s="2" t="n"/>
      <c r="LKV238" s="2" t="n"/>
      <c r="LKW238" s="2" t="n"/>
      <c r="LKX238" s="2" t="n"/>
      <c r="LKY238" s="2" t="n"/>
      <c r="LKZ238" s="2" t="n"/>
      <c r="LLA238" s="2" t="n"/>
      <c r="LLB238" s="2" t="n"/>
      <c r="LLC238" s="2" t="n"/>
      <c r="LLD238" s="2" t="n"/>
      <c r="LLE238" s="2" t="n"/>
      <c r="LLF238" s="2" t="n"/>
      <c r="LLG238" s="2" t="n"/>
      <c r="LLH238" s="2" t="n"/>
      <c r="LLI238" s="2" t="n"/>
      <c r="LLJ238" s="2" t="n"/>
      <c r="LLK238" s="2" t="n"/>
      <c r="LLL238" s="2" t="n"/>
      <c r="LLM238" s="2" t="n"/>
      <c r="LLN238" s="2" t="n"/>
      <c r="LLO238" s="2" t="n"/>
      <c r="LLP238" s="2" t="n"/>
      <c r="LLQ238" s="2" t="n"/>
      <c r="LLR238" s="2" t="n"/>
      <c r="LLS238" s="2" t="n"/>
      <c r="LLT238" s="2" t="n"/>
      <c r="LLU238" s="2" t="n"/>
      <c r="LLV238" s="2" t="n"/>
      <c r="LLW238" s="2" t="n"/>
      <c r="LLX238" s="2" t="n"/>
      <c r="LLY238" s="2" t="n"/>
      <c r="LLZ238" s="2" t="n"/>
      <c r="LMA238" s="2" t="n"/>
      <c r="LMB238" s="2" t="n"/>
      <c r="LMC238" s="2" t="n"/>
      <c r="LMD238" s="2" t="n"/>
      <c r="LME238" s="2" t="n"/>
      <c r="LMF238" s="2" t="n"/>
      <c r="LMG238" s="2" t="n"/>
      <c r="LMH238" s="2" t="n"/>
      <c r="LMI238" s="2" t="n"/>
      <c r="LMJ238" s="2" t="n"/>
      <c r="LMK238" s="2" t="n"/>
      <c r="LML238" s="2" t="n"/>
      <c r="LMM238" s="2" t="n"/>
      <c r="LMN238" s="2" t="n"/>
      <c r="LMO238" s="2" t="n"/>
      <c r="LMP238" s="2" t="n"/>
      <c r="LMQ238" s="2" t="n"/>
      <c r="LMR238" s="2" t="n"/>
      <c r="LMS238" s="2" t="n"/>
      <c r="LMT238" s="2" t="n"/>
      <c r="LMU238" s="2" t="n"/>
      <c r="LMV238" s="2" t="n"/>
      <c r="LMW238" s="2" t="n"/>
      <c r="LMX238" s="2" t="n"/>
      <c r="LMY238" s="2" t="n"/>
      <c r="LMZ238" s="2" t="n"/>
      <c r="LNA238" s="2" t="n"/>
      <c r="LNB238" s="2" t="n"/>
      <c r="LNC238" s="2" t="n"/>
      <c r="LND238" s="2" t="n"/>
      <c r="LNE238" s="2" t="n"/>
      <c r="LNF238" s="2" t="n"/>
      <c r="LNG238" s="2" t="n"/>
      <c r="LNH238" s="2" t="n"/>
      <c r="LNI238" s="2" t="n"/>
      <c r="LNJ238" s="2" t="n"/>
      <c r="LNK238" s="2" t="n"/>
      <c r="LNL238" s="2" t="n"/>
      <c r="LNM238" s="2" t="n"/>
      <c r="LNN238" s="2" t="n"/>
      <c r="LNO238" s="2" t="n"/>
      <c r="LNP238" s="2" t="n"/>
      <c r="LNQ238" s="2" t="n"/>
      <c r="LNR238" s="2" t="n"/>
      <c r="LNS238" s="2" t="n"/>
      <c r="LNT238" s="2" t="n"/>
      <c r="LNU238" s="2" t="n"/>
      <c r="LNV238" s="2" t="n"/>
      <c r="LNW238" s="2" t="n"/>
      <c r="LNX238" s="2" t="n"/>
      <c r="LNY238" s="2" t="n"/>
      <c r="LNZ238" s="2" t="n"/>
      <c r="LOA238" s="2" t="n"/>
      <c r="LOB238" s="2" t="n"/>
      <c r="LOC238" s="2" t="n"/>
      <c r="LOD238" s="2" t="n"/>
      <c r="LOE238" s="2" t="n"/>
      <c r="LOF238" s="2" t="n"/>
      <c r="LOG238" s="2" t="n"/>
      <c r="LOH238" s="2" t="n"/>
      <c r="LOI238" s="2" t="n"/>
      <c r="LOJ238" s="2" t="n"/>
      <c r="LOK238" s="2" t="n"/>
      <c r="LOL238" s="2" t="n"/>
      <c r="LOM238" s="2" t="n"/>
      <c r="LON238" s="2" t="n"/>
      <c r="LOO238" s="2" t="n"/>
      <c r="LOP238" s="2" t="n"/>
      <c r="LOQ238" s="2" t="n"/>
      <c r="LOR238" s="2" t="n"/>
      <c r="LOS238" s="2" t="n"/>
      <c r="LOT238" s="2" t="n"/>
      <c r="LOU238" s="2" t="n"/>
      <c r="LOV238" s="2" t="n"/>
      <c r="LOW238" s="2" t="n"/>
      <c r="LOX238" s="2" t="n"/>
      <c r="LOY238" s="2" t="n"/>
      <c r="LOZ238" s="2" t="n"/>
      <c r="LPA238" s="2" t="n"/>
      <c r="LPB238" s="2" t="n"/>
      <c r="LPC238" s="2" t="n"/>
      <c r="LPD238" s="2" t="n"/>
      <c r="LPE238" s="2" t="n"/>
      <c r="LPF238" s="2" t="n"/>
      <c r="LPG238" s="2" t="n"/>
      <c r="LPH238" s="2" t="n"/>
      <c r="LPI238" s="2" t="n"/>
      <c r="LPJ238" s="2" t="n"/>
      <c r="LPK238" s="2" t="n"/>
      <c r="LPL238" s="2" t="n"/>
      <c r="LPM238" s="2" t="n"/>
      <c r="LPN238" s="2" t="n"/>
      <c r="LPO238" s="2" t="n"/>
      <c r="LPP238" s="2" t="n"/>
      <c r="LPQ238" s="2" t="n"/>
      <c r="LPR238" s="2" t="n"/>
      <c r="LPS238" s="2" t="n"/>
      <c r="LPT238" s="2" t="n"/>
      <c r="LPU238" s="2" t="n"/>
      <c r="LPV238" s="2" t="n"/>
      <c r="LPW238" s="2" t="n"/>
      <c r="LPX238" s="2" t="n"/>
      <c r="LPY238" s="2" t="n"/>
      <c r="LPZ238" s="2" t="n"/>
      <c r="LQA238" s="2" t="n"/>
      <c r="LQB238" s="2" t="n"/>
      <c r="LQC238" s="2" t="n"/>
      <c r="LQD238" s="2" t="n"/>
      <c r="LQE238" s="2" t="n"/>
      <c r="LQF238" s="2" t="n"/>
      <c r="LQG238" s="2" t="n"/>
      <c r="LQH238" s="2" t="n"/>
      <c r="LQI238" s="2" t="n"/>
      <c r="LQJ238" s="2" t="n"/>
      <c r="LQK238" s="2" t="n"/>
      <c r="LQL238" s="2" t="n"/>
      <c r="LQM238" s="2" t="n"/>
      <c r="LQN238" s="2" t="n"/>
      <c r="LQO238" s="2" t="n"/>
      <c r="LQP238" s="2" t="n"/>
      <c r="LQQ238" s="2" t="n"/>
      <c r="LQR238" s="2" t="n"/>
      <c r="LQS238" s="2" t="n"/>
      <c r="LQT238" s="2" t="n"/>
      <c r="LQU238" s="2" t="n"/>
      <c r="LQV238" s="2" t="n"/>
      <c r="LQW238" s="2" t="n"/>
      <c r="LQX238" s="2" t="n"/>
      <c r="LQY238" s="2" t="n"/>
      <c r="LQZ238" s="2" t="n"/>
      <c r="LRA238" s="2" t="n"/>
      <c r="LRB238" s="2" t="n"/>
      <c r="LRC238" s="2" t="n"/>
      <c r="LRD238" s="2" t="n"/>
      <c r="LRE238" s="2" t="n"/>
      <c r="LRF238" s="2" t="n"/>
      <c r="LRG238" s="2" t="n"/>
      <c r="LRH238" s="2" t="n"/>
      <c r="LRI238" s="2" t="n"/>
      <c r="LRJ238" s="2" t="n"/>
      <c r="LRK238" s="2" t="n"/>
      <c r="LRL238" s="2" t="n"/>
      <c r="LRM238" s="2" t="n"/>
      <c r="LRN238" s="2" t="n"/>
      <c r="LRO238" s="2" t="n"/>
      <c r="LRP238" s="2" t="n"/>
      <c r="LRQ238" s="2" t="n"/>
      <c r="LRR238" s="2" t="n"/>
      <c r="LRS238" s="2" t="n"/>
      <c r="LRT238" s="2" t="n"/>
      <c r="LRU238" s="2" t="n"/>
      <c r="LRV238" s="2" t="n"/>
      <c r="LRW238" s="2" t="n"/>
      <c r="LRX238" s="2" t="n"/>
      <c r="LRY238" s="2" t="n"/>
      <c r="LRZ238" s="2" t="n"/>
      <c r="LSA238" s="2" t="n"/>
      <c r="LSB238" s="2" t="n"/>
      <c r="LSC238" s="2" t="n"/>
      <c r="LSD238" s="2" t="n"/>
      <c r="LSE238" s="2" t="n"/>
      <c r="LSF238" s="2" t="n"/>
      <c r="LSG238" s="2" t="n"/>
      <c r="LSH238" s="2" t="n"/>
      <c r="LSI238" s="2" t="n"/>
      <c r="LSJ238" s="2" t="n"/>
      <c r="LSK238" s="2" t="n"/>
      <c r="LSL238" s="2" t="n"/>
      <c r="LSM238" s="2" t="n"/>
      <c r="LSN238" s="2" t="n"/>
      <c r="LSO238" s="2" t="n"/>
      <c r="LSP238" s="2" t="n"/>
      <c r="LSQ238" s="2" t="n"/>
      <c r="LSR238" s="2" t="n"/>
      <c r="LSS238" s="2" t="n"/>
      <c r="LST238" s="2" t="n"/>
      <c r="LSU238" s="2" t="n"/>
      <c r="LSV238" s="2" t="n"/>
      <c r="LSW238" s="2" t="n"/>
      <c r="LSX238" s="2" t="n"/>
      <c r="LSY238" s="2" t="n"/>
      <c r="LSZ238" s="2" t="n"/>
      <c r="LTA238" s="2" t="n"/>
      <c r="LTB238" s="2" t="n"/>
      <c r="LTC238" s="2" t="n"/>
      <c r="LTD238" s="2" t="n"/>
      <c r="LTE238" s="2" t="n"/>
      <c r="LTF238" s="2" t="n"/>
      <c r="LTG238" s="2" t="n"/>
      <c r="LTH238" s="2" t="n"/>
      <c r="LTI238" s="2" t="n"/>
      <c r="LTJ238" s="2" t="n"/>
      <c r="LTK238" s="2" t="n"/>
      <c r="LTL238" s="2" t="n"/>
      <c r="LTM238" s="2" t="n"/>
      <c r="LTN238" s="2" t="n"/>
      <c r="LTO238" s="2" t="n"/>
      <c r="LTP238" s="2" t="n"/>
      <c r="LTQ238" s="2" t="n"/>
      <c r="LTR238" s="2" t="n"/>
      <c r="LTS238" s="2" t="n"/>
      <c r="LTT238" s="2" t="n"/>
      <c r="LTU238" s="2" t="n"/>
      <c r="LTV238" s="2" t="n"/>
      <c r="LTW238" s="2" t="n"/>
      <c r="LTX238" s="2" t="n"/>
      <c r="LTY238" s="2" t="n"/>
      <c r="LTZ238" s="2" t="n"/>
      <c r="LUA238" s="2" t="n"/>
      <c r="LUB238" s="2" t="n"/>
      <c r="LUC238" s="2" t="n"/>
      <c r="LUD238" s="2" t="n"/>
      <c r="LUE238" s="2" t="n"/>
      <c r="LUF238" s="2" t="n"/>
      <c r="LUG238" s="2" t="n"/>
      <c r="LUH238" s="2" t="n"/>
      <c r="LUI238" s="2" t="n"/>
      <c r="LUJ238" s="2" t="n"/>
      <c r="LUK238" s="2" t="n"/>
      <c r="LUL238" s="2" t="n"/>
      <c r="LUM238" s="2" t="n"/>
      <c r="LUN238" s="2" t="n"/>
      <c r="LUO238" s="2" t="n"/>
      <c r="LUP238" s="2" t="n"/>
      <c r="LUQ238" s="2" t="n"/>
      <c r="LUR238" s="2" t="n"/>
      <c r="LUS238" s="2" t="n"/>
      <c r="LUT238" s="2" t="n"/>
      <c r="LUU238" s="2" t="n"/>
      <c r="LUV238" s="2" t="n"/>
      <c r="LUW238" s="2" t="n"/>
      <c r="LUX238" s="2" t="n"/>
      <c r="LUY238" s="2" t="n"/>
      <c r="LUZ238" s="2" t="n"/>
      <c r="LVA238" s="2" t="n"/>
      <c r="LVB238" s="2" t="n"/>
      <c r="LVC238" s="2" t="n"/>
      <c r="LVD238" s="2" t="n"/>
      <c r="LVE238" s="2" t="n"/>
      <c r="LVF238" s="2" t="n"/>
      <c r="LVG238" s="2" t="n"/>
      <c r="LVH238" s="2" t="n"/>
      <c r="LVI238" s="2" t="n"/>
      <c r="LVJ238" s="2" t="n"/>
      <c r="LVK238" s="2" t="n"/>
      <c r="LVL238" s="2" t="n"/>
      <c r="LVM238" s="2" t="n"/>
      <c r="LVN238" s="2" t="n"/>
      <c r="LVO238" s="2" t="n"/>
      <c r="LVP238" s="2" t="n"/>
      <c r="LVQ238" s="2" t="n"/>
      <c r="LVR238" s="2" t="n"/>
      <c r="LVS238" s="2" t="n"/>
      <c r="LVT238" s="2" t="n"/>
      <c r="LVU238" s="2" t="n"/>
      <c r="LVV238" s="2" t="n"/>
      <c r="LVW238" s="2" t="n"/>
      <c r="LVX238" s="2" t="n"/>
      <c r="LVY238" s="2" t="n"/>
      <c r="LVZ238" s="2" t="n"/>
      <c r="LWA238" s="2" t="n"/>
      <c r="LWB238" s="2" t="n"/>
      <c r="LWC238" s="2" t="n"/>
      <c r="LWD238" s="2" t="n"/>
      <c r="LWE238" s="2" t="n"/>
      <c r="LWF238" s="2" t="n"/>
      <c r="LWG238" s="2" t="n"/>
      <c r="LWH238" s="2" t="n"/>
      <c r="LWI238" s="2" t="n"/>
      <c r="LWJ238" s="2" t="n"/>
      <c r="LWK238" s="2" t="n"/>
      <c r="LWL238" s="2" t="n"/>
      <c r="LWM238" s="2" t="n"/>
      <c r="LWN238" s="2" t="n"/>
      <c r="LWO238" s="2" t="n"/>
      <c r="LWP238" s="2" t="n"/>
      <c r="LWQ238" s="2" t="n"/>
      <c r="LWR238" s="2" t="n"/>
      <c r="LWS238" s="2" t="n"/>
      <c r="LWT238" s="2" t="n"/>
      <c r="LWU238" s="2" t="n"/>
      <c r="LWV238" s="2" t="n"/>
      <c r="LWW238" s="2" t="n"/>
      <c r="LWX238" s="2" t="n"/>
      <c r="LWY238" s="2" t="n"/>
      <c r="LWZ238" s="2" t="n"/>
      <c r="LXA238" s="2" t="n"/>
      <c r="LXB238" s="2" t="n"/>
      <c r="LXC238" s="2" t="n"/>
      <c r="LXD238" s="2" t="n"/>
      <c r="LXE238" s="2" t="n"/>
      <c r="LXF238" s="2" t="n"/>
      <c r="LXG238" s="2" t="n"/>
      <c r="LXH238" s="2" t="n"/>
      <c r="LXI238" s="2" t="n"/>
      <c r="LXJ238" s="2" t="n"/>
      <c r="LXK238" s="2" t="n"/>
      <c r="LXL238" s="2" t="n"/>
      <c r="LXM238" s="2" t="n"/>
      <c r="LXN238" s="2" t="n"/>
      <c r="LXO238" s="2" t="n"/>
      <c r="LXP238" s="2" t="n"/>
      <c r="LXQ238" s="2" t="n"/>
      <c r="LXR238" s="2" t="n"/>
      <c r="LXS238" s="2" t="n"/>
      <c r="LXT238" s="2" t="n"/>
      <c r="LXU238" s="2" t="n"/>
      <c r="LXV238" s="2" t="n"/>
      <c r="LXW238" s="2" t="n"/>
      <c r="LXX238" s="2" t="n"/>
      <c r="LXY238" s="2" t="n"/>
      <c r="LXZ238" s="2" t="n"/>
      <c r="LYA238" s="2" t="n"/>
      <c r="LYB238" s="2" t="n"/>
      <c r="LYC238" s="2" t="n"/>
      <c r="LYD238" s="2" t="n"/>
      <c r="LYE238" s="2" t="n"/>
      <c r="LYF238" s="2" t="n"/>
      <c r="LYG238" s="2" t="n"/>
      <c r="LYH238" s="2" t="n"/>
      <c r="LYI238" s="2" t="n"/>
      <c r="LYJ238" s="2" t="n"/>
      <c r="LYK238" s="2" t="n"/>
      <c r="LYL238" s="2" t="n"/>
      <c r="LYM238" s="2" t="n"/>
      <c r="LYN238" s="2" t="n"/>
      <c r="LYO238" s="2" t="n"/>
      <c r="LYP238" s="2" t="n"/>
      <c r="LYQ238" s="2" t="n"/>
      <c r="LYR238" s="2" t="n"/>
      <c r="LYS238" s="2" t="n"/>
      <c r="LYT238" s="2" t="n"/>
      <c r="LYU238" s="2" t="n"/>
      <c r="LYV238" s="2" t="n"/>
      <c r="LYW238" s="2" t="n"/>
      <c r="LYX238" s="2" t="n"/>
      <c r="LYY238" s="2" t="n"/>
      <c r="LYZ238" s="2" t="n"/>
      <c r="LZA238" s="2" t="n"/>
      <c r="LZB238" s="2" t="n"/>
      <c r="LZC238" s="2" t="n"/>
      <c r="LZD238" s="2" t="n"/>
      <c r="LZE238" s="2" t="n"/>
      <c r="LZF238" s="2" t="n"/>
      <c r="LZG238" s="2" t="n"/>
      <c r="LZH238" s="2" t="n"/>
      <c r="LZI238" s="2" t="n"/>
      <c r="LZJ238" s="2" t="n"/>
      <c r="LZK238" s="2" t="n"/>
      <c r="LZL238" s="2" t="n"/>
      <c r="LZM238" s="2" t="n"/>
      <c r="LZN238" s="2" t="n"/>
      <c r="LZO238" s="2" t="n"/>
      <c r="LZP238" s="2" t="n"/>
      <c r="LZQ238" s="2" t="n"/>
      <c r="LZR238" s="2" t="n"/>
      <c r="LZS238" s="2" t="n"/>
      <c r="LZT238" s="2" t="n"/>
      <c r="LZU238" s="2" t="n"/>
      <c r="LZV238" s="2" t="n"/>
      <c r="LZW238" s="2" t="n"/>
      <c r="LZX238" s="2" t="n"/>
      <c r="LZY238" s="2" t="n"/>
      <c r="LZZ238" s="2" t="n"/>
      <c r="MAA238" s="2" t="n"/>
      <c r="MAB238" s="2" t="n"/>
      <c r="MAC238" s="2" t="n"/>
      <c r="MAD238" s="2" t="n"/>
      <c r="MAE238" s="2" t="n"/>
      <c r="MAF238" s="2" t="n"/>
      <c r="MAG238" s="2" t="n"/>
      <c r="MAH238" s="2" t="n"/>
      <c r="MAI238" s="2" t="n"/>
      <c r="MAJ238" s="2" t="n"/>
      <c r="MAK238" s="2" t="n"/>
      <c r="MAL238" s="2" t="n"/>
      <c r="MAM238" s="2" t="n"/>
      <c r="MAN238" s="2" t="n"/>
      <c r="MAO238" s="2" t="n"/>
      <c r="MAP238" s="2" t="n"/>
      <c r="MAQ238" s="2" t="n"/>
      <c r="MAR238" s="2" t="n"/>
      <c r="MAS238" s="2" t="n"/>
      <c r="MAT238" s="2" t="n"/>
      <c r="MAU238" s="2" t="n"/>
      <c r="MAV238" s="2" t="n"/>
      <c r="MAW238" s="2" t="n"/>
      <c r="MAX238" s="2" t="n"/>
      <c r="MAY238" s="2" t="n"/>
      <c r="MAZ238" s="2" t="n"/>
      <c r="MBA238" s="2" t="n"/>
      <c r="MBB238" s="2" t="n"/>
      <c r="MBC238" s="2" t="n"/>
      <c r="MBD238" s="2" t="n"/>
      <c r="MBE238" s="2" t="n"/>
      <c r="MBF238" s="2" t="n"/>
      <c r="MBG238" s="2" t="n"/>
      <c r="MBH238" s="2" t="n"/>
      <c r="MBI238" s="2" t="n"/>
      <c r="MBJ238" s="2" t="n"/>
      <c r="MBK238" s="2" t="n"/>
      <c r="MBL238" s="2" t="n"/>
      <c r="MBM238" s="2" t="n"/>
      <c r="MBN238" s="2" t="n"/>
      <c r="MBO238" s="2" t="n"/>
      <c r="MBP238" s="2" t="n"/>
      <c r="MBQ238" s="2" t="n"/>
      <c r="MBR238" s="2" t="n"/>
      <c r="MBS238" s="2" t="n"/>
      <c r="MBT238" s="2" t="n"/>
      <c r="MBU238" s="2" t="n"/>
      <c r="MBV238" s="2" t="n"/>
      <c r="MBW238" s="2" t="n"/>
      <c r="MBX238" s="2" t="n"/>
      <c r="MBY238" s="2" t="n"/>
      <c r="MBZ238" s="2" t="n"/>
      <c r="MCA238" s="2" t="n"/>
      <c r="MCB238" s="2" t="n"/>
      <c r="MCC238" s="2" t="n"/>
      <c r="MCD238" s="2" t="n"/>
      <c r="MCE238" s="2" t="n"/>
      <c r="MCF238" s="2" t="n"/>
      <c r="MCG238" s="2" t="n"/>
      <c r="MCH238" s="2" t="n"/>
      <c r="MCI238" s="2" t="n"/>
      <c r="MCJ238" s="2" t="n"/>
      <c r="MCK238" s="2" t="n"/>
      <c r="MCL238" s="2" t="n"/>
      <c r="MCM238" s="2" t="n"/>
      <c r="MCN238" s="2" t="n"/>
      <c r="MCO238" s="2" t="n"/>
      <c r="MCP238" s="2" t="n"/>
      <c r="MCQ238" s="2" t="n"/>
      <c r="MCR238" s="2" t="n"/>
      <c r="MCS238" s="2" t="n"/>
      <c r="MCT238" s="2" t="n"/>
      <c r="MCU238" s="2" t="n"/>
      <c r="MCV238" s="2" t="n"/>
      <c r="MCW238" s="2" t="n"/>
      <c r="MCX238" s="2" t="n"/>
      <c r="MCY238" s="2" t="n"/>
      <c r="MCZ238" s="2" t="n"/>
      <c r="MDA238" s="2" t="n"/>
      <c r="MDB238" s="2" t="n"/>
      <c r="MDC238" s="2" t="n"/>
      <c r="MDD238" s="2" t="n"/>
      <c r="MDE238" s="2" t="n"/>
      <c r="MDF238" s="2" t="n"/>
      <c r="MDG238" s="2" t="n"/>
      <c r="MDH238" s="2" t="n"/>
      <c r="MDI238" s="2" t="n"/>
      <c r="MDJ238" s="2" t="n"/>
      <c r="MDK238" s="2" t="n"/>
      <c r="MDL238" s="2" t="n"/>
      <c r="MDM238" s="2" t="n"/>
      <c r="MDN238" s="2" t="n"/>
      <c r="MDO238" s="2" t="n"/>
      <c r="MDP238" s="2" t="n"/>
      <c r="MDQ238" s="2" t="n"/>
      <c r="MDR238" s="2" t="n"/>
      <c r="MDS238" s="2" t="n"/>
      <c r="MDT238" s="2" t="n"/>
      <c r="MDU238" s="2" t="n"/>
      <c r="MDV238" s="2" t="n"/>
      <c r="MDW238" s="2" t="n"/>
      <c r="MDX238" s="2" t="n"/>
      <c r="MDY238" s="2" t="n"/>
      <c r="MDZ238" s="2" t="n"/>
      <c r="MEA238" s="2" t="n"/>
      <c r="MEB238" s="2" t="n"/>
      <c r="MEC238" s="2" t="n"/>
      <c r="MED238" s="2" t="n"/>
      <c r="MEE238" s="2" t="n"/>
      <c r="MEF238" s="2" t="n"/>
      <c r="MEG238" s="2" t="n"/>
      <c r="MEH238" s="2" t="n"/>
      <c r="MEI238" s="2" t="n"/>
      <c r="MEJ238" s="2" t="n"/>
      <c r="MEK238" s="2" t="n"/>
      <c r="MEL238" s="2" t="n"/>
      <c r="MEM238" s="2" t="n"/>
      <c r="MEN238" s="2" t="n"/>
      <c r="MEO238" s="2" t="n"/>
      <c r="MEP238" s="2" t="n"/>
      <c r="MEQ238" s="2" t="n"/>
      <c r="MER238" s="2" t="n"/>
      <c r="MES238" s="2" t="n"/>
      <c r="MET238" s="2" t="n"/>
      <c r="MEU238" s="2" t="n"/>
      <c r="MEV238" s="2" t="n"/>
      <c r="MEW238" s="2" t="n"/>
      <c r="MEX238" s="2" t="n"/>
      <c r="MEY238" s="2" t="n"/>
      <c r="MEZ238" s="2" t="n"/>
      <c r="MFA238" s="2" t="n"/>
      <c r="MFB238" s="2" t="n"/>
      <c r="MFC238" s="2" t="n"/>
      <c r="MFD238" s="2" t="n"/>
      <c r="MFE238" s="2" t="n"/>
      <c r="MFF238" s="2" t="n"/>
      <c r="MFG238" s="2" t="n"/>
      <c r="MFH238" s="2" t="n"/>
      <c r="MFI238" s="2" t="n"/>
      <c r="MFJ238" s="2" t="n"/>
      <c r="MFK238" s="2" t="n"/>
      <c r="MFL238" s="2" t="n"/>
      <c r="MFM238" s="2" t="n"/>
      <c r="MFN238" s="2" t="n"/>
      <c r="MFO238" s="2" t="n"/>
      <c r="MFP238" s="2" t="n"/>
      <c r="MFQ238" s="2" t="n"/>
      <c r="MFR238" s="2" t="n"/>
      <c r="MFS238" s="2" t="n"/>
      <c r="MFT238" s="2" t="n"/>
      <c r="MFU238" s="2" t="n"/>
      <c r="MFV238" s="2" t="n"/>
      <c r="MFW238" s="2" t="n"/>
      <c r="MFX238" s="2" t="n"/>
      <c r="MFY238" s="2" t="n"/>
      <c r="MFZ238" s="2" t="n"/>
      <c r="MGA238" s="2" t="n"/>
      <c r="MGB238" s="2" t="n"/>
      <c r="MGC238" s="2" t="n"/>
      <c r="MGD238" s="2" t="n"/>
      <c r="MGE238" s="2" t="n"/>
      <c r="MGF238" s="2" t="n"/>
      <c r="MGG238" s="2" t="n"/>
      <c r="MGH238" s="2" t="n"/>
      <c r="MGI238" s="2" t="n"/>
      <c r="MGJ238" s="2" t="n"/>
      <c r="MGK238" s="2" t="n"/>
      <c r="MGL238" s="2" t="n"/>
      <c r="MGM238" s="2" t="n"/>
      <c r="MGN238" s="2" t="n"/>
      <c r="MGO238" s="2" t="n"/>
      <c r="MGP238" s="2" t="n"/>
      <c r="MGQ238" s="2" t="n"/>
      <c r="MGR238" s="2" t="n"/>
      <c r="MGS238" s="2" t="n"/>
      <c r="MGT238" s="2" t="n"/>
      <c r="MGU238" s="2" t="n"/>
      <c r="MGV238" s="2" t="n"/>
      <c r="MGW238" s="2" t="n"/>
      <c r="MGX238" s="2" t="n"/>
      <c r="MGY238" s="2" t="n"/>
      <c r="MGZ238" s="2" t="n"/>
      <c r="MHA238" s="2" t="n"/>
      <c r="MHB238" s="2" t="n"/>
      <c r="MHC238" s="2" t="n"/>
      <c r="MHD238" s="2" t="n"/>
      <c r="MHE238" s="2" t="n"/>
      <c r="MHF238" s="2" t="n"/>
      <c r="MHG238" s="2" t="n"/>
      <c r="MHH238" s="2" t="n"/>
      <c r="MHI238" s="2" t="n"/>
      <c r="MHJ238" s="2" t="n"/>
      <c r="MHK238" s="2" t="n"/>
      <c r="MHL238" s="2" t="n"/>
      <c r="MHM238" s="2" t="n"/>
      <c r="MHN238" s="2" t="n"/>
      <c r="MHO238" s="2" t="n"/>
      <c r="MHP238" s="2" t="n"/>
      <c r="MHQ238" s="2" t="n"/>
      <c r="MHR238" s="2" t="n"/>
      <c r="MHS238" s="2" t="n"/>
      <c r="MHT238" s="2" t="n"/>
      <c r="MHU238" s="2" t="n"/>
      <c r="MHV238" s="2" t="n"/>
      <c r="MHW238" s="2" t="n"/>
      <c r="MHX238" s="2" t="n"/>
      <c r="MHY238" s="2" t="n"/>
      <c r="MHZ238" s="2" t="n"/>
      <c r="MIA238" s="2" t="n"/>
      <c r="MIB238" s="2" t="n"/>
      <c r="MIC238" s="2" t="n"/>
      <c r="MID238" s="2" t="n"/>
      <c r="MIE238" s="2" t="n"/>
      <c r="MIF238" s="2" t="n"/>
      <c r="MIG238" s="2" t="n"/>
      <c r="MIH238" s="2" t="n"/>
      <c r="MII238" s="2" t="n"/>
      <c r="MIJ238" s="2" t="n"/>
      <c r="MIK238" s="2" t="n"/>
      <c r="MIL238" s="2" t="n"/>
      <c r="MIM238" s="2" t="n"/>
      <c r="MIN238" s="2" t="n"/>
      <c r="MIO238" s="2" t="n"/>
      <c r="MIP238" s="2" t="n"/>
      <c r="MIQ238" s="2" t="n"/>
      <c r="MIR238" s="2" t="n"/>
      <c r="MIS238" s="2" t="n"/>
      <c r="MIT238" s="2" t="n"/>
      <c r="MIU238" s="2" t="n"/>
      <c r="MIV238" s="2" t="n"/>
      <c r="MIW238" s="2" t="n"/>
      <c r="MIX238" s="2" t="n"/>
      <c r="MIY238" s="2" t="n"/>
      <c r="MIZ238" s="2" t="n"/>
      <c r="MJA238" s="2" t="n"/>
      <c r="MJB238" s="2" t="n"/>
      <c r="MJC238" s="2" t="n"/>
      <c r="MJD238" s="2" t="n"/>
      <c r="MJE238" s="2" t="n"/>
      <c r="MJF238" s="2" t="n"/>
      <c r="MJG238" s="2" t="n"/>
      <c r="MJH238" s="2" t="n"/>
      <c r="MJI238" s="2" t="n"/>
      <c r="MJJ238" s="2" t="n"/>
      <c r="MJK238" s="2" t="n"/>
      <c r="MJL238" s="2" t="n"/>
      <c r="MJM238" s="2" t="n"/>
      <c r="MJN238" s="2" t="n"/>
      <c r="MJO238" s="2" t="n"/>
      <c r="MJP238" s="2" t="n"/>
      <c r="MJQ238" s="2" t="n"/>
      <c r="MJR238" s="2" t="n"/>
      <c r="MJS238" s="2" t="n"/>
      <c r="MJT238" s="2" t="n"/>
      <c r="MJU238" s="2" t="n"/>
      <c r="MJV238" s="2" t="n"/>
      <c r="MJW238" s="2" t="n"/>
      <c r="MJX238" s="2" t="n"/>
      <c r="MJY238" s="2" t="n"/>
      <c r="MJZ238" s="2" t="n"/>
      <c r="MKA238" s="2" t="n"/>
      <c r="MKB238" s="2" t="n"/>
      <c r="MKC238" s="2" t="n"/>
      <c r="MKD238" s="2" t="n"/>
      <c r="MKE238" s="2" t="n"/>
      <c r="MKF238" s="2" t="n"/>
      <c r="MKG238" s="2" t="n"/>
      <c r="MKH238" s="2" t="n"/>
      <c r="MKI238" s="2" t="n"/>
      <c r="MKJ238" s="2" t="n"/>
      <c r="MKK238" s="2" t="n"/>
      <c r="MKL238" s="2" t="n"/>
      <c r="MKM238" s="2" t="n"/>
      <c r="MKN238" s="2" t="n"/>
      <c r="MKO238" s="2" t="n"/>
      <c r="MKP238" s="2" t="n"/>
      <c r="MKQ238" s="2" t="n"/>
      <c r="MKR238" s="2" t="n"/>
      <c r="MKS238" s="2" t="n"/>
      <c r="MKT238" s="2" t="n"/>
      <c r="MKU238" s="2" t="n"/>
      <c r="MKV238" s="2" t="n"/>
      <c r="MKW238" s="2" t="n"/>
      <c r="MKX238" s="2" t="n"/>
      <c r="MKY238" s="2" t="n"/>
      <c r="MKZ238" s="2" t="n"/>
      <c r="MLA238" s="2" t="n"/>
      <c r="MLB238" s="2" t="n"/>
      <c r="MLC238" s="2" t="n"/>
      <c r="MLD238" s="2" t="n"/>
      <c r="MLE238" s="2" t="n"/>
      <c r="MLF238" s="2" t="n"/>
      <c r="MLG238" s="2" t="n"/>
      <c r="MLH238" s="2" t="n"/>
      <c r="MLI238" s="2" t="n"/>
      <c r="MLJ238" s="2" t="n"/>
      <c r="MLK238" s="2" t="n"/>
      <c r="MLL238" s="2" t="n"/>
      <c r="MLM238" s="2" t="n"/>
      <c r="MLN238" s="2" t="n"/>
      <c r="MLO238" s="2" t="n"/>
      <c r="MLP238" s="2" t="n"/>
      <c r="MLQ238" s="2" t="n"/>
      <c r="MLR238" s="2" t="n"/>
      <c r="MLS238" s="2" t="n"/>
      <c r="MLT238" s="2" t="n"/>
      <c r="MLU238" s="2" t="n"/>
      <c r="MLV238" s="2" t="n"/>
      <c r="MLW238" s="2" t="n"/>
      <c r="MLX238" s="2" t="n"/>
      <c r="MLY238" s="2" t="n"/>
      <c r="MLZ238" s="2" t="n"/>
      <c r="MMA238" s="2" t="n"/>
      <c r="MMB238" s="2" t="n"/>
      <c r="MMC238" s="2" t="n"/>
      <c r="MMD238" s="2" t="n"/>
      <c r="MME238" s="2" t="n"/>
      <c r="MMF238" s="2" t="n"/>
      <c r="MMG238" s="2" t="n"/>
      <c r="MMH238" s="2" t="n"/>
      <c r="MMI238" s="2" t="n"/>
      <c r="MMJ238" s="2" t="n"/>
      <c r="MMK238" s="2" t="n"/>
      <c r="MML238" s="2" t="n"/>
      <c r="MMM238" s="2" t="n"/>
      <c r="MMN238" s="2" t="n"/>
      <c r="MMO238" s="2" t="n"/>
      <c r="MMP238" s="2" t="n"/>
      <c r="MMQ238" s="2" t="n"/>
      <c r="MMR238" s="2" t="n"/>
      <c r="MMS238" s="2" t="n"/>
      <c r="MMT238" s="2" t="n"/>
      <c r="MMU238" s="2" t="n"/>
      <c r="MMV238" s="2" t="n"/>
      <c r="MMW238" s="2" t="n"/>
      <c r="MMX238" s="2" t="n"/>
      <c r="MMY238" s="2" t="n"/>
      <c r="MMZ238" s="2" t="n"/>
      <c r="MNA238" s="2" t="n"/>
      <c r="MNB238" s="2" t="n"/>
      <c r="MNC238" s="2" t="n"/>
      <c r="MND238" s="2" t="n"/>
      <c r="MNE238" s="2" t="n"/>
      <c r="MNF238" s="2" t="n"/>
      <c r="MNG238" s="2" t="n"/>
      <c r="MNH238" s="2" t="n"/>
      <c r="MNI238" s="2" t="n"/>
      <c r="MNJ238" s="2" t="n"/>
      <c r="MNK238" s="2" t="n"/>
      <c r="MNL238" s="2" t="n"/>
      <c r="MNM238" s="2" t="n"/>
      <c r="MNN238" s="2" t="n"/>
      <c r="MNO238" s="2" t="n"/>
      <c r="MNP238" s="2" t="n"/>
      <c r="MNQ238" s="2" t="n"/>
      <c r="MNR238" s="2" t="n"/>
      <c r="MNS238" s="2" t="n"/>
      <c r="MNT238" s="2" t="n"/>
      <c r="MNU238" s="2" t="n"/>
      <c r="MNV238" s="2" t="n"/>
      <c r="MNW238" s="2" t="n"/>
      <c r="MNX238" s="2" t="n"/>
      <c r="MNY238" s="2" t="n"/>
      <c r="MNZ238" s="2" t="n"/>
      <c r="MOA238" s="2" t="n"/>
      <c r="MOB238" s="2" t="n"/>
      <c r="MOC238" s="2" t="n"/>
      <c r="MOD238" s="2" t="n"/>
      <c r="MOE238" s="2" t="n"/>
      <c r="MOF238" s="2" t="n"/>
      <c r="MOG238" s="2" t="n"/>
      <c r="MOH238" s="2" t="n"/>
      <c r="MOI238" s="2" t="n"/>
      <c r="MOJ238" s="2" t="n"/>
      <c r="MOK238" s="2" t="n"/>
      <c r="MOL238" s="2" t="n"/>
      <c r="MOM238" s="2" t="n"/>
      <c r="MON238" s="2" t="n"/>
      <c r="MOO238" s="2" t="n"/>
      <c r="MOP238" s="2" t="n"/>
      <c r="MOQ238" s="2" t="n"/>
      <c r="MOR238" s="2" t="n"/>
      <c r="MOS238" s="2" t="n"/>
      <c r="MOT238" s="2" t="n"/>
      <c r="MOU238" s="2" t="n"/>
      <c r="MOV238" s="2" t="n"/>
      <c r="MOW238" s="2" t="n"/>
      <c r="MOX238" s="2" t="n"/>
      <c r="MOY238" s="2" t="n"/>
      <c r="MOZ238" s="2" t="n"/>
      <c r="MPA238" s="2" t="n"/>
      <c r="MPB238" s="2" t="n"/>
      <c r="MPC238" s="2" t="n"/>
      <c r="MPD238" s="2" t="n"/>
      <c r="MPE238" s="2" t="n"/>
      <c r="MPF238" s="2" t="n"/>
      <c r="MPG238" s="2" t="n"/>
      <c r="MPH238" s="2" t="n"/>
      <c r="MPI238" s="2" t="n"/>
      <c r="MPJ238" s="2" t="n"/>
      <c r="MPK238" s="2" t="n"/>
      <c r="MPL238" s="2" t="n"/>
      <c r="MPM238" s="2" t="n"/>
      <c r="MPN238" s="2" t="n"/>
      <c r="MPO238" s="2" t="n"/>
      <c r="MPP238" s="2" t="n"/>
      <c r="MPQ238" s="2" t="n"/>
      <c r="MPR238" s="2" t="n"/>
      <c r="MPS238" s="2" t="n"/>
      <c r="MPT238" s="2" t="n"/>
      <c r="MPU238" s="2" t="n"/>
      <c r="MPV238" s="2" t="n"/>
      <c r="MPW238" s="2" t="n"/>
      <c r="MPX238" s="2" t="n"/>
      <c r="MPY238" s="2" t="n"/>
      <c r="MPZ238" s="2" t="n"/>
      <c r="MQA238" s="2" t="n"/>
      <c r="MQB238" s="2" t="n"/>
      <c r="MQC238" s="2" t="n"/>
      <c r="MQD238" s="2" t="n"/>
      <c r="MQE238" s="2" t="n"/>
      <c r="MQF238" s="2" t="n"/>
      <c r="MQG238" s="2" t="n"/>
      <c r="MQH238" s="2" t="n"/>
      <c r="MQI238" s="2" t="n"/>
      <c r="MQJ238" s="2" t="n"/>
      <c r="MQK238" s="2" t="n"/>
      <c r="MQL238" s="2" t="n"/>
      <c r="MQM238" s="2" t="n"/>
      <c r="MQN238" s="2" t="n"/>
      <c r="MQO238" s="2" t="n"/>
      <c r="MQP238" s="2" t="n"/>
      <c r="MQQ238" s="2" t="n"/>
      <c r="MQR238" s="2" t="n"/>
      <c r="MQS238" s="2" t="n"/>
      <c r="MQT238" s="2" t="n"/>
      <c r="MQU238" s="2" t="n"/>
      <c r="MQV238" s="2" t="n"/>
      <c r="MQW238" s="2" t="n"/>
      <c r="MQX238" s="2" t="n"/>
      <c r="MQY238" s="2" t="n"/>
      <c r="MQZ238" s="2" t="n"/>
      <c r="MRA238" s="2" t="n"/>
      <c r="MRB238" s="2" t="n"/>
      <c r="MRC238" s="2" t="n"/>
      <c r="MRD238" s="2" t="n"/>
      <c r="MRE238" s="2" t="n"/>
      <c r="MRF238" s="2" t="n"/>
      <c r="MRG238" s="2" t="n"/>
      <c r="MRH238" s="2" t="n"/>
      <c r="MRI238" s="2" t="n"/>
      <c r="MRJ238" s="2" t="n"/>
      <c r="MRK238" s="2" t="n"/>
      <c r="MRL238" s="2" t="n"/>
      <c r="MRM238" s="2" t="n"/>
      <c r="MRN238" s="2" t="n"/>
      <c r="MRO238" s="2" t="n"/>
      <c r="MRP238" s="2" t="n"/>
      <c r="MRQ238" s="2" t="n"/>
      <c r="MRR238" s="2" t="n"/>
      <c r="MRS238" s="2" t="n"/>
      <c r="MRT238" s="2" t="n"/>
      <c r="MRU238" s="2" t="n"/>
      <c r="MRV238" s="2" t="n"/>
      <c r="MRW238" s="2" t="n"/>
      <c r="MRX238" s="2" t="n"/>
      <c r="MRY238" s="2" t="n"/>
      <c r="MRZ238" s="2" t="n"/>
      <c r="MSA238" s="2" t="n"/>
      <c r="MSB238" s="2" t="n"/>
      <c r="MSC238" s="2" t="n"/>
      <c r="MSD238" s="2" t="n"/>
      <c r="MSE238" s="2" t="n"/>
      <c r="MSF238" s="2" t="n"/>
      <c r="MSG238" s="2" t="n"/>
      <c r="MSH238" s="2" t="n"/>
      <c r="MSI238" s="2" t="n"/>
      <c r="MSJ238" s="2" t="n"/>
      <c r="MSK238" s="2" t="n"/>
      <c r="MSL238" s="2" t="n"/>
      <c r="MSM238" s="2" t="n"/>
      <c r="MSN238" s="2" t="n"/>
      <c r="MSO238" s="2" t="n"/>
      <c r="MSP238" s="2" t="n"/>
      <c r="MSQ238" s="2" t="n"/>
      <c r="MSR238" s="2" t="n"/>
      <c r="MSS238" s="2" t="n"/>
      <c r="MST238" s="2" t="n"/>
      <c r="MSU238" s="2" t="n"/>
      <c r="MSV238" s="2" t="n"/>
      <c r="MSW238" s="2" t="n"/>
      <c r="MSX238" s="2" t="n"/>
      <c r="MSY238" s="2" t="n"/>
      <c r="MSZ238" s="2" t="n"/>
      <c r="MTA238" s="2" t="n"/>
      <c r="MTB238" s="2" t="n"/>
      <c r="MTC238" s="2" t="n"/>
      <c r="MTD238" s="2" t="n"/>
      <c r="MTE238" s="2" t="n"/>
      <c r="MTF238" s="2" t="n"/>
      <c r="MTG238" s="2" t="n"/>
      <c r="MTH238" s="2" t="n"/>
      <c r="MTI238" s="2" t="n"/>
      <c r="MTJ238" s="2" t="n"/>
      <c r="MTK238" s="2" t="n"/>
      <c r="MTL238" s="2" t="n"/>
      <c r="MTM238" s="2" t="n"/>
      <c r="MTN238" s="2" t="n"/>
      <c r="MTO238" s="2" t="n"/>
      <c r="MTP238" s="2" t="n"/>
      <c r="MTQ238" s="2" t="n"/>
      <c r="MTR238" s="2" t="n"/>
      <c r="MTS238" s="2" t="n"/>
      <c r="MTT238" s="2" t="n"/>
      <c r="MTU238" s="2" t="n"/>
      <c r="MTV238" s="2" t="n"/>
      <c r="MTW238" s="2" t="n"/>
      <c r="MTX238" s="2" t="n"/>
      <c r="MTY238" s="2" t="n"/>
      <c r="MTZ238" s="2" t="n"/>
      <c r="MUA238" s="2" t="n"/>
      <c r="MUB238" s="2" t="n"/>
      <c r="MUC238" s="2" t="n"/>
      <c r="MUD238" s="2" t="n"/>
      <c r="MUE238" s="2" t="n"/>
      <c r="MUF238" s="2" t="n"/>
      <c r="MUG238" s="2" t="n"/>
      <c r="MUH238" s="2" t="n"/>
      <c r="MUI238" s="2" t="n"/>
      <c r="MUJ238" s="2" t="n"/>
      <c r="MUK238" s="2" t="n"/>
      <c r="MUL238" s="2" t="n"/>
      <c r="MUM238" s="2" t="n"/>
      <c r="MUN238" s="2" t="n"/>
      <c r="MUO238" s="2" t="n"/>
      <c r="MUP238" s="2" t="n"/>
      <c r="MUQ238" s="2" t="n"/>
      <c r="MUR238" s="2" t="n"/>
      <c r="MUS238" s="2" t="n"/>
      <c r="MUT238" s="2" t="n"/>
      <c r="MUU238" s="2" t="n"/>
      <c r="MUV238" s="2" t="n"/>
      <c r="MUW238" s="2" t="n"/>
      <c r="MUX238" s="2" t="n"/>
      <c r="MUY238" s="2" t="n"/>
      <c r="MUZ238" s="2" t="n"/>
      <c r="MVA238" s="2" t="n"/>
      <c r="MVB238" s="2" t="n"/>
      <c r="MVC238" s="2" t="n"/>
      <c r="MVD238" s="2" t="n"/>
      <c r="MVE238" s="2" t="n"/>
      <c r="MVF238" s="2" t="n"/>
      <c r="MVG238" s="2" t="n"/>
      <c r="MVH238" s="2" t="n"/>
      <c r="MVI238" s="2" t="n"/>
      <c r="MVJ238" s="2" t="n"/>
      <c r="MVK238" s="2" t="n"/>
      <c r="MVL238" s="2" t="n"/>
      <c r="MVM238" s="2" t="n"/>
      <c r="MVN238" s="2" t="n"/>
      <c r="MVO238" s="2" t="n"/>
      <c r="MVP238" s="2" t="n"/>
      <c r="MVQ238" s="2" t="n"/>
      <c r="MVR238" s="2" t="n"/>
      <c r="MVS238" s="2" t="n"/>
      <c r="MVT238" s="2" t="n"/>
      <c r="MVU238" s="2" t="n"/>
      <c r="MVV238" s="2" t="n"/>
      <c r="MVW238" s="2" t="n"/>
      <c r="MVX238" s="2" t="n"/>
      <c r="MVY238" s="2" t="n"/>
      <c r="MVZ238" s="2" t="n"/>
      <c r="MWA238" s="2" t="n"/>
      <c r="MWB238" s="2" t="n"/>
      <c r="MWC238" s="2" t="n"/>
      <c r="MWD238" s="2" t="n"/>
      <c r="MWE238" s="2" t="n"/>
      <c r="MWF238" s="2" t="n"/>
      <c r="MWG238" s="2" t="n"/>
      <c r="MWH238" s="2" t="n"/>
      <c r="MWI238" s="2" t="n"/>
      <c r="MWJ238" s="2" t="n"/>
      <c r="MWK238" s="2" t="n"/>
      <c r="MWL238" s="2" t="n"/>
      <c r="MWM238" s="2" t="n"/>
      <c r="MWN238" s="2" t="n"/>
      <c r="MWO238" s="2" t="n"/>
      <c r="MWP238" s="2" t="n"/>
      <c r="MWQ238" s="2" t="n"/>
      <c r="MWR238" s="2" t="n"/>
      <c r="MWS238" s="2" t="n"/>
      <c r="MWT238" s="2" t="n"/>
      <c r="MWU238" s="2" t="n"/>
      <c r="MWV238" s="2" t="n"/>
      <c r="MWW238" s="2" t="n"/>
      <c r="MWX238" s="2" t="n"/>
      <c r="MWY238" s="2" t="n"/>
      <c r="MWZ238" s="2" t="n"/>
      <c r="MXA238" s="2" t="n"/>
      <c r="MXB238" s="2" t="n"/>
      <c r="MXC238" s="2" t="n"/>
      <c r="MXD238" s="2" t="n"/>
      <c r="MXE238" s="2" t="n"/>
      <c r="MXF238" s="2" t="n"/>
      <c r="MXG238" s="2" t="n"/>
      <c r="MXH238" s="2" t="n"/>
      <c r="MXI238" s="2" t="n"/>
      <c r="MXJ238" s="2" t="n"/>
      <c r="MXK238" s="2" t="n"/>
      <c r="MXL238" s="2" t="n"/>
      <c r="MXM238" s="2" t="n"/>
      <c r="MXN238" s="2" t="n"/>
      <c r="MXO238" s="2" t="n"/>
      <c r="MXP238" s="2" t="n"/>
      <c r="MXQ238" s="2" t="n"/>
      <c r="MXR238" s="2" t="n"/>
      <c r="MXS238" s="2" t="n"/>
      <c r="MXT238" s="2" t="n"/>
      <c r="MXU238" s="2" t="n"/>
      <c r="MXV238" s="2" t="n"/>
      <c r="MXW238" s="2" t="n"/>
      <c r="MXX238" s="2" t="n"/>
      <c r="MXY238" s="2" t="n"/>
      <c r="MXZ238" s="2" t="n"/>
      <c r="MYA238" s="2" t="n"/>
      <c r="MYB238" s="2" t="n"/>
      <c r="MYC238" s="2" t="n"/>
      <c r="MYD238" s="2" t="n"/>
      <c r="MYE238" s="2" t="n"/>
      <c r="MYF238" s="2" t="n"/>
      <c r="MYG238" s="2" t="n"/>
      <c r="MYH238" s="2" t="n"/>
      <c r="MYI238" s="2" t="n"/>
      <c r="MYJ238" s="2" t="n"/>
      <c r="MYK238" s="2" t="n"/>
      <c r="MYL238" s="2" t="n"/>
      <c r="MYM238" s="2" t="n"/>
      <c r="MYN238" s="2" t="n"/>
      <c r="MYO238" s="2" t="n"/>
      <c r="MYP238" s="2" t="n"/>
      <c r="MYQ238" s="2" t="n"/>
      <c r="MYR238" s="2" t="n"/>
      <c r="MYS238" s="2" t="n"/>
      <c r="MYT238" s="2" t="n"/>
      <c r="MYU238" s="2" t="n"/>
      <c r="MYV238" s="2" t="n"/>
      <c r="MYW238" s="2" t="n"/>
      <c r="MYX238" s="2" t="n"/>
      <c r="MYY238" s="2" t="n"/>
      <c r="MYZ238" s="2" t="n"/>
      <c r="MZA238" s="2" t="n"/>
      <c r="MZB238" s="2" t="n"/>
      <c r="MZC238" s="2" t="n"/>
      <c r="MZD238" s="2" t="n"/>
      <c r="MZE238" s="2" t="n"/>
      <c r="MZF238" s="2" t="n"/>
      <c r="MZG238" s="2" t="n"/>
      <c r="MZH238" s="2" t="n"/>
      <c r="MZI238" s="2" t="n"/>
      <c r="MZJ238" s="2" t="n"/>
      <c r="MZK238" s="2" t="n"/>
      <c r="MZL238" s="2" t="n"/>
      <c r="MZM238" s="2" t="n"/>
      <c r="MZN238" s="2" t="n"/>
      <c r="MZO238" s="2" t="n"/>
      <c r="MZP238" s="2" t="n"/>
      <c r="MZQ238" s="2" t="n"/>
      <c r="MZR238" s="2" t="n"/>
      <c r="MZS238" s="2" t="n"/>
      <c r="MZT238" s="2" t="n"/>
      <c r="MZU238" s="2" t="n"/>
      <c r="MZV238" s="2" t="n"/>
      <c r="MZW238" s="2" t="n"/>
      <c r="MZX238" s="2" t="n"/>
      <c r="MZY238" s="2" t="n"/>
      <c r="MZZ238" s="2" t="n"/>
      <c r="NAA238" s="2" t="n"/>
      <c r="NAB238" s="2" t="n"/>
      <c r="NAC238" s="2" t="n"/>
      <c r="NAD238" s="2" t="n"/>
      <c r="NAE238" s="2" t="n"/>
      <c r="NAF238" s="2" t="n"/>
      <c r="NAG238" s="2" t="n"/>
      <c r="NAH238" s="2" t="n"/>
      <c r="NAI238" s="2" t="n"/>
      <c r="NAJ238" s="2" t="n"/>
      <c r="NAK238" s="2" t="n"/>
      <c r="NAL238" s="2" t="n"/>
      <c r="NAM238" s="2" t="n"/>
      <c r="NAN238" s="2" t="n"/>
      <c r="NAO238" s="2" t="n"/>
      <c r="NAP238" s="2" t="n"/>
      <c r="NAQ238" s="2" t="n"/>
      <c r="NAR238" s="2" t="n"/>
      <c r="NAS238" s="2" t="n"/>
      <c r="NAT238" s="2" t="n"/>
      <c r="NAU238" s="2" t="n"/>
      <c r="NAV238" s="2" t="n"/>
      <c r="NAW238" s="2" t="n"/>
      <c r="NAX238" s="2" t="n"/>
      <c r="NAY238" s="2" t="n"/>
      <c r="NAZ238" s="2" t="n"/>
      <c r="NBA238" s="2" t="n"/>
      <c r="NBB238" s="2" t="n"/>
      <c r="NBC238" s="2" t="n"/>
      <c r="NBD238" s="2" t="n"/>
      <c r="NBE238" s="2" t="n"/>
      <c r="NBF238" s="2" t="n"/>
      <c r="NBG238" s="2" t="n"/>
      <c r="NBH238" s="2" t="n"/>
      <c r="NBI238" s="2" t="n"/>
      <c r="NBJ238" s="2" t="n"/>
      <c r="NBK238" s="2" t="n"/>
      <c r="NBL238" s="2" t="n"/>
      <c r="NBM238" s="2" t="n"/>
      <c r="NBN238" s="2" t="n"/>
      <c r="NBO238" s="2" t="n"/>
      <c r="NBP238" s="2" t="n"/>
      <c r="NBQ238" s="2" t="n"/>
      <c r="NBR238" s="2" t="n"/>
      <c r="NBS238" s="2" t="n"/>
      <c r="NBT238" s="2" t="n"/>
      <c r="NBU238" s="2" t="n"/>
      <c r="NBV238" s="2" t="n"/>
      <c r="NBW238" s="2" t="n"/>
      <c r="NBX238" s="2" t="n"/>
      <c r="NBY238" s="2" t="n"/>
      <c r="NBZ238" s="2" t="n"/>
      <c r="NCA238" s="2" t="n"/>
      <c r="NCB238" s="2" t="n"/>
      <c r="NCC238" s="2" t="n"/>
      <c r="NCD238" s="2" t="n"/>
      <c r="NCE238" s="2" t="n"/>
      <c r="NCF238" s="2" t="n"/>
      <c r="NCG238" s="2" t="n"/>
      <c r="NCH238" s="2" t="n"/>
      <c r="NCI238" s="2" t="n"/>
      <c r="NCJ238" s="2" t="n"/>
      <c r="NCK238" s="2" t="n"/>
      <c r="NCL238" s="2" t="n"/>
      <c r="NCM238" s="2" t="n"/>
      <c r="NCN238" s="2" t="n"/>
      <c r="NCO238" s="2" t="n"/>
      <c r="NCP238" s="2" t="n"/>
      <c r="NCQ238" s="2" t="n"/>
      <c r="NCR238" s="2" t="n"/>
      <c r="NCS238" s="2" t="n"/>
      <c r="NCT238" s="2" t="n"/>
      <c r="NCU238" s="2" t="n"/>
      <c r="NCV238" s="2" t="n"/>
      <c r="NCW238" s="2" t="n"/>
      <c r="NCX238" s="2" t="n"/>
      <c r="NCY238" s="2" t="n"/>
      <c r="NCZ238" s="2" t="n"/>
      <c r="NDA238" s="2" t="n"/>
      <c r="NDB238" s="2" t="n"/>
      <c r="NDC238" s="2" t="n"/>
      <c r="NDD238" s="2" t="n"/>
      <c r="NDE238" s="2" t="n"/>
      <c r="NDF238" s="2" t="n"/>
      <c r="NDG238" s="2" t="n"/>
      <c r="NDH238" s="2" t="n"/>
      <c r="NDI238" s="2" t="n"/>
      <c r="NDJ238" s="2" t="n"/>
      <c r="NDK238" s="2" t="n"/>
      <c r="NDL238" s="2" t="n"/>
      <c r="NDM238" s="2" t="n"/>
      <c r="NDN238" s="2" t="n"/>
      <c r="NDO238" s="2" t="n"/>
      <c r="NDP238" s="2" t="n"/>
      <c r="NDQ238" s="2" t="n"/>
      <c r="NDR238" s="2" t="n"/>
      <c r="NDS238" s="2" t="n"/>
      <c r="NDT238" s="2" t="n"/>
      <c r="NDU238" s="2" t="n"/>
      <c r="NDV238" s="2" t="n"/>
      <c r="NDW238" s="2" t="n"/>
      <c r="NDX238" s="2" t="n"/>
      <c r="NDY238" s="2" t="n"/>
      <c r="NDZ238" s="2" t="n"/>
      <c r="NEA238" s="2" t="n"/>
      <c r="NEB238" s="2" t="n"/>
      <c r="NEC238" s="2" t="n"/>
      <c r="NED238" s="2" t="n"/>
      <c r="NEE238" s="2" t="n"/>
      <c r="NEF238" s="2" t="n"/>
      <c r="NEG238" s="2" t="n"/>
      <c r="NEH238" s="2" t="n"/>
      <c r="NEI238" s="2" t="n"/>
      <c r="NEJ238" s="2" t="n"/>
      <c r="NEK238" s="2" t="n"/>
      <c r="NEL238" s="2" t="n"/>
      <c r="NEM238" s="2" t="n"/>
      <c r="NEN238" s="2" t="n"/>
      <c r="NEO238" s="2" t="n"/>
      <c r="NEP238" s="2" t="n"/>
      <c r="NEQ238" s="2" t="n"/>
      <c r="NER238" s="2" t="n"/>
      <c r="NES238" s="2" t="n"/>
      <c r="NET238" s="2" t="n"/>
      <c r="NEU238" s="2" t="n"/>
      <c r="NEV238" s="2" t="n"/>
      <c r="NEW238" s="2" t="n"/>
      <c r="NEX238" s="2" t="n"/>
      <c r="NEY238" s="2" t="n"/>
      <c r="NEZ238" s="2" t="n"/>
      <c r="NFA238" s="2" t="n"/>
      <c r="NFB238" s="2" t="n"/>
      <c r="NFC238" s="2" t="n"/>
      <c r="NFD238" s="2" t="n"/>
      <c r="NFE238" s="2" t="n"/>
      <c r="NFF238" s="2" t="n"/>
      <c r="NFG238" s="2" t="n"/>
      <c r="NFH238" s="2" t="n"/>
      <c r="NFI238" s="2" t="n"/>
      <c r="NFJ238" s="2" t="n"/>
      <c r="NFK238" s="2" t="n"/>
      <c r="NFL238" s="2" t="n"/>
      <c r="NFM238" s="2" t="n"/>
      <c r="NFN238" s="2" t="n"/>
      <c r="NFO238" s="2" t="n"/>
      <c r="NFP238" s="2" t="n"/>
      <c r="NFQ238" s="2" t="n"/>
      <c r="NFR238" s="2" t="n"/>
      <c r="NFS238" s="2" t="n"/>
      <c r="NFT238" s="2" t="n"/>
      <c r="NFU238" s="2" t="n"/>
      <c r="NFV238" s="2" t="n"/>
      <c r="NFW238" s="2" t="n"/>
      <c r="NFX238" s="2" t="n"/>
      <c r="NFY238" s="2" t="n"/>
      <c r="NFZ238" s="2" t="n"/>
      <c r="NGA238" s="2" t="n"/>
      <c r="NGB238" s="2" t="n"/>
      <c r="NGC238" s="2" t="n"/>
      <c r="NGD238" s="2" t="n"/>
      <c r="NGE238" s="2" t="n"/>
      <c r="NGF238" s="2" t="n"/>
      <c r="NGG238" s="2" t="n"/>
      <c r="NGH238" s="2" t="n"/>
      <c r="NGI238" s="2" t="n"/>
      <c r="NGJ238" s="2" t="n"/>
      <c r="NGK238" s="2" t="n"/>
      <c r="NGL238" s="2" t="n"/>
      <c r="NGM238" s="2" t="n"/>
      <c r="NGN238" s="2" t="n"/>
      <c r="NGO238" s="2" t="n"/>
      <c r="NGP238" s="2" t="n"/>
      <c r="NGQ238" s="2" t="n"/>
      <c r="NGR238" s="2" t="n"/>
      <c r="NGS238" s="2" t="n"/>
      <c r="NGT238" s="2" t="n"/>
      <c r="NGU238" s="2" t="n"/>
      <c r="NGV238" s="2" t="n"/>
      <c r="NGW238" s="2" t="n"/>
      <c r="NGX238" s="2" t="n"/>
      <c r="NGY238" s="2" t="n"/>
      <c r="NGZ238" s="2" t="n"/>
      <c r="NHA238" s="2" t="n"/>
      <c r="NHB238" s="2" t="n"/>
      <c r="NHC238" s="2" t="n"/>
      <c r="NHD238" s="2" t="n"/>
      <c r="NHE238" s="2" t="n"/>
      <c r="NHF238" s="2" t="n"/>
      <c r="NHG238" s="2" t="n"/>
      <c r="NHH238" s="2" t="n"/>
      <c r="NHI238" s="2" t="n"/>
      <c r="NHJ238" s="2" t="n"/>
      <c r="NHK238" s="2" t="n"/>
      <c r="NHL238" s="2" t="n"/>
      <c r="NHM238" s="2" t="n"/>
      <c r="NHN238" s="2" t="n"/>
      <c r="NHO238" s="2" t="n"/>
      <c r="NHP238" s="2" t="n"/>
      <c r="NHQ238" s="2" t="n"/>
      <c r="NHR238" s="2" t="n"/>
      <c r="NHS238" s="2" t="n"/>
      <c r="NHT238" s="2" t="n"/>
      <c r="NHU238" s="2" t="n"/>
      <c r="NHV238" s="2" t="n"/>
      <c r="NHW238" s="2" t="n"/>
      <c r="NHX238" s="2" t="n"/>
      <c r="NHY238" s="2" t="n"/>
      <c r="NHZ238" s="2" t="n"/>
      <c r="NIA238" s="2" t="n"/>
      <c r="NIB238" s="2" t="n"/>
      <c r="NIC238" s="2" t="n"/>
      <c r="NID238" s="2" t="n"/>
      <c r="NIE238" s="2" t="n"/>
      <c r="NIF238" s="2" t="n"/>
      <c r="NIG238" s="2" t="n"/>
      <c r="NIH238" s="2" t="n"/>
      <c r="NII238" s="2" t="n"/>
      <c r="NIJ238" s="2" t="n"/>
      <c r="NIK238" s="2" t="n"/>
      <c r="NIL238" s="2" t="n"/>
      <c r="NIM238" s="2" t="n"/>
      <c r="NIN238" s="2" t="n"/>
      <c r="NIO238" s="2" t="n"/>
      <c r="NIP238" s="2" t="n"/>
      <c r="NIQ238" s="2" t="n"/>
      <c r="NIR238" s="2" t="n"/>
      <c r="NIS238" s="2" t="n"/>
      <c r="NIT238" s="2" t="n"/>
      <c r="NIU238" s="2" t="n"/>
      <c r="NIV238" s="2" t="n"/>
      <c r="NIW238" s="2" t="n"/>
      <c r="NIX238" s="2" t="n"/>
      <c r="NIY238" s="2" t="n"/>
      <c r="NIZ238" s="2" t="n"/>
      <c r="NJA238" s="2" t="n"/>
      <c r="NJB238" s="2" t="n"/>
      <c r="NJC238" s="2" t="n"/>
      <c r="NJD238" s="2" t="n"/>
      <c r="NJE238" s="2" t="n"/>
      <c r="NJF238" s="2" t="n"/>
      <c r="NJG238" s="2" t="n"/>
      <c r="NJH238" s="2" t="n"/>
      <c r="NJI238" s="2" t="n"/>
      <c r="NJJ238" s="2" t="n"/>
      <c r="NJK238" s="2" t="n"/>
      <c r="NJL238" s="2" t="n"/>
      <c r="NJM238" s="2" t="n"/>
      <c r="NJN238" s="2" t="n"/>
      <c r="NJO238" s="2" t="n"/>
      <c r="NJP238" s="2" t="n"/>
      <c r="NJQ238" s="2" t="n"/>
      <c r="NJR238" s="2" t="n"/>
      <c r="NJS238" s="2" t="n"/>
      <c r="NJT238" s="2" t="n"/>
      <c r="NJU238" s="2" t="n"/>
      <c r="NJV238" s="2" t="n"/>
      <c r="NJW238" s="2" t="n"/>
      <c r="NJX238" s="2" t="n"/>
      <c r="NJY238" s="2" t="n"/>
      <c r="NJZ238" s="2" t="n"/>
      <c r="NKA238" s="2" t="n"/>
      <c r="NKB238" s="2" t="n"/>
      <c r="NKC238" s="2" t="n"/>
      <c r="NKD238" s="2" t="n"/>
      <c r="NKE238" s="2" t="n"/>
      <c r="NKF238" s="2" t="n"/>
      <c r="NKG238" s="2" t="n"/>
      <c r="NKH238" s="2" t="n"/>
      <c r="NKI238" s="2" t="n"/>
      <c r="NKJ238" s="2" t="n"/>
      <c r="NKK238" s="2" t="n"/>
      <c r="NKL238" s="2" t="n"/>
      <c r="NKM238" s="2" t="n"/>
      <c r="NKN238" s="2" t="n"/>
      <c r="NKO238" s="2" t="n"/>
      <c r="NKP238" s="2" t="n"/>
      <c r="NKQ238" s="2" t="n"/>
      <c r="NKR238" s="2" t="n"/>
      <c r="NKS238" s="2" t="n"/>
      <c r="NKT238" s="2" t="n"/>
      <c r="NKU238" s="2" t="n"/>
      <c r="NKV238" s="2" t="n"/>
      <c r="NKW238" s="2" t="n"/>
      <c r="NKX238" s="2" t="n"/>
      <c r="NKY238" s="2" t="n"/>
      <c r="NKZ238" s="2" t="n"/>
      <c r="NLA238" s="2" t="n"/>
      <c r="NLB238" s="2" t="n"/>
      <c r="NLC238" s="2" t="n"/>
      <c r="NLD238" s="2" t="n"/>
      <c r="NLE238" s="2" t="n"/>
      <c r="NLF238" s="2" t="n"/>
      <c r="NLG238" s="2" t="n"/>
      <c r="NLH238" s="2" t="n"/>
      <c r="NLI238" s="2" t="n"/>
      <c r="NLJ238" s="2" t="n"/>
      <c r="NLK238" s="2" t="n"/>
      <c r="NLL238" s="2" t="n"/>
      <c r="NLM238" s="2" t="n"/>
      <c r="NLN238" s="2" t="n"/>
      <c r="NLO238" s="2" t="n"/>
      <c r="NLP238" s="2" t="n"/>
      <c r="NLQ238" s="2" t="n"/>
      <c r="NLR238" s="2" t="n"/>
      <c r="NLS238" s="2" t="n"/>
      <c r="NLT238" s="2" t="n"/>
      <c r="NLU238" s="2" t="n"/>
      <c r="NLV238" s="2" t="n"/>
      <c r="NLW238" s="2" t="n"/>
      <c r="NLX238" s="2" t="n"/>
      <c r="NLY238" s="2" t="n"/>
      <c r="NLZ238" s="2" t="n"/>
      <c r="NMA238" s="2" t="n"/>
      <c r="NMB238" s="2" t="n"/>
      <c r="NMC238" s="2" t="n"/>
      <c r="NMD238" s="2" t="n"/>
      <c r="NME238" s="2" t="n"/>
      <c r="NMF238" s="2" t="n"/>
      <c r="NMG238" s="2" t="n"/>
      <c r="NMH238" s="2" t="n"/>
      <c r="NMI238" s="2" t="n"/>
      <c r="NMJ238" s="2" t="n"/>
      <c r="NMK238" s="2" t="n"/>
      <c r="NML238" s="2" t="n"/>
      <c r="NMM238" s="2" t="n"/>
      <c r="NMN238" s="2" t="n"/>
      <c r="NMO238" s="2" t="n"/>
      <c r="NMP238" s="2" t="n"/>
      <c r="NMQ238" s="2" t="n"/>
      <c r="NMR238" s="2" t="n"/>
      <c r="NMS238" s="2" t="n"/>
      <c r="NMT238" s="2" t="n"/>
      <c r="NMU238" s="2" t="n"/>
      <c r="NMV238" s="2" t="n"/>
      <c r="NMW238" s="2" t="n"/>
      <c r="NMX238" s="2" t="n"/>
      <c r="NMY238" s="2" t="n"/>
      <c r="NMZ238" s="2" t="n"/>
      <c r="NNA238" s="2" t="n"/>
      <c r="NNB238" s="2" t="n"/>
      <c r="NNC238" s="2" t="n"/>
      <c r="NND238" s="2" t="n"/>
      <c r="NNE238" s="2" t="n"/>
      <c r="NNF238" s="2" t="n"/>
      <c r="NNG238" s="2" t="n"/>
      <c r="NNH238" s="2" t="n"/>
      <c r="NNI238" s="2" t="n"/>
      <c r="NNJ238" s="2" t="n"/>
      <c r="NNK238" s="2" t="n"/>
      <c r="NNL238" s="2" t="n"/>
      <c r="NNM238" s="2" t="n"/>
      <c r="NNN238" s="2" t="n"/>
      <c r="NNO238" s="2" t="n"/>
      <c r="NNP238" s="2" t="n"/>
      <c r="NNQ238" s="2" t="n"/>
      <c r="NNR238" s="2" t="n"/>
      <c r="NNS238" s="2" t="n"/>
      <c r="NNT238" s="2" t="n"/>
      <c r="NNU238" s="2" t="n"/>
      <c r="NNV238" s="2" t="n"/>
      <c r="NNW238" s="2" t="n"/>
      <c r="NNX238" s="2" t="n"/>
      <c r="NNY238" s="2" t="n"/>
      <c r="NNZ238" s="2" t="n"/>
      <c r="NOA238" s="2" t="n"/>
      <c r="NOB238" s="2" t="n"/>
      <c r="NOC238" s="2" t="n"/>
      <c r="NOD238" s="2" t="n"/>
      <c r="NOE238" s="2" t="n"/>
      <c r="NOF238" s="2" t="n"/>
      <c r="NOG238" s="2" t="n"/>
      <c r="NOH238" s="2" t="n"/>
      <c r="NOI238" s="2" t="n"/>
      <c r="NOJ238" s="2" t="n"/>
      <c r="NOK238" s="2" t="n"/>
      <c r="NOL238" s="2" t="n"/>
      <c r="NOM238" s="2" t="n"/>
      <c r="NON238" s="2" t="n"/>
      <c r="NOO238" s="2" t="n"/>
      <c r="NOP238" s="2" t="n"/>
      <c r="NOQ238" s="2" t="n"/>
      <c r="NOR238" s="2" t="n"/>
      <c r="NOS238" s="2" t="n"/>
      <c r="NOT238" s="2" t="n"/>
      <c r="NOU238" s="2" t="n"/>
      <c r="NOV238" s="2" t="n"/>
      <c r="NOW238" s="2" t="n"/>
      <c r="NOX238" s="2" t="n"/>
      <c r="NOY238" s="2" t="n"/>
      <c r="NOZ238" s="2" t="n"/>
      <c r="NPA238" s="2" t="n"/>
      <c r="NPB238" s="2" t="n"/>
      <c r="NPC238" s="2" t="n"/>
      <c r="NPD238" s="2" t="n"/>
      <c r="NPE238" s="2" t="n"/>
      <c r="NPF238" s="2" t="n"/>
      <c r="NPG238" s="2" t="n"/>
      <c r="NPH238" s="2" t="n"/>
      <c r="NPI238" s="2" t="n"/>
      <c r="NPJ238" s="2" t="n"/>
      <c r="NPK238" s="2" t="n"/>
      <c r="NPL238" s="2" t="n"/>
      <c r="NPM238" s="2" t="n"/>
      <c r="NPN238" s="2" t="n"/>
      <c r="NPO238" s="2" t="n"/>
      <c r="NPP238" s="2" t="n"/>
      <c r="NPQ238" s="2" t="n"/>
      <c r="NPR238" s="2" t="n"/>
      <c r="NPS238" s="2" t="n"/>
      <c r="NPT238" s="2" t="n"/>
      <c r="NPU238" s="2" t="n"/>
      <c r="NPV238" s="2" t="n"/>
      <c r="NPW238" s="2" t="n"/>
      <c r="NPX238" s="2" t="n"/>
      <c r="NPY238" s="2" t="n"/>
      <c r="NPZ238" s="2" t="n"/>
      <c r="NQA238" s="2" t="n"/>
      <c r="NQB238" s="2" t="n"/>
      <c r="NQC238" s="2" t="n"/>
      <c r="NQD238" s="2" t="n"/>
      <c r="NQE238" s="2" t="n"/>
      <c r="NQF238" s="2" t="n"/>
      <c r="NQG238" s="2" t="n"/>
      <c r="NQH238" s="2" t="n"/>
      <c r="NQI238" s="2" t="n"/>
      <c r="NQJ238" s="2" t="n"/>
      <c r="NQK238" s="2" t="n"/>
      <c r="NQL238" s="2" t="n"/>
      <c r="NQM238" s="2" t="n"/>
      <c r="NQN238" s="2" t="n"/>
      <c r="NQO238" s="2" t="n"/>
      <c r="NQP238" s="2" t="n"/>
      <c r="NQQ238" s="2" t="n"/>
      <c r="NQR238" s="2" t="n"/>
      <c r="NQS238" s="2" t="n"/>
      <c r="NQT238" s="2" t="n"/>
      <c r="NQU238" s="2" t="n"/>
      <c r="NQV238" s="2" t="n"/>
      <c r="NQW238" s="2" t="n"/>
      <c r="NQX238" s="2" t="n"/>
      <c r="NQY238" s="2" t="n"/>
      <c r="NQZ238" s="2" t="n"/>
      <c r="NRA238" s="2" t="n"/>
      <c r="NRB238" s="2" t="n"/>
      <c r="NRC238" s="2" t="n"/>
      <c r="NRD238" s="2" t="n"/>
      <c r="NRE238" s="2" t="n"/>
      <c r="NRF238" s="2" t="n"/>
      <c r="NRG238" s="2" t="n"/>
      <c r="NRH238" s="2" t="n"/>
      <c r="NRI238" s="2" t="n"/>
      <c r="NRJ238" s="2" t="n"/>
      <c r="NRK238" s="2" t="n"/>
      <c r="NRL238" s="2" t="n"/>
      <c r="NRM238" s="2" t="n"/>
      <c r="NRN238" s="2" t="n"/>
      <c r="NRO238" s="2" t="n"/>
      <c r="NRP238" s="2" t="n"/>
      <c r="NRQ238" s="2" t="n"/>
      <c r="NRR238" s="2" t="n"/>
      <c r="NRS238" s="2" t="n"/>
      <c r="NRT238" s="2" t="n"/>
      <c r="NRU238" s="2" t="n"/>
      <c r="NRV238" s="2" t="n"/>
      <c r="NRW238" s="2" t="n"/>
      <c r="NRX238" s="2" t="n"/>
      <c r="NRY238" s="2" t="n"/>
      <c r="NRZ238" s="2" t="n"/>
      <c r="NSA238" s="2" t="n"/>
      <c r="NSB238" s="2" t="n"/>
      <c r="NSC238" s="2" t="n"/>
      <c r="NSD238" s="2" t="n"/>
      <c r="NSE238" s="2" t="n"/>
      <c r="NSF238" s="2" t="n"/>
      <c r="NSG238" s="2" t="n"/>
      <c r="NSH238" s="2" t="n"/>
      <c r="NSI238" s="2" t="n"/>
      <c r="NSJ238" s="2" t="n"/>
      <c r="NSK238" s="2" t="n"/>
      <c r="NSL238" s="2" t="n"/>
      <c r="NSM238" s="2" t="n"/>
      <c r="NSN238" s="2" t="n"/>
      <c r="NSO238" s="2" t="n"/>
      <c r="NSP238" s="2" t="n"/>
      <c r="NSQ238" s="2" t="n"/>
      <c r="NSR238" s="2" t="n"/>
      <c r="NSS238" s="2" t="n"/>
      <c r="NST238" s="2" t="n"/>
      <c r="NSU238" s="2" t="n"/>
      <c r="NSV238" s="2" t="n"/>
      <c r="NSW238" s="2" t="n"/>
      <c r="NSX238" s="2" t="n"/>
      <c r="NSY238" s="2" t="n"/>
      <c r="NSZ238" s="2" t="n"/>
      <c r="NTA238" s="2" t="n"/>
      <c r="NTB238" s="2" t="n"/>
      <c r="NTC238" s="2" t="n"/>
      <c r="NTD238" s="2" t="n"/>
      <c r="NTE238" s="2" t="n"/>
      <c r="NTF238" s="2" t="n"/>
      <c r="NTG238" s="2" t="n"/>
      <c r="NTH238" s="2" t="n"/>
      <c r="NTI238" s="2" t="n"/>
      <c r="NTJ238" s="2" t="n"/>
      <c r="NTK238" s="2" t="n"/>
      <c r="NTL238" s="2" t="n"/>
      <c r="NTM238" s="2" t="n"/>
      <c r="NTN238" s="2" t="n"/>
      <c r="NTO238" s="2" t="n"/>
      <c r="NTP238" s="2" t="n"/>
      <c r="NTQ238" s="2" t="n"/>
      <c r="NTR238" s="2" t="n"/>
      <c r="NTS238" s="2" t="n"/>
      <c r="NTT238" s="2" t="n"/>
      <c r="NTU238" s="2" t="n"/>
      <c r="NTV238" s="2" t="n"/>
      <c r="NTW238" s="2" t="n"/>
      <c r="NTX238" s="2" t="n"/>
      <c r="NTY238" s="2" t="n"/>
      <c r="NTZ238" s="2" t="n"/>
      <c r="NUA238" s="2" t="n"/>
      <c r="NUB238" s="2" t="n"/>
      <c r="NUC238" s="2" t="n"/>
      <c r="NUD238" s="2" t="n"/>
      <c r="NUE238" s="2" t="n"/>
      <c r="NUF238" s="2" t="n"/>
      <c r="NUG238" s="2" t="n"/>
      <c r="NUH238" s="2" t="n"/>
      <c r="NUI238" s="2" t="n"/>
      <c r="NUJ238" s="2" t="n"/>
      <c r="NUK238" s="2" t="n"/>
      <c r="NUL238" s="2" t="n"/>
      <c r="NUM238" s="2" t="n"/>
      <c r="NUN238" s="2" t="n"/>
      <c r="NUO238" s="2" t="n"/>
      <c r="NUP238" s="2" t="n"/>
      <c r="NUQ238" s="2" t="n"/>
      <c r="NUR238" s="2" t="n"/>
      <c r="NUS238" s="2" t="n"/>
      <c r="NUT238" s="2" t="n"/>
      <c r="NUU238" s="2" t="n"/>
      <c r="NUV238" s="2" t="n"/>
      <c r="NUW238" s="2" t="n"/>
      <c r="NUX238" s="2" t="n"/>
      <c r="NUY238" s="2" t="n"/>
      <c r="NUZ238" s="2" t="n"/>
      <c r="NVA238" s="2" t="n"/>
      <c r="NVB238" s="2" t="n"/>
      <c r="NVC238" s="2" t="n"/>
      <c r="NVD238" s="2" t="n"/>
      <c r="NVE238" s="2" t="n"/>
      <c r="NVF238" s="2" t="n"/>
      <c r="NVG238" s="2" t="n"/>
      <c r="NVH238" s="2" t="n"/>
      <c r="NVI238" s="2" t="n"/>
      <c r="NVJ238" s="2" t="n"/>
      <c r="NVK238" s="2" t="n"/>
      <c r="NVL238" s="2" t="n"/>
      <c r="NVM238" s="2" t="n"/>
      <c r="NVN238" s="2" t="n"/>
      <c r="NVO238" s="2" t="n"/>
      <c r="NVP238" s="2" t="n"/>
      <c r="NVQ238" s="2" t="n"/>
      <c r="NVR238" s="2" t="n"/>
      <c r="NVS238" s="2" t="n"/>
      <c r="NVT238" s="2" t="n"/>
      <c r="NVU238" s="2" t="n"/>
      <c r="NVV238" s="2" t="n"/>
      <c r="NVW238" s="2" t="n"/>
      <c r="NVX238" s="2" t="n"/>
      <c r="NVY238" s="2" t="n"/>
      <c r="NVZ238" s="2" t="n"/>
      <c r="NWA238" s="2" t="n"/>
      <c r="NWB238" s="2" t="n"/>
      <c r="NWC238" s="2" t="n"/>
      <c r="NWD238" s="2" t="n"/>
      <c r="NWE238" s="2" t="n"/>
      <c r="NWF238" s="2" t="n"/>
      <c r="NWG238" s="2" t="n"/>
      <c r="NWH238" s="2" t="n"/>
      <c r="NWI238" s="2" t="n"/>
      <c r="NWJ238" s="2" t="n"/>
      <c r="NWK238" s="2" t="n"/>
      <c r="NWL238" s="2" t="n"/>
      <c r="NWM238" s="2" t="n"/>
      <c r="NWN238" s="2" t="n"/>
      <c r="NWO238" s="2" t="n"/>
      <c r="NWP238" s="2" t="n"/>
      <c r="NWQ238" s="2" t="n"/>
      <c r="NWR238" s="2" t="n"/>
      <c r="NWS238" s="2" t="n"/>
      <c r="NWT238" s="2" t="n"/>
      <c r="NWU238" s="2" t="n"/>
      <c r="NWV238" s="2" t="n"/>
      <c r="NWW238" s="2" t="n"/>
      <c r="NWX238" s="2" t="n"/>
      <c r="NWY238" s="2" t="n"/>
      <c r="NWZ238" s="2" t="n"/>
      <c r="NXA238" s="2" t="n"/>
      <c r="NXB238" s="2" t="n"/>
      <c r="NXC238" s="2" t="n"/>
      <c r="NXD238" s="2" t="n"/>
      <c r="NXE238" s="2" t="n"/>
      <c r="NXF238" s="2" t="n"/>
      <c r="NXG238" s="2" t="n"/>
      <c r="NXH238" s="2" t="n"/>
      <c r="NXI238" s="2" t="n"/>
      <c r="NXJ238" s="2" t="n"/>
      <c r="NXK238" s="2" t="n"/>
      <c r="NXL238" s="2" t="n"/>
      <c r="NXM238" s="2" t="n"/>
      <c r="NXN238" s="2" t="n"/>
      <c r="NXO238" s="2" t="n"/>
      <c r="NXP238" s="2" t="n"/>
      <c r="NXQ238" s="2" t="n"/>
      <c r="NXR238" s="2" t="n"/>
      <c r="NXS238" s="2" t="n"/>
      <c r="NXT238" s="2" t="n"/>
      <c r="NXU238" s="2" t="n"/>
      <c r="NXV238" s="2" t="n"/>
      <c r="NXW238" s="2" t="n"/>
      <c r="NXX238" s="2" t="n"/>
      <c r="NXY238" s="2" t="n"/>
      <c r="NXZ238" s="2" t="n"/>
      <c r="NYA238" s="2" t="n"/>
      <c r="NYB238" s="2" t="n"/>
      <c r="NYC238" s="2" t="n"/>
      <c r="NYD238" s="2" t="n"/>
      <c r="NYE238" s="2" t="n"/>
      <c r="NYF238" s="2" t="n"/>
      <c r="NYG238" s="2" t="n"/>
      <c r="NYH238" s="2" t="n"/>
      <c r="NYI238" s="2" t="n"/>
      <c r="NYJ238" s="2" t="n"/>
      <c r="NYK238" s="2" t="n"/>
      <c r="NYL238" s="2" t="n"/>
      <c r="NYM238" s="2" t="n"/>
      <c r="NYN238" s="2" t="n"/>
      <c r="NYO238" s="2" t="n"/>
      <c r="NYP238" s="2" t="n"/>
      <c r="NYQ238" s="2" t="n"/>
      <c r="NYR238" s="2" t="n"/>
      <c r="NYS238" s="2" t="n"/>
      <c r="NYT238" s="2" t="n"/>
      <c r="NYU238" s="2" t="n"/>
      <c r="NYV238" s="2" t="n"/>
      <c r="NYW238" s="2" t="n"/>
      <c r="NYX238" s="2" t="n"/>
      <c r="NYY238" s="2" t="n"/>
      <c r="NYZ238" s="2" t="n"/>
      <c r="NZA238" s="2" t="n"/>
      <c r="NZB238" s="2" t="n"/>
      <c r="NZC238" s="2" t="n"/>
      <c r="NZD238" s="2" t="n"/>
      <c r="NZE238" s="2" t="n"/>
      <c r="NZF238" s="2" t="n"/>
      <c r="NZG238" s="2" t="n"/>
      <c r="NZH238" s="2" t="n"/>
      <c r="NZI238" s="2" t="n"/>
      <c r="NZJ238" s="2" t="n"/>
      <c r="NZK238" s="2" t="n"/>
      <c r="NZL238" s="2" t="n"/>
      <c r="NZM238" s="2" t="n"/>
      <c r="NZN238" s="2" t="n"/>
      <c r="NZO238" s="2" t="n"/>
      <c r="NZP238" s="2" t="n"/>
      <c r="NZQ238" s="2" t="n"/>
      <c r="NZR238" s="2" t="n"/>
      <c r="NZS238" s="2" t="n"/>
      <c r="NZT238" s="2" t="n"/>
      <c r="NZU238" s="2" t="n"/>
      <c r="NZV238" s="2" t="n"/>
      <c r="NZW238" s="2" t="n"/>
      <c r="NZX238" s="2" t="n"/>
      <c r="NZY238" s="2" t="n"/>
      <c r="NZZ238" s="2" t="n"/>
      <c r="OAA238" s="2" t="n"/>
      <c r="OAB238" s="2" t="n"/>
      <c r="OAC238" s="2" t="n"/>
      <c r="OAD238" s="2" t="n"/>
      <c r="OAE238" s="2" t="n"/>
      <c r="OAF238" s="2" t="n"/>
      <c r="OAG238" s="2" t="n"/>
      <c r="OAH238" s="2" t="n"/>
      <c r="OAI238" s="2" t="n"/>
      <c r="OAJ238" s="2" t="n"/>
      <c r="OAK238" s="2" t="n"/>
      <c r="OAL238" s="2" t="n"/>
      <c r="OAM238" s="2" t="n"/>
      <c r="OAN238" s="2" t="n"/>
      <c r="OAO238" s="2" t="n"/>
      <c r="OAP238" s="2" t="n"/>
      <c r="OAQ238" s="2" t="n"/>
      <c r="OAR238" s="2" t="n"/>
      <c r="OAS238" s="2" t="n"/>
      <c r="OAT238" s="2" t="n"/>
      <c r="OAU238" s="2" t="n"/>
      <c r="OAV238" s="2" t="n"/>
      <c r="OAW238" s="2" t="n"/>
      <c r="OAX238" s="2" t="n"/>
      <c r="OAY238" s="2" t="n"/>
      <c r="OAZ238" s="2" t="n"/>
      <c r="OBA238" s="2" t="n"/>
      <c r="OBB238" s="2" t="n"/>
      <c r="OBC238" s="2" t="n"/>
      <c r="OBD238" s="2" t="n"/>
      <c r="OBE238" s="2" t="n"/>
      <c r="OBF238" s="2" t="n"/>
      <c r="OBG238" s="2" t="n"/>
      <c r="OBH238" s="2" t="n"/>
      <c r="OBI238" s="2" t="n"/>
      <c r="OBJ238" s="2" t="n"/>
      <c r="OBK238" s="2" t="n"/>
      <c r="OBL238" s="2" t="n"/>
      <c r="OBM238" s="2" t="n"/>
      <c r="OBN238" s="2" t="n"/>
      <c r="OBO238" s="2" t="n"/>
      <c r="OBP238" s="2" t="n"/>
      <c r="OBQ238" s="2" t="n"/>
      <c r="OBR238" s="2" t="n"/>
      <c r="OBS238" s="2" t="n"/>
      <c r="OBT238" s="2" t="n"/>
      <c r="OBU238" s="2" t="n"/>
      <c r="OBV238" s="2" t="n"/>
      <c r="OBW238" s="2" t="n"/>
      <c r="OBX238" s="2" t="n"/>
      <c r="OBY238" s="2" t="n"/>
      <c r="OBZ238" s="2" t="n"/>
      <c r="OCA238" s="2" t="n"/>
      <c r="OCB238" s="2" t="n"/>
      <c r="OCC238" s="2" t="n"/>
      <c r="OCD238" s="2" t="n"/>
      <c r="OCE238" s="2" t="n"/>
      <c r="OCF238" s="2" t="n"/>
      <c r="OCG238" s="2" t="n"/>
      <c r="OCH238" s="2" t="n"/>
      <c r="OCI238" s="2" t="n"/>
      <c r="OCJ238" s="2" t="n"/>
      <c r="OCK238" s="2" t="n"/>
      <c r="OCL238" s="2" t="n"/>
      <c r="OCM238" s="2" t="n"/>
      <c r="OCN238" s="2" t="n"/>
      <c r="OCO238" s="2" t="n"/>
      <c r="OCP238" s="2" t="n"/>
      <c r="OCQ238" s="2" t="n"/>
      <c r="OCR238" s="2" t="n"/>
      <c r="OCS238" s="2" t="n"/>
      <c r="OCT238" s="2" t="n"/>
      <c r="OCU238" s="2" t="n"/>
      <c r="OCV238" s="2" t="n"/>
      <c r="OCW238" s="2" t="n"/>
      <c r="OCX238" s="2" t="n"/>
      <c r="OCY238" s="2" t="n"/>
      <c r="OCZ238" s="2" t="n"/>
      <c r="ODA238" s="2" t="n"/>
      <c r="ODB238" s="2" t="n"/>
      <c r="ODC238" s="2" t="n"/>
      <c r="ODD238" s="2" t="n"/>
      <c r="ODE238" s="2" t="n"/>
      <c r="ODF238" s="2" t="n"/>
      <c r="ODG238" s="2" t="n"/>
      <c r="ODH238" s="2" t="n"/>
      <c r="ODI238" s="2" t="n"/>
      <c r="ODJ238" s="2" t="n"/>
      <c r="ODK238" s="2" t="n"/>
      <c r="ODL238" s="2" t="n"/>
      <c r="ODM238" s="2" t="n"/>
      <c r="ODN238" s="2" t="n"/>
      <c r="ODO238" s="2" t="n"/>
      <c r="ODP238" s="2" t="n"/>
      <c r="ODQ238" s="2" t="n"/>
      <c r="ODR238" s="2" t="n"/>
      <c r="ODS238" s="2" t="n"/>
      <c r="ODT238" s="2" t="n"/>
      <c r="ODU238" s="2" t="n"/>
      <c r="ODV238" s="2" t="n"/>
      <c r="ODW238" s="2" t="n"/>
      <c r="ODX238" s="2" t="n"/>
      <c r="ODY238" s="2" t="n"/>
      <c r="ODZ238" s="2" t="n"/>
      <c r="OEA238" s="2" t="n"/>
      <c r="OEB238" s="2" t="n"/>
      <c r="OEC238" s="2" t="n"/>
      <c r="OED238" s="2" t="n"/>
      <c r="OEE238" s="2" t="n"/>
      <c r="OEF238" s="2" t="n"/>
      <c r="OEG238" s="2" t="n"/>
      <c r="OEH238" s="2" t="n"/>
      <c r="OEI238" s="2" t="n"/>
      <c r="OEJ238" s="2" t="n"/>
      <c r="OEK238" s="2" t="n"/>
      <c r="OEL238" s="2" t="n"/>
      <c r="OEM238" s="2" t="n"/>
      <c r="OEN238" s="2" t="n"/>
      <c r="OEO238" s="2" t="n"/>
      <c r="OEP238" s="2" t="n"/>
      <c r="OEQ238" s="2" t="n"/>
      <c r="OER238" s="2" t="n"/>
      <c r="OES238" s="2" t="n"/>
      <c r="OET238" s="2" t="n"/>
      <c r="OEU238" s="2" t="n"/>
      <c r="OEV238" s="2" t="n"/>
      <c r="OEW238" s="2" t="n"/>
      <c r="OEX238" s="2" t="n"/>
      <c r="OEY238" s="2" t="n"/>
      <c r="OEZ238" s="2" t="n"/>
      <c r="OFA238" s="2" t="n"/>
      <c r="OFB238" s="2" t="n"/>
      <c r="OFC238" s="2" t="n"/>
      <c r="OFD238" s="2" t="n"/>
      <c r="OFE238" s="2" t="n"/>
      <c r="OFF238" s="2" t="n"/>
      <c r="OFG238" s="2" t="n"/>
      <c r="OFH238" s="2" t="n"/>
      <c r="OFI238" s="2" t="n"/>
      <c r="OFJ238" s="2" t="n"/>
      <c r="OFK238" s="2" t="n"/>
      <c r="OFL238" s="2" t="n"/>
      <c r="OFM238" s="2" t="n"/>
      <c r="OFN238" s="2" t="n"/>
      <c r="OFO238" s="2" t="n"/>
      <c r="OFP238" s="2" t="n"/>
      <c r="OFQ238" s="2" t="n"/>
      <c r="OFR238" s="2" t="n"/>
      <c r="OFS238" s="2" t="n"/>
      <c r="OFT238" s="2" t="n"/>
      <c r="OFU238" s="2" t="n"/>
      <c r="OFV238" s="2" t="n"/>
      <c r="OFW238" s="2" t="n"/>
      <c r="OFX238" s="2" t="n"/>
      <c r="OFY238" s="2" t="n"/>
      <c r="OFZ238" s="2" t="n"/>
      <c r="OGA238" s="2" t="n"/>
      <c r="OGB238" s="2" t="n"/>
      <c r="OGC238" s="2" t="n"/>
      <c r="OGD238" s="2" t="n"/>
      <c r="OGE238" s="2" t="n"/>
      <c r="OGF238" s="2" t="n"/>
      <c r="OGG238" s="2" t="n"/>
      <c r="OGH238" s="2" t="n"/>
      <c r="OGI238" s="2" t="n"/>
      <c r="OGJ238" s="2" t="n"/>
      <c r="OGK238" s="2" t="n"/>
      <c r="OGL238" s="2" t="n"/>
      <c r="OGM238" s="2" t="n"/>
      <c r="OGN238" s="2" t="n"/>
      <c r="OGO238" s="2" t="n"/>
      <c r="OGP238" s="2" t="n"/>
      <c r="OGQ238" s="2" t="n"/>
      <c r="OGR238" s="2" t="n"/>
      <c r="OGS238" s="2" t="n"/>
      <c r="OGT238" s="2" t="n"/>
      <c r="OGU238" s="2" t="n"/>
      <c r="OGV238" s="2" t="n"/>
      <c r="OGW238" s="2" t="n"/>
      <c r="OGX238" s="2" t="n"/>
      <c r="OGY238" s="2" t="n"/>
      <c r="OGZ238" s="2" t="n"/>
      <c r="OHA238" s="2" t="n"/>
      <c r="OHB238" s="2" t="n"/>
      <c r="OHC238" s="2" t="n"/>
      <c r="OHD238" s="2" t="n"/>
      <c r="OHE238" s="2" t="n"/>
      <c r="OHF238" s="2" t="n"/>
      <c r="OHG238" s="2" t="n"/>
      <c r="OHH238" s="2" t="n"/>
      <c r="OHI238" s="2" t="n"/>
      <c r="OHJ238" s="2" t="n"/>
      <c r="OHK238" s="2" t="n"/>
      <c r="OHL238" s="2" t="n"/>
      <c r="OHM238" s="2" t="n"/>
      <c r="OHN238" s="2" t="n"/>
      <c r="OHO238" s="2" t="n"/>
      <c r="OHP238" s="2" t="n"/>
      <c r="OHQ238" s="2" t="n"/>
      <c r="OHR238" s="2" t="n"/>
      <c r="OHS238" s="2" t="n"/>
      <c r="OHT238" s="2" t="n"/>
      <c r="OHU238" s="2" t="n"/>
      <c r="OHV238" s="2" t="n"/>
      <c r="OHW238" s="2" t="n"/>
      <c r="OHX238" s="2" t="n"/>
      <c r="OHY238" s="2" t="n"/>
      <c r="OHZ238" s="2" t="n"/>
      <c r="OIA238" s="2" t="n"/>
      <c r="OIB238" s="2" t="n"/>
      <c r="OIC238" s="2" t="n"/>
      <c r="OID238" s="2" t="n"/>
      <c r="OIE238" s="2" t="n"/>
      <c r="OIF238" s="2" t="n"/>
      <c r="OIG238" s="2" t="n"/>
      <c r="OIH238" s="2" t="n"/>
      <c r="OII238" s="2" t="n"/>
      <c r="OIJ238" s="2" t="n"/>
      <c r="OIK238" s="2" t="n"/>
      <c r="OIL238" s="2" t="n"/>
      <c r="OIM238" s="2" t="n"/>
      <c r="OIN238" s="2" t="n"/>
      <c r="OIO238" s="2" t="n"/>
      <c r="OIP238" s="2" t="n"/>
      <c r="OIQ238" s="2" t="n"/>
      <c r="OIR238" s="2" t="n"/>
      <c r="OIS238" s="2" t="n"/>
      <c r="OIT238" s="2" t="n"/>
      <c r="OIU238" s="2" t="n"/>
      <c r="OIV238" s="2" t="n"/>
      <c r="OIW238" s="2" t="n"/>
      <c r="OIX238" s="2" t="n"/>
      <c r="OIY238" s="2" t="n"/>
      <c r="OIZ238" s="2" t="n"/>
      <c r="OJA238" s="2" t="n"/>
      <c r="OJB238" s="2" t="n"/>
      <c r="OJC238" s="2" t="n"/>
      <c r="OJD238" s="2" t="n"/>
      <c r="OJE238" s="2" t="n"/>
      <c r="OJF238" s="2" t="n"/>
      <c r="OJG238" s="2" t="n"/>
      <c r="OJH238" s="2" t="n"/>
      <c r="OJI238" s="2" t="n"/>
      <c r="OJJ238" s="2" t="n"/>
      <c r="OJK238" s="2" t="n"/>
      <c r="OJL238" s="2" t="n"/>
      <c r="OJM238" s="2" t="n"/>
      <c r="OJN238" s="2" t="n"/>
      <c r="OJO238" s="2" t="n"/>
      <c r="OJP238" s="2" t="n"/>
      <c r="OJQ238" s="2" t="n"/>
      <c r="OJR238" s="2" t="n"/>
      <c r="OJS238" s="2" t="n"/>
      <c r="OJT238" s="2" t="n"/>
      <c r="OJU238" s="2" t="n"/>
      <c r="OJV238" s="2" t="n"/>
      <c r="OJW238" s="2" t="n"/>
      <c r="OJX238" s="2" t="n"/>
      <c r="OJY238" s="2" t="n"/>
      <c r="OJZ238" s="2" t="n"/>
      <c r="OKA238" s="2" t="n"/>
      <c r="OKB238" s="2" t="n"/>
      <c r="OKC238" s="2" t="n"/>
      <c r="OKD238" s="2" t="n"/>
      <c r="OKE238" s="2" t="n"/>
      <c r="OKF238" s="2" t="n"/>
      <c r="OKG238" s="2" t="n"/>
      <c r="OKH238" s="2" t="n"/>
      <c r="OKI238" s="2" t="n"/>
      <c r="OKJ238" s="2" t="n"/>
      <c r="OKK238" s="2" t="n"/>
      <c r="OKL238" s="2" t="n"/>
      <c r="OKM238" s="2" t="n"/>
      <c r="OKN238" s="2" t="n"/>
      <c r="OKO238" s="2" t="n"/>
      <c r="OKP238" s="2" t="n"/>
      <c r="OKQ238" s="2" t="n"/>
      <c r="OKR238" s="2" t="n"/>
      <c r="OKS238" s="2" t="n"/>
      <c r="OKT238" s="2" t="n"/>
      <c r="OKU238" s="2" t="n"/>
      <c r="OKV238" s="2" t="n"/>
      <c r="OKW238" s="2" t="n"/>
      <c r="OKX238" s="2" t="n"/>
      <c r="OKY238" s="2" t="n"/>
      <c r="OKZ238" s="2" t="n"/>
      <c r="OLA238" s="2" t="n"/>
      <c r="OLB238" s="2" t="n"/>
      <c r="OLC238" s="2" t="n"/>
      <c r="OLD238" s="2" t="n"/>
      <c r="OLE238" s="2" t="n"/>
      <c r="OLF238" s="2" t="n"/>
      <c r="OLG238" s="2" t="n"/>
      <c r="OLH238" s="2" t="n"/>
      <c r="OLI238" s="2" t="n"/>
      <c r="OLJ238" s="2" t="n"/>
      <c r="OLK238" s="2" t="n"/>
      <c r="OLL238" s="2" t="n"/>
      <c r="OLM238" s="2" t="n"/>
      <c r="OLN238" s="2" t="n"/>
      <c r="OLO238" s="2" t="n"/>
      <c r="OLP238" s="2" t="n"/>
      <c r="OLQ238" s="2" t="n"/>
      <c r="OLR238" s="2" t="n"/>
      <c r="OLS238" s="2" t="n"/>
      <c r="OLT238" s="2" t="n"/>
      <c r="OLU238" s="2" t="n"/>
      <c r="OLV238" s="2" t="n"/>
      <c r="OLW238" s="2" t="n"/>
      <c r="OLX238" s="2" t="n"/>
      <c r="OLY238" s="2" t="n"/>
      <c r="OLZ238" s="2" t="n"/>
      <c r="OMA238" s="2" t="n"/>
      <c r="OMB238" s="2" t="n"/>
      <c r="OMC238" s="2" t="n"/>
      <c r="OMD238" s="2" t="n"/>
      <c r="OME238" s="2" t="n"/>
      <c r="OMF238" s="2" t="n"/>
      <c r="OMG238" s="2" t="n"/>
      <c r="OMH238" s="2" t="n"/>
      <c r="OMI238" s="2" t="n"/>
      <c r="OMJ238" s="2" t="n"/>
      <c r="OMK238" s="2" t="n"/>
      <c r="OML238" s="2" t="n"/>
      <c r="OMM238" s="2" t="n"/>
      <c r="OMN238" s="2" t="n"/>
      <c r="OMO238" s="2" t="n"/>
      <c r="OMP238" s="2" t="n"/>
      <c r="OMQ238" s="2" t="n"/>
      <c r="OMR238" s="2" t="n"/>
      <c r="OMS238" s="2" t="n"/>
      <c r="OMT238" s="2" t="n"/>
      <c r="OMU238" s="2" t="n"/>
      <c r="OMV238" s="2" t="n"/>
      <c r="OMW238" s="2" t="n"/>
      <c r="OMX238" s="2" t="n"/>
      <c r="OMY238" s="2" t="n"/>
      <c r="OMZ238" s="2" t="n"/>
      <c r="ONA238" s="2" t="n"/>
      <c r="ONB238" s="2" t="n"/>
      <c r="ONC238" s="2" t="n"/>
      <c r="OND238" s="2" t="n"/>
      <c r="ONE238" s="2" t="n"/>
      <c r="ONF238" s="2" t="n"/>
      <c r="ONG238" s="2" t="n"/>
      <c r="ONH238" s="2" t="n"/>
      <c r="ONI238" s="2" t="n"/>
      <c r="ONJ238" s="2" t="n"/>
      <c r="ONK238" s="2" t="n"/>
      <c r="ONL238" s="2" t="n"/>
      <c r="ONM238" s="2" t="n"/>
      <c r="ONN238" s="2" t="n"/>
      <c r="ONO238" s="2" t="n"/>
      <c r="ONP238" s="2" t="n"/>
      <c r="ONQ238" s="2" t="n"/>
      <c r="ONR238" s="2" t="n"/>
      <c r="ONS238" s="2" t="n"/>
      <c r="ONT238" s="2" t="n"/>
      <c r="ONU238" s="2" t="n"/>
      <c r="ONV238" s="2" t="n"/>
      <c r="ONW238" s="2" t="n"/>
      <c r="ONX238" s="2" t="n"/>
      <c r="ONY238" s="2" t="n"/>
      <c r="ONZ238" s="2" t="n"/>
      <c r="OOA238" s="2" t="n"/>
      <c r="OOB238" s="2" t="n"/>
      <c r="OOC238" s="2" t="n"/>
      <c r="OOD238" s="2" t="n"/>
      <c r="OOE238" s="2" t="n"/>
      <c r="OOF238" s="2" t="n"/>
      <c r="OOG238" s="2" t="n"/>
      <c r="OOH238" s="2" t="n"/>
      <c r="OOI238" s="2" t="n"/>
      <c r="OOJ238" s="2" t="n"/>
      <c r="OOK238" s="2" t="n"/>
      <c r="OOL238" s="2" t="n"/>
      <c r="OOM238" s="2" t="n"/>
      <c r="OON238" s="2" t="n"/>
      <c r="OOO238" s="2" t="n"/>
      <c r="OOP238" s="2" t="n"/>
      <c r="OOQ238" s="2" t="n"/>
      <c r="OOR238" s="2" t="n"/>
      <c r="OOS238" s="2" t="n"/>
      <c r="OOT238" s="2" t="n"/>
      <c r="OOU238" s="2" t="n"/>
      <c r="OOV238" s="2" t="n"/>
      <c r="OOW238" s="2" t="n"/>
      <c r="OOX238" s="2" t="n"/>
      <c r="OOY238" s="2" t="n"/>
      <c r="OOZ238" s="2" t="n"/>
      <c r="OPA238" s="2" t="n"/>
      <c r="OPB238" s="2" t="n"/>
      <c r="OPC238" s="2" t="n"/>
      <c r="OPD238" s="2" t="n"/>
      <c r="OPE238" s="2" t="n"/>
      <c r="OPF238" s="2" t="n"/>
      <c r="OPG238" s="2" t="n"/>
      <c r="OPH238" s="2" t="n"/>
      <c r="OPI238" s="2" t="n"/>
      <c r="OPJ238" s="2" t="n"/>
      <c r="OPK238" s="2" t="n"/>
      <c r="OPL238" s="2" t="n"/>
      <c r="OPM238" s="2" t="n"/>
      <c r="OPN238" s="2" t="n"/>
      <c r="OPO238" s="2" t="n"/>
      <c r="OPP238" s="2" t="n"/>
      <c r="OPQ238" s="2" t="n"/>
      <c r="OPR238" s="2" t="n"/>
      <c r="OPS238" s="2" t="n"/>
      <c r="OPT238" s="2" t="n"/>
      <c r="OPU238" s="2" t="n"/>
      <c r="OPV238" s="2" t="n"/>
      <c r="OPW238" s="2" t="n"/>
      <c r="OPX238" s="2" t="n"/>
      <c r="OPY238" s="2" t="n"/>
      <c r="OPZ238" s="2" t="n"/>
      <c r="OQA238" s="2" t="n"/>
      <c r="OQB238" s="2" t="n"/>
      <c r="OQC238" s="2" t="n"/>
      <c r="OQD238" s="2" t="n"/>
      <c r="OQE238" s="2" t="n"/>
      <c r="OQF238" s="2" t="n"/>
      <c r="OQG238" s="2" t="n"/>
      <c r="OQH238" s="2" t="n"/>
      <c r="OQI238" s="2" t="n"/>
      <c r="OQJ238" s="2" t="n"/>
      <c r="OQK238" s="2" t="n"/>
      <c r="OQL238" s="2" t="n"/>
      <c r="OQM238" s="2" t="n"/>
      <c r="OQN238" s="2" t="n"/>
      <c r="OQO238" s="2" t="n"/>
      <c r="OQP238" s="2" t="n"/>
      <c r="OQQ238" s="2" t="n"/>
      <c r="OQR238" s="2" t="n"/>
      <c r="OQS238" s="2" t="n"/>
      <c r="OQT238" s="2" t="n"/>
      <c r="OQU238" s="2" t="n"/>
      <c r="OQV238" s="2" t="n"/>
      <c r="OQW238" s="2" t="n"/>
      <c r="OQX238" s="2" t="n"/>
      <c r="OQY238" s="2" t="n"/>
      <c r="OQZ238" s="2" t="n"/>
      <c r="ORA238" s="2" t="n"/>
      <c r="ORB238" s="2" t="n"/>
      <c r="ORC238" s="2" t="n"/>
      <c r="ORD238" s="2" t="n"/>
      <c r="ORE238" s="2" t="n"/>
      <c r="ORF238" s="2" t="n"/>
      <c r="ORG238" s="2" t="n"/>
      <c r="ORH238" s="2" t="n"/>
      <c r="ORI238" s="2" t="n"/>
      <c r="ORJ238" s="2" t="n"/>
      <c r="ORK238" s="2" t="n"/>
      <c r="ORL238" s="2" t="n"/>
      <c r="ORM238" s="2" t="n"/>
      <c r="ORN238" s="2" t="n"/>
      <c r="ORO238" s="2" t="n"/>
      <c r="ORP238" s="2" t="n"/>
      <c r="ORQ238" s="2" t="n"/>
      <c r="ORR238" s="2" t="n"/>
      <c r="ORS238" s="2" t="n"/>
      <c r="ORT238" s="2" t="n"/>
      <c r="ORU238" s="2" t="n"/>
      <c r="ORV238" s="2" t="n"/>
      <c r="ORW238" s="2" t="n"/>
      <c r="ORX238" s="2" t="n"/>
      <c r="ORY238" s="2" t="n"/>
      <c r="ORZ238" s="2" t="n"/>
      <c r="OSA238" s="2" t="n"/>
      <c r="OSB238" s="2" t="n"/>
      <c r="OSC238" s="2" t="n"/>
      <c r="OSD238" s="2" t="n"/>
      <c r="OSE238" s="2" t="n"/>
      <c r="OSF238" s="2" t="n"/>
      <c r="OSG238" s="2" t="n"/>
      <c r="OSH238" s="2" t="n"/>
      <c r="OSI238" s="2" t="n"/>
      <c r="OSJ238" s="2" t="n"/>
      <c r="OSK238" s="2" t="n"/>
      <c r="OSL238" s="2" t="n"/>
      <c r="OSM238" s="2" t="n"/>
      <c r="OSN238" s="2" t="n"/>
      <c r="OSO238" s="2" t="n"/>
      <c r="OSP238" s="2" t="n"/>
      <c r="OSQ238" s="2" t="n"/>
      <c r="OSR238" s="2" t="n"/>
      <c r="OSS238" s="2" t="n"/>
      <c r="OST238" s="2" t="n"/>
      <c r="OSU238" s="2" t="n"/>
      <c r="OSV238" s="2" t="n"/>
      <c r="OSW238" s="2" t="n"/>
      <c r="OSX238" s="2" t="n"/>
      <c r="OSY238" s="2" t="n"/>
      <c r="OSZ238" s="2" t="n"/>
      <c r="OTA238" s="2" t="n"/>
      <c r="OTB238" s="2" t="n"/>
      <c r="OTC238" s="2" t="n"/>
      <c r="OTD238" s="2" t="n"/>
      <c r="OTE238" s="2" t="n"/>
      <c r="OTF238" s="2" t="n"/>
      <c r="OTG238" s="2" t="n"/>
      <c r="OTH238" s="2" t="n"/>
      <c r="OTI238" s="2" t="n"/>
      <c r="OTJ238" s="2" t="n"/>
      <c r="OTK238" s="2" t="n"/>
      <c r="OTL238" s="2" t="n"/>
      <c r="OTM238" s="2" t="n"/>
      <c r="OTN238" s="2" t="n"/>
      <c r="OTO238" s="2" t="n"/>
      <c r="OTP238" s="2" t="n"/>
      <c r="OTQ238" s="2" t="n"/>
      <c r="OTR238" s="2" t="n"/>
      <c r="OTS238" s="2" t="n"/>
      <c r="OTT238" s="2" t="n"/>
      <c r="OTU238" s="2" t="n"/>
      <c r="OTV238" s="2" t="n"/>
      <c r="OTW238" s="2" t="n"/>
      <c r="OTX238" s="2" t="n"/>
      <c r="OTY238" s="2" t="n"/>
      <c r="OTZ238" s="2" t="n"/>
      <c r="OUA238" s="2" t="n"/>
      <c r="OUB238" s="2" t="n"/>
      <c r="OUC238" s="2" t="n"/>
      <c r="OUD238" s="2" t="n"/>
      <c r="OUE238" s="2" t="n"/>
      <c r="OUF238" s="2" t="n"/>
      <c r="OUG238" s="2" t="n"/>
      <c r="OUH238" s="2" t="n"/>
      <c r="OUI238" s="2" t="n"/>
      <c r="OUJ238" s="2" t="n"/>
      <c r="OUK238" s="2" t="n"/>
      <c r="OUL238" s="2" t="n"/>
      <c r="OUM238" s="2" t="n"/>
      <c r="OUN238" s="2" t="n"/>
      <c r="OUO238" s="2" t="n"/>
      <c r="OUP238" s="2" t="n"/>
      <c r="OUQ238" s="2" t="n"/>
      <c r="OUR238" s="2" t="n"/>
      <c r="OUS238" s="2" t="n"/>
      <c r="OUT238" s="2" t="n"/>
      <c r="OUU238" s="2" t="n"/>
      <c r="OUV238" s="2" t="n"/>
      <c r="OUW238" s="2" t="n"/>
      <c r="OUX238" s="2" t="n"/>
      <c r="OUY238" s="2" t="n"/>
      <c r="OUZ238" s="2" t="n"/>
      <c r="OVA238" s="2" t="n"/>
      <c r="OVB238" s="2" t="n"/>
      <c r="OVC238" s="2" t="n"/>
      <c r="OVD238" s="2" t="n"/>
      <c r="OVE238" s="2" t="n"/>
      <c r="OVF238" s="2" t="n"/>
      <c r="OVG238" s="2" t="n"/>
      <c r="OVH238" s="2" t="n"/>
      <c r="OVI238" s="2" t="n"/>
      <c r="OVJ238" s="2" t="n"/>
      <c r="OVK238" s="2" t="n"/>
      <c r="OVL238" s="2" t="n"/>
      <c r="OVM238" s="2" t="n"/>
      <c r="OVN238" s="2" t="n"/>
      <c r="OVO238" s="2" t="n"/>
      <c r="OVP238" s="2" t="n"/>
      <c r="OVQ238" s="2" t="n"/>
      <c r="OVR238" s="2" t="n"/>
      <c r="OVS238" s="2" t="n"/>
      <c r="OVT238" s="2" t="n"/>
      <c r="OVU238" s="2" t="n"/>
      <c r="OVV238" s="2" t="n"/>
      <c r="OVW238" s="2" t="n"/>
      <c r="OVX238" s="2" t="n"/>
      <c r="OVY238" s="2" t="n"/>
      <c r="OVZ238" s="2" t="n"/>
      <c r="OWA238" s="2" t="n"/>
      <c r="OWB238" s="2" t="n"/>
      <c r="OWC238" s="2" t="n"/>
      <c r="OWD238" s="2" t="n"/>
      <c r="OWE238" s="2" t="n"/>
      <c r="OWF238" s="2" t="n"/>
      <c r="OWG238" s="2" t="n"/>
      <c r="OWH238" s="2" t="n"/>
      <c r="OWI238" s="2" t="n"/>
      <c r="OWJ238" s="2" t="n"/>
      <c r="OWK238" s="2" t="n"/>
      <c r="OWL238" s="2" t="n"/>
      <c r="OWM238" s="2" t="n"/>
      <c r="OWN238" s="2" t="n"/>
      <c r="OWO238" s="2" t="n"/>
      <c r="OWP238" s="2" t="n"/>
      <c r="OWQ238" s="2" t="n"/>
      <c r="OWR238" s="2" t="n"/>
      <c r="OWS238" s="2" t="n"/>
      <c r="OWT238" s="2" t="n"/>
      <c r="OWU238" s="2" t="n"/>
      <c r="OWV238" s="2" t="n"/>
      <c r="OWW238" s="2" t="n"/>
      <c r="OWX238" s="2" t="n"/>
      <c r="OWY238" s="2" t="n"/>
      <c r="OWZ238" s="2" t="n"/>
      <c r="OXA238" s="2" t="n"/>
      <c r="OXB238" s="2" t="n"/>
      <c r="OXC238" s="2" t="n"/>
      <c r="OXD238" s="2" t="n"/>
      <c r="OXE238" s="2" t="n"/>
      <c r="OXF238" s="2" t="n"/>
      <c r="OXG238" s="2" t="n"/>
      <c r="OXH238" s="2" t="n"/>
      <c r="OXI238" s="2" t="n"/>
      <c r="OXJ238" s="2" t="n"/>
      <c r="OXK238" s="2" t="n"/>
      <c r="OXL238" s="2" t="n"/>
      <c r="OXM238" s="2" t="n"/>
      <c r="OXN238" s="2" t="n"/>
      <c r="OXO238" s="2" t="n"/>
      <c r="OXP238" s="2" t="n"/>
      <c r="OXQ238" s="2" t="n"/>
      <c r="OXR238" s="2" t="n"/>
      <c r="OXS238" s="2" t="n"/>
      <c r="OXT238" s="2" t="n"/>
      <c r="OXU238" s="2" t="n"/>
      <c r="OXV238" s="2" t="n"/>
      <c r="OXW238" s="2" t="n"/>
      <c r="OXX238" s="2" t="n"/>
      <c r="OXY238" s="2" t="n"/>
      <c r="OXZ238" s="2" t="n"/>
      <c r="OYA238" s="2" t="n"/>
      <c r="OYB238" s="2" t="n"/>
      <c r="OYC238" s="2" t="n"/>
      <c r="OYD238" s="2" t="n"/>
      <c r="OYE238" s="2" t="n"/>
      <c r="OYF238" s="2" t="n"/>
      <c r="OYG238" s="2" t="n"/>
      <c r="OYH238" s="2" t="n"/>
      <c r="OYI238" s="2" t="n"/>
      <c r="OYJ238" s="2" t="n"/>
      <c r="OYK238" s="2" t="n"/>
      <c r="OYL238" s="2" t="n"/>
      <c r="OYM238" s="2" t="n"/>
      <c r="OYN238" s="2" t="n"/>
      <c r="OYO238" s="2" t="n"/>
      <c r="OYP238" s="2" t="n"/>
      <c r="OYQ238" s="2" t="n"/>
      <c r="OYR238" s="2" t="n"/>
      <c r="OYS238" s="2" t="n"/>
      <c r="OYT238" s="2" t="n"/>
      <c r="OYU238" s="2" t="n"/>
      <c r="OYV238" s="2" t="n"/>
      <c r="OYW238" s="2" t="n"/>
      <c r="OYX238" s="2" t="n"/>
      <c r="OYY238" s="2" t="n"/>
      <c r="OYZ238" s="2" t="n"/>
      <c r="OZA238" s="2" t="n"/>
      <c r="OZB238" s="2" t="n"/>
      <c r="OZC238" s="2" t="n"/>
      <c r="OZD238" s="2" t="n"/>
      <c r="OZE238" s="2" t="n"/>
      <c r="OZF238" s="2" t="n"/>
      <c r="OZG238" s="2" t="n"/>
      <c r="OZH238" s="2" t="n"/>
      <c r="OZI238" s="2" t="n"/>
      <c r="OZJ238" s="2" t="n"/>
      <c r="OZK238" s="2" t="n"/>
      <c r="OZL238" s="2" t="n"/>
      <c r="OZM238" s="2" t="n"/>
      <c r="OZN238" s="2" t="n"/>
      <c r="OZO238" s="2" t="n"/>
      <c r="OZP238" s="2" t="n"/>
      <c r="OZQ238" s="2" t="n"/>
      <c r="OZR238" s="2" t="n"/>
      <c r="OZS238" s="2" t="n"/>
      <c r="OZT238" s="2" t="n"/>
      <c r="OZU238" s="2" t="n"/>
      <c r="OZV238" s="2" t="n"/>
      <c r="OZW238" s="2" t="n"/>
      <c r="OZX238" s="2" t="n"/>
      <c r="OZY238" s="2" t="n"/>
      <c r="OZZ238" s="2" t="n"/>
      <c r="PAA238" s="2" t="n"/>
      <c r="PAB238" s="2" t="n"/>
      <c r="PAC238" s="2" t="n"/>
      <c r="PAD238" s="2" t="n"/>
      <c r="PAE238" s="2" t="n"/>
      <c r="PAF238" s="2" t="n"/>
      <c r="PAG238" s="2" t="n"/>
      <c r="PAH238" s="2" t="n"/>
      <c r="PAI238" s="2" t="n"/>
      <c r="PAJ238" s="2" t="n"/>
      <c r="PAK238" s="2" t="n"/>
      <c r="PAL238" s="2" t="n"/>
      <c r="PAM238" s="2" t="n"/>
      <c r="PAN238" s="2" t="n"/>
      <c r="PAO238" s="2" t="n"/>
      <c r="PAP238" s="2" t="n"/>
      <c r="PAQ238" s="2" t="n"/>
      <c r="PAR238" s="2" t="n"/>
      <c r="PAS238" s="2" t="n"/>
      <c r="PAT238" s="2" t="n"/>
      <c r="PAU238" s="2" t="n"/>
      <c r="PAV238" s="2" t="n"/>
      <c r="PAW238" s="2" t="n"/>
      <c r="PAX238" s="2" t="n"/>
      <c r="PAY238" s="2" t="n"/>
      <c r="PAZ238" s="2" t="n"/>
      <c r="PBA238" s="2" t="n"/>
      <c r="PBB238" s="2" t="n"/>
      <c r="PBC238" s="2" t="n"/>
      <c r="PBD238" s="2" t="n"/>
      <c r="PBE238" s="2" t="n"/>
      <c r="PBF238" s="2" t="n"/>
      <c r="PBG238" s="2" t="n"/>
      <c r="PBH238" s="2" t="n"/>
      <c r="PBI238" s="2" t="n"/>
      <c r="PBJ238" s="2" t="n"/>
      <c r="PBK238" s="2" t="n"/>
      <c r="PBL238" s="2" t="n"/>
      <c r="PBM238" s="2" t="n"/>
      <c r="PBN238" s="2" t="n"/>
      <c r="PBO238" s="2" t="n"/>
      <c r="PBP238" s="2" t="n"/>
      <c r="PBQ238" s="2" t="n"/>
      <c r="PBR238" s="2" t="n"/>
      <c r="PBS238" s="2" t="n"/>
      <c r="PBT238" s="2" t="n"/>
      <c r="PBU238" s="2" t="n"/>
      <c r="PBV238" s="2" t="n"/>
      <c r="PBW238" s="2" t="n"/>
      <c r="PBX238" s="2" t="n"/>
      <c r="PBY238" s="2" t="n"/>
      <c r="PBZ238" s="2" t="n"/>
      <c r="PCA238" s="2" t="n"/>
      <c r="PCB238" s="2" t="n"/>
      <c r="PCC238" s="2" t="n"/>
      <c r="PCD238" s="2" t="n"/>
      <c r="PCE238" s="2" t="n"/>
      <c r="PCF238" s="2" t="n"/>
      <c r="PCG238" s="2" t="n"/>
      <c r="PCH238" s="2" t="n"/>
      <c r="PCI238" s="2" t="n"/>
      <c r="PCJ238" s="2" t="n"/>
      <c r="PCK238" s="2" t="n"/>
      <c r="PCL238" s="2" t="n"/>
      <c r="PCM238" s="2" t="n"/>
      <c r="PCN238" s="2" t="n"/>
      <c r="PCO238" s="2" t="n"/>
      <c r="PCP238" s="2" t="n"/>
      <c r="PCQ238" s="2" t="n"/>
      <c r="PCR238" s="2" t="n"/>
      <c r="PCS238" s="2" t="n"/>
      <c r="PCT238" s="2" t="n"/>
      <c r="PCU238" s="2" t="n"/>
      <c r="PCV238" s="2" t="n"/>
      <c r="PCW238" s="2" t="n"/>
      <c r="PCX238" s="2" t="n"/>
      <c r="PCY238" s="2" t="n"/>
      <c r="PCZ238" s="2" t="n"/>
      <c r="PDA238" s="2" t="n"/>
      <c r="PDB238" s="2" t="n"/>
      <c r="PDC238" s="2" t="n"/>
      <c r="PDD238" s="2" t="n"/>
      <c r="PDE238" s="2" t="n"/>
      <c r="PDF238" s="2" t="n"/>
      <c r="PDG238" s="2" t="n"/>
      <c r="PDH238" s="2" t="n"/>
      <c r="PDI238" s="2" t="n"/>
      <c r="PDJ238" s="2" t="n"/>
      <c r="PDK238" s="2" t="n"/>
      <c r="PDL238" s="2" t="n"/>
      <c r="PDM238" s="2" t="n"/>
      <c r="PDN238" s="2" t="n"/>
      <c r="PDO238" s="2" t="n"/>
      <c r="PDP238" s="2" t="n"/>
      <c r="PDQ238" s="2" t="n"/>
      <c r="PDR238" s="2" t="n"/>
      <c r="PDS238" s="2" t="n"/>
      <c r="PDT238" s="2" t="n"/>
      <c r="PDU238" s="2" t="n"/>
      <c r="PDV238" s="2" t="n"/>
      <c r="PDW238" s="2" t="n"/>
      <c r="PDX238" s="2" t="n"/>
      <c r="PDY238" s="2" t="n"/>
      <c r="PDZ238" s="2" t="n"/>
      <c r="PEA238" s="2" t="n"/>
      <c r="PEB238" s="2" t="n"/>
      <c r="PEC238" s="2" t="n"/>
      <c r="PED238" s="2" t="n"/>
      <c r="PEE238" s="2" t="n"/>
      <c r="PEF238" s="2" t="n"/>
      <c r="PEG238" s="2" t="n"/>
      <c r="PEH238" s="2" t="n"/>
      <c r="PEI238" s="2" t="n"/>
      <c r="PEJ238" s="2" t="n"/>
      <c r="PEK238" s="2" t="n"/>
      <c r="PEL238" s="2" t="n"/>
      <c r="PEM238" s="2" t="n"/>
      <c r="PEN238" s="2" t="n"/>
      <c r="PEO238" s="2" t="n"/>
      <c r="PEP238" s="2" t="n"/>
      <c r="PEQ238" s="2" t="n"/>
      <c r="PER238" s="2" t="n"/>
      <c r="PES238" s="2" t="n"/>
      <c r="PET238" s="2" t="n"/>
      <c r="PEU238" s="2" t="n"/>
      <c r="PEV238" s="2" t="n"/>
      <c r="PEW238" s="2" t="n"/>
      <c r="PEX238" s="2" t="n"/>
      <c r="PEY238" s="2" t="n"/>
      <c r="PEZ238" s="2" t="n"/>
      <c r="PFA238" s="2" t="n"/>
      <c r="PFB238" s="2" t="n"/>
      <c r="PFC238" s="2" t="n"/>
      <c r="PFD238" s="2" t="n"/>
      <c r="PFE238" s="2" t="n"/>
      <c r="PFF238" s="2" t="n"/>
      <c r="PFG238" s="2" t="n"/>
      <c r="PFH238" s="2" t="n"/>
      <c r="PFI238" s="2" t="n"/>
      <c r="PFJ238" s="2" t="n"/>
      <c r="PFK238" s="2" t="n"/>
      <c r="PFL238" s="2" t="n"/>
      <c r="PFM238" s="2" t="n"/>
      <c r="PFN238" s="2" t="n"/>
      <c r="PFO238" s="2" t="n"/>
      <c r="PFP238" s="2" t="n"/>
      <c r="PFQ238" s="2" t="n"/>
      <c r="PFR238" s="2" t="n"/>
      <c r="PFS238" s="2" t="n"/>
      <c r="PFT238" s="2" t="n"/>
      <c r="PFU238" s="2" t="n"/>
      <c r="PFV238" s="2" t="n"/>
      <c r="PFW238" s="2" t="n"/>
      <c r="PFX238" s="2" t="n"/>
      <c r="PFY238" s="2" t="n"/>
      <c r="PFZ238" s="2" t="n"/>
      <c r="PGA238" s="2" t="n"/>
      <c r="PGB238" s="2" t="n"/>
      <c r="PGC238" s="2" t="n"/>
      <c r="PGD238" s="2" t="n"/>
      <c r="PGE238" s="2" t="n"/>
      <c r="PGF238" s="2" t="n"/>
      <c r="PGG238" s="2" t="n"/>
      <c r="PGH238" s="2" t="n"/>
      <c r="PGI238" s="2" t="n"/>
      <c r="PGJ238" s="2" t="n"/>
      <c r="PGK238" s="2" t="n"/>
      <c r="PGL238" s="2" t="n"/>
      <c r="PGM238" s="2" t="n"/>
      <c r="PGN238" s="2" t="n"/>
      <c r="PGO238" s="2" t="n"/>
      <c r="PGP238" s="2" t="n"/>
      <c r="PGQ238" s="2" t="n"/>
      <c r="PGR238" s="2" t="n"/>
      <c r="PGS238" s="2" t="n"/>
      <c r="PGT238" s="2" t="n"/>
      <c r="PGU238" s="2" t="n"/>
      <c r="PGV238" s="2" t="n"/>
      <c r="PGW238" s="2" t="n"/>
      <c r="PGX238" s="2" t="n"/>
      <c r="PGY238" s="2" t="n"/>
      <c r="PGZ238" s="2" t="n"/>
      <c r="PHA238" s="2" t="n"/>
      <c r="PHB238" s="2" t="n"/>
      <c r="PHC238" s="2" t="n"/>
      <c r="PHD238" s="2" t="n"/>
      <c r="PHE238" s="2" t="n"/>
      <c r="PHF238" s="2" t="n"/>
      <c r="PHG238" s="2" t="n"/>
      <c r="PHH238" s="2" t="n"/>
      <c r="PHI238" s="2" t="n"/>
      <c r="PHJ238" s="2" t="n"/>
      <c r="PHK238" s="2" t="n"/>
      <c r="PHL238" s="2" t="n"/>
      <c r="PHM238" s="2" t="n"/>
      <c r="PHN238" s="2" t="n"/>
      <c r="PHO238" s="2" t="n"/>
      <c r="PHP238" s="2" t="n"/>
      <c r="PHQ238" s="2" t="n"/>
      <c r="PHR238" s="2" t="n"/>
      <c r="PHS238" s="2" t="n"/>
      <c r="PHT238" s="2" t="n"/>
      <c r="PHU238" s="2" t="n"/>
      <c r="PHV238" s="2" t="n"/>
      <c r="PHW238" s="2" t="n"/>
      <c r="PHX238" s="2" t="n"/>
      <c r="PHY238" s="2" t="n"/>
      <c r="PHZ238" s="2" t="n"/>
      <c r="PIA238" s="2" t="n"/>
      <c r="PIB238" s="2" t="n"/>
      <c r="PIC238" s="2" t="n"/>
      <c r="PID238" s="2" t="n"/>
      <c r="PIE238" s="2" t="n"/>
      <c r="PIF238" s="2" t="n"/>
      <c r="PIG238" s="2" t="n"/>
      <c r="PIH238" s="2" t="n"/>
      <c r="PII238" s="2" t="n"/>
      <c r="PIJ238" s="2" t="n"/>
      <c r="PIK238" s="2" t="n"/>
      <c r="PIL238" s="2" t="n"/>
      <c r="PIM238" s="2" t="n"/>
      <c r="PIN238" s="2" t="n"/>
      <c r="PIO238" s="2" t="n"/>
      <c r="PIP238" s="2" t="n"/>
      <c r="PIQ238" s="2" t="n"/>
      <c r="PIR238" s="2" t="n"/>
      <c r="PIS238" s="2" t="n"/>
      <c r="PIT238" s="2" t="n"/>
      <c r="PIU238" s="2" t="n"/>
      <c r="PIV238" s="2" t="n"/>
      <c r="PIW238" s="2" t="n"/>
      <c r="PIX238" s="2" t="n"/>
      <c r="PIY238" s="2" t="n"/>
      <c r="PIZ238" s="2" t="n"/>
      <c r="PJA238" s="2" t="n"/>
      <c r="PJB238" s="2" t="n"/>
      <c r="PJC238" s="2" t="n"/>
      <c r="PJD238" s="2" t="n"/>
      <c r="PJE238" s="2" t="n"/>
      <c r="PJF238" s="2" t="n"/>
      <c r="PJG238" s="2" t="n"/>
      <c r="PJH238" s="2" t="n"/>
      <c r="PJI238" s="2" t="n"/>
      <c r="PJJ238" s="2" t="n"/>
      <c r="PJK238" s="2" t="n"/>
      <c r="PJL238" s="2" t="n"/>
      <c r="PJM238" s="2" t="n"/>
      <c r="PJN238" s="2" t="n"/>
      <c r="PJO238" s="2" t="n"/>
      <c r="PJP238" s="2" t="n"/>
      <c r="PJQ238" s="2" t="n"/>
      <c r="PJR238" s="2" t="n"/>
      <c r="PJS238" s="2" t="n"/>
      <c r="PJT238" s="2" t="n"/>
      <c r="PJU238" s="2" t="n"/>
      <c r="PJV238" s="2" t="n"/>
      <c r="PJW238" s="2" t="n"/>
      <c r="PJX238" s="2" t="n"/>
      <c r="PJY238" s="2" t="n"/>
      <c r="PJZ238" s="2" t="n"/>
      <c r="PKA238" s="2" t="n"/>
      <c r="PKB238" s="2" t="n"/>
      <c r="PKC238" s="2" t="n"/>
      <c r="PKD238" s="2" t="n"/>
      <c r="PKE238" s="2" t="n"/>
      <c r="PKF238" s="2" t="n"/>
      <c r="PKG238" s="2" t="n"/>
      <c r="PKH238" s="2" t="n"/>
      <c r="PKI238" s="2" t="n"/>
      <c r="PKJ238" s="2" t="n"/>
      <c r="PKK238" s="2" t="n"/>
      <c r="PKL238" s="2" t="n"/>
      <c r="PKM238" s="2" t="n"/>
      <c r="PKN238" s="2" t="n"/>
      <c r="PKO238" s="2" t="n"/>
      <c r="PKP238" s="2" t="n"/>
      <c r="PKQ238" s="2" t="n"/>
      <c r="PKR238" s="2" t="n"/>
      <c r="PKS238" s="2" t="n"/>
      <c r="PKT238" s="2" t="n"/>
      <c r="PKU238" s="2" t="n"/>
      <c r="PKV238" s="2" t="n"/>
      <c r="PKW238" s="2" t="n"/>
      <c r="PKX238" s="2" t="n"/>
      <c r="PKY238" s="2" t="n"/>
      <c r="PKZ238" s="2" t="n"/>
      <c r="PLA238" s="2" t="n"/>
      <c r="PLB238" s="2" t="n"/>
      <c r="PLC238" s="2" t="n"/>
      <c r="PLD238" s="2" t="n"/>
      <c r="PLE238" s="2" t="n"/>
      <c r="PLF238" s="2" t="n"/>
      <c r="PLG238" s="2" t="n"/>
      <c r="PLH238" s="2" t="n"/>
      <c r="PLI238" s="2" t="n"/>
      <c r="PLJ238" s="2" t="n"/>
      <c r="PLK238" s="2" t="n"/>
      <c r="PLL238" s="2" t="n"/>
      <c r="PLM238" s="2" t="n"/>
      <c r="PLN238" s="2" t="n"/>
      <c r="PLO238" s="2" t="n"/>
      <c r="PLP238" s="2" t="n"/>
      <c r="PLQ238" s="2" t="n"/>
      <c r="PLR238" s="2" t="n"/>
      <c r="PLS238" s="2" t="n"/>
      <c r="PLT238" s="2" t="n"/>
      <c r="PLU238" s="2" t="n"/>
      <c r="PLV238" s="2" t="n"/>
      <c r="PLW238" s="2" t="n"/>
      <c r="PLX238" s="2" t="n"/>
      <c r="PLY238" s="2" t="n"/>
      <c r="PLZ238" s="2" t="n"/>
      <c r="PMA238" s="2" t="n"/>
      <c r="PMB238" s="2" t="n"/>
      <c r="PMC238" s="2" t="n"/>
      <c r="PMD238" s="2" t="n"/>
      <c r="PME238" s="2" t="n"/>
      <c r="PMF238" s="2" t="n"/>
      <c r="PMG238" s="2" t="n"/>
      <c r="PMH238" s="2" t="n"/>
      <c r="PMI238" s="2" t="n"/>
      <c r="PMJ238" s="2" t="n"/>
      <c r="PMK238" s="2" t="n"/>
      <c r="PML238" s="2" t="n"/>
      <c r="PMM238" s="2" t="n"/>
      <c r="PMN238" s="2" t="n"/>
      <c r="PMO238" s="2" t="n"/>
      <c r="PMP238" s="2" t="n"/>
      <c r="PMQ238" s="2" t="n"/>
      <c r="PMR238" s="2" t="n"/>
      <c r="PMS238" s="2" t="n"/>
      <c r="PMT238" s="2" t="n"/>
      <c r="PMU238" s="2" t="n"/>
      <c r="PMV238" s="2" t="n"/>
      <c r="PMW238" s="2" t="n"/>
      <c r="PMX238" s="2" t="n"/>
      <c r="PMY238" s="2" t="n"/>
      <c r="PMZ238" s="2" t="n"/>
      <c r="PNA238" s="2" t="n"/>
      <c r="PNB238" s="2" t="n"/>
      <c r="PNC238" s="2" t="n"/>
      <c r="PND238" s="2" t="n"/>
      <c r="PNE238" s="2" t="n"/>
      <c r="PNF238" s="2" t="n"/>
      <c r="PNG238" s="2" t="n"/>
      <c r="PNH238" s="2" t="n"/>
      <c r="PNI238" s="2" t="n"/>
      <c r="PNJ238" s="2" t="n"/>
      <c r="PNK238" s="2" t="n"/>
      <c r="PNL238" s="2" t="n"/>
      <c r="PNM238" s="2" t="n"/>
      <c r="PNN238" s="2" t="n"/>
      <c r="PNO238" s="2" t="n"/>
      <c r="PNP238" s="2" t="n"/>
      <c r="PNQ238" s="2" t="n"/>
      <c r="PNR238" s="2" t="n"/>
      <c r="PNS238" s="2" t="n"/>
      <c r="PNT238" s="2" t="n"/>
      <c r="PNU238" s="2" t="n"/>
      <c r="PNV238" s="2" t="n"/>
      <c r="PNW238" s="2" t="n"/>
      <c r="PNX238" s="2" t="n"/>
      <c r="PNY238" s="2" t="n"/>
      <c r="PNZ238" s="2" t="n"/>
      <c r="POA238" s="2" t="n"/>
      <c r="POB238" s="2" t="n"/>
      <c r="POC238" s="2" t="n"/>
      <c r="POD238" s="2" t="n"/>
      <c r="POE238" s="2" t="n"/>
      <c r="POF238" s="2" t="n"/>
      <c r="POG238" s="2" t="n"/>
      <c r="POH238" s="2" t="n"/>
      <c r="POI238" s="2" t="n"/>
      <c r="POJ238" s="2" t="n"/>
      <c r="POK238" s="2" t="n"/>
      <c r="POL238" s="2" t="n"/>
      <c r="POM238" s="2" t="n"/>
      <c r="PON238" s="2" t="n"/>
      <c r="POO238" s="2" t="n"/>
      <c r="POP238" s="2" t="n"/>
      <c r="POQ238" s="2" t="n"/>
      <c r="POR238" s="2" t="n"/>
      <c r="POS238" s="2" t="n"/>
      <c r="POT238" s="2" t="n"/>
      <c r="POU238" s="2" t="n"/>
      <c r="POV238" s="2" t="n"/>
      <c r="POW238" s="2" t="n"/>
      <c r="POX238" s="2" t="n"/>
      <c r="POY238" s="2" t="n"/>
      <c r="POZ238" s="2" t="n"/>
      <c r="PPA238" s="2" t="n"/>
      <c r="PPB238" s="2" t="n"/>
      <c r="PPC238" s="2" t="n"/>
      <c r="PPD238" s="2" t="n"/>
      <c r="PPE238" s="2" t="n"/>
      <c r="PPF238" s="2" t="n"/>
      <c r="PPG238" s="2" t="n"/>
      <c r="PPH238" s="2" t="n"/>
      <c r="PPI238" s="2" t="n"/>
      <c r="PPJ238" s="2" t="n"/>
      <c r="PPK238" s="2" t="n"/>
      <c r="PPL238" s="2" t="n"/>
      <c r="PPM238" s="2" t="n"/>
      <c r="PPN238" s="2" t="n"/>
      <c r="PPO238" s="2" t="n"/>
      <c r="PPP238" s="2" t="n"/>
      <c r="PPQ238" s="2" t="n"/>
      <c r="PPR238" s="2" t="n"/>
      <c r="PPS238" s="2" t="n"/>
      <c r="PPT238" s="2" t="n"/>
      <c r="PPU238" s="2" t="n"/>
      <c r="PPV238" s="2" t="n"/>
      <c r="PPW238" s="2" t="n"/>
      <c r="PPX238" s="2" t="n"/>
      <c r="PPY238" s="2" t="n"/>
      <c r="PPZ238" s="2" t="n"/>
      <c r="PQA238" s="2" t="n"/>
      <c r="PQB238" s="2" t="n"/>
      <c r="PQC238" s="2" t="n"/>
      <c r="PQD238" s="2" t="n"/>
      <c r="PQE238" s="2" t="n"/>
      <c r="PQF238" s="2" t="n"/>
      <c r="PQG238" s="2" t="n"/>
      <c r="PQH238" s="2" t="n"/>
      <c r="PQI238" s="2" t="n"/>
      <c r="PQJ238" s="2" t="n"/>
      <c r="PQK238" s="2" t="n"/>
      <c r="PQL238" s="2" t="n"/>
      <c r="PQM238" s="2" t="n"/>
      <c r="PQN238" s="2" t="n"/>
      <c r="PQO238" s="2" t="n"/>
      <c r="PQP238" s="2" t="n"/>
      <c r="PQQ238" s="2" t="n"/>
      <c r="PQR238" s="2" t="n"/>
      <c r="PQS238" s="2" t="n"/>
      <c r="PQT238" s="2" t="n"/>
      <c r="PQU238" s="2" t="n"/>
      <c r="PQV238" s="2" t="n"/>
      <c r="PQW238" s="2" t="n"/>
      <c r="PQX238" s="2" t="n"/>
      <c r="PQY238" s="2" t="n"/>
      <c r="PQZ238" s="2" t="n"/>
      <c r="PRA238" s="2" t="n"/>
      <c r="PRB238" s="2" t="n"/>
      <c r="PRC238" s="2" t="n"/>
      <c r="PRD238" s="2" t="n"/>
      <c r="PRE238" s="2" t="n"/>
      <c r="PRF238" s="2" t="n"/>
      <c r="PRG238" s="2" t="n"/>
      <c r="PRH238" s="2" t="n"/>
      <c r="PRI238" s="2" t="n"/>
      <c r="PRJ238" s="2" t="n"/>
      <c r="PRK238" s="2" t="n"/>
      <c r="PRL238" s="2" t="n"/>
      <c r="PRM238" s="2" t="n"/>
      <c r="PRN238" s="2" t="n"/>
      <c r="PRO238" s="2" t="n"/>
      <c r="PRP238" s="2" t="n"/>
      <c r="PRQ238" s="2" t="n"/>
      <c r="PRR238" s="2" t="n"/>
      <c r="PRS238" s="2" t="n"/>
      <c r="PRT238" s="2" t="n"/>
      <c r="PRU238" s="2" t="n"/>
      <c r="PRV238" s="2" t="n"/>
      <c r="PRW238" s="2" t="n"/>
      <c r="PRX238" s="2" t="n"/>
      <c r="PRY238" s="2" t="n"/>
      <c r="PRZ238" s="2" t="n"/>
      <c r="PSA238" s="2" t="n"/>
      <c r="PSB238" s="2" t="n"/>
      <c r="PSC238" s="2" t="n"/>
      <c r="PSD238" s="2" t="n"/>
      <c r="PSE238" s="2" t="n"/>
      <c r="PSF238" s="2" t="n"/>
      <c r="PSG238" s="2" t="n"/>
      <c r="PSH238" s="2" t="n"/>
      <c r="PSI238" s="2" t="n"/>
      <c r="PSJ238" s="2" t="n"/>
      <c r="PSK238" s="2" t="n"/>
      <c r="PSL238" s="2" t="n"/>
      <c r="PSM238" s="2" t="n"/>
      <c r="PSN238" s="2" t="n"/>
      <c r="PSO238" s="2" t="n"/>
      <c r="PSP238" s="2" t="n"/>
      <c r="PSQ238" s="2" t="n"/>
      <c r="PSR238" s="2" t="n"/>
      <c r="PSS238" s="2" t="n"/>
      <c r="PST238" s="2" t="n"/>
      <c r="PSU238" s="2" t="n"/>
      <c r="PSV238" s="2" t="n"/>
      <c r="PSW238" s="2" t="n"/>
      <c r="PSX238" s="2" t="n"/>
      <c r="PSY238" s="2" t="n"/>
      <c r="PSZ238" s="2" t="n"/>
      <c r="PTA238" s="2" t="n"/>
      <c r="PTB238" s="2" t="n"/>
      <c r="PTC238" s="2" t="n"/>
      <c r="PTD238" s="2" t="n"/>
      <c r="PTE238" s="2" t="n"/>
      <c r="PTF238" s="2" t="n"/>
      <c r="PTG238" s="2" t="n"/>
      <c r="PTH238" s="2" t="n"/>
      <c r="PTI238" s="2" t="n"/>
      <c r="PTJ238" s="2" t="n"/>
      <c r="PTK238" s="2" t="n"/>
      <c r="PTL238" s="2" t="n"/>
      <c r="PTM238" s="2" t="n"/>
      <c r="PTN238" s="2" t="n"/>
      <c r="PTO238" s="2" t="n"/>
      <c r="PTP238" s="2" t="n"/>
      <c r="PTQ238" s="2" t="n"/>
      <c r="PTR238" s="2" t="n"/>
      <c r="PTS238" s="2" t="n"/>
      <c r="PTT238" s="2" t="n"/>
      <c r="PTU238" s="2" t="n"/>
      <c r="PTV238" s="2" t="n"/>
      <c r="PTW238" s="2" t="n"/>
      <c r="PTX238" s="2" t="n"/>
      <c r="PTY238" s="2" t="n"/>
      <c r="PTZ238" s="2" t="n"/>
      <c r="PUA238" s="2" t="n"/>
      <c r="PUB238" s="2" t="n"/>
      <c r="PUC238" s="2" t="n"/>
      <c r="PUD238" s="2" t="n"/>
      <c r="PUE238" s="2" t="n"/>
      <c r="PUF238" s="2" t="n"/>
      <c r="PUG238" s="2" t="n"/>
      <c r="PUH238" s="2" t="n"/>
      <c r="PUI238" s="2" t="n"/>
      <c r="PUJ238" s="2" t="n"/>
      <c r="PUK238" s="2" t="n"/>
      <c r="PUL238" s="2" t="n"/>
      <c r="PUM238" s="2" t="n"/>
      <c r="PUN238" s="2" t="n"/>
      <c r="PUO238" s="2" t="n"/>
      <c r="PUP238" s="2" t="n"/>
      <c r="PUQ238" s="2" t="n"/>
      <c r="PUR238" s="2" t="n"/>
      <c r="PUS238" s="2" t="n"/>
      <c r="PUT238" s="2" t="n"/>
      <c r="PUU238" s="2" t="n"/>
      <c r="PUV238" s="2" t="n"/>
      <c r="PUW238" s="2" t="n"/>
      <c r="PUX238" s="2" t="n"/>
      <c r="PUY238" s="2" t="n"/>
      <c r="PUZ238" s="2" t="n"/>
      <c r="PVA238" s="2" t="n"/>
      <c r="PVB238" s="2" t="n"/>
      <c r="PVC238" s="2" t="n"/>
      <c r="PVD238" s="2" t="n"/>
      <c r="PVE238" s="2" t="n"/>
      <c r="PVF238" s="2" t="n"/>
      <c r="PVG238" s="2" t="n"/>
      <c r="PVH238" s="2" t="n"/>
      <c r="PVI238" s="2" t="n"/>
      <c r="PVJ238" s="2" t="n"/>
      <c r="PVK238" s="2" t="n"/>
      <c r="PVL238" s="2" t="n"/>
      <c r="PVM238" s="2" t="n"/>
      <c r="PVN238" s="2" t="n"/>
      <c r="PVO238" s="2" t="n"/>
      <c r="PVP238" s="2" t="n"/>
      <c r="PVQ238" s="2" t="n"/>
      <c r="PVR238" s="2" t="n"/>
      <c r="PVS238" s="2" t="n"/>
      <c r="PVT238" s="2" t="n"/>
      <c r="PVU238" s="2" t="n"/>
      <c r="PVV238" s="2" t="n"/>
      <c r="PVW238" s="2" t="n"/>
      <c r="PVX238" s="2" t="n"/>
      <c r="PVY238" s="2" t="n"/>
      <c r="PVZ238" s="2" t="n"/>
      <c r="PWA238" s="2" t="n"/>
      <c r="PWB238" s="2" t="n"/>
      <c r="PWC238" s="2" t="n"/>
      <c r="PWD238" s="2" t="n"/>
      <c r="PWE238" s="2" t="n"/>
      <c r="PWF238" s="2" t="n"/>
      <c r="PWG238" s="2" t="n"/>
      <c r="PWH238" s="2" t="n"/>
      <c r="PWI238" s="2" t="n"/>
      <c r="PWJ238" s="2" t="n"/>
      <c r="PWK238" s="2" t="n"/>
      <c r="PWL238" s="2" t="n"/>
      <c r="PWM238" s="2" t="n"/>
      <c r="PWN238" s="2" t="n"/>
      <c r="PWO238" s="2" t="n"/>
      <c r="PWP238" s="2" t="n"/>
      <c r="PWQ238" s="2" t="n"/>
      <c r="PWR238" s="2" t="n"/>
      <c r="PWS238" s="2" t="n"/>
      <c r="PWT238" s="2" t="n"/>
      <c r="PWU238" s="2" t="n"/>
      <c r="PWV238" s="2" t="n"/>
      <c r="PWW238" s="2" t="n"/>
      <c r="PWX238" s="2" t="n"/>
      <c r="PWY238" s="2" t="n"/>
      <c r="PWZ238" s="2" t="n"/>
      <c r="PXA238" s="2" t="n"/>
      <c r="PXB238" s="2" t="n"/>
      <c r="PXC238" s="2" t="n"/>
      <c r="PXD238" s="2" t="n"/>
      <c r="PXE238" s="2" t="n"/>
      <c r="PXF238" s="2" t="n"/>
      <c r="PXG238" s="2" t="n"/>
      <c r="PXH238" s="2" t="n"/>
      <c r="PXI238" s="2" t="n"/>
      <c r="PXJ238" s="2" t="n"/>
      <c r="PXK238" s="2" t="n"/>
      <c r="PXL238" s="2" t="n"/>
      <c r="PXM238" s="2" t="n"/>
      <c r="PXN238" s="2" t="n"/>
      <c r="PXO238" s="2" t="n"/>
      <c r="PXP238" s="2" t="n"/>
      <c r="PXQ238" s="2" t="n"/>
      <c r="PXR238" s="2" t="n"/>
      <c r="PXS238" s="2" t="n"/>
      <c r="PXT238" s="2" t="n"/>
      <c r="PXU238" s="2" t="n"/>
      <c r="PXV238" s="2" t="n"/>
      <c r="PXW238" s="2" t="n"/>
      <c r="PXX238" s="2" t="n"/>
      <c r="PXY238" s="2" t="n"/>
      <c r="PXZ238" s="2" t="n"/>
      <c r="PYA238" s="2" t="n"/>
      <c r="PYB238" s="2" t="n"/>
      <c r="PYC238" s="2" t="n"/>
      <c r="PYD238" s="2" t="n"/>
      <c r="PYE238" s="2" t="n"/>
      <c r="PYF238" s="2" t="n"/>
      <c r="PYG238" s="2" t="n"/>
      <c r="PYH238" s="2" t="n"/>
      <c r="PYI238" s="2" t="n"/>
      <c r="PYJ238" s="2" t="n"/>
      <c r="PYK238" s="2" t="n"/>
      <c r="PYL238" s="2" t="n"/>
      <c r="PYM238" s="2" t="n"/>
      <c r="PYN238" s="2" t="n"/>
      <c r="PYO238" s="2" t="n"/>
      <c r="PYP238" s="2" t="n"/>
      <c r="PYQ238" s="2" t="n"/>
      <c r="PYR238" s="2" t="n"/>
      <c r="PYS238" s="2" t="n"/>
      <c r="PYT238" s="2" t="n"/>
      <c r="PYU238" s="2" t="n"/>
      <c r="PYV238" s="2" t="n"/>
      <c r="PYW238" s="2" t="n"/>
      <c r="PYX238" s="2" t="n"/>
      <c r="PYY238" s="2" t="n"/>
      <c r="PYZ238" s="2" t="n"/>
      <c r="PZA238" s="2" t="n"/>
      <c r="PZB238" s="2" t="n"/>
      <c r="PZC238" s="2" t="n"/>
      <c r="PZD238" s="2" t="n"/>
      <c r="PZE238" s="2" t="n"/>
      <c r="PZF238" s="2" t="n"/>
      <c r="PZG238" s="2" t="n"/>
      <c r="PZH238" s="2" t="n"/>
      <c r="PZI238" s="2" t="n"/>
      <c r="PZJ238" s="2" t="n"/>
      <c r="PZK238" s="2" t="n"/>
      <c r="PZL238" s="2" t="n"/>
      <c r="PZM238" s="2" t="n"/>
      <c r="PZN238" s="2" t="n"/>
      <c r="PZO238" s="2" t="n"/>
      <c r="PZP238" s="2" t="n"/>
      <c r="PZQ238" s="2" t="n"/>
      <c r="PZR238" s="2" t="n"/>
      <c r="PZS238" s="2" t="n"/>
      <c r="PZT238" s="2" t="n"/>
      <c r="PZU238" s="2" t="n"/>
      <c r="PZV238" s="2" t="n"/>
      <c r="PZW238" s="2" t="n"/>
      <c r="PZX238" s="2" t="n"/>
      <c r="PZY238" s="2" t="n"/>
      <c r="PZZ238" s="2" t="n"/>
      <c r="QAA238" s="2" t="n"/>
      <c r="QAB238" s="2" t="n"/>
      <c r="QAC238" s="2" t="n"/>
      <c r="QAD238" s="2" t="n"/>
      <c r="QAE238" s="2" t="n"/>
      <c r="QAF238" s="2" t="n"/>
      <c r="QAG238" s="2" t="n"/>
      <c r="QAH238" s="2" t="n"/>
      <c r="QAI238" s="2" t="n"/>
      <c r="QAJ238" s="2" t="n"/>
      <c r="QAK238" s="2" t="n"/>
      <c r="QAL238" s="2" t="n"/>
      <c r="QAM238" s="2" t="n"/>
      <c r="QAN238" s="2" t="n"/>
      <c r="QAO238" s="2" t="n"/>
      <c r="QAP238" s="2" t="n"/>
      <c r="QAQ238" s="2" t="n"/>
      <c r="QAR238" s="2" t="n"/>
      <c r="QAS238" s="2" t="n"/>
      <c r="QAT238" s="2" t="n"/>
      <c r="QAU238" s="2" t="n"/>
      <c r="QAV238" s="2" t="n"/>
      <c r="QAW238" s="2" t="n"/>
      <c r="QAX238" s="2" t="n"/>
      <c r="QAY238" s="2" t="n"/>
      <c r="QAZ238" s="2" t="n"/>
      <c r="QBA238" s="2" t="n"/>
      <c r="QBB238" s="2" t="n"/>
      <c r="QBC238" s="2" t="n"/>
      <c r="QBD238" s="2" t="n"/>
      <c r="QBE238" s="2" t="n"/>
      <c r="QBF238" s="2" t="n"/>
      <c r="QBG238" s="2" t="n"/>
      <c r="QBH238" s="2" t="n"/>
      <c r="QBI238" s="2" t="n"/>
      <c r="QBJ238" s="2" t="n"/>
      <c r="QBK238" s="2" t="n"/>
      <c r="QBL238" s="2" t="n"/>
      <c r="QBM238" s="2" t="n"/>
      <c r="QBN238" s="2" t="n"/>
      <c r="QBO238" s="2" t="n"/>
      <c r="QBP238" s="2" t="n"/>
      <c r="QBQ238" s="2" t="n"/>
      <c r="QBR238" s="2" t="n"/>
      <c r="QBS238" s="2" t="n"/>
      <c r="QBT238" s="2" t="n"/>
      <c r="QBU238" s="2" t="n"/>
      <c r="QBV238" s="2" t="n"/>
      <c r="QBW238" s="2" t="n"/>
      <c r="QBX238" s="2" t="n"/>
      <c r="QBY238" s="2" t="n"/>
      <c r="QBZ238" s="2" t="n"/>
      <c r="QCA238" s="2" t="n"/>
      <c r="QCB238" s="2" t="n"/>
      <c r="QCC238" s="2" t="n"/>
      <c r="QCD238" s="2" t="n"/>
      <c r="QCE238" s="2" t="n"/>
      <c r="QCF238" s="2" t="n"/>
      <c r="QCG238" s="2" t="n"/>
      <c r="QCH238" s="2" t="n"/>
      <c r="QCI238" s="2" t="n"/>
      <c r="QCJ238" s="2" t="n"/>
      <c r="QCK238" s="2" t="n"/>
      <c r="QCL238" s="2" t="n"/>
      <c r="QCM238" s="2" t="n"/>
      <c r="QCN238" s="2" t="n"/>
      <c r="QCO238" s="2" t="n"/>
      <c r="QCP238" s="2" t="n"/>
      <c r="QCQ238" s="2" t="n"/>
      <c r="QCR238" s="2" t="n"/>
      <c r="QCS238" s="2" t="n"/>
      <c r="QCT238" s="2" t="n"/>
      <c r="QCU238" s="2" t="n"/>
      <c r="QCV238" s="2" t="n"/>
      <c r="QCW238" s="2" t="n"/>
      <c r="QCX238" s="2" t="n"/>
      <c r="QCY238" s="2" t="n"/>
      <c r="QCZ238" s="2" t="n"/>
      <c r="QDA238" s="2" t="n"/>
      <c r="QDB238" s="2" t="n"/>
      <c r="QDC238" s="2" t="n"/>
      <c r="QDD238" s="2" t="n"/>
      <c r="QDE238" s="2" t="n"/>
      <c r="QDF238" s="2" t="n"/>
      <c r="QDG238" s="2" t="n"/>
      <c r="QDH238" s="2" t="n"/>
      <c r="QDI238" s="2" t="n"/>
      <c r="QDJ238" s="2" t="n"/>
      <c r="QDK238" s="2" t="n"/>
      <c r="QDL238" s="2" t="n"/>
      <c r="QDM238" s="2" t="n"/>
      <c r="QDN238" s="2" t="n"/>
      <c r="QDO238" s="2" t="n"/>
      <c r="QDP238" s="2" t="n"/>
      <c r="QDQ238" s="2" t="n"/>
      <c r="QDR238" s="2" t="n"/>
      <c r="QDS238" s="2" t="n"/>
      <c r="QDT238" s="2" t="n"/>
      <c r="QDU238" s="2" t="n"/>
      <c r="QDV238" s="2" t="n"/>
      <c r="QDW238" s="2" t="n"/>
      <c r="QDX238" s="2" t="n"/>
      <c r="QDY238" s="2" t="n"/>
      <c r="QDZ238" s="2" t="n"/>
      <c r="QEA238" s="2" t="n"/>
      <c r="QEB238" s="2" t="n"/>
      <c r="QEC238" s="2" t="n"/>
      <c r="QED238" s="2" t="n"/>
      <c r="QEE238" s="2" t="n"/>
      <c r="QEF238" s="2" t="n"/>
      <c r="QEG238" s="2" t="n"/>
      <c r="QEH238" s="2" t="n"/>
      <c r="QEI238" s="2" t="n"/>
      <c r="QEJ238" s="2" t="n"/>
      <c r="QEK238" s="2" t="n"/>
      <c r="QEL238" s="2" t="n"/>
      <c r="QEM238" s="2" t="n"/>
      <c r="QEN238" s="2" t="n"/>
      <c r="QEO238" s="2" t="n"/>
      <c r="QEP238" s="2" t="n"/>
      <c r="QEQ238" s="2" t="n"/>
      <c r="QER238" s="2" t="n"/>
      <c r="QES238" s="2" t="n"/>
      <c r="QET238" s="2" t="n"/>
      <c r="QEU238" s="2" t="n"/>
      <c r="QEV238" s="2" t="n"/>
      <c r="QEW238" s="2" t="n"/>
      <c r="QEX238" s="2" t="n"/>
      <c r="QEY238" s="2" t="n"/>
      <c r="QEZ238" s="2" t="n"/>
      <c r="QFA238" s="2" t="n"/>
      <c r="QFB238" s="2" t="n"/>
      <c r="QFC238" s="2" t="n"/>
      <c r="QFD238" s="2" t="n"/>
      <c r="QFE238" s="2" t="n"/>
      <c r="QFF238" s="2" t="n"/>
      <c r="QFG238" s="2" t="n"/>
      <c r="QFH238" s="2" t="n"/>
      <c r="QFI238" s="2" t="n"/>
      <c r="QFJ238" s="2" t="n"/>
      <c r="QFK238" s="2" t="n"/>
      <c r="QFL238" s="2" t="n"/>
      <c r="QFM238" s="2" t="n"/>
      <c r="QFN238" s="2" t="n"/>
      <c r="QFO238" s="2" t="n"/>
      <c r="QFP238" s="2" t="n"/>
      <c r="QFQ238" s="2" t="n"/>
      <c r="QFR238" s="2" t="n"/>
      <c r="QFS238" s="2" t="n"/>
      <c r="QFT238" s="2" t="n"/>
      <c r="QFU238" s="2" t="n"/>
      <c r="QFV238" s="2" t="n"/>
      <c r="QFW238" s="2" t="n"/>
      <c r="QFX238" s="2" t="n"/>
      <c r="QFY238" s="2" t="n"/>
      <c r="QFZ238" s="2" t="n"/>
      <c r="QGA238" s="2" t="n"/>
      <c r="QGB238" s="2" t="n"/>
      <c r="QGC238" s="2" t="n"/>
      <c r="QGD238" s="2" t="n"/>
      <c r="QGE238" s="2" t="n"/>
      <c r="QGF238" s="2" t="n"/>
      <c r="QGG238" s="2" t="n"/>
      <c r="QGH238" s="2" t="n"/>
      <c r="QGI238" s="2" t="n"/>
      <c r="QGJ238" s="2" t="n"/>
      <c r="QGK238" s="2" t="n"/>
      <c r="QGL238" s="2" t="n"/>
      <c r="QGM238" s="2" t="n"/>
      <c r="QGN238" s="2" t="n"/>
      <c r="QGO238" s="2" t="n"/>
      <c r="QGP238" s="2" t="n"/>
      <c r="QGQ238" s="2" t="n"/>
      <c r="QGR238" s="2" t="n"/>
      <c r="QGS238" s="2" t="n"/>
      <c r="QGT238" s="2" t="n"/>
      <c r="QGU238" s="2" t="n"/>
      <c r="QGV238" s="2" t="n"/>
      <c r="QGW238" s="2" t="n"/>
      <c r="QGX238" s="2" t="n"/>
      <c r="QGY238" s="2" t="n"/>
      <c r="QGZ238" s="2" t="n"/>
      <c r="QHA238" s="2" t="n"/>
      <c r="QHB238" s="2" t="n"/>
      <c r="QHC238" s="2" t="n"/>
      <c r="QHD238" s="2" t="n"/>
      <c r="QHE238" s="2" t="n"/>
      <c r="QHF238" s="2" t="n"/>
      <c r="QHG238" s="2" t="n"/>
      <c r="QHH238" s="2" t="n"/>
      <c r="QHI238" s="2" t="n"/>
      <c r="QHJ238" s="2" t="n"/>
      <c r="QHK238" s="2" t="n"/>
      <c r="QHL238" s="2" t="n"/>
      <c r="QHM238" s="2" t="n"/>
      <c r="QHN238" s="2" t="n"/>
      <c r="QHO238" s="2" t="n"/>
      <c r="QHP238" s="2" t="n"/>
      <c r="QHQ238" s="2" t="n"/>
      <c r="QHR238" s="2" t="n"/>
      <c r="QHS238" s="2" t="n"/>
      <c r="QHT238" s="2" t="n"/>
      <c r="QHU238" s="2" t="n"/>
      <c r="QHV238" s="2" t="n"/>
      <c r="QHW238" s="2" t="n"/>
      <c r="QHX238" s="2" t="n"/>
      <c r="QHY238" s="2" t="n"/>
      <c r="QHZ238" s="2" t="n"/>
      <c r="QIA238" s="2" t="n"/>
      <c r="QIB238" s="2" t="n"/>
      <c r="QIC238" s="2" t="n"/>
      <c r="QID238" s="2" t="n"/>
      <c r="QIE238" s="2" t="n"/>
      <c r="QIF238" s="2" t="n"/>
      <c r="QIG238" s="2" t="n"/>
      <c r="QIH238" s="2" t="n"/>
      <c r="QII238" s="2" t="n"/>
      <c r="QIJ238" s="2" t="n"/>
      <c r="QIK238" s="2" t="n"/>
      <c r="QIL238" s="2" t="n"/>
      <c r="QIM238" s="2" t="n"/>
      <c r="QIN238" s="2" t="n"/>
      <c r="QIO238" s="2" t="n"/>
      <c r="QIP238" s="2" t="n"/>
      <c r="QIQ238" s="2" t="n"/>
      <c r="QIR238" s="2" t="n"/>
      <c r="QIS238" s="2" t="n"/>
      <c r="QIT238" s="2" t="n"/>
      <c r="QIU238" s="2" t="n"/>
      <c r="QIV238" s="2" t="n"/>
      <c r="QIW238" s="2" t="n"/>
      <c r="QIX238" s="2" t="n"/>
      <c r="QIY238" s="2" t="n"/>
      <c r="QIZ238" s="2" t="n"/>
      <c r="QJA238" s="2" t="n"/>
      <c r="QJB238" s="2" t="n"/>
      <c r="QJC238" s="2" t="n"/>
      <c r="QJD238" s="2" t="n"/>
      <c r="QJE238" s="2" t="n"/>
      <c r="QJF238" s="2" t="n"/>
      <c r="QJG238" s="2" t="n"/>
      <c r="QJH238" s="2" t="n"/>
      <c r="QJI238" s="2" t="n"/>
      <c r="QJJ238" s="2" t="n"/>
      <c r="QJK238" s="2" t="n"/>
      <c r="QJL238" s="2" t="n"/>
      <c r="QJM238" s="2" t="n"/>
      <c r="QJN238" s="2" t="n"/>
      <c r="QJO238" s="2" t="n"/>
      <c r="QJP238" s="2" t="n"/>
      <c r="QJQ238" s="2" t="n"/>
      <c r="QJR238" s="2" t="n"/>
      <c r="QJS238" s="2" t="n"/>
      <c r="QJT238" s="2" t="n"/>
      <c r="QJU238" s="2" t="n"/>
      <c r="QJV238" s="2" t="n"/>
      <c r="QJW238" s="2" t="n"/>
      <c r="QJX238" s="2" t="n"/>
      <c r="QJY238" s="2" t="n"/>
      <c r="QJZ238" s="2" t="n"/>
      <c r="QKA238" s="2" t="n"/>
      <c r="QKB238" s="2" t="n"/>
      <c r="QKC238" s="2" t="n"/>
      <c r="QKD238" s="2" t="n"/>
      <c r="QKE238" s="2" t="n"/>
      <c r="QKF238" s="2" t="n"/>
      <c r="QKG238" s="2" t="n"/>
      <c r="QKH238" s="2" t="n"/>
      <c r="QKI238" s="2" t="n"/>
      <c r="QKJ238" s="2" t="n"/>
      <c r="QKK238" s="2" t="n"/>
      <c r="QKL238" s="2" t="n"/>
      <c r="QKM238" s="2" t="n"/>
      <c r="QKN238" s="2" t="n"/>
      <c r="QKO238" s="2" t="n"/>
      <c r="QKP238" s="2" t="n"/>
      <c r="QKQ238" s="2" t="n"/>
      <c r="QKR238" s="2" t="n"/>
      <c r="QKS238" s="2" t="n"/>
      <c r="QKT238" s="2" t="n"/>
      <c r="QKU238" s="2" t="n"/>
      <c r="QKV238" s="2" t="n"/>
      <c r="QKW238" s="2" t="n"/>
      <c r="QKX238" s="2" t="n"/>
      <c r="QKY238" s="2" t="n"/>
      <c r="QKZ238" s="2" t="n"/>
      <c r="QLA238" s="2" t="n"/>
      <c r="QLB238" s="2" t="n"/>
      <c r="QLC238" s="2" t="n"/>
      <c r="QLD238" s="2" t="n"/>
      <c r="QLE238" s="2" t="n"/>
      <c r="QLF238" s="2" t="n"/>
      <c r="QLG238" s="2" t="n"/>
      <c r="QLH238" s="2" t="n"/>
      <c r="QLI238" s="2" t="n"/>
      <c r="QLJ238" s="2" t="n"/>
      <c r="QLK238" s="2" t="n"/>
      <c r="QLL238" s="2" t="n"/>
      <c r="QLM238" s="2" t="n"/>
      <c r="QLN238" s="2" t="n"/>
      <c r="QLO238" s="2" t="n"/>
      <c r="QLP238" s="2" t="n"/>
      <c r="QLQ238" s="2" t="n"/>
      <c r="QLR238" s="2" t="n"/>
      <c r="QLS238" s="2" t="n"/>
      <c r="QLT238" s="2" t="n"/>
      <c r="QLU238" s="2" t="n"/>
      <c r="QLV238" s="2" t="n"/>
      <c r="QLW238" s="2" t="n"/>
      <c r="QLX238" s="2" t="n"/>
      <c r="QLY238" s="2" t="n"/>
      <c r="QLZ238" s="2" t="n"/>
      <c r="QMA238" s="2" t="n"/>
      <c r="QMB238" s="2" t="n"/>
      <c r="QMC238" s="2" t="n"/>
      <c r="QMD238" s="2" t="n"/>
      <c r="QME238" s="2" t="n"/>
      <c r="QMF238" s="2" t="n"/>
      <c r="QMG238" s="2" t="n"/>
      <c r="QMH238" s="2" t="n"/>
      <c r="QMI238" s="2" t="n"/>
      <c r="QMJ238" s="2" t="n"/>
      <c r="QMK238" s="2" t="n"/>
      <c r="QML238" s="2" t="n"/>
      <c r="QMM238" s="2" t="n"/>
      <c r="QMN238" s="2" t="n"/>
      <c r="QMO238" s="2" t="n"/>
      <c r="QMP238" s="2" t="n"/>
      <c r="QMQ238" s="2" t="n"/>
      <c r="QMR238" s="2" t="n"/>
      <c r="QMS238" s="2" t="n"/>
      <c r="QMT238" s="2" t="n"/>
      <c r="QMU238" s="2" t="n"/>
      <c r="QMV238" s="2" t="n"/>
      <c r="QMW238" s="2" t="n"/>
      <c r="QMX238" s="2" t="n"/>
      <c r="QMY238" s="2" t="n"/>
      <c r="QMZ238" s="2" t="n"/>
      <c r="QNA238" s="2" t="n"/>
      <c r="QNB238" s="2" t="n"/>
      <c r="QNC238" s="2" t="n"/>
      <c r="QND238" s="2" t="n"/>
      <c r="QNE238" s="2" t="n"/>
      <c r="QNF238" s="2" t="n"/>
      <c r="QNG238" s="2" t="n"/>
      <c r="QNH238" s="2" t="n"/>
      <c r="QNI238" s="2" t="n"/>
      <c r="QNJ238" s="2" t="n"/>
      <c r="QNK238" s="2" t="n"/>
      <c r="QNL238" s="2" t="n"/>
      <c r="QNM238" s="2" t="n"/>
      <c r="QNN238" s="2" t="n"/>
      <c r="QNO238" s="2" t="n"/>
      <c r="QNP238" s="2" t="n"/>
      <c r="QNQ238" s="2" t="n"/>
      <c r="QNR238" s="2" t="n"/>
      <c r="QNS238" s="2" t="n"/>
      <c r="QNT238" s="2" t="n"/>
      <c r="QNU238" s="2" t="n"/>
      <c r="QNV238" s="2" t="n"/>
      <c r="QNW238" s="2" t="n"/>
      <c r="QNX238" s="2" t="n"/>
      <c r="QNY238" s="2" t="n"/>
      <c r="QNZ238" s="2" t="n"/>
      <c r="QOA238" s="2" t="n"/>
      <c r="QOB238" s="2" t="n"/>
      <c r="QOC238" s="2" t="n"/>
      <c r="QOD238" s="2" t="n"/>
      <c r="QOE238" s="2" t="n"/>
      <c r="QOF238" s="2" t="n"/>
      <c r="QOG238" s="2" t="n"/>
      <c r="QOH238" s="2" t="n"/>
      <c r="QOI238" s="2" t="n"/>
      <c r="QOJ238" s="2" t="n"/>
      <c r="QOK238" s="2" t="n"/>
      <c r="QOL238" s="2" t="n"/>
      <c r="QOM238" s="2" t="n"/>
      <c r="QON238" s="2" t="n"/>
      <c r="QOO238" s="2" t="n"/>
      <c r="QOP238" s="2" t="n"/>
      <c r="QOQ238" s="2" t="n"/>
      <c r="QOR238" s="2" t="n"/>
      <c r="QOS238" s="2" t="n"/>
      <c r="QOT238" s="2" t="n"/>
      <c r="QOU238" s="2" t="n"/>
      <c r="QOV238" s="2" t="n"/>
      <c r="QOW238" s="2" t="n"/>
      <c r="QOX238" s="2" t="n"/>
      <c r="QOY238" s="2" t="n"/>
      <c r="QOZ238" s="2" t="n"/>
      <c r="QPA238" s="2" t="n"/>
      <c r="QPB238" s="2" t="n"/>
      <c r="QPC238" s="2" t="n"/>
      <c r="QPD238" s="2" t="n"/>
      <c r="QPE238" s="2" t="n"/>
      <c r="QPF238" s="2" t="n"/>
      <c r="QPG238" s="2" t="n"/>
      <c r="QPH238" s="2" t="n"/>
      <c r="QPI238" s="2" t="n"/>
      <c r="QPJ238" s="2" t="n"/>
      <c r="QPK238" s="2" t="n"/>
      <c r="QPL238" s="2" t="n"/>
      <c r="QPM238" s="2" t="n"/>
      <c r="QPN238" s="2" t="n"/>
      <c r="QPO238" s="2" t="n"/>
      <c r="QPP238" s="2" t="n"/>
      <c r="QPQ238" s="2" t="n"/>
      <c r="QPR238" s="2" t="n"/>
      <c r="QPS238" s="2" t="n"/>
      <c r="QPT238" s="2" t="n"/>
      <c r="QPU238" s="2" t="n"/>
      <c r="QPV238" s="2" t="n"/>
      <c r="QPW238" s="2" t="n"/>
      <c r="QPX238" s="2" t="n"/>
      <c r="QPY238" s="2" t="n"/>
      <c r="QPZ238" s="2" t="n"/>
      <c r="QQA238" s="2" t="n"/>
      <c r="QQB238" s="2" t="n"/>
      <c r="QQC238" s="2" t="n"/>
      <c r="QQD238" s="2" t="n"/>
      <c r="QQE238" s="2" t="n"/>
      <c r="QQF238" s="2" t="n"/>
      <c r="QQG238" s="2" t="n"/>
      <c r="QQH238" s="2" t="n"/>
      <c r="QQI238" s="2" t="n"/>
      <c r="QQJ238" s="2" t="n"/>
      <c r="QQK238" s="2" t="n"/>
      <c r="QQL238" s="2" t="n"/>
      <c r="QQM238" s="2" t="n"/>
      <c r="QQN238" s="2" t="n"/>
      <c r="QQO238" s="2" t="n"/>
      <c r="QQP238" s="2" t="n"/>
      <c r="QQQ238" s="2" t="n"/>
      <c r="QQR238" s="2" t="n"/>
      <c r="QQS238" s="2" t="n"/>
      <c r="QQT238" s="2" t="n"/>
      <c r="QQU238" s="2" t="n"/>
      <c r="QQV238" s="2" t="n"/>
      <c r="QQW238" s="2" t="n"/>
      <c r="QQX238" s="2" t="n"/>
      <c r="QQY238" s="2" t="n"/>
      <c r="QQZ238" s="2" t="n"/>
      <c r="QRA238" s="2" t="n"/>
      <c r="QRB238" s="2" t="n"/>
      <c r="QRC238" s="2" t="n"/>
      <c r="QRD238" s="2" t="n"/>
      <c r="QRE238" s="2" t="n"/>
      <c r="QRF238" s="2" t="n"/>
      <c r="QRG238" s="2" t="n"/>
      <c r="QRH238" s="2" t="n"/>
      <c r="QRI238" s="2" t="n"/>
      <c r="QRJ238" s="2" t="n"/>
      <c r="QRK238" s="2" t="n"/>
      <c r="QRL238" s="2" t="n"/>
      <c r="QRM238" s="2" t="n"/>
      <c r="QRN238" s="2" t="n"/>
      <c r="QRO238" s="2" t="n"/>
      <c r="QRP238" s="2" t="n"/>
      <c r="QRQ238" s="2" t="n"/>
      <c r="QRR238" s="2" t="n"/>
      <c r="QRS238" s="2" t="n"/>
      <c r="QRT238" s="2" t="n"/>
      <c r="QRU238" s="2" t="n"/>
      <c r="QRV238" s="2" t="n"/>
      <c r="QRW238" s="2" t="n"/>
      <c r="QRX238" s="2" t="n"/>
      <c r="QRY238" s="2" t="n"/>
      <c r="QRZ238" s="2" t="n"/>
      <c r="QSA238" s="2" t="n"/>
      <c r="QSB238" s="2" t="n"/>
      <c r="QSC238" s="2" t="n"/>
      <c r="QSD238" s="2" t="n"/>
      <c r="QSE238" s="2" t="n"/>
      <c r="QSF238" s="2" t="n"/>
      <c r="QSG238" s="2" t="n"/>
      <c r="QSH238" s="2" t="n"/>
      <c r="QSI238" s="2" t="n"/>
      <c r="QSJ238" s="2" t="n"/>
      <c r="QSK238" s="2" t="n"/>
      <c r="QSL238" s="2" t="n"/>
      <c r="QSM238" s="2" t="n"/>
      <c r="QSN238" s="2" t="n"/>
      <c r="QSO238" s="2" t="n"/>
      <c r="QSP238" s="2" t="n"/>
      <c r="QSQ238" s="2" t="n"/>
      <c r="QSR238" s="2" t="n"/>
      <c r="QSS238" s="2" t="n"/>
      <c r="QST238" s="2" t="n"/>
      <c r="QSU238" s="2" t="n"/>
      <c r="QSV238" s="2" t="n"/>
      <c r="QSW238" s="2" t="n"/>
      <c r="QSX238" s="2" t="n"/>
      <c r="QSY238" s="2" t="n"/>
      <c r="QSZ238" s="2" t="n"/>
      <c r="QTA238" s="2" t="n"/>
      <c r="QTB238" s="2" t="n"/>
      <c r="QTC238" s="2" t="n"/>
      <c r="QTD238" s="2" t="n"/>
      <c r="QTE238" s="2" t="n"/>
      <c r="QTF238" s="2" t="n"/>
      <c r="QTG238" s="2" t="n"/>
      <c r="QTH238" s="2" t="n"/>
      <c r="QTI238" s="2" t="n"/>
      <c r="QTJ238" s="2" t="n"/>
      <c r="QTK238" s="2" t="n"/>
      <c r="QTL238" s="2" t="n"/>
      <c r="QTM238" s="2" t="n"/>
      <c r="QTN238" s="2" t="n"/>
      <c r="QTO238" s="2" t="n"/>
      <c r="QTP238" s="2" t="n"/>
      <c r="QTQ238" s="2" t="n"/>
      <c r="QTR238" s="2" t="n"/>
      <c r="QTS238" s="2" t="n"/>
      <c r="QTT238" s="2" t="n"/>
      <c r="QTU238" s="2" t="n"/>
      <c r="QTV238" s="2" t="n"/>
      <c r="QTW238" s="2" t="n"/>
      <c r="QTX238" s="2" t="n"/>
      <c r="QTY238" s="2" t="n"/>
      <c r="QTZ238" s="2" t="n"/>
      <c r="QUA238" s="2" t="n"/>
      <c r="QUB238" s="2" t="n"/>
      <c r="QUC238" s="2" t="n"/>
      <c r="QUD238" s="2" t="n"/>
      <c r="QUE238" s="2" t="n"/>
      <c r="QUF238" s="2" t="n"/>
      <c r="QUG238" s="2" t="n"/>
      <c r="QUH238" s="2" t="n"/>
      <c r="QUI238" s="2" t="n"/>
      <c r="QUJ238" s="2" t="n"/>
      <c r="QUK238" s="2" t="n"/>
      <c r="QUL238" s="2" t="n"/>
      <c r="QUM238" s="2" t="n"/>
      <c r="QUN238" s="2" t="n"/>
      <c r="QUO238" s="2" t="n"/>
      <c r="QUP238" s="2" t="n"/>
      <c r="QUQ238" s="2" t="n"/>
      <c r="QUR238" s="2" t="n"/>
      <c r="QUS238" s="2" t="n"/>
      <c r="QUT238" s="2" t="n"/>
      <c r="QUU238" s="2" t="n"/>
      <c r="QUV238" s="2" t="n"/>
      <c r="QUW238" s="2" t="n"/>
      <c r="QUX238" s="2" t="n"/>
      <c r="QUY238" s="2" t="n"/>
      <c r="QUZ238" s="2" t="n"/>
      <c r="QVA238" s="2" t="n"/>
      <c r="QVB238" s="2" t="n"/>
      <c r="QVC238" s="2" t="n"/>
      <c r="QVD238" s="2" t="n"/>
      <c r="QVE238" s="2" t="n"/>
      <c r="QVF238" s="2" t="n"/>
      <c r="QVG238" s="2" t="n"/>
      <c r="QVH238" s="2" t="n"/>
      <c r="QVI238" s="2" t="n"/>
      <c r="QVJ238" s="2" t="n"/>
      <c r="QVK238" s="2" t="n"/>
      <c r="QVL238" s="2" t="n"/>
      <c r="QVM238" s="2" t="n"/>
      <c r="QVN238" s="2" t="n"/>
      <c r="QVO238" s="2" t="n"/>
      <c r="QVP238" s="2" t="n"/>
      <c r="QVQ238" s="2" t="n"/>
      <c r="QVR238" s="2" t="n"/>
      <c r="QVS238" s="2" t="n"/>
      <c r="QVT238" s="2" t="n"/>
      <c r="QVU238" s="2" t="n"/>
      <c r="QVV238" s="2" t="n"/>
      <c r="QVW238" s="2" t="n"/>
      <c r="QVX238" s="2" t="n"/>
      <c r="QVY238" s="2" t="n"/>
      <c r="QVZ238" s="2" t="n"/>
      <c r="QWA238" s="2" t="n"/>
      <c r="QWB238" s="2" t="n"/>
      <c r="QWC238" s="2" t="n"/>
      <c r="QWD238" s="2" t="n"/>
      <c r="QWE238" s="2" t="n"/>
      <c r="QWF238" s="2" t="n"/>
      <c r="QWG238" s="2" t="n"/>
      <c r="QWH238" s="2" t="n"/>
      <c r="QWI238" s="2" t="n"/>
      <c r="QWJ238" s="2" t="n"/>
      <c r="QWK238" s="2" t="n"/>
      <c r="QWL238" s="2" t="n"/>
      <c r="QWM238" s="2" t="n"/>
      <c r="QWN238" s="2" t="n"/>
      <c r="QWO238" s="2" t="n"/>
      <c r="QWP238" s="2" t="n"/>
      <c r="QWQ238" s="2" t="n"/>
      <c r="QWR238" s="2" t="n"/>
      <c r="QWS238" s="2" t="n"/>
      <c r="QWT238" s="2" t="n"/>
      <c r="QWU238" s="2" t="n"/>
      <c r="QWV238" s="2" t="n"/>
      <c r="QWW238" s="2" t="n"/>
      <c r="QWX238" s="2" t="n"/>
      <c r="QWY238" s="2" t="n"/>
      <c r="QWZ238" s="2" t="n"/>
      <c r="QXA238" s="2" t="n"/>
      <c r="QXB238" s="2" t="n"/>
      <c r="QXC238" s="2" t="n"/>
      <c r="QXD238" s="2" t="n"/>
      <c r="QXE238" s="2" t="n"/>
      <c r="QXF238" s="2" t="n"/>
      <c r="QXG238" s="2" t="n"/>
      <c r="QXH238" s="2" t="n"/>
      <c r="QXI238" s="2" t="n"/>
      <c r="QXJ238" s="2" t="n"/>
      <c r="QXK238" s="2" t="n"/>
      <c r="QXL238" s="2" t="n"/>
      <c r="QXM238" s="2" t="n"/>
      <c r="QXN238" s="2" t="n"/>
      <c r="QXO238" s="2" t="n"/>
      <c r="QXP238" s="2" t="n"/>
      <c r="QXQ238" s="2" t="n"/>
      <c r="QXR238" s="2" t="n"/>
      <c r="QXS238" s="2" t="n"/>
      <c r="QXT238" s="2" t="n"/>
      <c r="QXU238" s="2" t="n"/>
      <c r="QXV238" s="2" t="n"/>
      <c r="QXW238" s="2" t="n"/>
      <c r="QXX238" s="2" t="n"/>
      <c r="QXY238" s="2" t="n"/>
      <c r="QXZ238" s="2" t="n"/>
      <c r="QYA238" s="2" t="n"/>
      <c r="QYB238" s="2" t="n"/>
      <c r="QYC238" s="2" t="n"/>
      <c r="QYD238" s="2" t="n"/>
      <c r="QYE238" s="2" t="n"/>
      <c r="QYF238" s="2" t="n"/>
      <c r="QYG238" s="2" t="n"/>
      <c r="QYH238" s="2" t="n"/>
      <c r="QYI238" s="2" t="n"/>
      <c r="QYJ238" s="2" t="n"/>
      <c r="QYK238" s="2" t="n"/>
      <c r="QYL238" s="2" t="n"/>
      <c r="QYM238" s="2" t="n"/>
      <c r="QYN238" s="2" t="n"/>
      <c r="QYO238" s="2" t="n"/>
      <c r="QYP238" s="2" t="n"/>
      <c r="QYQ238" s="2" t="n"/>
      <c r="QYR238" s="2" t="n"/>
      <c r="QYS238" s="2" t="n"/>
      <c r="QYT238" s="2" t="n"/>
      <c r="QYU238" s="2" t="n"/>
      <c r="QYV238" s="2" t="n"/>
      <c r="QYW238" s="2" t="n"/>
      <c r="QYX238" s="2" t="n"/>
      <c r="QYY238" s="2" t="n"/>
      <c r="QYZ238" s="2" t="n"/>
      <c r="QZA238" s="2" t="n"/>
      <c r="QZB238" s="2" t="n"/>
      <c r="QZC238" s="2" t="n"/>
      <c r="QZD238" s="2" t="n"/>
      <c r="QZE238" s="2" t="n"/>
      <c r="QZF238" s="2" t="n"/>
      <c r="QZG238" s="2" t="n"/>
      <c r="QZH238" s="2" t="n"/>
      <c r="QZI238" s="2" t="n"/>
      <c r="QZJ238" s="2" t="n"/>
      <c r="QZK238" s="2" t="n"/>
      <c r="QZL238" s="2" t="n"/>
      <c r="QZM238" s="2" t="n"/>
      <c r="QZN238" s="2" t="n"/>
      <c r="QZO238" s="2" t="n"/>
      <c r="QZP238" s="2" t="n"/>
      <c r="QZQ238" s="2" t="n"/>
      <c r="QZR238" s="2" t="n"/>
      <c r="QZS238" s="2" t="n"/>
      <c r="QZT238" s="2" t="n"/>
      <c r="QZU238" s="2" t="n"/>
      <c r="QZV238" s="2" t="n"/>
      <c r="QZW238" s="2" t="n"/>
      <c r="QZX238" s="2" t="n"/>
      <c r="QZY238" s="2" t="n"/>
      <c r="QZZ238" s="2" t="n"/>
      <c r="RAA238" s="2" t="n"/>
      <c r="RAB238" s="2" t="n"/>
      <c r="RAC238" s="2" t="n"/>
      <c r="RAD238" s="2" t="n"/>
      <c r="RAE238" s="2" t="n"/>
      <c r="RAF238" s="2" t="n"/>
      <c r="RAG238" s="2" t="n"/>
      <c r="RAH238" s="2" t="n"/>
      <c r="RAI238" s="2" t="n"/>
      <c r="RAJ238" s="2" t="n"/>
      <c r="RAK238" s="2" t="n"/>
      <c r="RAL238" s="2" t="n"/>
      <c r="RAM238" s="2" t="n"/>
      <c r="RAN238" s="2" t="n"/>
      <c r="RAO238" s="2" t="n"/>
      <c r="RAP238" s="2" t="n"/>
      <c r="RAQ238" s="2" t="n"/>
      <c r="RAR238" s="2" t="n"/>
      <c r="RAS238" s="2" t="n"/>
      <c r="RAT238" s="2" t="n"/>
      <c r="RAU238" s="2" t="n"/>
      <c r="RAV238" s="2" t="n"/>
      <c r="RAW238" s="2" t="n"/>
      <c r="RAX238" s="2" t="n"/>
      <c r="RAY238" s="2" t="n"/>
      <c r="RAZ238" s="2" t="n"/>
      <c r="RBA238" s="2" t="n"/>
      <c r="RBB238" s="2" t="n"/>
      <c r="RBC238" s="2" t="n"/>
      <c r="RBD238" s="2" t="n"/>
      <c r="RBE238" s="2" t="n"/>
      <c r="RBF238" s="2" t="n"/>
      <c r="RBG238" s="2" t="n"/>
      <c r="RBH238" s="2" t="n"/>
      <c r="RBI238" s="2" t="n"/>
      <c r="RBJ238" s="2" t="n"/>
      <c r="RBK238" s="2" t="n"/>
      <c r="RBL238" s="2" t="n"/>
      <c r="RBM238" s="2" t="n"/>
      <c r="RBN238" s="2" t="n"/>
      <c r="RBO238" s="2" t="n"/>
      <c r="RBP238" s="2" t="n"/>
      <c r="RBQ238" s="2" t="n"/>
      <c r="RBR238" s="2" t="n"/>
      <c r="RBS238" s="2" t="n"/>
      <c r="RBT238" s="2" t="n"/>
      <c r="RBU238" s="2" t="n"/>
      <c r="RBV238" s="2" t="n"/>
      <c r="RBW238" s="2" t="n"/>
      <c r="RBX238" s="2" t="n"/>
      <c r="RBY238" s="2" t="n"/>
      <c r="RBZ238" s="2" t="n"/>
      <c r="RCA238" s="2" t="n"/>
      <c r="RCB238" s="2" t="n"/>
      <c r="RCC238" s="2" t="n"/>
      <c r="RCD238" s="2" t="n"/>
      <c r="RCE238" s="2" t="n"/>
      <c r="RCF238" s="2" t="n"/>
      <c r="RCG238" s="2" t="n"/>
      <c r="RCH238" s="2" t="n"/>
      <c r="RCI238" s="2" t="n"/>
      <c r="RCJ238" s="2" t="n"/>
      <c r="RCK238" s="2" t="n"/>
      <c r="RCL238" s="2" t="n"/>
      <c r="RCM238" s="2" t="n"/>
      <c r="RCN238" s="2" t="n"/>
      <c r="RCO238" s="2" t="n"/>
      <c r="RCP238" s="2" t="n"/>
      <c r="RCQ238" s="2" t="n"/>
      <c r="RCR238" s="2" t="n"/>
      <c r="RCS238" s="2" t="n"/>
      <c r="RCT238" s="2" t="n"/>
      <c r="RCU238" s="2" t="n"/>
      <c r="RCV238" s="2" t="n"/>
      <c r="RCW238" s="2" t="n"/>
      <c r="RCX238" s="2" t="n"/>
      <c r="RCY238" s="2" t="n"/>
      <c r="RCZ238" s="2" t="n"/>
      <c r="RDA238" s="2" t="n"/>
      <c r="RDB238" s="2" t="n"/>
      <c r="RDC238" s="2" t="n"/>
      <c r="RDD238" s="2" t="n"/>
      <c r="RDE238" s="2" t="n"/>
      <c r="RDF238" s="2" t="n"/>
      <c r="RDG238" s="2" t="n"/>
      <c r="RDH238" s="2" t="n"/>
      <c r="RDI238" s="2" t="n"/>
      <c r="RDJ238" s="2" t="n"/>
      <c r="RDK238" s="2" t="n"/>
      <c r="RDL238" s="2" t="n"/>
      <c r="RDM238" s="2" t="n"/>
      <c r="RDN238" s="2" t="n"/>
      <c r="RDO238" s="2" t="n"/>
      <c r="RDP238" s="2" t="n"/>
      <c r="RDQ238" s="2" t="n"/>
      <c r="RDR238" s="2" t="n"/>
      <c r="RDS238" s="2" t="n"/>
      <c r="RDT238" s="2" t="n"/>
      <c r="RDU238" s="2" t="n"/>
      <c r="RDV238" s="2" t="n"/>
      <c r="RDW238" s="2" t="n"/>
      <c r="RDX238" s="2" t="n"/>
      <c r="RDY238" s="2" t="n"/>
      <c r="RDZ238" s="2" t="n"/>
      <c r="REA238" s="2" t="n"/>
      <c r="REB238" s="2" t="n"/>
      <c r="REC238" s="2" t="n"/>
      <c r="RED238" s="2" t="n"/>
      <c r="REE238" s="2" t="n"/>
      <c r="REF238" s="2" t="n"/>
      <c r="REG238" s="2" t="n"/>
      <c r="REH238" s="2" t="n"/>
      <c r="REI238" s="2" t="n"/>
      <c r="REJ238" s="2" t="n"/>
      <c r="REK238" s="2" t="n"/>
      <c r="REL238" s="2" t="n"/>
      <c r="REM238" s="2" t="n"/>
      <c r="REN238" s="2" t="n"/>
      <c r="REO238" s="2" t="n"/>
      <c r="REP238" s="2" t="n"/>
      <c r="REQ238" s="2" t="n"/>
      <c r="RER238" s="2" t="n"/>
      <c r="RES238" s="2" t="n"/>
      <c r="RET238" s="2" t="n"/>
      <c r="REU238" s="2" t="n"/>
      <c r="REV238" s="2" t="n"/>
      <c r="REW238" s="2" t="n"/>
      <c r="REX238" s="2" t="n"/>
      <c r="REY238" s="2" t="n"/>
      <c r="REZ238" s="2" t="n"/>
      <c r="RFA238" s="2" t="n"/>
      <c r="RFB238" s="2" t="n"/>
      <c r="RFC238" s="2" t="n"/>
      <c r="RFD238" s="2" t="n"/>
      <c r="RFE238" s="2" t="n"/>
      <c r="RFF238" s="2" t="n"/>
      <c r="RFG238" s="2" t="n"/>
      <c r="RFH238" s="2" t="n"/>
      <c r="RFI238" s="2" t="n"/>
      <c r="RFJ238" s="2" t="n"/>
      <c r="RFK238" s="2" t="n"/>
      <c r="RFL238" s="2" t="n"/>
      <c r="RFM238" s="2" t="n"/>
      <c r="RFN238" s="2" t="n"/>
      <c r="RFO238" s="2" t="n"/>
      <c r="RFP238" s="2" t="n"/>
      <c r="RFQ238" s="2" t="n"/>
      <c r="RFR238" s="2" t="n"/>
      <c r="RFS238" s="2" t="n"/>
      <c r="RFT238" s="2" t="n"/>
      <c r="RFU238" s="2" t="n"/>
      <c r="RFV238" s="2" t="n"/>
      <c r="RFW238" s="2" t="n"/>
      <c r="RFX238" s="2" t="n"/>
      <c r="RFY238" s="2" t="n"/>
      <c r="RFZ238" s="2" t="n"/>
      <c r="RGA238" s="2" t="n"/>
      <c r="RGB238" s="2" t="n"/>
      <c r="RGC238" s="2" t="n"/>
      <c r="RGD238" s="2" t="n"/>
      <c r="RGE238" s="2" t="n"/>
      <c r="RGF238" s="2" t="n"/>
      <c r="RGG238" s="2" t="n"/>
      <c r="RGH238" s="2" t="n"/>
      <c r="RGI238" s="2" t="n"/>
      <c r="RGJ238" s="2" t="n"/>
      <c r="RGK238" s="2" t="n"/>
      <c r="RGL238" s="2" t="n"/>
      <c r="RGM238" s="2" t="n"/>
      <c r="RGN238" s="2" t="n"/>
      <c r="RGO238" s="2" t="n"/>
      <c r="RGP238" s="2" t="n"/>
      <c r="RGQ238" s="2" t="n"/>
      <c r="RGR238" s="2" t="n"/>
      <c r="RGS238" s="2" t="n"/>
      <c r="RGT238" s="2" t="n"/>
      <c r="RGU238" s="2" t="n"/>
      <c r="RGV238" s="2" t="n"/>
      <c r="RGW238" s="2" t="n"/>
      <c r="RGX238" s="2" t="n"/>
      <c r="RGY238" s="2" t="n"/>
      <c r="RGZ238" s="2" t="n"/>
      <c r="RHA238" s="2" t="n"/>
      <c r="RHB238" s="2" t="n"/>
      <c r="RHC238" s="2" t="n"/>
      <c r="RHD238" s="2" t="n"/>
      <c r="RHE238" s="2" t="n"/>
      <c r="RHF238" s="2" t="n"/>
      <c r="RHG238" s="2" t="n"/>
      <c r="RHH238" s="2" t="n"/>
      <c r="RHI238" s="2" t="n"/>
      <c r="RHJ238" s="2" t="n"/>
      <c r="RHK238" s="2" t="n"/>
      <c r="RHL238" s="2" t="n"/>
      <c r="RHM238" s="2" t="n"/>
      <c r="RHN238" s="2" t="n"/>
      <c r="RHO238" s="2" t="n"/>
      <c r="RHP238" s="2" t="n"/>
      <c r="RHQ238" s="2" t="n"/>
      <c r="RHR238" s="2" t="n"/>
      <c r="RHS238" s="2" t="n"/>
      <c r="RHT238" s="2" t="n"/>
      <c r="RHU238" s="2" t="n"/>
      <c r="RHV238" s="2" t="n"/>
      <c r="RHW238" s="2" t="n"/>
      <c r="RHX238" s="2" t="n"/>
      <c r="RHY238" s="2" t="n"/>
      <c r="RHZ238" s="2" t="n"/>
      <c r="RIA238" s="2" t="n"/>
      <c r="RIB238" s="2" t="n"/>
      <c r="RIC238" s="2" t="n"/>
      <c r="RID238" s="2" t="n"/>
      <c r="RIE238" s="2" t="n"/>
      <c r="RIF238" s="2" t="n"/>
      <c r="RIG238" s="2" t="n"/>
      <c r="RIH238" s="2" t="n"/>
      <c r="RII238" s="2" t="n"/>
      <c r="RIJ238" s="2" t="n"/>
      <c r="RIK238" s="2" t="n"/>
      <c r="RIL238" s="2" t="n"/>
      <c r="RIM238" s="2" t="n"/>
      <c r="RIN238" s="2" t="n"/>
      <c r="RIO238" s="2" t="n"/>
      <c r="RIP238" s="2" t="n"/>
      <c r="RIQ238" s="2" t="n"/>
      <c r="RIR238" s="2" t="n"/>
      <c r="RIS238" s="2" t="n"/>
      <c r="RIT238" s="2" t="n"/>
      <c r="RIU238" s="2" t="n"/>
      <c r="RIV238" s="2" t="n"/>
      <c r="RIW238" s="2" t="n"/>
      <c r="RIX238" s="2" t="n"/>
      <c r="RIY238" s="2" t="n"/>
      <c r="RIZ238" s="2" t="n"/>
      <c r="RJA238" s="2" t="n"/>
      <c r="RJB238" s="2" t="n"/>
      <c r="RJC238" s="2" t="n"/>
      <c r="RJD238" s="2" t="n"/>
      <c r="RJE238" s="2" t="n"/>
      <c r="RJF238" s="2" t="n"/>
      <c r="RJG238" s="2" t="n"/>
      <c r="RJH238" s="2" t="n"/>
      <c r="RJI238" s="2" t="n"/>
      <c r="RJJ238" s="2" t="n"/>
      <c r="RJK238" s="2" t="n"/>
      <c r="RJL238" s="2" t="n"/>
      <c r="RJM238" s="2" t="n"/>
      <c r="RJN238" s="2" t="n"/>
      <c r="RJO238" s="2" t="n"/>
      <c r="RJP238" s="2" t="n"/>
      <c r="RJQ238" s="2" t="n"/>
      <c r="RJR238" s="2" t="n"/>
      <c r="RJS238" s="2" t="n"/>
      <c r="RJT238" s="2" t="n"/>
      <c r="RJU238" s="2" t="n"/>
      <c r="RJV238" s="2" t="n"/>
      <c r="RJW238" s="2" t="n"/>
      <c r="RJX238" s="2" t="n"/>
      <c r="RJY238" s="2" t="n"/>
      <c r="RJZ238" s="2" t="n"/>
      <c r="RKA238" s="2" t="n"/>
      <c r="RKB238" s="2" t="n"/>
      <c r="RKC238" s="2" t="n"/>
      <c r="RKD238" s="2" t="n"/>
      <c r="RKE238" s="2" t="n"/>
      <c r="RKF238" s="2" t="n"/>
      <c r="RKG238" s="2" t="n"/>
      <c r="RKH238" s="2" t="n"/>
      <c r="RKI238" s="2" t="n"/>
      <c r="RKJ238" s="2" t="n"/>
      <c r="RKK238" s="2" t="n"/>
      <c r="RKL238" s="2" t="n"/>
      <c r="RKM238" s="2" t="n"/>
      <c r="RKN238" s="2" t="n"/>
      <c r="RKO238" s="2" t="n"/>
      <c r="RKP238" s="2" t="n"/>
      <c r="RKQ238" s="2" t="n"/>
      <c r="RKR238" s="2" t="n"/>
      <c r="RKS238" s="2" t="n"/>
      <c r="RKT238" s="2" t="n"/>
      <c r="RKU238" s="2" t="n"/>
      <c r="RKV238" s="2" t="n"/>
      <c r="RKW238" s="2" t="n"/>
      <c r="RKX238" s="2" t="n"/>
      <c r="RKY238" s="2" t="n"/>
      <c r="RKZ238" s="2" t="n"/>
      <c r="RLA238" s="2" t="n"/>
      <c r="RLB238" s="2" t="n"/>
      <c r="RLC238" s="2" t="n"/>
      <c r="RLD238" s="2" t="n"/>
      <c r="RLE238" s="2" t="n"/>
      <c r="RLF238" s="2" t="n"/>
      <c r="RLG238" s="2" t="n"/>
      <c r="RLH238" s="2" t="n"/>
      <c r="RLI238" s="2" t="n"/>
      <c r="RLJ238" s="2" t="n"/>
      <c r="RLK238" s="2" t="n"/>
      <c r="RLL238" s="2" t="n"/>
      <c r="RLM238" s="2" t="n"/>
      <c r="RLN238" s="2" t="n"/>
      <c r="RLO238" s="2" t="n"/>
      <c r="RLP238" s="2" t="n"/>
      <c r="RLQ238" s="2" t="n"/>
      <c r="RLR238" s="2" t="n"/>
      <c r="RLS238" s="2" t="n"/>
      <c r="RLT238" s="2" t="n"/>
      <c r="RLU238" s="2" t="n"/>
      <c r="RLV238" s="2" t="n"/>
      <c r="RLW238" s="2" t="n"/>
      <c r="RLX238" s="2" t="n"/>
      <c r="RLY238" s="2" t="n"/>
      <c r="RLZ238" s="2" t="n"/>
      <c r="RMA238" s="2" t="n"/>
      <c r="RMB238" s="2" t="n"/>
      <c r="RMC238" s="2" t="n"/>
      <c r="RMD238" s="2" t="n"/>
      <c r="RME238" s="2" t="n"/>
      <c r="RMF238" s="2" t="n"/>
      <c r="RMG238" s="2" t="n"/>
      <c r="RMH238" s="2" t="n"/>
      <c r="RMI238" s="2" t="n"/>
      <c r="RMJ238" s="2" t="n"/>
      <c r="RMK238" s="2" t="n"/>
      <c r="RML238" s="2" t="n"/>
      <c r="RMM238" s="2" t="n"/>
      <c r="RMN238" s="2" t="n"/>
      <c r="RMO238" s="2" t="n"/>
      <c r="RMP238" s="2" t="n"/>
      <c r="RMQ238" s="2" t="n"/>
      <c r="RMR238" s="2" t="n"/>
      <c r="RMS238" s="2" t="n"/>
      <c r="RMT238" s="2" t="n"/>
      <c r="RMU238" s="2" t="n"/>
      <c r="RMV238" s="2" t="n"/>
      <c r="RMW238" s="2" t="n"/>
      <c r="RMX238" s="2" t="n"/>
      <c r="RMY238" s="2" t="n"/>
      <c r="RMZ238" s="2" t="n"/>
      <c r="RNA238" s="2" t="n"/>
      <c r="RNB238" s="2" t="n"/>
      <c r="RNC238" s="2" t="n"/>
      <c r="RND238" s="2" t="n"/>
      <c r="RNE238" s="2" t="n"/>
      <c r="RNF238" s="2" t="n"/>
      <c r="RNG238" s="2" t="n"/>
      <c r="RNH238" s="2" t="n"/>
      <c r="RNI238" s="2" t="n"/>
      <c r="RNJ238" s="2" t="n"/>
      <c r="RNK238" s="2" t="n"/>
      <c r="RNL238" s="2" t="n"/>
      <c r="RNM238" s="2" t="n"/>
      <c r="RNN238" s="2" t="n"/>
      <c r="RNO238" s="2" t="n"/>
      <c r="RNP238" s="2" t="n"/>
      <c r="RNQ238" s="2" t="n"/>
      <c r="RNR238" s="2" t="n"/>
      <c r="RNS238" s="2" t="n"/>
      <c r="RNT238" s="2" t="n"/>
      <c r="RNU238" s="2" t="n"/>
      <c r="RNV238" s="2" t="n"/>
      <c r="RNW238" s="2" t="n"/>
      <c r="RNX238" s="2" t="n"/>
      <c r="RNY238" s="2" t="n"/>
      <c r="RNZ238" s="2" t="n"/>
      <c r="ROA238" s="2" t="n"/>
      <c r="ROB238" s="2" t="n"/>
      <c r="ROC238" s="2" t="n"/>
      <c r="ROD238" s="2" t="n"/>
      <c r="ROE238" s="2" t="n"/>
      <c r="ROF238" s="2" t="n"/>
      <c r="ROG238" s="2" t="n"/>
      <c r="ROH238" s="2" t="n"/>
      <c r="ROI238" s="2" t="n"/>
      <c r="ROJ238" s="2" t="n"/>
      <c r="ROK238" s="2" t="n"/>
      <c r="ROL238" s="2" t="n"/>
      <c r="ROM238" s="2" t="n"/>
      <c r="RON238" s="2" t="n"/>
      <c r="ROO238" s="2" t="n"/>
      <c r="ROP238" s="2" t="n"/>
      <c r="ROQ238" s="2" t="n"/>
      <c r="ROR238" s="2" t="n"/>
      <c r="ROS238" s="2" t="n"/>
      <c r="ROT238" s="2" t="n"/>
      <c r="ROU238" s="2" t="n"/>
      <c r="ROV238" s="2" t="n"/>
      <c r="ROW238" s="2" t="n"/>
      <c r="ROX238" s="2" t="n"/>
      <c r="ROY238" s="2" t="n"/>
      <c r="ROZ238" s="2" t="n"/>
      <c r="RPA238" s="2" t="n"/>
      <c r="RPB238" s="2" t="n"/>
      <c r="RPC238" s="2" t="n"/>
      <c r="RPD238" s="2" t="n"/>
      <c r="RPE238" s="2" t="n"/>
      <c r="RPF238" s="2" t="n"/>
      <c r="RPG238" s="2" t="n"/>
      <c r="RPH238" s="2" t="n"/>
      <c r="RPI238" s="2" t="n"/>
      <c r="RPJ238" s="2" t="n"/>
      <c r="RPK238" s="2" t="n"/>
      <c r="RPL238" s="2" t="n"/>
      <c r="RPM238" s="2" t="n"/>
      <c r="RPN238" s="2" t="n"/>
      <c r="RPO238" s="2" t="n"/>
      <c r="RPP238" s="2" t="n"/>
      <c r="RPQ238" s="2" t="n"/>
      <c r="RPR238" s="2" t="n"/>
      <c r="RPS238" s="2" t="n"/>
      <c r="RPT238" s="2" t="n"/>
      <c r="RPU238" s="2" t="n"/>
      <c r="RPV238" s="2" t="n"/>
      <c r="RPW238" s="2" t="n"/>
      <c r="RPX238" s="2" t="n"/>
      <c r="RPY238" s="2" t="n"/>
      <c r="RPZ238" s="2" t="n"/>
      <c r="RQA238" s="2" t="n"/>
      <c r="RQB238" s="2" t="n"/>
      <c r="RQC238" s="2" t="n"/>
      <c r="RQD238" s="2" t="n"/>
      <c r="RQE238" s="2" t="n"/>
      <c r="RQF238" s="2" t="n"/>
      <c r="RQG238" s="2" t="n"/>
      <c r="RQH238" s="2" t="n"/>
      <c r="RQI238" s="2" t="n"/>
      <c r="RQJ238" s="2" t="n"/>
      <c r="RQK238" s="2" t="n"/>
      <c r="RQL238" s="2" t="n"/>
      <c r="RQM238" s="2" t="n"/>
      <c r="RQN238" s="2" t="n"/>
      <c r="RQO238" s="2" t="n"/>
      <c r="RQP238" s="2" t="n"/>
      <c r="RQQ238" s="2" t="n"/>
      <c r="RQR238" s="2" t="n"/>
      <c r="RQS238" s="2" t="n"/>
      <c r="RQT238" s="2" t="n"/>
      <c r="RQU238" s="2" t="n"/>
      <c r="RQV238" s="2" t="n"/>
      <c r="RQW238" s="2" t="n"/>
      <c r="RQX238" s="2" t="n"/>
      <c r="RQY238" s="2" t="n"/>
      <c r="RQZ238" s="2" t="n"/>
      <c r="RRA238" s="2" t="n"/>
      <c r="RRB238" s="2" t="n"/>
      <c r="RRC238" s="2" t="n"/>
      <c r="RRD238" s="2" t="n"/>
      <c r="RRE238" s="2" t="n"/>
      <c r="RRF238" s="2" t="n"/>
      <c r="RRG238" s="2" t="n"/>
      <c r="RRH238" s="2" t="n"/>
      <c r="RRI238" s="2" t="n"/>
      <c r="RRJ238" s="2" t="n"/>
      <c r="RRK238" s="2" t="n"/>
      <c r="RRL238" s="2" t="n"/>
      <c r="RRM238" s="2" t="n"/>
      <c r="RRN238" s="2" t="n"/>
      <c r="RRO238" s="2" t="n"/>
      <c r="RRP238" s="2" t="n"/>
      <c r="RRQ238" s="2" t="n"/>
      <c r="RRR238" s="2" t="n"/>
      <c r="RRS238" s="2" t="n"/>
      <c r="RRT238" s="2" t="n"/>
      <c r="RRU238" s="2" t="n"/>
      <c r="RRV238" s="2" t="n"/>
      <c r="RRW238" s="2" t="n"/>
      <c r="RRX238" s="2" t="n"/>
      <c r="RRY238" s="2" t="n"/>
      <c r="RRZ238" s="2" t="n"/>
      <c r="RSA238" s="2" t="n"/>
      <c r="RSB238" s="2" t="n"/>
      <c r="RSC238" s="2" t="n"/>
      <c r="RSD238" s="2" t="n"/>
      <c r="RSE238" s="2" t="n"/>
      <c r="RSF238" s="2" t="n"/>
      <c r="RSG238" s="2" t="n"/>
      <c r="RSH238" s="2" t="n"/>
      <c r="RSI238" s="2" t="n"/>
      <c r="RSJ238" s="2" t="n"/>
      <c r="RSK238" s="2" t="n"/>
      <c r="RSL238" s="2" t="n"/>
      <c r="RSM238" s="2" t="n"/>
      <c r="RSN238" s="2" t="n"/>
      <c r="RSO238" s="2" t="n"/>
      <c r="RSP238" s="2" t="n"/>
      <c r="RSQ238" s="2" t="n"/>
      <c r="RSR238" s="2" t="n"/>
      <c r="RSS238" s="2" t="n"/>
      <c r="RST238" s="2" t="n"/>
      <c r="RSU238" s="2" t="n"/>
      <c r="RSV238" s="2" t="n"/>
      <c r="RSW238" s="2" t="n"/>
      <c r="RSX238" s="2" t="n"/>
      <c r="RSY238" s="2" t="n"/>
      <c r="RSZ238" s="2" t="n"/>
      <c r="RTA238" s="2" t="n"/>
      <c r="RTB238" s="2" t="n"/>
      <c r="RTC238" s="2" t="n"/>
      <c r="RTD238" s="2" t="n"/>
      <c r="RTE238" s="2" t="n"/>
      <c r="RTF238" s="2" t="n"/>
      <c r="RTG238" s="2" t="n"/>
      <c r="RTH238" s="2" t="n"/>
      <c r="RTI238" s="2" t="n"/>
      <c r="RTJ238" s="2" t="n"/>
      <c r="RTK238" s="2" t="n"/>
      <c r="RTL238" s="2" t="n"/>
      <c r="RTM238" s="2" t="n"/>
      <c r="RTN238" s="2" t="n"/>
      <c r="RTO238" s="2" t="n"/>
      <c r="RTP238" s="2" t="n"/>
      <c r="RTQ238" s="2" t="n"/>
      <c r="RTR238" s="2" t="n"/>
      <c r="RTS238" s="2" t="n"/>
      <c r="RTT238" s="2" t="n"/>
      <c r="RTU238" s="2" t="n"/>
      <c r="RTV238" s="2" t="n"/>
      <c r="RTW238" s="2" t="n"/>
      <c r="RTX238" s="2" t="n"/>
      <c r="RTY238" s="2" t="n"/>
      <c r="RTZ238" s="2" t="n"/>
      <c r="RUA238" s="2" t="n"/>
      <c r="RUB238" s="2" t="n"/>
      <c r="RUC238" s="2" t="n"/>
      <c r="RUD238" s="2" t="n"/>
      <c r="RUE238" s="2" t="n"/>
      <c r="RUF238" s="2" t="n"/>
      <c r="RUG238" s="2" t="n"/>
      <c r="RUH238" s="2" t="n"/>
      <c r="RUI238" s="2" t="n"/>
      <c r="RUJ238" s="2" t="n"/>
      <c r="RUK238" s="2" t="n"/>
      <c r="RUL238" s="2" t="n"/>
      <c r="RUM238" s="2" t="n"/>
      <c r="RUN238" s="2" t="n"/>
      <c r="RUO238" s="2" t="n"/>
      <c r="RUP238" s="2" t="n"/>
      <c r="RUQ238" s="2" t="n"/>
      <c r="RUR238" s="2" t="n"/>
      <c r="RUS238" s="2" t="n"/>
      <c r="RUT238" s="2" t="n"/>
      <c r="RUU238" s="2" t="n"/>
      <c r="RUV238" s="2" t="n"/>
      <c r="RUW238" s="2" t="n"/>
      <c r="RUX238" s="2" t="n"/>
      <c r="RUY238" s="2" t="n"/>
      <c r="RUZ238" s="2" t="n"/>
      <c r="RVA238" s="2" t="n"/>
      <c r="RVB238" s="2" t="n"/>
      <c r="RVC238" s="2" t="n"/>
      <c r="RVD238" s="2" t="n"/>
      <c r="RVE238" s="2" t="n"/>
      <c r="RVF238" s="2" t="n"/>
      <c r="RVG238" s="2" t="n"/>
      <c r="RVH238" s="2" t="n"/>
      <c r="RVI238" s="2" t="n"/>
      <c r="RVJ238" s="2" t="n"/>
      <c r="RVK238" s="2" t="n"/>
      <c r="RVL238" s="2" t="n"/>
      <c r="RVM238" s="2" t="n"/>
      <c r="RVN238" s="2" t="n"/>
      <c r="RVO238" s="2" t="n"/>
      <c r="RVP238" s="2" t="n"/>
      <c r="RVQ238" s="2" t="n"/>
      <c r="RVR238" s="2" t="n"/>
      <c r="RVS238" s="2" t="n"/>
      <c r="RVT238" s="2" t="n"/>
      <c r="RVU238" s="2" t="n"/>
      <c r="RVV238" s="2" t="n"/>
      <c r="RVW238" s="2" t="n"/>
      <c r="RVX238" s="2" t="n"/>
      <c r="RVY238" s="2" t="n"/>
      <c r="RVZ238" s="2" t="n"/>
      <c r="RWA238" s="2" t="n"/>
      <c r="RWB238" s="2" t="n"/>
      <c r="RWC238" s="2" t="n"/>
      <c r="RWD238" s="2" t="n"/>
      <c r="RWE238" s="2" t="n"/>
      <c r="RWF238" s="2" t="n"/>
      <c r="RWG238" s="2" t="n"/>
      <c r="RWH238" s="2" t="n"/>
      <c r="RWI238" s="2" t="n"/>
      <c r="RWJ238" s="2" t="n"/>
      <c r="RWK238" s="2" t="n"/>
      <c r="RWL238" s="2" t="n"/>
      <c r="RWM238" s="2" t="n"/>
      <c r="RWN238" s="2" t="n"/>
      <c r="RWO238" s="2" t="n"/>
      <c r="RWP238" s="2" t="n"/>
      <c r="RWQ238" s="2" t="n"/>
      <c r="RWR238" s="2" t="n"/>
      <c r="RWS238" s="2" t="n"/>
      <c r="RWT238" s="2" t="n"/>
      <c r="RWU238" s="2" t="n"/>
      <c r="RWV238" s="2" t="n"/>
      <c r="RWW238" s="2" t="n"/>
      <c r="RWX238" s="2" t="n"/>
      <c r="RWY238" s="2" t="n"/>
      <c r="RWZ238" s="2" t="n"/>
      <c r="RXA238" s="2" t="n"/>
      <c r="RXB238" s="2" t="n"/>
      <c r="RXC238" s="2" t="n"/>
      <c r="RXD238" s="2" t="n"/>
      <c r="RXE238" s="2" t="n"/>
      <c r="RXF238" s="2" t="n"/>
      <c r="RXG238" s="2" t="n"/>
      <c r="RXH238" s="2" t="n"/>
      <c r="RXI238" s="2" t="n"/>
      <c r="RXJ238" s="2" t="n"/>
      <c r="RXK238" s="2" t="n"/>
      <c r="RXL238" s="2" t="n"/>
      <c r="RXM238" s="2" t="n"/>
      <c r="RXN238" s="2" t="n"/>
      <c r="RXO238" s="2" t="n"/>
      <c r="RXP238" s="2" t="n"/>
      <c r="RXQ238" s="2" t="n"/>
      <c r="RXR238" s="2" t="n"/>
      <c r="RXS238" s="2" t="n"/>
      <c r="RXT238" s="2" t="n"/>
      <c r="RXU238" s="2" t="n"/>
      <c r="RXV238" s="2" t="n"/>
      <c r="RXW238" s="2" t="n"/>
      <c r="RXX238" s="2" t="n"/>
      <c r="RXY238" s="2" t="n"/>
      <c r="RXZ238" s="2" t="n"/>
      <c r="RYA238" s="2" t="n"/>
      <c r="RYB238" s="2" t="n"/>
      <c r="RYC238" s="2" t="n"/>
      <c r="RYD238" s="2" t="n"/>
      <c r="RYE238" s="2" t="n"/>
      <c r="RYF238" s="2" t="n"/>
      <c r="RYG238" s="2" t="n"/>
      <c r="RYH238" s="2" t="n"/>
      <c r="RYI238" s="2" t="n"/>
      <c r="RYJ238" s="2" t="n"/>
      <c r="RYK238" s="2" t="n"/>
      <c r="RYL238" s="2" t="n"/>
      <c r="RYM238" s="2" t="n"/>
      <c r="RYN238" s="2" t="n"/>
      <c r="RYO238" s="2" t="n"/>
      <c r="RYP238" s="2" t="n"/>
      <c r="RYQ238" s="2" t="n"/>
      <c r="RYR238" s="2" t="n"/>
      <c r="RYS238" s="2" t="n"/>
      <c r="RYT238" s="2" t="n"/>
      <c r="RYU238" s="2" t="n"/>
      <c r="RYV238" s="2" t="n"/>
      <c r="RYW238" s="2" t="n"/>
      <c r="RYX238" s="2" t="n"/>
      <c r="RYY238" s="2" t="n"/>
      <c r="RYZ238" s="2" t="n"/>
      <c r="RZA238" s="2" t="n"/>
      <c r="RZB238" s="2" t="n"/>
      <c r="RZC238" s="2" t="n"/>
      <c r="RZD238" s="2" t="n"/>
      <c r="RZE238" s="2" t="n"/>
      <c r="RZF238" s="2" t="n"/>
      <c r="RZG238" s="2" t="n"/>
      <c r="RZH238" s="2" t="n"/>
      <c r="RZI238" s="2" t="n"/>
      <c r="RZJ238" s="2" t="n"/>
      <c r="RZK238" s="2" t="n"/>
      <c r="RZL238" s="2" t="n"/>
      <c r="RZM238" s="2" t="n"/>
      <c r="RZN238" s="2" t="n"/>
      <c r="RZO238" s="2" t="n"/>
      <c r="RZP238" s="2" t="n"/>
      <c r="RZQ238" s="2" t="n"/>
      <c r="RZR238" s="2" t="n"/>
      <c r="RZS238" s="2" t="n"/>
      <c r="RZT238" s="2" t="n"/>
      <c r="RZU238" s="2" t="n"/>
      <c r="RZV238" s="2" t="n"/>
      <c r="RZW238" s="2" t="n"/>
      <c r="RZX238" s="2" t="n"/>
      <c r="RZY238" s="2" t="n"/>
      <c r="RZZ238" s="2" t="n"/>
      <c r="SAA238" s="2" t="n"/>
      <c r="SAB238" s="2" t="n"/>
      <c r="SAC238" s="2" t="n"/>
      <c r="SAD238" s="2" t="n"/>
      <c r="SAE238" s="2" t="n"/>
      <c r="SAF238" s="2" t="n"/>
      <c r="SAG238" s="2" t="n"/>
      <c r="SAH238" s="2" t="n"/>
      <c r="SAI238" s="2" t="n"/>
      <c r="SAJ238" s="2" t="n"/>
      <c r="SAK238" s="2" t="n"/>
      <c r="SAL238" s="2" t="n"/>
      <c r="SAM238" s="2" t="n"/>
      <c r="SAN238" s="2" t="n"/>
      <c r="SAO238" s="2" t="n"/>
      <c r="SAP238" s="2" t="n"/>
      <c r="SAQ238" s="2" t="n"/>
      <c r="SAR238" s="2" t="n"/>
      <c r="SAS238" s="2" t="n"/>
      <c r="SAT238" s="2" t="n"/>
      <c r="SAU238" s="2" t="n"/>
      <c r="SAV238" s="2" t="n"/>
      <c r="SAW238" s="2" t="n"/>
      <c r="SAX238" s="2" t="n"/>
      <c r="SAY238" s="2" t="n"/>
      <c r="SAZ238" s="2" t="n"/>
      <c r="SBA238" s="2" t="n"/>
      <c r="SBB238" s="2" t="n"/>
      <c r="SBC238" s="2" t="n"/>
      <c r="SBD238" s="2" t="n"/>
      <c r="SBE238" s="2" t="n"/>
      <c r="SBF238" s="2" t="n"/>
      <c r="SBG238" s="2" t="n"/>
      <c r="SBH238" s="2" t="n"/>
      <c r="SBI238" s="2" t="n"/>
      <c r="SBJ238" s="2" t="n"/>
      <c r="SBK238" s="2" t="n"/>
      <c r="SBL238" s="2" t="n"/>
      <c r="SBM238" s="2" t="n"/>
      <c r="SBN238" s="2" t="n"/>
      <c r="SBO238" s="2" t="n"/>
      <c r="SBP238" s="2" t="n"/>
      <c r="SBQ238" s="2" t="n"/>
      <c r="SBR238" s="2" t="n"/>
      <c r="SBS238" s="2" t="n"/>
      <c r="SBT238" s="2" t="n"/>
      <c r="SBU238" s="2" t="n"/>
      <c r="SBV238" s="2" t="n"/>
      <c r="SBW238" s="2" t="n"/>
      <c r="SBX238" s="2" t="n"/>
      <c r="SBY238" s="2" t="n"/>
      <c r="SBZ238" s="2" t="n"/>
      <c r="SCA238" s="2" t="n"/>
      <c r="SCB238" s="2" t="n"/>
      <c r="SCC238" s="2" t="n"/>
      <c r="SCD238" s="2" t="n"/>
      <c r="SCE238" s="2" t="n"/>
      <c r="SCF238" s="2" t="n"/>
      <c r="SCG238" s="2" t="n"/>
      <c r="SCH238" s="2" t="n"/>
      <c r="SCI238" s="2" t="n"/>
      <c r="SCJ238" s="2" t="n"/>
      <c r="SCK238" s="2" t="n"/>
      <c r="SCL238" s="2" t="n"/>
      <c r="SCM238" s="2" t="n"/>
      <c r="SCN238" s="2" t="n"/>
      <c r="SCO238" s="2" t="n"/>
      <c r="SCP238" s="2" t="n"/>
      <c r="SCQ238" s="2" t="n"/>
      <c r="SCR238" s="2" t="n"/>
      <c r="SCS238" s="2" t="n"/>
      <c r="SCT238" s="2" t="n"/>
      <c r="SCU238" s="2" t="n"/>
      <c r="SCV238" s="2" t="n"/>
      <c r="SCW238" s="2" t="n"/>
      <c r="SCX238" s="2" t="n"/>
      <c r="SCY238" s="2" t="n"/>
      <c r="SCZ238" s="2" t="n"/>
      <c r="SDA238" s="2" t="n"/>
      <c r="SDB238" s="2" t="n"/>
      <c r="SDC238" s="2" t="n"/>
      <c r="SDD238" s="2" t="n"/>
      <c r="SDE238" s="2" t="n"/>
      <c r="SDF238" s="2" t="n"/>
      <c r="SDG238" s="2" t="n"/>
      <c r="SDH238" s="2" t="n"/>
      <c r="SDI238" s="2" t="n"/>
      <c r="SDJ238" s="2" t="n"/>
      <c r="SDK238" s="2" t="n"/>
      <c r="SDL238" s="2" t="n"/>
      <c r="SDM238" s="2" t="n"/>
      <c r="SDN238" s="2" t="n"/>
      <c r="SDO238" s="2" t="n"/>
      <c r="SDP238" s="2" t="n"/>
      <c r="SDQ238" s="2" t="n"/>
      <c r="SDR238" s="2" t="n"/>
      <c r="SDS238" s="2" t="n"/>
      <c r="SDT238" s="2" t="n"/>
      <c r="SDU238" s="2" t="n"/>
      <c r="SDV238" s="2" t="n"/>
      <c r="SDW238" s="2" t="n"/>
      <c r="SDX238" s="2" t="n"/>
      <c r="SDY238" s="2" t="n"/>
      <c r="SDZ238" s="2" t="n"/>
      <c r="SEA238" s="2" t="n"/>
      <c r="SEB238" s="2" t="n"/>
      <c r="SEC238" s="2" t="n"/>
      <c r="SED238" s="2" t="n"/>
      <c r="SEE238" s="2" t="n"/>
      <c r="SEF238" s="2" t="n"/>
      <c r="SEG238" s="2" t="n"/>
      <c r="SEH238" s="2" t="n"/>
      <c r="SEI238" s="2" t="n"/>
      <c r="SEJ238" s="2" t="n"/>
      <c r="SEK238" s="2" t="n"/>
      <c r="SEL238" s="2" t="n"/>
      <c r="SEM238" s="2" t="n"/>
      <c r="SEN238" s="2" t="n"/>
      <c r="SEO238" s="2" t="n"/>
      <c r="SEP238" s="2" t="n"/>
      <c r="SEQ238" s="2" t="n"/>
      <c r="SER238" s="2" t="n"/>
      <c r="SES238" s="2" t="n"/>
      <c r="SET238" s="2" t="n"/>
      <c r="SEU238" s="2" t="n"/>
      <c r="SEV238" s="2" t="n"/>
      <c r="SEW238" s="2" t="n"/>
      <c r="SEX238" s="2" t="n"/>
      <c r="SEY238" s="2" t="n"/>
      <c r="SEZ238" s="2" t="n"/>
      <c r="SFA238" s="2" t="n"/>
      <c r="SFB238" s="2" t="n"/>
      <c r="SFC238" s="2" t="n"/>
      <c r="SFD238" s="2" t="n"/>
      <c r="SFE238" s="2" t="n"/>
      <c r="SFF238" s="2" t="n"/>
      <c r="SFG238" s="2" t="n"/>
      <c r="SFH238" s="2" t="n"/>
      <c r="SFI238" s="2" t="n"/>
      <c r="SFJ238" s="2" t="n"/>
      <c r="SFK238" s="2" t="n"/>
      <c r="SFL238" s="2" t="n"/>
      <c r="SFM238" s="2" t="n"/>
      <c r="SFN238" s="2" t="n"/>
      <c r="SFO238" s="2" t="n"/>
      <c r="SFP238" s="2" t="n"/>
      <c r="SFQ238" s="2" t="n"/>
      <c r="SFR238" s="2" t="n"/>
      <c r="SFS238" s="2" t="n"/>
      <c r="SFT238" s="2" t="n"/>
      <c r="SFU238" s="2" t="n"/>
      <c r="SFV238" s="2" t="n"/>
      <c r="SFW238" s="2" t="n"/>
      <c r="SFX238" s="2" t="n"/>
      <c r="SFY238" s="2" t="n"/>
      <c r="SFZ238" s="2" t="n"/>
      <c r="SGA238" s="2" t="n"/>
      <c r="SGB238" s="2" t="n"/>
      <c r="SGC238" s="2" t="n"/>
      <c r="SGD238" s="2" t="n"/>
      <c r="SGE238" s="2" t="n"/>
      <c r="SGF238" s="2" t="n"/>
      <c r="SGG238" s="2" t="n"/>
      <c r="SGH238" s="2" t="n"/>
      <c r="SGI238" s="2" t="n"/>
      <c r="SGJ238" s="2" t="n"/>
      <c r="SGK238" s="2" t="n"/>
      <c r="SGL238" s="2" t="n"/>
      <c r="SGM238" s="2" t="n"/>
      <c r="SGN238" s="2" t="n"/>
      <c r="SGO238" s="2" t="n"/>
      <c r="SGP238" s="2" t="n"/>
      <c r="SGQ238" s="2" t="n"/>
      <c r="SGR238" s="2" t="n"/>
      <c r="SGS238" s="2" t="n"/>
      <c r="SGT238" s="2" t="n"/>
      <c r="SGU238" s="2" t="n"/>
      <c r="SGV238" s="2" t="n"/>
      <c r="SGW238" s="2" t="n"/>
      <c r="SGX238" s="2" t="n"/>
      <c r="SGY238" s="2" t="n"/>
      <c r="SGZ238" s="2" t="n"/>
      <c r="SHA238" s="2" t="n"/>
      <c r="SHB238" s="2" t="n"/>
      <c r="SHC238" s="2" t="n"/>
      <c r="SHD238" s="2" t="n"/>
      <c r="SHE238" s="2" t="n"/>
      <c r="SHF238" s="2" t="n"/>
      <c r="SHG238" s="2" t="n"/>
      <c r="SHH238" s="2" t="n"/>
      <c r="SHI238" s="2" t="n"/>
      <c r="SHJ238" s="2" t="n"/>
      <c r="SHK238" s="2" t="n"/>
      <c r="SHL238" s="2" t="n"/>
      <c r="SHM238" s="2" t="n"/>
      <c r="SHN238" s="2" t="n"/>
      <c r="SHO238" s="2" t="n"/>
      <c r="SHP238" s="2" t="n"/>
      <c r="SHQ238" s="2" t="n"/>
      <c r="SHR238" s="2" t="n"/>
      <c r="SHS238" s="2" t="n"/>
      <c r="SHT238" s="2" t="n"/>
      <c r="SHU238" s="2" t="n"/>
      <c r="SHV238" s="2" t="n"/>
      <c r="SHW238" s="2" t="n"/>
      <c r="SHX238" s="2" t="n"/>
      <c r="SHY238" s="2" t="n"/>
      <c r="SHZ238" s="2" t="n"/>
      <c r="SIA238" s="2" t="n"/>
      <c r="SIB238" s="2" t="n"/>
      <c r="SIC238" s="2" t="n"/>
      <c r="SID238" s="2" t="n"/>
      <c r="SIE238" s="2" t="n"/>
      <c r="SIF238" s="2" t="n"/>
      <c r="SIG238" s="2" t="n"/>
      <c r="SIH238" s="2" t="n"/>
      <c r="SII238" s="2" t="n"/>
      <c r="SIJ238" s="2" t="n"/>
      <c r="SIK238" s="2" t="n"/>
      <c r="SIL238" s="2" t="n"/>
      <c r="SIM238" s="2" t="n"/>
      <c r="SIN238" s="2" t="n"/>
      <c r="SIO238" s="2" t="n"/>
      <c r="SIP238" s="2" t="n"/>
      <c r="SIQ238" s="2" t="n"/>
      <c r="SIR238" s="2" t="n"/>
      <c r="SIS238" s="2" t="n"/>
      <c r="SIT238" s="2" t="n"/>
      <c r="SIU238" s="2" t="n"/>
      <c r="SIV238" s="2" t="n"/>
      <c r="SIW238" s="2" t="n"/>
      <c r="SIX238" s="2" t="n"/>
      <c r="SIY238" s="2" t="n"/>
      <c r="SIZ238" s="2" t="n"/>
      <c r="SJA238" s="2" t="n"/>
      <c r="SJB238" s="2" t="n"/>
      <c r="SJC238" s="2" t="n"/>
      <c r="SJD238" s="2" t="n"/>
      <c r="SJE238" s="2" t="n"/>
      <c r="SJF238" s="2" t="n"/>
      <c r="SJG238" s="2" t="n"/>
      <c r="SJH238" s="2" t="n"/>
      <c r="SJI238" s="2" t="n"/>
      <c r="SJJ238" s="2" t="n"/>
      <c r="SJK238" s="2" t="n"/>
      <c r="SJL238" s="2" t="n"/>
      <c r="SJM238" s="2" t="n"/>
      <c r="SJN238" s="2" t="n"/>
      <c r="SJO238" s="2" t="n"/>
      <c r="SJP238" s="2" t="n"/>
      <c r="SJQ238" s="2" t="n"/>
      <c r="SJR238" s="2" t="n"/>
      <c r="SJS238" s="2" t="n"/>
      <c r="SJT238" s="2" t="n"/>
      <c r="SJU238" s="2" t="n"/>
      <c r="SJV238" s="2" t="n"/>
      <c r="SJW238" s="2" t="n"/>
      <c r="SJX238" s="2" t="n"/>
      <c r="SJY238" s="2" t="n"/>
      <c r="SJZ238" s="2" t="n"/>
      <c r="SKA238" s="2" t="n"/>
      <c r="SKB238" s="2" t="n"/>
      <c r="SKC238" s="2" t="n"/>
      <c r="SKD238" s="2" t="n"/>
      <c r="SKE238" s="2" t="n"/>
      <c r="SKF238" s="2" t="n"/>
      <c r="SKG238" s="2" t="n"/>
      <c r="SKH238" s="2" t="n"/>
      <c r="SKI238" s="2" t="n"/>
      <c r="SKJ238" s="2" t="n"/>
      <c r="SKK238" s="2" t="n"/>
      <c r="SKL238" s="2" t="n"/>
      <c r="SKM238" s="2" t="n"/>
      <c r="SKN238" s="2" t="n"/>
      <c r="SKO238" s="2" t="n"/>
      <c r="SKP238" s="2" t="n"/>
      <c r="SKQ238" s="2" t="n"/>
      <c r="SKR238" s="2" t="n"/>
      <c r="SKS238" s="2" t="n"/>
      <c r="SKT238" s="2" t="n"/>
      <c r="SKU238" s="2" t="n"/>
      <c r="SKV238" s="2" t="n"/>
      <c r="SKW238" s="2" t="n"/>
      <c r="SKX238" s="2" t="n"/>
      <c r="SKY238" s="2" t="n"/>
      <c r="SKZ238" s="2" t="n"/>
      <c r="SLA238" s="2" t="n"/>
      <c r="SLB238" s="2" t="n"/>
      <c r="SLC238" s="2" t="n"/>
      <c r="SLD238" s="2" t="n"/>
      <c r="SLE238" s="2" t="n"/>
      <c r="SLF238" s="2" t="n"/>
      <c r="SLG238" s="2" t="n"/>
      <c r="SLH238" s="2" t="n"/>
      <c r="SLI238" s="2" t="n"/>
      <c r="SLJ238" s="2" t="n"/>
      <c r="SLK238" s="2" t="n"/>
      <c r="SLL238" s="2" t="n"/>
      <c r="SLM238" s="2" t="n"/>
      <c r="SLN238" s="2" t="n"/>
      <c r="SLO238" s="2" t="n"/>
      <c r="SLP238" s="2" t="n"/>
      <c r="SLQ238" s="2" t="n"/>
      <c r="SLR238" s="2" t="n"/>
      <c r="SLS238" s="2" t="n"/>
      <c r="SLT238" s="2" t="n"/>
      <c r="SLU238" s="2" t="n"/>
      <c r="SLV238" s="2" t="n"/>
      <c r="SLW238" s="2" t="n"/>
      <c r="SLX238" s="2" t="n"/>
      <c r="SLY238" s="2" t="n"/>
      <c r="SLZ238" s="2" t="n"/>
      <c r="SMA238" s="2" t="n"/>
      <c r="SMB238" s="2" t="n"/>
      <c r="SMC238" s="2" t="n"/>
      <c r="SMD238" s="2" t="n"/>
      <c r="SME238" s="2" t="n"/>
      <c r="SMF238" s="2" t="n"/>
      <c r="SMG238" s="2" t="n"/>
      <c r="SMH238" s="2" t="n"/>
      <c r="SMI238" s="2" t="n"/>
      <c r="SMJ238" s="2" t="n"/>
      <c r="SMK238" s="2" t="n"/>
      <c r="SML238" s="2" t="n"/>
      <c r="SMM238" s="2" t="n"/>
      <c r="SMN238" s="2" t="n"/>
      <c r="SMO238" s="2" t="n"/>
      <c r="SMP238" s="2" t="n"/>
      <c r="SMQ238" s="2" t="n"/>
      <c r="SMR238" s="2" t="n"/>
      <c r="SMS238" s="2" t="n"/>
      <c r="SMT238" s="2" t="n"/>
      <c r="SMU238" s="2" t="n"/>
      <c r="SMV238" s="2" t="n"/>
      <c r="SMW238" s="2" t="n"/>
      <c r="SMX238" s="2" t="n"/>
      <c r="SMY238" s="2" t="n"/>
      <c r="SMZ238" s="2" t="n"/>
      <c r="SNA238" s="2" t="n"/>
      <c r="SNB238" s="2" t="n"/>
      <c r="SNC238" s="2" t="n"/>
      <c r="SND238" s="2" t="n"/>
      <c r="SNE238" s="2" t="n"/>
      <c r="SNF238" s="2" t="n"/>
      <c r="SNG238" s="2" t="n"/>
      <c r="SNH238" s="2" t="n"/>
      <c r="SNI238" s="2" t="n"/>
      <c r="SNJ238" s="2" t="n"/>
      <c r="SNK238" s="2" t="n"/>
      <c r="SNL238" s="2" t="n"/>
      <c r="SNM238" s="2" t="n"/>
      <c r="SNN238" s="2" t="n"/>
      <c r="SNO238" s="2" t="n"/>
      <c r="SNP238" s="2" t="n"/>
      <c r="SNQ238" s="2" t="n"/>
      <c r="SNR238" s="2" t="n"/>
      <c r="SNS238" s="2" t="n"/>
      <c r="SNT238" s="2" t="n"/>
      <c r="SNU238" s="2" t="n"/>
      <c r="SNV238" s="2" t="n"/>
      <c r="SNW238" s="2" t="n"/>
      <c r="SNX238" s="2" t="n"/>
      <c r="SNY238" s="2" t="n"/>
      <c r="SNZ238" s="2" t="n"/>
      <c r="SOA238" s="2" t="n"/>
      <c r="SOB238" s="2" t="n"/>
      <c r="SOC238" s="2" t="n"/>
      <c r="SOD238" s="2" t="n"/>
      <c r="SOE238" s="2" t="n"/>
      <c r="SOF238" s="2" t="n"/>
      <c r="SOG238" s="2" t="n"/>
      <c r="SOH238" s="2" t="n"/>
      <c r="SOI238" s="2" t="n"/>
      <c r="SOJ238" s="2" t="n"/>
      <c r="SOK238" s="2" t="n"/>
      <c r="SOL238" s="2" t="n"/>
      <c r="SOM238" s="2" t="n"/>
      <c r="SON238" s="2" t="n"/>
      <c r="SOO238" s="2" t="n"/>
      <c r="SOP238" s="2" t="n"/>
      <c r="SOQ238" s="2" t="n"/>
      <c r="SOR238" s="2" t="n"/>
      <c r="SOS238" s="2" t="n"/>
      <c r="SOT238" s="2" t="n"/>
      <c r="SOU238" s="2" t="n"/>
      <c r="SOV238" s="2" t="n"/>
      <c r="SOW238" s="2" t="n"/>
      <c r="SOX238" s="2" t="n"/>
      <c r="SOY238" s="2" t="n"/>
      <c r="SOZ238" s="2" t="n"/>
      <c r="SPA238" s="2" t="n"/>
      <c r="SPB238" s="2" t="n"/>
      <c r="SPC238" s="2" t="n"/>
      <c r="SPD238" s="2" t="n"/>
      <c r="SPE238" s="2" t="n"/>
      <c r="SPF238" s="2" t="n"/>
      <c r="SPG238" s="2" t="n"/>
      <c r="SPH238" s="2" t="n"/>
      <c r="SPI238" s="2" t="n"/>
      <c r="SPJ238" s="2" t="n"/>
      <c r="SPK238" s="2" t="n"/>
      <c r="SPL238" s="2" t="n"/>
      <c r="SPM238" s="2" t="n"/>
      <c r="SPN238" s="2" t="n"/>
      <c r="SPO238" s="2" t="n"/>
      <c r="SPP238" s="2" t="n"/>
      <c r="SPQ238" s="2" t="n"/>
      <c r="SPR238" s="2" t="n"/>
      <c r="SPS238" s="2" t="n"/>
      <c r="SPT238" s="2" t="n"/>
      <c r="SPU238" s="2" t="n"/>
      <c r="SPV238" s="2" t="n"/>
      <c r="SPW238" s="2" t="n"/>
      <c r="SPX238" s="2" t="n"/>
      <c r="SPY238" s="2" t="n"/>
      <c r="SPZ238" s="2" t="n"/>
      <c r="SQA238" s="2" t="n"/>
      <c r="SQB238" s="2" t="n"/>
      <c r="SQC238" s="2" t="n"/>
      <c r="SQD238" s="2" t="n"/>
      <c r="SQE238" s="2" t="n"/>
      <c r="SQF238" s="2" t="n"/>
      <c r="SQG238" s="2" t="n"/>
      <c r="SQH238" s="2" t="n"/>
      <c r="SQI238" s="2" t="n"/>
      <c r="SQJ238" s="2" t="n"/>
      <c r="SQK238" s="2" t="n"/>
      <c r="SQL238" s="2" t="n"/>
      <c r="SQM238" s="2" t="n"/>
      <c r="SQN238" s="2" t="n"/>
      <c r="SQO238" s="2" t="n"/>
      <c r="SQP238" s="2" t="n"/>
      <c r="SQQ238" s="2" t="n"/>
      <c r="SQR238" s="2" t="n"/>
      <c r="SQS238" s="2" t="n"/>
      <c r="SQT238" s="2" t="n"/>
      <c r="SQU238" s="2" t="n"/>
      <c r="SQV238" s="2" t="n"/>
      <c r="SQW238" s="2" t="n"/>
      <c r="SQX238" s="2" t="n"/>
      <c r="SQY238" s="2" t="n"/>
      <c r="SQZ238" s="2" t="n"/>
      <c r="SRA238" s="2" t="n"/>
      <c r="SRB238" s="2" t="n"/>
      <c r="SRC238" s="2" t="n"/>
      <c r="SRD238" s="2" t="n"/>
      <c r="SRE238" s="2" t="n"/>
      <c r="SRF238" s="2" t="n"/>
      <c r="SRG238" s="2" t="n"/>
      <c r="SRH238" s="2" t="n"/>
      <c r="SRI238" s="2" t="n"/>
      <c r="SRJ238" s="2" t="n"/>
      <c r="SRK238" s="2" t="n"/>
      <c r="SRL238" s="2" t="n"/>
      <c r="SRM238" s="2" t="n"/>
      <c r="SRN238" s="2" t="n"/>
      <c r="SRO238" s="2" t="n"/>
      <c r="SRP238" s="2" t="n"/>
      <c r="SRQ238" s="2" t="n"/>
      <c r="SRR238" s="2" t="n"/>
      <c r="SRS238" s="2" t="n"/>
      <c r="SRT238" s="2" t="n"/>
      <c r="SRU238" s="2" t="n"/>
      <c r="SRV238" s="2" t="n"/>
      <c r="SRW238" s="2" t="n"/>
      <c r="SRX238" s="2" t="n"/>
      <c r="SRY238" s="2" t="n"/>
      <c r="SRZ238" s="2" t="n"/>
      <c r="SSA238" s="2" t="n"/>
      <c r="SSB238" s="2" t="n"/>
      <c r="SSC238" s="2" t="n"/>
      <c r="SSD238" s="2" t="n"/>
      <c r="SSE238" s="2" t="n"/>
      <c r="SSF238" s="2" t="n"/>
      <c r="SSG238" s="2" t="n"/>
      <c r="SSH238" s="2" t="n"/>
      <c r="SSI238" s="2" t="n"/>
      <c r="SSJ238" s="2" t="n"/>
      <c r="SSK238" s="2" t="n"/>
      <c r="SSL238" s="2" t="n"/>
      <c r="SSM238" s="2" t="n"/>
      <c r="SSN238" s="2" t="n"/>
      <c r="SSO238" s="2" t="n"/>
      <c r="SSP238" s="2" t="n"/>
      <c r="SSQ238" s="2" t="n"/>
      <c r="SSR238" s="2" t="n"/>
      <c r="SSS238" s="2" t="n"/>
      <c r="SST238" s="2" t="n"/>
      <c r="SSU238" s="2" t="n"/>
      <c r="SSV238" s="2" t="n"/>
      <c r="SSW238" s="2" t="n"/>
      <c r="SSX238" s="2" t="n"/>
      <c r="SSY238" s="2" t="n"/>
      <c r="SSZ238" s="2" t="n"/>
      <c r="STA238" s="2" t="n"/>
      <c r="STB238" s="2" t="n"/>
      <c r="STC238" s="2" t="n"/>
      <c r="STD238" s="2" t="n"/>
      <c r="STE238" s="2" t="n"/>
      <c r="STF238" s="2" t="n"/>
      <c r="STG238" s="2" t="n"/>
      <c r="STH238" s="2" t="n"/>
      <c r="STI238" s="2" t="n"/>
      <c r="STJ238" s="2" t="n"/>
      <c r="STK238" s="2" t="n"/>
      <c r="STL238" s="2" t="n"/>
      <c r="STM238" s="2" t="n"/>
      <c r="STN238" s="2" t="n"/>
      <c r="STO238" s="2" t="n"/>
      <c r="STP238" s="2" t="n"/>
      <c r="STQ238" s="2" t="n"/>
      <c r="STR238" s="2" t="n"/>
      <c r="STS238" s="2" t="n"/>
      <c r="STT238" s="2" t="n"/>
      <c r="STU238" s="2" t="n"/>
      <c r="STV238" s="2" t="n"/>
      <c r="STW238" s="2" t="n"/>
      <c r="STX238" s="2" t="n"/>
      <c r="STY238" s="2" t="n"/>
      <c r="STZ238" s="2" t="n"/>
      <c r="SUA238" s="2" t="n"/>
      <c r="SUB238" s="2" t="n"/>
      <c r="SUC238" s="2" t="n"/>
      <c r="SUD238" s="2" t="n"/>
      <c r="SUE238" s="2" t="n"/>
      <c r="SUF238" s="2" t="n"/>
      <c r="SUG238" s="2" t="n"/>
      <c r="SUH238" s="2" t="n"/>
      <c r="SUI238" s="2" t="n"/>
      <c r="SUJ238" s="2" t="n"/>
      <c r="SUK238" s="2" t="n"/>
      <c r="SUL238" s="2" t="n"/>
      <c r="SUM238" s="2" t="n"/>
      <c r="SUN238" s="2" t="n"/>
      <c r="SUO238" s="2" t="n"/>
      <c r="SUP238" s="2" t="n"/>
      <c r="SUQ238" s="2" t="n"/>
      <c r="SUR238" s="2" t="n"/>
      <c r="SUS238" s="2" t="n"/>
      <c r="SUT238" s="2" t="n"/>
      <c r="SUU238" s="2" t="n"/>
      <c r="SUV238" s="2" t="n"/>
      <c r="SUW238" s="2" t="n"/>
      <c r="SUX238" s="2" t="n"/>
      <c r="SUY238" s="2" t="n"/>
      <c r="SUZ238" s="2" t="n"/>
      <c r="SVA238" s="2" t="n"/>
      <c r="SVB238" s="2" t="n"/>
      <c r="SVC238" s="2" t="n"/>
      <c r="SVD238" s="2" t="n"/>
      <c r="SVE238" s="2" t="n"/>
      <c r="SVF238" s="2" t="n"/>
      <c r="SVG238" s="2" t="n"/>
      <c r="SVH238" s="2" t="n"/>
      <c r="SVI238" s="2" t="n"/>
      <c r="SVJ238" s="2" t="n"/>
      <c r="SVK238" s="2" t="n"/>
      <c r="SVL238" s="2" t="n"/>
      <c r="SVM238" s="2" t="n"/>
      <c r="SVN238" s="2" t="n"/>
      <c r="SVO238" s="2" t="n"/>
      <c r="SVP238" s="2" t="n"/>
      <c r="SVQ238" s="2" t="n"/>
      <c r="SVR238" s="2" t="n"/>
      <c r="SVS238" s="2" t="n"/>
      <c r="SVT238" s="2" t="n"/>
      <c r="SVU238" s="2" t="n"/>
      <c r="SVV238" s="2" t="n"/>
      <c r="SVW238" s="2" t="n"/>
      <c r="SVX238" s="2" t="n"/>
      <c r="SVY238" s="2" t="n"/>
      <c r="SVZ238" s="2" t="n"/>
      <c r="SWA238" s="2" t="n"/>
      <c r="SWB238" s="2" t="n"/>
      <c r="SWC238" s="2" t="n"/>
      <c r="SWD238" s="2" t="n"/>
      <c r="SWE238" s="2" t="n"/>
      <c r="SWF238" s="2" t="n"/>
      <c r="SWG238" s="2" t="n"/>
      <c r="SWH238" s="2" t="n"/>
      <c r="SWI238" s="2" t="n"/>
      <c r="SWJ238" s="2" t="n"/>
      <c r="SWK238" s="2" t="n"/>
      <c r="SWL238" s="2" t="n"/>
      <c r="SWM238" s="2" t="n"/>
      <c r="SWN238" s="2" t="n"/>
      <c r="SWO238" s="2" t="n"/>
      <c r="SWP238" s="2" t="n"/>
      <c r="SWQ238" s="2" t="n"/>
      <c r="SWR238" s="2" t="n"/>
      <c r="SWS238" s="2" t="n"/>
      <c r="SWT238" s="2" t="n"/>
      <c r="SWU238" s="2" t="n"/>
      <c r="SWV238" s="2" t="n"/>
      <c r="SWW238" s="2" t="n"/>
      <c r="SWX238" s="2" t="n"/>
      <c r="SWY238" s="2" t="n"/>
      <c r="SWZ238" s="2" t="n"/>
      <c r="SXA238" s="2" t="n"/>
      <c r="SXB238" s="2" t="n"/>
      <c r="SXC238" s="2" t="n"/>
      <c r="SXD238" s="2" t="n"/>
      <c r="SXE238" s="2" t="n"/>
      <c r="SXF238" s="2" t="n"/>
      <c r="SXG238" s="2" t="n"/>
      <c r="SXH238" s="2" t="n"/>
      <c r="SXI238" s="2" t="n"/>
      <c r="SXJ238" s="2" t="n"/>
      <c r="SXK238" s="2" t="n"/>
      <c r="SXL238" s="2" t="n"/>
      <c r="SXM238" s="2" t="n"/>
      <c r="SXN238" s="2" t="n"/>
      <c r="SXO238" s="2" t="n"/>
      <c r="SXP238" s="2" t="n"/>
      <c r="SXQ238" s="2" t="n"/>
      <c r="SXR238" s="2" t="n"/>
      <c r="SXS238" s="2" t="n"/>
      <c r="SXT238" s="2" t="n"/>
      <c r="SXU238" s="2" t="n"/>
      <c r="SXV238" s="2" t="n"/>
      <c r="SXW238" s="2" t="n"/>
      <c r="SXX238" s="2" t="n"/>
      <c r="SXY238" s="2" t="n"/>
      <c r="SXZ238" s="2" t="n"/>
      <c r="SYA238" s="2" t="n"/>
      <c r="SYB238" s="2" t="n"/>
      <c r="SYC238" s="2" t="n"/>
      <c r="SYD238" s="2" t="n"/>
      <c r="SYE238" s="2" t="n"/>
      <c r="SYF238" s="2" t="n"/>
      <c r="SYG238" s="2" t="n"/>
      <c r="SYH238" s="2" t="n"/>
      <c r="SYI238" s="2" t="n"/>
      <c r="SYJ238" s="2" t="n"/>
      <c r="SYK238" s="2" t="n"/>
      <c r="SYL238" s="2" t="n"/>
      <c r="SYM238" s="2" t="n"/>
      <c r="SYN238" s="2" t="n"/>
      <c r="SYO238" s="2" t="n"/>
      <c r="SYP238" s="2" t="n"/>
      <c r="SYQ238" s="2" t="n"/>
      <c r="SYR238" s="2" t="n"/>
      <c r="SYS238" s="2" t="n"/>
      <c r="SYT238" s="2" t="n"/>
      <c r="SYU238" s="2" t="n"/>
      <c r="SYV238" s="2" t="n"/>
      <c r="SYW238" s="2" t="n"/>
      <c r="SYX238" s="2" t="n"/>
      <c r="SYY238" s="2" t="n"/>
      <c r="SYZ238" s="2" t="n"/>
      <c r="SZA238" s="2" t="n"/>
      <c r="SZB238" s="2" t="n"/>
      <c r="SZC238" s="2" t="n"/>
      <c r="SZD238" s="2" t="n"/>
      <c r="SZE238" s="2" t="n"/>
      <c r="SZF238" s="2" t="n"/>
      <c r="SZG238" s="2" t="n"/>
      <c r="SZH238" s="2" t="n"/>
      <c r="SZI238" s="2" t="n"/>
      <c r="SZJ238" s="2" t="n"/>
      <c r="SZK238" s="2" t="n"/>
      <c r="SZL238" s="2" t="n"/>
      <c r="SZM238" s="2" t="n"/>
      <c r="SZN238" s="2" t="n"/>
      <c r="SZO238" s="2" t="n"/>
      <c r="SZP238" s="2" t="n"/>
      <c r="SZQ238" s="2" t="n"/>
      <c r="SZR238" s="2" t="n"/>
      <c r="SZS238" s="2" t="n"/>
      <c r="SZT238" s="2" t="n"/>
      <c r="SZU238" s="2" t="n"/>
      <c r="SZV238" s="2" t="n"/>
      <c r="SZW238" s="2" t="n"/>
      <c r="SZX238" s="2" t="n"/>
      <c r="SZY238" s="2" t="n"/>
      <c r="SZZ238" s="2" t="n"/>
      <c r="TAA238" s="2" t="n"/>
      <c r="TAB238" s="2" t="n"/>
      <c r="TAC238" s="2" t="n"/>
      <c r="TAD238" s="2" t="n"/>
      <c r="TAE238" s="2" t="n"/>
      <c r="TAF238" s="2" t="n"/>
      <c r="TAG238" s="2" t="n"/>
      <c r="TAH238" s="2" t="n"/>
      <c r="TAI238" s="2" t="n"/>
      <c r="TAJ238" s="2" t="n"/>
      <c r="TAK238" s="2" t="n"/>
      <c r="TAL238" s="2" t="n"/>
      <c r="TAM238" s="2" t="n"/>
      <c r="TAN238" s="2" t="n"/>
      <c r="TAO238" s="2" t="n"/>
      <c r="TAP238" s="2" t="n"/>
      <c r="TAQ238" s="2" t="n"/>
      <c r="TAR238" s="2" t="n"/>
      <c r="TAS238" s="2" t="n"/>
      <c r="TAT238" s="2" t="n"/>
      <c r="TAU238" s="2" t="n"/>
      <c r="TAV238" s="2" t="n"/>
      <c r="TAW238" s="2" t="n"/>
      <c r="TAX238" s="2" t="n"/>
      <c r="TAY238" s="2" t="n"/>
      <c r="TAZ238" s="2" t="n"/>
      <c r="TBA238" s="2" t="n"/>
      <c r="TBB238" s="2" t="n"/>
      <c r="TBC238" s="2" t="n"/>
      <c r="TBD238" s="2" t="n"/>
      <c r="TBE238" s="2" t="n"/>
      <c r="TBF238" s="2" t="n"/>
      <c r="TBG238" s="2" t="n"/>
      <c r="TBH238" s="2" t="n"/>
      <c r="TBI238" s="2" t="n"/>
      <c r="TBJ238" s="2" t="n"/>
      <c r="TBK238" s="2" t="n"/>
      <c r="TBL238" s="2" t="n"/>
      <c r="TBM238" s="2" t="n"/>
      <c r="TBN238" s="2" t="n"/>
      <c r="TBO238" s="2" t="n"/>
      <c r="TBP238" s="2" t="n"/>
      <c r="TBQ238" s="2" t="n"/>
      <c r="TBR238" s="2" t="n"/>
      <c r="TBS238" s="2" t="n"/>
      <c r="TBT238" s="2" t="n"/>
      <c r="TBU238" s="2" t="n"/>
      <c r="TBV238" s="2" t="n"/>
      <c r="TBW238" s="2" t="n"/>
      <c r="TBX238" s="2" t="n"/>
      <c r="TBY238" s="2" t="n"/>
      <c r="TBZ238" s="2" t="n"/>
      <c r="TCA238" s="2" t="n"/>
      <c r="TCB238" s="2" t="n"/>
      <c r="TCC238" s="2" t="n"/>
      <c r="TCD238" s="2" t="n"/>
      <c r="TCE238" s="2" t="n"/>
      <c r="TCF238" s="2" t="n"/>
      <c r="TCG238" s="2" t="n"/>
      <c r="TCH238" s="2" t="n"/>
      <c r="TCI238" s="2" t="n"/>
      <c r="TCJ238" s="2" t="n"/>
      <c r="TCK238" s="2" t="n"/>
      <c r="TCL238" s="2" t="n"/>
      <c r="TCM238" s="2" t="n"/>
      <c r="TCN238" s="2" t="n"/>
      <c r="TCO238" s="2" t="n"/>
      <c r="TCP238" s="2" t="n"/>
      <c r="TCQ238" s="2" t="n"/>
      <c r="TCR238" s="2" t="n"/>
      <c r="TCS238" s="2" t="n"/>
      <c r="TCT238" s="2" t="n"/>
      <c r="TCU238" s="2" t="n"/>
      <c r="TCV238" s="2" t="n"/>
      <c r="TCW238" s="2" t="n"/>
      <c r="TCX238" s="2" t="n"/>
      <c r="TCY238" s="2" t="n"/>
      <c r="TCZ238" s="2" t="n"/>
      <c r="TDA238" s="2" t="n"/>
      <c r="TDB238" s="2" t="n"/>
      <c r="TDC238" s="2" t="n"/>
      <c r="TDD238" s="2" t="n"/>
      <c r="TDE238" s="2" t="n"/>
      <c r="TDF238" s="2" t="n"/>
      <c r="TDG238" s="2" t="n"/>
      <c r="TDH238" s="2" t="n"/>
      <c r="TDI238" s="2" t="n"/>
      <c r="TDJ238" s="2" t="n"/>
      <c r="TDK238" s="2" t="n"/>
      <c r="TDL238" s="2" t="n"/>
      <c r="TDM238" s="2" t="n"/>
      <c r="TDN238" s="2" t="n"/>
      <c r="TDO238" s="2" t="n"/>
      <c r="TDP238" s="2" t="n"/>
      <c r="TDQ238" s="2" t="n"/>
      <c r="TDR238" s="2" t="n"/>
      <c r="TDS238" s="2" t="n"/>
      <c r="TDT238" s="2" t="n"/>
      <c r="TDU238" s="2" t="n"/>
      <c r="TDV238" s="2" t="n"/>
      <c r="TDW238" s="2" t="n"/>
      <c r="TDX238" s="2" t="n"/>
      <c r="TDY238" s="2" t="n"/>
      <c r="TDZ238" s="2" t="n"/>
      <c r="TEA238" s="2" t="n"/>
      <c r="TEB238" s="2" t="n"/>
      <c r="TEC238" s="2" t="n"/>
      <c r="TED238" s="2" t="n"/>
      <c r="TEE238" s="2" t="n"/>
      <c r="TEF238" s="2" t="n"/>
      <c r="TEG238" s="2" t="n"/>
      <c r="TEH238" s="2" t="n"/>
      <c r="TEI238" s="2" t="n"/>
      <c r="TEJ238" s="2" t="n"/>
      <c r="TEK238" s="2" t="n"/>
      <c r="TEL238" s="2" t="n"/>
      <c r="TEM238" s="2" t="n"/>
      <c r="TEN238" s="2" t="n"/>
      <c r="TEO238" s="2" t="n"/>
      <c r="TEP238" s="2" t="n"/>
      <c r="TEQ238" s="2" t="n"/>
      <c r="TER238" s="2" t="n"/>
      <c r="TES238" s="2" t="n"/>
      <c r="TET238" s="2" t="n"/>
      <c r="TEU238" s="2" t="n"/>
      <c r="TEV238" s="2" t="n"/>
      <c r="TEW238" s="2" t="n"/>
      <c r="TEX238" s="2" t="n"/>
      <c r="TEY238" s="2" t="n"/>
      <c r="TEZ238" s="2" t="n"/>
      <c r="TFA238" s="2" t="n"/>
      <c r="TFB238" s="2" t="n"/>
      <c r="TFC238" s="2" t="n"/>
      <c r="TFD238" s="2" t="n"/>
      <c r="TFE238" s="2" t="n"/>
      <c r="TFF238" s="2" t="n"/>
      <c r="TFG238" s="2" t="n"/>
      <c r="TFH238" s="2" t="n"/>
      <c r="TFI238" s="2" t="n"/>
      <c r="TFJ238" s="2" t="n"/>
      <c r="TFK238" s="2" t="n"/>
      <c r="TFL238" s="2" t="n"/>
      <c r="TFM238" s="2" t="n"/>
      <c r="TFN238" s="2" t="n"/>
      <c r="TFO238" s="2" t="n"/>
      <c r="TFP238" s="2" t="n"/>
      <c r="TFQ238" s="2" t="n"/>
      <c r="TFR238" s="2" t="n"/>
      <c r="TFS238" s="2" t="n"/>
      <c r="TFT238" s="2" t="n"/>
      <c r="TFU238" s="2" t="n"/>
      <c r="TFV238" s="2" t="n"/>
      <c r="TFW238" s="2" t="n"/>
      <c r="TFX238" s="2" t="n"/>
      <c r="TFY238" s="2" t="n"/>
      <c r="TFZ238" s="2" t="n"/>
      <c r="TGA238" s="2" t="n"/>
      <c r="TGB238" s="2" t="n"/>
      <c r="TGC238" s="2" t="n"/>
      <c r="TGD238" s="2" t="n"/>
      <c r="TGE238" s="2" t="n"/>
      <c r="TGF238" s="2" t="n"/>
      <c r="TGG238" s="2" t="n"/>
      <c r="TGH238" s="2" t="n"/>
      <c r="TGI238" s="2" t="n"/>
      <c r="TGJ238" s="2" t="n"/>
      <c r="TGK238" s="2" t="n"/>
      <c r="TGL238" s="2" t="n"/>
      <c r="TGM238" s="2" t="n"/>
      <c r="TGN238" s="2" t="n"/>
      <c r="TGO238" s="2" t="n"/>
      <c r="TGP238" s="2" t="n"/>
      <c r="TGQ238" s="2" t="n"/>
      <c r="TGR238" s="2" t="n"/>
      <c r="TGS238" s="2" t="n"/>
      <c r="TGT238" s="2" t="n"/>
      <c r="TGU238" s="2" t="n"/>
      <c r="TGV238" s="2" t="n"/>
      <c r="TGW238" s="2" t="n"/>
      <c r="TGX238" s="2" t="n"/>
      <c r="TGY238" s="2" t="n"/>
      <c r="TGZ238" s="2" t="n"/>
      <c r="THA238" s="2" t="n"/>
      <c r="THB238" s="2" t="n"/>
      <c r="THC238" s="2" t="n"/>
      <c r="THD238" s="2" t="n"/>
      <c r="THE238" s="2" t="n"/>
      <c r="THF238" s="2" t="n"/>
      <c r="THG238" s="2" t="n"/>
      <c r="THH238" s="2" t="n"/>
      <c r="THI238" s="2" t="n"/>
      <c r="THJ238" s="2" t="n"/>
      <c r="THK238" s="2" t="n"/>
      <c r="THL238" s="2" t="n"/>
      <c r="THM238" s="2" t="n"/>
      <c r="THN238" s="2" t="n"/>
      <c r="THO238" s="2" t="n"/>
      <c r="THP238" s="2" t="n"/>
      <c r="THQ238" s="2" t="n"/>
      <c r="THR238" s="2" t="n"/>
      <c r="THS238" s="2" t="n"/>
      <c r="THT238" s="2" t="n"/>
      <c r="THU238" s="2" t="n"/>
      <c r="THV238" s="2" t="n"/>
      <c r="THW238" s="2" t="n"/>
      <c r="THX238" s="2" t="n"/>
      <c r="THY238" s="2" t="n"/>
      <c r="THZ238" s="2" t="n"/>
      <c r="TIA238" s="2" t="n"/>
      <c r="TIB238" s="2" t="n"/>
      <c r="TIC238" s="2" t="n"/>
      <c r="TID238" s="2" t="n"/>
      <c r="TIE238" s="2" t="n"/>
      <c r="TIF238" s="2" t="n"/>
      <c r="TIG238" s="2" t="n"/>
      <c r="TIH238" s="2" t="n"/>
      <c r="TII238" s="2" t="n"/>
      <c r="TIJ238" s="2" t="n"/>
      <c r="TIK238" s="2" t="n"/>
      <c r="TIL238" s="2" t="n"/>
      <c r="TIM238" s="2" t="n"/>
      <c r="TIN238" s="2" t="n"/>
      <c r="TIO238" s="2" t="n"/>
      <c r="TIP238" s="2" t="n"/>
      <c r="TIQ238" s="2" t="n"/>
      <c r="TIR238" s="2" t="n"/>
      <c r="TIS238" s="2" t="n"/>
      <c r="TIT238" s="2" t="n"/>
      <c r="TIU238" s="2" t="n"/>
      <c r="TIV238" s="2" t="n"/>
      <c r="TIW238" s="2" t="n"/>
      <c r="TIX238" s="2" t="n"/>
      <c r="TIY238" s="2" t="n"/>
      <c r="TIZ238" s="2" t="n"/>
      <c r="TJA238" s="2" t="n"/>
      <c r="TJB238" s="2" t="n"/>
      <c r="TJC238" s="2" t="n"/>
      <c r="TJD238" s="2" t="n"/>
      <c r="TJE238" s="2" t="n"/>
      <c r="TJF238" s="2" t="n"/>
      <c r="TJG238" s="2" t="n"/>
      <c r="TJH238" s="2" t="n"/>
      <c r="TJI238" s="2" t="n"/>
      <c r="TJJ238" s="2" t="n"/>
      <c r="TJK238" s="2" t="n"/>
      <c r="TJL238" s="2" t="n"/>
      <c r="TJM238" s="2" t="n"/>
      <c r="TJN238" s="2" t="n"/>
      <c r="TJO238" s="2" t="n"/>
      <c r="TJP238" s="2" t="n"/>
      <c r="TJQ238" s="2" t="n"/>
      <c r="TJR238" s="2" t="n"/>
      <c r="TJS238" s="2" t="n"/>
      <c r="TJT238" s="2" t="n"/>
      <c r="TJU238" s="2" t="n"/>
      <c r="TJV238" s="2" t="n"/>
      <c r="TJW238" s="2" t="n"/>
      <c r="TJX238" s="2" t="n"/>
      <c r="TJY238" s="2" t="n"/>
      <c r="TJZ238" s="2" t="n"/>
      <c r="TKA238" s="2" t="n"/>
      <c r="TKB238" s="2" t="n"/>
      <c r="TKC238" s="2" t="n"/>
      <c r="TKD238" s="2" t="n"/>
      <c r="TKE238" s="2" t="n"/>
      <c r="TKF238" s="2" t="n"/>
      <c r="TKG238" s="2" t="n"/>
      <c r="TKH238" s="2" t="n"/>
      <c r="TKI238" s="2" t="n"/>
      <c r="TKJ238" s="2" t="n"/>
      <c r="TKK238" s="2" t="n"/>
      <c r="TKL238" s="2" t="n"/>
      <c r="TKM238" s="2" t="n"/>
      <c r="TKN238" s="2" t="n"/>
      <c r="TKO238" s="2" t="n"/>
      <c r="TKP238" s="2" t="n"/>
      <c r="TKQ238" s="2" t="n"/>
      <c r="TKR238" s="2" t="n"/>
      <c r="TKS238" s="2" t="n"/>
      <c r="TKT238" s="2" t="n"/>
      <c r="TKU238" s="2" t="n"/>
      <c r="TKV238" s="2" t="n"/>
      <c r="TKW238" s="2" t="n"/>
      <c r="TKX238" s="2" t="n"/>
      <c r="TKY238" s="2" t="n"/>
      <c r="TKZ238" s="2" t="n"/>
      <c r="TLA238" s="2" t="n"/>
      <c r="TLB238" s="2" t="n"/>
      <c r="TLC238" s="2" t="n"/>
      <c r="TLD238" s="2" t="n"/>
      <c r="TLE238" s="2" t="n"/>
      <c r="TLF238" s="2" t="n"/>
      <c r="TLG238" s="2" t="n"/>
      <c r="TLH238" s="2" t="n"/>
      <c r="TLI238" s="2" t="n"/>
      <c r="TLJ238" s="2" t="n"/>
      <c r="TLK238" s="2" t="n"/>
      <c r="TLL238" s="2" t="n"/>
      <c r="TLM238" s="2" t="n"/>
      <c r="TLN238" s="2" t="n"/>
      <c r="TLO238" s="2" t="n"/>
      <c r="TLP238" s="2" t="n"/>
      <c r="TLQ238" s="2" t="n"/>
      <c r="TLR238" s="2" t="n"/>
      <c r="TLS238" s="2" t="n"/>
      <c r="TLT238" s="2" t="n"/>
      <c r="TLU238" s="2" t="n"/>
      <c r="TLV238" s="2" t="n"/>
      <c r="TLW238" s="2" t="n"/>
      <c r="TLX238" s="2" t="n"/>
      <c r="TLY238" s="2" t="n"/>
      <c r="TLZ238" s="2" t="n"/>
      <c r="TMA238" s="2" t="n"/>
      <c r="TMB238" s="2" t="n"/>
      <c r="TMC238" s="2" t="n"/>
      <c r="TMD238" s="2" t="n"/>
      <c r="TME238" s="2" t="n"/>
      <c r="TMF238" s="2" t="n"/>
      <c r="TMG238" s="2" t="n"/>
      <c r="TMH238" s="2" t="n"/>
      <c r="TMI238" s="2" t="n"/>
      <c r="TMJ238" s="2" t="n"/>
      <c r="TMK238" s="2" t="n"/>
      <c r="TML238" s="2" t="n"/>
      <c r="TMM238" s="2" t="n"/>
      <c r="TMN238" s="2" t="n"/>
      <c r="TMO238" s="2" t="n"/>
      <c r="TMP238" s="2" t="n"/>
      <c r="TMQ238" s="2" t="n"/>
      <c r="TMR238" s="2" t="n"/>
      <c r="TMS238" s="2" t="n"/>
      <c r="TMT238" s="2" t="n"/>
      <c r="TMU238" s="2" t="n"/>
      <c r="TMV238" s="2" t="n"/>
      <c r="TMW238" s="2" t="n"/>
      <c r="TMX238" s="2" t="n"/>
      <c r="TMY238" s="2" t="n"/>
      <c r="TMZ238" s="2" t="n"/>
      <c r="TNA238" s="2" t="n"/>
      <c r="TNB238" s="2" t="n"/>
      <c r="TNC238" s="2" t="n"/>
      <c r="TND238" s="2" t="n"/>
      <c r="TNE238" s="2" t="n"/>
      <c r="TNF238" s="2" t="n"/>
      <c r="TNG238" s="2" t="n"/>
      <c r="TNH238" s="2" t="n"/>
      <c r="TNI238" s="2" t="n"/>
      <c r="TNJ238" s="2" t="n"/>
      <c r="TNK238" s="2" t="n"/>
      <c r="TNL238" s="2" t="n"/>
      <c r="TNM238" s="2" t="n"/>
      <c r="TNN238" s="2" t="n"/>
      <c r="TNO238" s="2" t="n"/>
      <c r="TNP238" s="2" t="n"/>
      <c r="TNQ238" s="2" t="n"/>
      <c r="TNR238" s="2" t="n"/>
      <c r="TNS238" s="2" t="n"/>
      <c r="TNT238" s="2" t="n"/>
      <c r="TNU238" s="2" t="n"/>
      <c r="TNV238" s="2" t="n"/>
      <c r="TNW238" s="2" t="n"/>
      <c r="TNX238" s="2" t="n"/>
      <c r="TNY238" s="2" t="n"/>
      <c r="TNZ238" s="2" t="n"/>
      <c r="TOA238" s="2" t="n"/>
      <c r="TOB238" s="2" t="n"/>
      <c r="TOC238" s="2" t="n"/>
      <c r="TOD238" s="2" t="n"/>
      <c r="TOE238" s="2" t="n"/>
      <c r="TOF238" s="2" t="n"/>
      <c r="TOG238" s="2" t="n"/>
      <c r="TOH238" s="2" t="n"/>
      <c r="TOI238" s="2" t="n"/>
      <c r="TOJ238" s="2" t="n"/>
      <c r="TOK238" s="2" t="n"/>
      <c r="TOL238" s="2" t="n"/>
      <c r="TOM238" s="2" t="n"/>
      <c r="TON238" s="2" t="n"/>
      <c r="TOO238" s="2" t="n"/>
      <c r="TOP238" s="2" t="n"/>
      <c r="TOQ238" s="2" t="n"/>
      <c r="TOR238" s="2" t="n"/>
      <c r="TOS238" s="2" t="n"/>
      <c r="TOT238" s="2" t="n"/>
      <c r="TOU238" s="2" t="n"/>
      <c r="TOV238" s="2" t="n"/>
      <c r="TOW238" s="2" t="n"/>
      <c r="TOX238" s="2" t="n"/>
      <c r="TOY238" s="2" t="n"/>
      <c r="TOZ238" s="2" t="n"/>
      <c r="TPA238" s="2" t="n"/>
      <c r="TPB238" s="2" t="n"/>
      <c r="TPC238" s="2" t="n"/>
      <c r="TPD238" s="2" t="n"/>
      <c r="TPE238" s="2" t="n"/>
      <c r="TPF238" s="2" t="n"/>
      <c r="TPG238" s="2" t="n"/>
      <c r="TPH238" s="2" t="n"/>
      <c r="TPI238" s="2" t="n"/>
      <c r="TPJ238" s="2" t="n"/>
      <c r="TPK238" s="2" t="n"/>
      <c r="TPL238" s="2" t="n"/>
      <c r="TPM238" s="2" t="n"/>
      <c r="TPN238" s="2" t="n"/>
      <c r="TPO238" s="2" t="n"/>
      <c r="TPP238" s="2" t="n"/>
      <c r="TPQ238" s="2" t="n"/>
      <c r="TPR238" s="2" t="n"/>
      <c r="TPS238" s="2" t="n"/>
      <c r="TPT238" s="2" t="n"/>
      <c r="TPU238" s="2" t="n"/>
      <c r="TPV238" s="2" t="n"/>
      <c r="TPW238" s="2" t="n"/>
      <c r="TPX238" s="2" t="n"/>
      <c r="TPY238" s="2" t="n"/>
      <c r="TPZ238" s="2" t="n"/>
      <c r="TQA238" s="2" t="n"/>
      <c r="TQB238" s="2" t="n"/>
      <c r="TQC238" s="2" t="n"/>
      <c r="TQD238" s="2" t="n"/>
      <c r="TQE238" s="2" t="n"/>
      <c r="TQF238" s="2" t="n"/>
      <c r="TQG238" s="2" t="n"/>
      <c r="TQH238" s="2" t="n"/>
      <c r="TQI238" s="2" t="n"/>
      <c r="TQJ238" s="2" t="n"/>
      <c r="TQK238" s="2" t="n"/>
      <c r="TQL238" s="2" t="n"/>
      <c r="TQM238" s="2" t="n"/>
      <c r="TQN238" s="2" t="n"/>
      <c r="TQO238" s="2" t="n"/>
      <c r="TQP238" s="2" t="n"/>
      <c r="TQQ238" s="2" t="n"/>
      <c r="TQR238" s="2" t="n"/>
      <c r="TQS238" s="2" t="n"/>
      <c r="TQT238" s="2" t="n"/>
      <c r="TQU238" s="2" t="n"/>
      <c r="TQV238" s="2" t="n"/>
      <c r="TQW238" s="2" t="n"/>
      <c r="TQX238" s="2" t="n"/>
      <c r="TQY238" s="2" t="n"/>
      <c r="TQZ238" s="2" t="n"/>
      <c r="TRA238" s="2" t="n"/>
      <c r="TRB238" s="2" t="n"/>
      <c r="TRC238" s="2" t="n"/>
      <c r="TRD238" s="2" t="n"/>
      <c r="TRE238" s="2" t="n"/>
      <c r="TRF238" s="2" t="n"/>
      <c r="TRG238" s="2" t="n"/>
      <c r="TRH238" s="2" t="n"/>
      <c r="TRI238" s="2" t="n"/>
      <c r="TRJ238" s="2" t="n"/>
      <c r="TRK238" s="2" t="n"/>
      <c r="TRL238" s="2" t="n"/>
      <c r="TRM238" s="2" t="n"/>
      <c r="TRN238" s="2" t="n"/>
      <c r="TRO238" s="2" t="n"/>
      <c r="TRP238" s="2" t="n"/>
      <c r="TRQ238" s="2" t="n"/>
      <c r="TRR238" s="2" t="n"/>
      <c r="TRS238" s="2" t="n"/>
      <c r="TRT238" s="2" t="n"/>
      <c r="TRU238" s="2" t="n"/>
      <c r="TRV238" s="2" t="n"/>
      <c r="TRW238" s="2" t="n"/>
      <c r="TRX238" s="2" t="n"/>
      <c r="TRY238" s="2" t="n"/>
      <c r="TRZ238" s="2" t="n"/>
      <c r="TSA238" s="2" t="n"/>
      <c r="TSB238" s="2" t="n"/>
      <c r="TSC238" s="2" t="n"/>
      <c r="TSD238" s="2" t="n"/>
      <c r="TSE238" s="2" t="n"/>
      <c r="TSF238" s="2" t="n"/>
      <c r="TSG238" s="2" t="n"/>
      <c r="TSH238" s="2" t="n"/>
      <c r="TSI238" s="2" t="n"/>
      <c r="TSJ238" s="2" t="n"/>
      <c r="TSK238" s="2" t="n"/>
      <c r="TSL238" s="2" t="n"/>
      <c r="TSM238" s="2" t="n"/>
      <c r="TSN238" s="2" t="n"/>
      <c r="TSO238" s="2" t="n"/>
      <c r="TSP238" s="2" t="n"/>
      <c r="TSQ238" s="2" t="n"/>
      <c r="TSR238" s="2" t="n"/>
      <c r="TSS238" s="2" t="n"/>
      <c r="TST238" s="2" t="n"/>
      <c r="TSU238" s="2" t="n"/>
      <c r="TSV238" s="2" t="n"/>
      <c r="TSW238" s="2" t="n"/>
      <c r="TSX238" s="2" t="n"/>
      <c r="TSY238" s="2" t="n"/>
      <c r="TSZ238" s="2" t="n"/>
      <c r="TTA238" s="2" t="n"/>
      <c r="TTB238" s="2" t="n"/>
      <c r="TTC238" s="2" t="n"/>
      <c r="TTD238" s="2" t="n"/>
      <c r="TTE238" s="2" t="n"/>
      <c r="TTF238" s="2" t="n"/>
      <c r="TTG238" s="2" t="n"/>
      <c r="TTH238" s="2" t="n"/>
      <c r="TTI238" s="2" t="n"/>
      <c r="TTJ238" s="2" t="n"/>
      <c r="TTK238" s="2" t="n"/>
      <c r="TTL238" s="2" t="n"/>
      <c r="TTM238" s="2" t="n"/>
      <c r="TTN238" s="2" t="n"/>
      <c r="TTO238" s="2" t="n"/>
      <c r="TTP238" s="2" t="n"/>
      <c r="TTQ238" s="2" t="n"/>
      <c r="TTR238" s="2" t="n"/>
      <c r="TTS238" s="2" t="n"/>
      <c r="TTT238" s="2" t="n"/>
      <c r="TTU238" s="2" t="n"/>
      <c r="TTV238" s="2" t="n"/>
      <c r="TTW238" s="2" t="n"/>
      <c r="TTX238" s="2" t="n"/>
      <c r="TTY238" s="2" t="n"/>
      <c r="TTZ238" s="2" t="n"/>
      <c r="TUA238" s="2" t="n"/>
      <c r="TUB238" s="2" t="n"/>
      <c r="TUC238" s="2" t="n"/>
      <c r="TUD238" s="2" t="n"/>
      <c r="TUE238" s="2" t="n"/>
      <c r="TUF238" s="2" t="n"/>
      <c r="TUG238" s="2" t="n"/>
      <c r="TUH238" s="2" t="n"/>
      <c r="TUI238" s="2" t="n"/>
      <c r="TUJ238" s="2" t="n"/>
      <c r="TUK238" s="2" t="n"/>
      <c r="TUL238" s="2" t="n"/>
      <c r="TUM238" s="2" t="n"/>
      <c r="TUN238" s="2" t="n"/>
      <c r="TUO238" s="2" t="n"/>
      <c r="TUP238" s="2" t="n"/>
      <c r="TUQ238" s="2" t="n"/>
      <c r="TUR238" s="2" t="n"/>
      <c r="TUS238" s="2" t="n"/>
      <c r="TUT238" s="2" t="n"/>
      <c r="TUU238" s="2" t="n"/>
      <c r="TUV238" s="2" t="n"/>
      <c r="TUW238" s="2" t="n"/>
      <c r="TUX238" s="2" t="n"/>
      <c r="TUY238" s="2" t="n"/>
      <c r="TUZ238" s="2" t="n"/>
      <c r="TVA238" s="2" t="n"/>
      <c r="TVB238" s="2" t="n"/>
      <c r="TVC238" s="2" t="n"/>
      <c r="TVD238" s="2" t="n"/>
      <c r="TVE238" s="2" t="n"/>
      <c r="TVF238" s="2" t="n"/>
      <c r="TVG238" s="2" t="n"/>
      <c r="TVH238" s="2" t="n"/>
      <c r="TVI238" s="2" t="n"/>
      <c r="TVJ238" s="2" t="n"/>
      <c r="TVK238" s="2" t="n"/>
      <c r="TVL238" s="2" t="n"/>
      <c r="TVM238" s="2" t="n"/>
      <c r="TVN238" s="2" t="n"/>
      <c r="TVO238" s="2" t="n"/>
      <c r="TVP238" s="2" t="n"/>
      <c r="TVQ238" s="2" t="n"/>
      <c r="TVR238" s="2" t="n"/>
      <c r="TVS238" s="2" t="n"/>
      <c r="TVT238" s="2" t="n"/>
      <c r="TVU238" s="2" t="n"/>
      <c r="TVV238" s="2" t="n"/>
      <c r="TVW238" s="2" t="n"/>
      <c r="TVX238" s="2" t="n"/>
      <c r="TVY238" s="2" t="n"/>
      <c r="TVZ238" s="2" t="n"/>
      <c r="TWA238" s="2" t="n"/>
      <c r="TWB238" s="2" t="n"/>
      <c r="TWC238" s="2" t="n"/>
      <c r="TWD238" s="2" t="n"/>
      <c r="TWE238" s="2" t="n"/>
      <c r="TWF238" s="2" t="n"/>
      <c r="TWG238" s="2" t="n"/>
      <c r="TWH238" s="2" t="n"/>
      <c r="TWI238" s="2" t="n"/>
      <c r="TWJ238" s="2" t="n"/>
      <c r="TWK238" s="2" t="n"/>
      <c r="TWL238" s="2" t="n"/>
      <c r="TWM238" s="2" t="n"/>
      <c r="TWN238" s="2" t="n"/>
      <c r="TWO238" s="2" t="n"/>
      <c r="TWP238" s="2" t="n"/>
      <c r="TWQ238" s="2" t="n"/>
      <c r="TWR238" s="2" t="n"/>
      <c r="TWS238" s="2" t="n"/>
      <c r="TWT238" s="2" t="n"/>
      <c r="TWU238" s="2" t="n"/>
      <c r="TWV238" s="2" t="n"/>
      <c r="TWW238" s="2" t="n"/>
      <c r="TWX238" s="2" t="n"/>
      <c r="TWY238" s="2" t="n"/>
      <c r="TWZ238" s="2" t="n"/>
      <c r="TXA238" s="2" t="n"/>
      <c r="TXB238" s="2" t="n"/>
      <c r="TXC238" s="2" t="n"/>
      <c r="TXD238" s="2" t="n"/>
      <c r="TXE238" s="2" t="n"/>
      <c r="TXF238" s="2" t="n"/>
      <c r="TXG238" s="2" t="n"/>
      <c r="TXH238" s="2" t="n"/>
      <c r="TXI238" s="2" t="n"/>
      <c r="TXJ238" s="2" t="n"/>
      <c r="TXK238" s="2" t="n"/>
      <c r="TXL238" s="2" t="n"/>
      <c r="TXM238" s="2" t="n"/>
      <c r="TXN238" s="2" t="n"/>
      <c r="TXO238" s="2" t="n"/>
      <c r="TXP238" s="2" t="n"/>
      <c r="TXQ238" s="2" t="n"/>
      <c r="TXR238" s="2" t="n"/>
      <c r="TXS238" s="2" t="n"/>
      <c r="TXT238" s="2" t="n"/>
      <c r="TXU238" s="2" t="n"/>
      <c r="TXV238" s="2" t="n"/>
      <c r="TXW238" s="2" t="n"/>
      <c r="TXX238" s="2" t="n"/>
      <c r="TXY238" s="2" t="n"/>
      <c r="TXZ238" s="2" t="n"/>
      <c r="TYA238" s="2" t="n"/>
      <c r="TYB238" s="2" t="n"/>
      <c r="TYC238" s="2" t="n"/>
      <c r="TYD238" s="2" t="n"/>
      <c r="TYE238" s="2" t="n"/>
      <c r="TYF238" s="2" t="n"/>
      <c r="TYG238" s="2" t="n"/>
      <c r="TYH238" s="2" t="n"/>
      <c r="TYI238" s="2" t="n"/>
      <c r="TYJ238" s="2" t="n"/>
      <c r="TYK238" s="2" t="n"/>
      <c r="TYL238" s="2" t="n"/>
      <c r="TYM238" s="2" t="n"/>
      <c r="TYN238" s="2" t="n"/>
      <c r="TYO238" s="2" t="n"/>
      <c r="TYP238" s="2" t="n"/>
      <c r="TYQ238" s="2" t="n"/>
      <c r="TYR238" s="2" t="n"/>
      <c r="TYS238" s="2" t="n"/>
      <c r="TYT238" s="2" t="n"/>
      <c r="TYU238" s="2" t="n"/>
      <c r="TYV238" s="2" t="n"/>
      <c r="TYW238" s="2" t="n"/>
      <c r="TYX238" s="2" t="n"/>
      <c r="TYY238" s="2" t="n"/>
      <c r="TYZ238" s="2" t="n"/>
      <c r="TZA238" s="2" t="n"/>
      <c r="TZB238" s="2" t="n"/>
      <c r="TZC238" s="2" t="n"/>
      <c r="TZD238" s="2" t="n"/>
      <c r="TZE238" s="2" t="n"/>
      <c r="TZF238" s="2" t="n"/>
      <c r="TZG238" s="2" t="n"/>
      <c r="TZH238" s="2" t="n"/>
      <c r="TZI238" s="2" t="n"/>
      <c r="TZJ238" s="2" t="n"/>
      <c r="TZK238" s="2" t="n"/>
      <c r="TZL238" s="2" t="n"/>
      <c r="TZM238" s="2" t="n"/>
      <c r="TZN238" s="2" t="n"/>
      <c r="TZO238" s="2" t="n"/>
      <c r="TZP238" s="2" t="n"/>
      <c r="TZQ238" s="2" t="n"/>
      <c r="TZR238" s="2" t="n"/>
      <c r="TZS238" s="2" t="n"/>
      <c r="TZT238" s="2" t="n"/>
      <c r="TZU238" s="2" t="n"/>
      <c r="TZV238" s="2" t="n"/>
      <c r="TZW238" s="2" t="n"/>
      <c r="TZX238" s="2" t="n"/>
      <c r="TZY238" s="2" t="n"/>
      <c r="TZZ238" s="2" t="n"/>
      <c r="UAA238" s="2" t="n"/>
      <c r="UAB238" s="2" t="n"/>
      <c r="UAC238" s="2" t="n"/>
      <c r="UAD238" s="2" t="n"/>
      <c r="UAE238" s="2" t="n"/>
      <c r="UAF238" s="2" t="n"/>
      <c r="UAG238" s="2" t="n"/>
      <c r="UAH238" s="2" t="n"/>
      <c r="UAI238" s="2" t="n"/>
      <c r="UAJ238" s="2" t="n"/>
      <c r="UAK238" s="2" t="n"/>
      <c r="UAL238" s="2" t="n"/>
      <c r="UAM238" s="2" t="n"/>
      <c r="UAN238" s="2" t="n"/>
      <c r="UAO238" s="2" t="n"/>
      <c r="UAP238" s="2" t="n"/>
      <c r="UAQ238" s="2" t="n"/>
      <c r="UAR238" s="2" t="n"/>
      <c r="UAS238" s="2" t="n"/>
      <c r="UAT238" s="2" t="n"/>
      <c r="UAU238" s="2" t="n"/>
      <c r="UAV238" s="2" t="n"/>
      <c r="UAW238" s="2" t="n"/>
      <c r="UAX238" s="2" t="n"/>
      <c r="UAY238" s="2" t="n"/>
      <c r="UAZ238" s="2" t="n"/>
      <c r="UBA238" s="2" t="n"/>
      <c r="UBB238" s="2" t="n"/>
      <c r="UBC238" s="2" t="n"/>
      <c r="UBD238" s="2" t="n"/>
      <c r="UBE238" s="2" t="n"/>
      <c r="UBF238" s="2" t="n"/>
      <c r="UBG238" s="2" t="n"/>
      <c r="UBH238" s="2" t="n"/>
      <c r="UBI238" s="2" t="n"/>
      <c r="UBJ238" s="2" t="n"/>
      <c r="UBK238" s="2" t="n"/>
      <c r="UBL238" s="2" t="n"/>
      <c r="UBM238" s="2" t="n"/>
      <c r="UBN238" s="2" t="n"/>
      <c r="UBO238" s="2" t="n"/>
      <c r="UBP238" s="2" t="n"/>
      <c r="UBQ238" s="2" t="n"/>
      <c r="UBR238" s="2" t="n"/>
      <c r="UBS238" s="2" t="n"/>
      <c r="UBT238" s="2" t="n"/>
      <c r="UBU238" s="2" t="n"/>
      <c r="UBV238" s="2" t="n"/>
      <c r="UBW238" s="2" t="n"/>
      <c r="UBX238" s="2" t="n"/>
      <c r="UBY238" s="2" t="n"/>
      <c r="UBZ238" s="2" t="n"/>
      <c r="UCA238" s="2" t="n"/>
      <c r="UCB238" s="2" t="n"/>
      <c r="UCC238" s="2" t="n"/>
      <c r="UCD238" s="2" t="n"/>
      <c r="UCE238" s="2" t="n"/>
      <c r="UCF238" s="2" t="n"/>
      <c r="UCG238" s="2" t="n"/>
      <c r="UCH238" s="2" t="n"/>
      <c r="UCI238" s="2" t="n"/>
      <c r="UCJ238" s="2" t="n"/>
      <c r="UCK238" s="2" t="n"/>
      <c r="UCL238" s="2" t="n"/>
      <c r="UCM238" s="2" t="n"/>
      <c r="UCN238" s="2" t="n"/>
      <c r="UCO238" s="2" t="n"/>
      <c r="UCP238" s="2" t="n"/>
      <c r="UCQ238" s="2" t="n"/>
      <c r="UCR238" s="2" t="n"/>
      <c r="UCS238" s="2" t="n"/>
      <c r="UCT238" s="2" t="n"/>
      <c r="UCU238" s="2" t="n"/>
      <c r="UCV238" s="2" t="n"/>
      <c r="UCW238" s="2" t="n"/>
      <c r="UCX238" s="2" t="n"/>
      <c r="UCY238" s="2" t="n"/>
      <c r="UCZ238" s="2" t="n"/>
      <c r="UDA238" s="2" t="n"/>
      <c r="UDB238" s="2" t="n"/>
      <c r="UDC238" s="2" t="n"/>
      <c r="UDD238" s="2" t="n"/>
      <c r="UDE238" s="2" t="n"/>
      <c r="UDF238" s="2" t="n"/>
      <c r="UDG238" s="2" t="n"/>
      <c r="UDH238" s="2" t="n"/>
      <c r="UDI238" s="2" t="n"/>
      <c r="UDJ238" s="2" t="n"/>
      <c r="UDK238" s="2" t="n"/>
      <c r="UDL238" s="2" t="n"/>
      <c r="UDM238" s="2" t="n"/>
      <c r="UDN238" s="2" t="n"/>
      <c r="UDO238" s="2" t="n"/>
      <c r="UDP238" s="2" t="n"/>
      <c r="UDQ238" s="2" t="n"/>
      <c r="UDR238" s="2" t="n"/>
      <c r="UDS238" s="2" t="n"/>
      <c r="UDT238" s="2" t="n"/>
      <c r="UDU238" s="2" t="n"/>
      <c r="UDV238" s="2" t="n"/>
      <c r="UDW238" s="2" t="n"/>
      <c r="UDX238" s="2" t="n"/>
      <c r="UDY238" s="2" t="n"/>
      <c r="UDZ238" s="2" t="n"/>
      <c r="UEA238" s="2" t="n"/>
      <c r="UEB238" s="2" t="n"/>
      <c r="UEC238" s="2" t="n"/>
      <c r="UED238" s="2" t="n"/>
      <c r="UEE238" s="2" t="n"/>
      <c r="UEF238" s="2" t="n"/>
      <c r="UEG238" s="2" t="n"/>
      <c r="UEH238" s="2" t="n"/>
      <c r="UEI238" s="2" t="n"/>
      <c r="UEJ238" s="2" t="n"/>
      <c r="UEK238" s="2" t="n"/>
      <c r="UEL238" s="2" t="n"/>
      <c r="UEM238" s="2" t="n"/>
      <c r="UEN238" s="2" t="n"/>
      <c r="UEO238" s="2" t="n"/>
      <c r="UEP238" s="2" t="n"/>
      <c r="UEQ238" s="2" t="n"/>
      <c r="UER238" s="2" t="n"/>
      <c r="UES238" s="2" t="n"/>
      <c r="UET238" s="2" t="n"/>
      <c r="UEU238" s="2" t="n"/>
      <c r="UEV238" s="2" t="n"/>
      <c r="UEW238" s="2" t="n"/>
      <c r="UEX238" s="2" t="n"/>
      <c r="UEY238" s="2" t="n"/>
      <c r="UEZ238" s="2" t="n"/>
      <c r="UFA238" s="2" t="n"/>
      <c r="UFB238" s="2" t="n"/>
      <c r="UFC238" s="2" t="n"/>
      <c r="UFD238" s="2" t="n"/>
      <c r="UFE238" s="2" t="n"/>
      <c r="UFF238" s="2" t="n"/>
      <c r="UFG238" s="2" t="n"/>
      <c r="UFH238" s="2" t="n"/>
      <c r="UFI238" s="2" t="n"/>
      <c r="UFJ238" s="2" t="n"/>
      <c r="UFK238" s="2" t="n"/>
      <c r="UFL238" s="2" t="n"/>
      <c r="UFM238" s="2" t="n"/>
      <c r="UFN238" s="2" t="n"/>
      <c r="UFO238" s="2" t="n"/>
      <c r="UFP238" s="2" t="n"/>
      <c r="UFQ238" s="2" t="n"/>
      <c r="UFR238" s="2" t="n"/>
      <c r="UFS238" s="2" t="n"/>
      <c r="UFT238" s="2" t="n"/>
      <c r="UFU238" s="2" t="n"/>
      <c r="UFV238" s="2" t="n"/>
      <c r="UFW238" s="2" t="n"/>
      <c r="UFX238" s="2" t="n"/>
      <c r="UFY238" s="2" t="n"/>
      <c r="UFZ238" s="2" t="n"/>
      <c r="UGA238" s="2" t="n"/>
      <c r="UGB238" s="2" t="n"/>
      <c r="UGC238" s="2" t="n"/>
      <c r="UGD238" s="2" t="n"/>
      <c r="UGE238" s="2" t="n"/>
      <c r="UGF238" s="2" t="n"/>
      <c r="UGG238" s="2" t="n"/>
      <c r="UGH238" s="2" t="n"/>
      <c r="UGI238" s="2" t="n"/>
      <c r="UGJ238" s="2" t="n"/>
      <c r="UGK238" s="2" t="n"/>
      <c r="UGL238" s="2" t="n"/>
      <c r="UGM238" s="2" t="n"/>
      <c r="UGN238" s="2" t="n"/>
      <c r="UGO238" s="2" t="n"/>
      <c r="UGP238" s="2" t="n"/>
      <c r="UGQ238" s="2" t="n"/>
      <c r="UGR238" s="2" t="n"/>
      <c r="UGS238" s="2" t="n"/>
      <c r="UGT238" s="2" t="n"/>
      <c r="UGU238" s="2" t="n"/>
      <c r="UGV238" s="2" t="n"/>
      <c r="UGW238" s="2" t="n"/>
      <c r="UGX238" s="2" t="n"/>
      <c r="UGY238" s="2" t="n"/>
      <c r="UGZ238" s="2" t="n"/>
      <c r="UHA238" s="2" t="n"/>
      <c r="UHB238" s="2" t="n"/>
      <c r="UHC238" s="2" t="n"/>
      <c r="UHD238" s="2" t="n"/>
      <c r="UHE238" s="2" t="n"/>
      <c r="UHF238" s="2" t="n"/>
      <c r="UHG238" s="2" t="n"/>
      <c r="UHH238" s="2" t="n"/>
      <c r="UHI238" s="2" t="n"/>
      <c r="UHJ238" s="2" t="n"/>
      <c r="UHK238" s="2" t="n"/>
      <c r="UHL238" s="2" t="n"/>
      <c r="UHM238" s="2" t="n"/>
      <c r="UHN238" s="2" t="n"/>
      <c r="UHO238" s="2" t="n"/>
      <c r="UHP238" s="2" t="n"/>
      <c r="UHQ238" s="2" t="n"/>
      <c r="UHR238" s="2" t="n"/>
      <c r="UHS238" s="2" t="n"/>
      <c r="UHT238" s="2" t="n"/>
      <c r="UHU238" s="2" t="n"/>
      <c r="UHV238" s="2" t="n"/>
      <c r="UHW238" s="2" t="n"/>
      <c r="UHX238" s="2" t="n"/>
      <c r="UHY238" s="2" t="n"/>
      <c r="UHZ238" s="2" t="n"/>
      <c r="UIA238" s="2" t="n"/>
      <c r="UIB238" s="2" t="n"/>
      <c r="UIC238" s="2" t="n"/>
      <c r="UID238" s="2" t="n"/>
      <c r="UIE238" s="2" t="n"/>
      <c r="UIF238" s="2" t="n"/>
      <c r="UIG238" s="2" t="n"/>
      <c r="UIH238" s="2" t="n"/>
      <c r="UII238" s="2" t="n"/>
      <c r="UIJ238" s="2" t="n"/>
      <c r="UIK238" s="2" t="n"/>
      <c r="UIL238" s="2" t="n"/>
      <c r="UIM238" s="2" t="n"/>
      <c r="UIN238" s="2" t="n"/>
      <c r="UIO238" s="2" t="n"/>
      <c r="UIP238" s="2" t="n"/>
      <c r="UIQ238" s="2" t="n"/>
      <c r="UIR238" s="2" t="n"/>
      <c r="UIS238" s="2" t="n"/>
      <c r="UIT238" s="2" t="n"/>
      <c r="UIU238" s="2" t="n"/>
      <c r="UIV238" s="2" t="n"/>
      <c r="UIW238" s="2" t="n"/>
      <c r="UIX238" s="2" t="n"/>
      <c r="UIY238" s="2" t="n"/>
      <c r="UIZ238" s="2" t="n"/>
      <c r="UJA238" s="2" t="n"/>
      <c r="UJB238" s="2" t="n"/>
      <c r="UJC238" s="2" t="n"/>
      <c r="UJD238" s="2" t="n"/>
      <c r="UJE238" s="2" t="n"/>
      <c r="UJF238" s="2" t="n"/>
      <c r="UJG238" s="2" t="n"/>
      <c r="UJH238" s="2" t="n"/>
      <c r="UJI238" s="2" t="n"/>
      <c r="UJJ238" s="2" t="n"/>
      <c r="UJK238" s="2" t="n"/>
      <c r="UJL238" s="2" t="n"/>
      <c r="UJM238" s="2" t="n"/>
      <c r="UJN238" s="2" t="n"/>
      <c r="UJO238" s="2" t="n"/>
      <c r="UJP238" s="2" t="n"/>
      <c r="UJQ238" s="2" t="n"/>
      <c r="UJR238" s="2" t="n"/>
      <c r="UJS238" s="2" t="n"/>
      <c r="UJT238" s="2" t="n"/>
      <c r="UJU238" s="2" t="n"/>
      <c r="UJV238" s="2" t="n"/>
      <c r="UJW238" s="2" t="n"/>
      <c r="UJX238" s="2" t="n"/>
      <c r="UJY238" s="2" t="n"/>
      <c r="UJZ238" s="2" t="n"/>
      <c r="UKA238" s="2" t="n"/>
      <c r="UKB238" s="2" t="n"/>
      <c r="UKC238" s="2" t="n"/>
      <c r="UKD238" s="2" t="n"/>
      <c r="UKE238" s="2" t="n"/>
      <c r="UKF238" s="2" t="n"/>
      <c r="UKG238" s="2" t="n"/>
      <c r="UKH238" s="2" t="n"/>
      <c r="UKI238" s="2" t="n"/>
      <c r="UKJ238" s="2" t="n"/>
      <c r="UKK238" s="2" t="n"/>
      <c r="UKL238" s="2" t="n"/>
      <c r="UKM238" s="2" t="n"/>
      <c r="UKN238" s="2" t="n"/>
      <c r="UKO238" s="2" t="n"/>
      <c r="UKP238" s="2" t="n"/>
      <c r="UKQ238" s="2" t="n"/>
      <c r="UKR238" s="2" t="n"/>
      <c r="UKS238" s="2" t="n"/>
      <c r="UKT238" s="2" t="n"/>
      <c r="UKU238" s="2" t="n"/>
      <c r="UKV238" s="2" t="n"/>
      <c r="UKW238" s="2" t="n"/>
      <c r="UKX238" s="2" t="n"/>
      <c r="UKY238" s="2" t="n"/>
      <c r="UKZ238" s="2" t="n"/>
      <c r="ULA238" s="2" t="n"/>
      <c r="ULB238" s="2" t="n"/>
      <c r="ULC238" s="2" t="n"/>
      <c r="ULD238" s="2" t="n"/>
      <c r="ULE238" s="2" t="n"/>
      <c r="ULF238" s="2" t="n"/>
      <c r="ULG238" s="2" t="n"/>
      <c r="ULH238" s="2" t="n"/>
      <c r="ULI238" s="2" t="n"/>
      <c r="ULJ238" s="2" t="n"/>
      <c r="ULK238" s="2" t="n"/>
      <c r="ULL238" s="2" t="n"/>
      <c r="ULM238" s="2" t="n"/>
      <c r="ULN238" s="2" t="n"/>
      <c r="ULO238" s="2" t="n"/>
      <c r="ULP238" s="2" t="n"/>
      <c r="ULQ238" s="2" t="n"/>
      <c r="ULR238" s="2" t="n"/>
      <c r="ULS238" s="2" t="n"/>
      <c r="ULT238" s="2" t="n"/>
      <c r="ULU238" s="2" t="n"/>
      <c r="ULV238" s="2" t="n"/>
      <c r="ULW238" s="2" t="n"/>
      <c r="ULX238" s="2" t="n"/>
      <c r="ULY238" s="2" t="n"/>
      <c r="ULZ238" s="2" t="n"/>
      <c r="UMA238" s="2" t="n"/>
      <c r="UMB238" s="2" t="n"/>
      <c r="UMC238" s="2" t="n"/>
      <c r="UMD238" s="2" t="n"/>
      <c r="UME238" s="2" t="n"/>
      <c r="UMF238" s="2" t="n"/>
      <c r="UMG238" s="2" t="n"/>
      <c r="UMH238" s="2" t="n"/>
      <c r="UMI238" s="2" t="n"/>
      <c r="UMJ238" s="2" t="n"/>
      <c r="UMK238" s="2" t="n"/>
      <c r="UML238" s="2" t="n"/>
      <c r="UMM238" s="2" t="n"/>
      <c r="UMN238" s="2" t="n"/>
      <c r="UMO238" s="2" t="n"/>
      <c r="UMP238" s="2" t="n"/>
      <c r="UMQ238" s="2" t="n"/>
      <c r="UMR238" s="2" t="n"/>
      <c r="UMS238" s="2" t="n"/>
      <c r="UMT238" s="2" t="n"/>
      <c r="UMU238" s="2" t="n"/>
      <c r="UMV238" s="2" t="n"/>
      <c r="UMW238" s="2" t="n"/>
      <c r="UMX238" s="2" t="n"/>
      <c r="UMY238" s="2" t="n"/>
      <c r="UMZ238" s="2" t="n"/>
      <c r="UNA238" s="2" t="n"/>
      <c r="UNB238" s="2" t="n"/>
      <c r="UNC238" s="2" t="n"/>
      <c r="UND238" s="2" t="n"/>
      <c r="UNE238" s="2" t="n"/>
      <c r="UNF238" s="2" t="n"/>
      <c r="UNG238" s="2" t="n"/>
      <c r="UNH238" s="2" t="n"/>
      <c r="UNI238" s="2" t="n"/>
      <c r="UNJ238" s="2" t="n"/>
      <c r="UNK238" s="2" t="n"/>
      <c r="UNL238" s="2" t="n"/>
      <c r="UNM238" s="2" t="n"/>
      <c r="UNN238" s="2" t="n"/>
      <c r="UNO238" s="2" t="n"/>
      <c r="UNP238" s="2" t="n"/>
      <c r="UNQ238" s="2" t="n"/>
      <c r="UNR238" s="2" t="n"/>
      <c r="UNS238" s="2" t="n"/>
      <c r="UNT238" s="2" t="n"/>
      <c r="UNU238" s="2" t="n"/>
      <c r="UNV238" s="2" t="n"/>
      <c r="UNW238" s="2" t="n"/>
      <c r="UNX238" s="2" t="n"/>
      <c r="UNY238" s="2" t="n"/>
      <c r="UNZ238" s="2" t="n"/>
      <c r="UOA238" s="2" t="n"/>
      <c r="UOB238" s="2" t="n"/>
      <c r="UOC238" s="2" t="n"/>
      <c r="UOD238" s="2" t="n"/>
      <c r="UOE238" s="2" t="n"/>
      <c r="UOF238" s="2" t="n"/>
      <c r="UOG238" s="2" t="n"/>
      <c r="UOH238" s="2" t="n"/>
      <c r="UOI238" s="2" t="n"/>
      <c r="UOJ238" s="2" t="n"/>
      <c r="UOK238" s="2" t="n"/>
      <c r="UOL238" s="2" t="n"/>
      <c r="UOM238" s="2" t="n"/>
      <c r="UON238" s="2" t="n"/>
      <c r="UOO238" s="2" t="n"/>
      <c r="UOP238" s="2" t="n"/>
      <c r="UOQ238" s="2" t="n"/>
      <c r="UOR238" s="2" t="n"/>
      <c r="UOS238" s="2" t="n"/>
      <c r="UOT238" s="2" t="n"/>
      <c r="UOU238" s="2" t="n"/>
      <c r="UOV238" s="2" t="n"/>
      <c r="UOW238" s="2" t="n"/>
      <c r="UOX238" s="2" t="n"/>
      <c r="UOY238" s="2" t="n"/>
      <c r="UOZ238" s="2" t="n"/>
      <c r="UPA238" s="2" t="n"/>
      <c r="UPB238" s="2" t="n"/>
      <c r="UPC238" s="2" t="n"/>
      <c r="UPD238" s="2" t="n"/>
      <c r="UPE238" s="2" t="n"/>
      <c r="UPF238" s="2" t="n"/>
      <c r="UPG238" s="2" t="n"/>
      <c r="UPH238" s="2" t="n"/>
      <c r="UPI238" s="2" t="n"/>
      <c r="UPJ238" s="2" t="n"/>
      <c r="UPK238" s="2" t="n"/>
      <c r="UPL238" s="2" t="n"/>
      <c r="UPM238" s="2" t="n"/>
      <c r="UPN238" s="2" t="n"/>
      <c r="UPO238" s="2" t="n"/>
      <c r="UPP238" s="2" t="n"/>
      <c r="UPQ238" s="2" t="n"/>
      <c r="UPR238" s="2" t="n"/>
      <c r="UPS238" s="2" t="n"/>
      <c r="UPT238" s="2" t="n"/>
      <c r="UPU238" s="2" t="n"/>
      <c r="UPV238" s="2" t="n"/>
      <c r="UPW238" s="2" t="n"/>
      <c r="UPX238" s="2" t="n"/>
      <c r="UPY238" s="2" t="n"/>
      <c r="UPZ238" s="2" t="n"/>
      <c r="UQA238" s="2" t="n"/>
      <c r="UQB238" s="2" t="n"/>
      <c r="UQC238" s="2" t="n"/>
      <c r="UQD238" s="2" t="n"/>
      <c r="UQE238" s="2" t="n"/>
      <c r="UQF238" s="2" t="n"/>
      <c r="UQG238" s="2" t="n"/>
      <c r="UQH238" s="2" t="n"/>
      <c r="UQI238" s="2" t="n"/>
      <c r="UQJ238" s="2" t="n"/>
      <c r="UQK238" s="2" t="n"/>
      <c r="UQL238" s="2" t="n"/>
      <c r="UQM238" s="2" t="n"/>
      <c r="UQN238" s="2" t="n"/>
      <c r="UQO238" s="2" t="n"/>
      <c r="UQP238" s="2" t="n"/>
      <c r="UQQ238" s="2" t="n"/>
      <c r="UQR238" s="2" t="n"/>
      <c r="UQS238" s="2" t="n"/>
      <c r="UQT238" s="2" t="n"/>
      <c r="UQU238" s="2" t="n"/>
      <c r="UQV238" s="2" t="n"/>
      <c r="UQW238" s="2" t="n"/>
      <c r="UQX238" s="2" t="n"/>
      <c r="UQY238" s="2" t="n"/>
      <c r="UQZ238" s="2" t="n"/>
      <c r="URA238" s="2" t="n"/>
      <c r="URB238" s="2" t="n"/>
      <c r="URC238" s="2" t="n"/>
      <c r="URD238" s="2" t="n"/>
      <c r="URE238" s="2" t="n"/>
      <c r="URF238" s="2" t="n"/>
      <c r="URG238" s="2" t="n"/>
      <c r="URH238" s="2" t="n"/>
      <c r="URI238" s="2" t="n"/>
      <c r="URJ238" s="2" t="n"/>
      <c r="URK238" s="2" t="n"/>
      <c r="URL238" s="2" t="n"/>
      <c r="URM238" s="2" t="n"/>
      <c r="URN238" s="2" t="n"/>
      <c r="URO238" s="2" t="n"/>
      <c r="URP238" s="2" t="n"/>
      <c r="URQ238" s="2" t="n"/>
      <c r="URR238" s="2" t="n"/>
      <c r="URS238" s="2" t="n"/>
      <c r="URT238" s="2" t="n"/>
      <c r="URU238" s="2" t="n"/>
      <c r="URV238" s="2" t="n"/>
      <c r="URW238" s="2" t="n"/>
      <c r="URX238" s="2" t="n"/>
      <c r="URY238" s="2" t="n"/>
      <c r="URZ238" s="2" t="n"/>
      <c r="USA238" s="2" t="n"/>
      <c r="USB238" s="2" t="n"/>
      <c r="USC238" s="2" t="n"/>
      <c r="USD238" s="2" t="n"/>
      <c r="USE238" s="2" t="n"/>
      <c r="USF238" s="2" t="n"/>
      <c r="USG238" s="2" t="n"/>
      <c r="USH238" s="2" t="n"/>
      <c r="USI238" s="2" t="n"/>
      <c r="USJ238" s="2" t="n"/>
      <c r="USK238" s="2" t="n"/>
      <c r="USL238" s="2" t="n"/>
      <c r="USM238" s="2" t="n"/>
      <c r="USN238" s="2" t="n"/>
      <c r="USO238" s="2" t="n"/>
      <c r="USP238" s="2" t="n"/>
      <c r="USQ238" s="2" t="n"/>
      <c r="USR238" s="2" t="n"/>
      <c r="USS238" s="2" t="n"/>
      <c r="UST238" s="2" t="n"/>
      <c r="USU238" s="2" t="n"/>
      <c r="USV238" s="2" t="n"/>
      <c r="USW238" s="2" t="n"/>
      <c r="USX238" s="2" t="n"/>
      <c r="USY238" s="2" t="n"/>
      <c r="USZ238" s="2" t="n"/>
      <c r="UTA238" s="2" t="n"/>
      <c r="UTB238" s="2" t="n"/>
      <c r="UTC238" s="2" t="n"/>
      <c r="UTD238" s="2" t="n"/>
      <c r="UTE238" s="2" t="n"/>
      <c r="UTF238" s="2" t="n"/>
      <c r="UTG238" s="2" t="n"/>
      <c r="UTH238" s="2" t="n"/>
      <c r="UTI238" s="2" t="n"/>
      <c r="UTJ238" s="2" t="n"/>
      <c r="UTK238" s="2" t="n"/>
      <c r="UTL238" s="2" t="n"/>
      <c r="UTM238" s="2" t="n"/>
      <c r="UTN238" s="2" t="n"/>
      <c r="UTO238" s="2" t="n"/>
      <c r="UTP238" s="2" t="n"/>
      <c r="UTQ238" s="2" t="n"/>
      <c r="UTR238" s="2" t="n"/>
      <c r="UTS238" s="2" t="n"/>
      <c r="UTT238" s="2" t="n"/>
      <c r="UTU238" s="2" t="n"/>
      <c r="UTV238" s="2" t="n"/>
      <c r="UTW238" s="2" t="n"/>
      <c r="UTX238" s="2" t="n"/>
      <c r="UTY238" s="2" t="n"/>
      <c r="UTZ238" s="2" t="n"/>
      <c r="UUA238" s="2" t="n"/>
      <c r="UUB238" s="2" t="n"/>
      <c r="UUC238" s="2" t="n"/>
      <c r="UUD238" s="2" t="n"/>
      <c r="UUE238" s="2" t="n"/>
      <c r="UUF238" s="2" t="n"/>
      <c r="UUG238" s="2" t="n"/>
      <c r="UUH238" s="2" t="n"/>
      <c r="UUI238" s="2" t="n"/>
      <c r="UUJ238" s="2" t="n"/>
      <c r="UUK238" s="2" t="n"/>
      <c r="UUL238" s="2" t="n"/>
      <c r="UUM238" s="2" t="n"/>
      <c r="UUN238" s="2" t="n"/>
      <c r="UUO238" s="2" t="n"/>
      <c r="UUP238" s="2" t="n"/>
      <c r="UUQ238" s="2" t="n"/>
      <c r="UUR238" s="2" t="n"/>
      <c r="UUS238" s="2" t="n"/>
      <c r="UUT238" s="2" t="n"/>
      <c r="UUU238" s="2" t="n"/>
      <c r="UUV238" s="2" t="n"/>
      <c r="UUW238" s="2" t="n"/>
      <c r="UUX238" s="2" t="n"/>
      <c r="UUY238" s="2" t="n"/>
      <c r="UUZ238" s="2" t="n"/>
      <c r="UVA238" s="2" t="n"/>
      <c r="UVB238" s="2" t="n"/>
      <c r="UVC238" s="2" t="n"/>
      <c r="UVD238" s="2" t="n"/>
      <c r="UVE238" s="2" t="n"/>
      <c r="UVF238" s="2" t="n"/>
      <c r="UVG238" s="2" t="n"/>
      <c r="UVH238" s="2" t="n"/>
      <c r="UVI238" s="2" t="n"/>
      <c r="UVJ238" s="2" t="n"/>
      <c r="UVK238" s="2" t="n"/>
      <c r="UVL238" s="2" t="n"/>
      <c r="UVM238" s="2" t="n"/>
      <c r="UVN238" s="2" t="n"/>
      <c r="UVO238" s="2" t="n"/>
      <c r="UVP238" s="2" t="n"/>
      <c r="UVQ238" s="2" t="n"/>
      <c r="UVR238" s="2" t="n"/>
      <c r="UVS238" s="2" t="n"/>
      <c r="UVT238" s="2" t="n"/>
      <c r="UVU238" s="2" t="n"/>
      <c r="UVV238" s="2" t="n"/>
      <c r="UVW238" s="2" t="n"/>
      <c r="UVX238" s="2" t="n"/>
      <c r="UVY238" s="2" t="n"/>
      <c r="UVZ238" s="2" t="n"/>
      <c r="UWA238" s="2" t="n"/>
      <c r="UWB238" s="2" t="n"/>
      <c r="UWC238" s="2" t="n"/>
      <c r="UWD238" s="2" t="n"/>
      <c r="UWE238" s="2" t="n"/>
      <c r="UWF238" s="2" t="n"/>
      <c r="UWG238" s="2" t="n"/>
      <c r="UWH238" s="2" t="n"/>
      <c r="UWI238" s="2" t="n"/>
      <c r="UWJ238" s="2" t="n"/>
      <c r="UWK238" s="2" t="n"/>
      <c r="UWL238" s="2" t="n"/>
      <c r="UWM238" s="2" t="n"/>
      <c r="UWN238" s="2" t="n"/>
      <c r="UWO238" s="2" t="n"/>
      <c r="UWP238" s="2" t="n"/>
      <c r="UWQ238" s="2" t="n"/>
      <c r="UWR238" s="2" t="n"/>
      <c r="UWS238" s="2" t="n"/>
      <c r="UWT238" s="2" t="n"/>
      <c r="UWU238" s="2" t="n"/>
      <c r="UWV238" s="2" t="n"/>
      <c r="UWW238" s="2" t="n"/>
      <c r="UWX238" s="2" t="n"/>
      <c r="UWY238" s="2" t="n"/>
      <c r="UWZ238" s="2" t="n"/>
      <c r="UXA238" s="2" t="n"/>
      <c r="UXB238" s="2" t="n"/>
      <c r="UXC238" s="2" t="n"/>
      <c r="UXD238" s="2" t="n"/>
      <c r="UXE238" s="2" t="n"/>
      <c r="UXF238" s="2" t="n"/>
      <c r="UXG238" s="2" t="n"/>
      <c r="UXH238" s="2" t="n"/>
      <c r="UXI238" s="2" t="n"/>
      <c r="UXJ238" s="2" t="n"/>
      <c r="UXK238" s="2" t="n"/>
      <c r="UXL238" s="2" t="n"/>
      <c r="UXM238" s="2" t="n"/>
      <c r="UXN238" s="2" t="n"/>
      <c r="UXO238" s="2" t="n"/>
      <c r="UXP238" s="2" t="n"/>
      <c r="UXQ238" s="2" t="n"/>
      <c r="UXR238" s="2" t="n"/>
      <c r="UXS238" s="2" t="n"/>
      <c r="UXT238" s="2" t="n"/>
      <c r="UXU238" s="2" t="n"/>
      <c r="UXV238" s="2" t="n"/>
      <c r="UXW238" s="2" t="n"/>
      <c r="UXX238" s="2" t="n"/>
      <c r="UXY238" s="2" t="n"/>
      <c r="UXZ238" s="2" t="n"/>
      <c r="UYA238" s="2" t="n"/>
      <c r="UYB238" s="2" t="n"/>
      <c r="UYC238" s="2" t="n"/>
      <c r="UYD238" s="2" t="n"/>
      <c r="UYE238" s="2" t="n"/>
      <c r="UYF238" s="2" t="n"/>
      <c r="UYG238" s="2" t="n"/>
      <c r="UYH238" s="2" t="n"/>
      <c r="UYI238" s="2" t="n"/>
      <c r="UYJ238" s="2" t="n"/>
      <c r="UYK238" s="2" t="n"/>
      <c r="UYL238" s="2" t="n"/>
      <c r="UYM238" s="2" t="n"/>
      <c r="UYN238" s="2" t="n"/>
      <c r="UYO238" s="2" t="n"/>
      <c r="UYP238" s="2" t="n"/>
      <c r="UYQ238" s="2" t="n"/>
      <c r="UYR238" s="2" t="n"/>
      <c r="UYS238" s="2" t="n"/>
      <c r="UYT238" s="2" t="n"/>
      <c r="UYU238" s="2" t="n"/>
      <c r="UYV238" s="2" t="n"/>
      <c r="UYW238" s="2" t="n"/>
      <c r="UYX238" s="2" t="n"/>
      <c r="UYY238" s="2" t="n"/>
      <c r="UYZ238" s="2" t="n"/>
      <c r="UZA238" s="2" t="n"/>
      <c r="UZB238" s="2" t="n"/>
      <c r="UZC238" s="2" t="n"/>
      <c r="UZD238" s="2" t="n"/>
      <c r="UZE238" s="2" t="n"/>
      <c r="UZF238" s="2" t="n"/>
      <c r="UZG238" s="2" t="n"/>
      <c r="UZH238" s="2" t="n"/>
      <c r="UZI238" s="2" t="n"/>
      <c r="UZJ238" s="2" t="n"/>
      <c r="UZK238" s="2" t="n"/>
      <c r="UZL238" s="2" t="n"/>
      <c r="UZM238" s="2" t="n"/>
      <c r="UZN238" s="2" t="n"/>
      <c r="UZO238" s="2" t="n"/>
      <c r="UZP238" s="2" t="n"/>
      <c r="UZQ238" s="2" t="n"/>
      <c r="UZR238" s="2" t="n"/>
      <c r="UZS238" s="2" t="n"/>
      <c r="UZT238" s="2" t="n"/>
      <c r="UZU238" s="2" t="n"/>
      <c r="UZV238" s="2" t="n"/>
      <c r="UZW238" s="2" t="n"/>
      <c r="UZX238" s="2" t="n"/>
      <c r="UZY238" s="2" t="n"/>
      <c r="UZZ238" s="2" t="n"/>
      <c r="VAA238" s="2" t="n"/>
      <c r="VAB238" s="2" t="n"/>
      <c r="VAC238" s="2" t="n"/>
      <c r="VAD238" s="2" t="n"/>
      <c r="VAE238" s="2" t="n"/>
      <c r="VAF238" s="2" t="n"/>
      <c r="VAG238" s="2" t="n"/>
      <c r="VAH238" s="2" t="n"/>
      <c r="VAI238" s="2" t="n"/>
      <c r="VAJ238" s="2" t="n"/>
      <c r="VAK238" s="2" t="n"/>
      <c r="VAL238" s="2" t="n"/>
      <c r="VAM238" s="2" t="n"/>
      <c r="VAN238" s="2" t="n"/>
      <c r="VAO238" s="2" t="n"/>
      <c r="VAP238" s="2" t="n"/>
      <c r="VAQ238" s="2" t="n"/>
      <c r="VAR238" s="2" t="n"/>
      <c r="VAS238" s="2" t="n"/>
      <c r="VAT238" s="2" t="n"/>
      <c r="VAU238" s="2" t="n"/>
      <c r="VAV238" s="2" t="n"/>
      <c r="VAW238" s="2" t="n"/>
      <c r="VAX238" s="2" t="n"/>
      <c r="VAY238" s="2" t="n"/>
      <c r="VAZ238" s="2" t="n"/>
      <c r="VBA238" s="2" t="n"/>
      <c r="VBB238" s="2" t="n"/>
      <c r="VBC238" s="2" t="n"/>
      <c r="VBD238" s="2" t="n"/>
      <c r="VBE238" s="2" t="n"/>
      <c r="VBF238" s="2" t="n"/>
      <c r="VBG238" s="2" t="n"/>
      <c r="VBH238" s="2" t="n"/>
      <c r="VBI238" s="2" t="n"/>
      <c r="VBJ238" s="2" t="n"/>
      <c r="VBK238" s="2" t="n"/>
      <c r="VBL238" s="2" t="n"/>
      <c r="VBM238" s="2" t="n"/>
      <c r="VBN238" s="2" t="n"/>
      <c r="VBO238" s="2" t="n"/>
      <c r="VBP238" s="2" t="n"/>
      <c r="VBQ238" s="2" t="n"/>
      <c r="VBR238" s="2" t="n"/>
      <c r="VBS238" s="2" t="n"/>
      <c r="VBT238" s="2" t="n"/>
      <c r="VBU238" s="2" t="n"/>
      <c r="VBV238" s="2" t="n"/>
      <c r="VBW238" s="2" t="n"/>
      <c r="VBX238" s="2" t="n"/>
      <c r="VBY238" s="2" t="n"/>
      <c r="VBZ238" s="2" t="n"/>
      <c r="VCA238" s="2" t="n"/>
      <c r="VCB238" s="2" t="n"/>
      <c r="VCC238" s="2" t="n"/>
      <c r="VCD238" s="2" t="n"/>
      <c r="VCE238" s="2" t="n"/>
      <c r="VCF238" s="2" t="n"/>
      <c r="VCG238" s="2" t="n"/>
      <c r="VCH238" s="2" t="n"/>
      <c r="VCI238" s="2" t="n"/>
      <c r="VCJ238" s="2" t="n"/>
      <c r="VCK238" s="2" t="n"/>
      <c r="VCL238" s="2" t="n"/>
      <c r="VCM238" s="2" t="n"/>
      <c r="VCN238" s="2" t="n"/>
      <c r="VCO238" s="2" t="n"/>
      <c r="VCP238" s="2" t="n"/>
      <c r="VCQ238" s="2" t="n"/>
      <c r="VCR238" s="2" t="n"/>
      <c r="VCS238" s="2" t="n"/>
      <c r="VCT238" s="2" t="n"/>
      <c r="VCU238" s="2" t="n"/>
      <c r="VCV238" s="2" t="n"/>
      <c r="VCW238" s="2" t="n"/>
      <c r="VCX238" s="2" t="n"/>
      <c r="VCY238" s="2" t="n"/>
      <c r="VCZ238" s="2" t="n"/>
      <c r="VDA238" s="2" t="n"/>
      <c r="VDB238" s="2" t="n"/>
      <c r="VDC238" s="2" t="n"/>
      <c r="VDD238" s="2" t="n"/>
      <c r="VDE238" s="2" t="n"/>
      <c r="VDF238" s="2" t="n"/>
      <c r="VDG238" s="2" t="n"/>
      <c r="VDH238" s="2" t="n"/>
      <c r="VDI238" s="2" t="n"/>
      <c r="VDJ238" s="2" t="n"/>
      <c r="VDK238" s="2" t="n"/>
      <c r="VDL238" s="2" t="n"/>
      <c r="VDM238" s="2" t="n"/>
      <c r="VDN238" s="2" t="n"/>
      <c r="VDO238" s="2" t="n"/>
      <c r="VDP238" s="2" t="n"/>
      <c r="VDQ238" s="2" t="n"/>
      <c r="VDR238" s="2" t="n"/>
      <c r="VDS238" s="2" t="n"/>
      <c r="VDT238" s="2" t="n"/>
      <c r="VDU238" s="2" t="n"/>
      <c r="VDV238" s="2" t="n"/>
      <c r="VDW238" s="2" t="n"/>
      <c r="VDX238" s="2" t="n"/>
      <c r="VDY238" s="2" t="n"/>
      <c r="VDZ238" s="2" t="n"/>
      <c r="VEA238" s="2" t="n"/>
      <c r="VEB238" s="2" t="n"/>
      <c r="VEC238" s="2" t="n"/>
      <c r="VED238" s="2" t="n"/>
      <c r="VEE238" s="2" t="n"/>
      <c r="VEF238" s="2" t="n"/>
      <c r="VEG238" s="2" t="n"/>
      <c r="VEH238" s="2" t="n"/>
      <c r="VEI238" s="2" t="n"/>
      <c r="VEJ238" s="2" t="n"/>
      <c r="VEK238" s="2" t="n"/>
      <c r="VEL238" s="2" t="n"/>
      <c r="VEM238" s="2" t="n"/>
      <c r="VEN238" s="2" t="n"/>
      <c r="VEO238" s="2" t="n"/>
      <c r="VEP238" s="2" t="n"/>
      <c r="VEQ238" s="2" t="n"/>
      <c r="VER238" s="2" t="n"/>
      <c r="VES238" s="2" t="n"/>
      <c r="VET238" s="2" t="n"/>
      <c r="VEU238" s="2" t="n"/>
      <c r="VEV238" s="2" t="n"/>
      <c r="VEW238" s="2" t="n"/>
      <c r="VEX238" s="2" t="n"/>
      <c r="VEY238" s="2" t="n"/>
      <c r="VEZ238" s="2" t="n"/>
      <c r="VFA238" s="2" t="n"/>
      <c r="VFB238" s="2" t="n"/>
      <c r="VFC238" s="2" t="n"/>
      <c r="VFD238" s="2" t="n"/>
      <c r="VFE238" s="2" t="n"/>
      <c r="VFF238" s="2" t="n"/>
      <c r="VFG238" s="2" t="n"/>
      <c r="VFH238" s="2" t="n"/>
      <c r="VFI238" s="2" t="n"/>
      <c r="VFJ238" s="2" t="n"/>
      <c r="VFK238" s="2" t="n"/>
      <c r="VFL238" s="2" t="n"/>
      <c r="VFM238" s="2" t="n"/>
      <c r="VFN238" s="2" t="n"/>
      <c r="VFO238" s="2" t="n"/>
      <c r="VFP238" s="2" t="n"/>
      <c r="VFQ238" s="2" t="n"/>
      <c r="VFR238" s="2" t="n"/>
      <c r="VFS238" s="2" t="n"/>
      <c r="VFT238" s="2" t="n"/>
      <c r="VFU238" s="2" t="n"/>
      <c r="VFV238" s="2" t="n"/>
      <c r="VFW238" s="2" t="n"/>
      <c r="VFX238" s="2" t="n"/>
      <c r="VFY238" s="2" t="n"/>
      <c r="VFZ238" s="2" t="n"/>
      <c r="VGA238" s="2" t="n"/>
      <c r="VGB238" s="2" t="n"/>
      <c r="VGC238" s="2" t="n"/>
      <c r="VGD238" s="2" t="n"/>
      <c r="VGE238" s="2" t="n"/>
      <c r="VGF238" s="2" t="n"/>
      <c r="VGG238" s="2" t="n"/>
      <c r="VGH238" s="2" t="n"/>
      <c r="VGI238" s="2" t="n"/>
      <c r="VGJ238" s="2" t="n"/>
      <c r="VGK238" s="2" t="n"/>
      <c r="VGL238" s="2" t="n"/>
      <c r="VGM238" s="2" t="n"/>
      <c r="VGN238" s="2" t="n"/>
      <c r="VGO238" s="2" t="n"/>
      <c r="VGP238" s="2" t="n"/>
      <c r="VGQ238" s="2" t="n"/>
      <c r="VGR238" s="2" t="n"/>
      <c r="VGS238" s="2" t="n"/>
      <c r="VGT238" s="2" t="n"/>
      <c r="VGU238" s="2" t="n"/>
      <c r="VGV238" s="2" t="n"/>
      <c r="VGW238" s="2" t="n"/>
      <c r="VGX238" s="2" t="n"/>
      <c r="VGY238" s="2" t="n"/>
      <c r="VGZ238" s="2" t="n"/>
      <c r="VHA238" s="2" t="n"/>
      <c r="VHB238" s="2" t="n"/>
      <c r="VHC238" s="2" t="n"/>
      <c r="VHD238" s="2" t="n"/>
      <c r="VHE238" s="2" t="n"/>
      <c r="VHF238" s="2" t="n"/>
      <c r="VHG238" s="2" t="n"/>
      <c r="VHH238" s="2" t="n"/>
      <c r="VHI238" s="2" t="n"/>
      <c r="VHJ238" s="2" t="n"/>
      <c r="VHK238" s="2" t="n"/>
      <c r="VHL238" s="2" t="n"/>
      <c r="VHM238" s="2" t="n"/>
      <c r="VHN238" s="2" t="n"/>
      <c r="VHO238" s="2" t="n"/>
      <c r="VHP238" s="2" t="n"/>
      <c r="VHQ238" s="2" t="n"/>
      <c r="VHR238" s="2" t="n"/>
      <c r="VHS238" s="2" t="n"/>
      <c r="VHT238" s="2" t="n"/>
      <c r="VHU238" s="2" t="n"/>
      <c r="VHV238" s="2" t="n"/>
      <c r="VHW238" s="2" t="n"/>
      <c r="VHX238" s="2" t="n"/>
      <c r="VHY238" s="2" t="n"/>
      <c r="VHZ238" s="2" t="n"/>
      <c r="VIA238" s="2" t="n"/>
      <c r="VIB238" s="2" t="n"/>
      <c r="VIC238" s="2" t="n"/>
      <c r="VID238" s="2" t="n"/>
      <c r="VIE238" s="2" t="n"/>
      <c r="VIF238" s="2" t="n"/>
      <c r="VIG238" s="2" t="n"/>
      <c r="VIH238" s="2" t="n"/>
      <c r="VII238" s="2" t="n"/>
      <c r="VIJ238" s="2" t="n"/>
      <c r="VIK238" s="2" t="n"/>
      <c r="VIL238" s="2" t="n"/>
      <c r="VIM238" s="2" t="n"/>
      <c r="VIN238" s="2" t="n"/>
      <c r="VIO238" s="2" t="n"/>
      <c r="VIP238" s="2" t="n"/>
      <c r="VIQ238" s="2" t="n"/>
      <c r="VIR238" s="2" t="n"/>
      <c r="VIS238" s="2" t="n"/>
      <c r="VIT238" s="2" t="n"/>
      <c r="VIU238" s="2" t="n"/>
      <c r="VIV238" s="2" t="n"/>
      <c r="VIW238" s="2" t="n"/>
      <c r="VIX238" s="2" t="n"/>
      <c r="VIY238" s="2" t="n"/>
      <c r="VIZ238" s="2" t="n"/>
      <c r="VJA238" s="2" t="n"/>
      <c r="VJB238" s="2" t="n"/>
      <c r="VJC238" s="2" t="n"/>
      <c r="VJD238" s="2" t="n"/>
      <c r="VJE238" s="2" t="n"/>
      <c r="VJF238" s="2" t="n"/>
      <c r="VJG238" s="2" t="n"/>
      <c r="VJH238" s="2" t="n"/>
      <c r="VJI238" s="2" t="n"/>
      <c r="VJJ238" s="2" t="n"/>
      <c r="VJK238" s="2" t="n"/>
      <c r="VJL238" s="2" t="n"/>
      <c r="VJM238" s="2" t="n"/>
      <c r="VJN238" s="2" t="n"/>
      <c r="VJO238" s="2" t="n"/>
      <c r="VJP238" s="2" t="n"/>
      <c r="VJQ238" s="2" t="n"/>
      <c r="VJR238" s="2" t="n"/>
      <c r="VJS238" s="2" t="n"/>
      <c r="VJT238" s="2" t="n"/>
      <c r="VJU238" s="2" t="n"/>
      <c r="VJV238" s="2" t="n"/>
      <c r="VJW238" s="2" t="n"/>
      <c r="VJX238" s="2" t="n"/>
      <c r="VJY238" s="2" t="n"/>
      <c r="VJZ238" s="2" t="n"/>
      <c r="VKA238" s="2" t="n"/>
      <c r="VKB238" s="2" t="n"/>
      <c r="VKC238" s="2" t="n"/>
      <c r="VKD238" s="2" t="n"/>
      <c r="VKE238" s="2" t="n"/>
      <c r="VKF238" s="2" t="n"/>
      <c r="VKG238" s="2" t="n"/>
      <c r="VKH238" s="2" t="n"/>
      <c r="VKI238" s="2" t="n"/>
      <c r="VKJ238" s="2" t="n"/>
      <c r="VKK238" s="2" t="n"/>
      <c r="VKL238" s="2" t="n"/>
      <c r="VKM238" s="2" t="n"/>
      <c r="VKN238" s="2" t="n"/>
      <c r="VKO238" s="2" t="n"/>
      <c r="VKP238" s="2" t="n"/>
      <c r="VKQ238" s="2" t="n"/>
      <c r="VKR238" s="2" t="n"/>
      <c r="VKS238" s="2" t="n"/>
      <c r="VKT238" s="2" t="n"/>
      <c r="VKU238" s="2" t="n"/>
      <c r="VKV238" s="2" t="n"/>
      <c r="VKW238" s="2" t="n"/>
      <c r="VKX238" s="2" t="n"/>
      <c r="VKY238" s="2" t="n"/>
      <c r="VKZ238" s="2" t="n"/>
      <c r="VLA238" s="2" t="n"/>
      <c r="VLB238" s="2" t="n"/>
      <c r="VLC238" s="2" t="n"/>
      <c r="VLD238" s="2" t="n"/>
      <c r="VLE238" s="2" t="n"/>
      <c r="VLF238" s="2" t="n"/>
      <c r="VLG238" s="2" t="n"/>
      <c r="VLH238" s="2" t="n"/>
      <c r="VLI238" s="2" t="n"/>
      <c r="VLJ238" s="2" t="n"/>
      <c r="VLK238" s="2" t="n"/>
      <c r="VLL238" s="2" t="n"/>
      <c r="VLM238" s="2" t="n"/>
      <c r="VLN238" s="2" t="n"/>
      <c r="VLO238" s="2" t="n"/>
      <c r="VLP238" s="2" t="n"/>
      <c r="VLQ238" s="2" t="n"/>
      <c r="VLR238" s="2" t="n"/>
      <c r="VLS238" s="2" t="n"/>
      <c r="VLT238" s="2" t="n"/>
      <c r="VLU238" s="2" t="n"/>
      <c r="VLV238" s="2" t="n"/>
      <c r="VLW238" s="2" t="n"/>
      <c r="VLX238" s="2" t="n"/>
      <c r="VLY238" s="2" t="n"/>
      <c r="VLZ238" s="2" t="n"/>
      <c r="VMA238" s="2" t="n"/>
      <c r="VMB238" s="2" t="n"/>
      <c r="VMC238" s="2" t="n"/>
      <c r="VMD238" s="2" t="n"/>
      <c r="VME238" s="2" t="n"/>
      <c r="VMF238" s="2" t="n"/>
      <c r="VMG238" s="2" t="n"/>
      <c r="VMH238" s="2" t="n"/>
      <c r="VMI238" s="2" t="n"/>
      <c r="VMJ238" s="2" t="n"/>
      <c r="VMK238" s="2" t="n"/>
      <c r="VML238" s="2" t="n"/>
      <c r="VMM238" s="2" t="n"/>
      <c r="VMN238" s="2" t="n"/>
      <c r="VMO238" s="2" t="n"/>
      <c r="VMP238" s="2" t="n"/>
      <c r="VMQ238" s="2" t="n"/>
      <c r="VMR238" s="2" t="n"/>
      <c r="VMS238" s="2" t="n"/>
      <c r="VMT238" s="2" t="n"/>
      <c r="VMU238" s="2" t="n"/>
      <c r="VMV238" s="2" t="n"/>
      <c r="VMW238" s="2" t="n"/>
      <c r="VMX238" s="2" t="n"/>
      <c r="VMY238" s="2" t="n"/>
      <c r="VMZ238" s="2" t="n"/>
      <c r="VNA238" s="2" t="n"/>
      <c r="VNB238" s="2" t="n"/>
      <c r="VNC238" s="2" t="n"/>
      <c r="VND238" s="2" t="n"/>
      <c r="VNE238" s="2" t="n"/>
      <c r="VNF238" s="2" t="n"/>
      <c r="VNG238" s="2" t="n"/>
      <c r="VNH238" s="2" t="n"/>
      <c r="VNI238" s="2" t="n"/>
      <c r="VNJ238" s="2" t="n"/>
      <c r="VNK238" s="2" t="n"/>
      <c r="VNL238" s="2" t="n"/>
      <c r="VNM238" s="2" t="n"/>
      <c r="VNN238" s="2" t="n"/>
      <c r="VNO238" s="2" t="n"/>
      <c r="VNP238" s="2" t="n"/>
      <c r="VNQ238" s="2" t="n"/>
      <c r="VNR238" s="2" t="n"/>
      <c r="VNS238" s="2" t="n"/>
      <c r="VNT238" s="2" t="n"/>
      <c r="VNU238" s="2" t="n"/>
      <c r="VNV238" s="2" t="n"/>
      <c r="VNW238" s="2" t="n"/>
      <c r="VNX238" s="2" t="n"/>
      <c r="VNY238" s="2" t="n"/>
      <c r="VNZ238" s="2" t="n"/>
      <c r="VOA238" s="2" t="n"/>
      <c r="VOB238" s="2" t="n"/>
      <c r="VOC238" s="2" t="n"/>
      <c r="VOD238" s="2" t="n"/>
      <c r="VOE238" s="2" t="n"/>
      <c r="VOF238" s="2" t="n"/>
      <c r="VOG238" s="2" t="n"/>
      <c r="VOH238" s="2" t="n"/>
      <c r="VOI238" s="2" t="n"/>
      <c r="VOJ238" s="2" t="n"/>
      <c r="VOK238" s="2" t="n"/>
      <c r="VOL238" s="2" t="n"/>
      <c r="VOM238" s="2" t="n"/>
      <c r="VON238" s="2" t="n"/>
      <c r="VOO238" s="2" t="n"/>
      <c r="VOP238" s="2" t="n"/>
      <c r="VOQ238" s="2" t="n"/>
      <c r="VOR238" s="2" t="n"/>
      <c r="VOS238" s="2" t="n"/>
      <c r="VOT238" s="2" t="n"/>
      <c r="VOU238" s="2" t="n"/>
      <c r="VOV238" s="2" t="n"/>
      <c r="VOW238" s="2" t="n"/>
      <c r="VOX238" s="2" t="n"/>
      <c r="VOY238" s="2" t="n"/>
      <c r="VOZ238" s="2" t="n"/>
      <c r="VPA238" s="2" t="n"/>
      <c r="VPB238" s="2" t="n"/>
      <c r="VPC238" s="2" t="n"/>
      <c r="VPD238" s="2" t="n"/>
      <c r="VPE238" s="2" t="n"/>
      <c r="VPF238" s="2" t="n"/>
      <c r="VPG238" s="2" t="n"/>
      <c r="VPH238" s="2" t="n"/>
      <c r="VPI238" s="2" t="n"/>
      <c r="VPJ238" s="2" t="n"/>
      <c r="VPK238" s="2" t="n"/>
      <c r="VPL238" s="2" t="n"/>
      <c r="VPM238" s="2" t="n"/>
      <c r="VPN238" s="2" t="n"/>
      <c r="VPO238" s="2" t="n"/>
      <c r="VPP238" s="2" t="n"/>
      <c r="VPQ238" s="2" t="n"/>
      <c r="VPR238" s="2" t="n"/>
      <c r="VPS238" s="2" t="n"/>
      <c r="VPT238" s="2" t="n"/>
      <c r="VPU238" s="2" t="n"/>
      <c r="VPV238" s="2" t="n"/>
      <c r="VPW238" s="2" t="n"/>
      <c r="VPX238" s="2" t="n"/>
      <c r="VPY238" s="2" t="n"/>
      <c r="VPZ238" s="2" t="n"/>
      <c r="VQA238" s="2" t="n"/>
      <c r="VQB238" s="2" t="n"/>
      <c r="VQC238" s="2" t="n"/>
      <c r="VQD238" s="2" t="n"/>
      <c r="VQE238" s="2" t="n"/>
      <c r="VQF238" s="2" t="n"/>
      <c r="VQG238" s="2" t="n"/>
      <c r="VQH238" s="2" t="n"/>
      <c r="VQI238" s="2" t="n"/>
      <c r="VQJ238" s="2" t="n"/>
      <c r="VQK238" s="2" t="n"/>
      <c r="VQL238" s="2" t="n"/>
      <c r="VQM238" s="2" t="n"/>
      <c r="VQN238" s="2" t="n"/>
      <c r="VQO238" s="2" t="n"/>
      <c r="VQP238" s="2" t="n"/>
      <c r="VQQ238" s="2" t="n"/>
      <c r="VQR238" s="2" t="n"/>
      <c r="VQS238" s="2" t="n"/>
      <c r="VQT238" s="2" t="n"/>
      <c r="VQU238" s="2" t="n"/>
      <c r="VQV238" s="2" t="n"/>
      <c r="VQW238" s="2" t="n"/>
      <c r="VQX238" s="2" t="n"/>
      <c r="VQY238" s="2" t="n"/>
      <c r="VQZ238" s="2" t="n"/>
      <c r="VRA238" s="2" t="n"/>
      <c r="VRB238" s="2" t="n"/>
      <c r="VRC238" s="2" t="n"/>
      <c r="VRD238" s="2" t="n"/>
      <c r="VRE238" s="2" t="n"/>
      <c r="VRF238" s="2" t="n"/>
      <c r="VRG238" s="2" t="n"/>
      <c r="VRH238" s="2" t="n"/>
      <c r="VRI238" s="2" t="n"/>
      <c r="VRJ238" s="2" t="n"/>
      <c r="VRK238" s="2" t="n"/>
      <c r="VRL238" s="2" t="n"/>
      <c r="VRM238" s="2" t="n"/>
      <c r="VRN238" s="2" t="n"/>
      <c r="VRO238" s="2" t="n"/>
      <c r="VRP238" s="2" t="n"/>
      <c r="VRQ238" s="2" t="n"/>
      <c r="VRR238" s="2" t="n"/>
      <c r="VRS238" s="2" t="n"/>
      <c r="VRT238" s="2" t="n"/>
      <c r="VRU238" s="2" t="n"/>
      <c r="VRV238" s="2" t="n"/>
      <c r="VRW238" s="2" t="n"/>
      <c r="VRX238" s="2" t="n"/>
      <c r="VRY238" s="2" t="n"/>
      <c r="VRZ238" s="2" t="n"/>
      <c r="VSA238" s="2" t="n"/>
      <c r="VSB238" s="2" t="n"/>
      <c r="VSC238" s="2" t="n"/>
      <c r="VSD238" s="2" t="n"/>
      <c r="VSE238" s="2" t="n"/>
      <c r="VSF238" s="2" t="n"/>
      <c r="VSG238" s="2" t="n"/>
      <c r="VSH238" s="2" t="n"/>
      <c r="VSI238" s="2" t="n"/>
      <c r="VSJ238" s="2" t="n"/>
      <c r="VSK238" s="2" t="n"/>
      <c r="VSL238" s="2" t="n"/>
      <c r="VSM238" s="2" t="n"/>
      <c r="VSN238" s="2" t="n"/>
      <c r="VSO238" s="2" t="n"/>
      <c r="VSP238" s="2" t="n"/>
      <c r="VSQ238" s="2" t="n"/>
      <c r="VSR238" s="2" t="n"/>
      <c r="VSS238" s="2" t="n"/>
      <c r="VST238" s="2" t="n"/>
      <c r="VSU238" s="2" t="n"/>
      <c r="VSV238" s="2" t="n"/>
      <c r="VSW238" s="2" t="n"/>
      <c r="VSX238" s="2" t="n"/>
      <c r="VSY238" s="2" t="n"/>
      <c r="VSZ238" s="2" t="n"/>
      <c r="VTA238" s="2" t="n"/>
      <c r="VTB238" s="2" t="n"/>
      <c r="VTC238" s="2" t="n"/>
      <c r="VTD238" s="2" t="n"/>
      <c r="VTE238" s="2" t="n"/>
      <c r="VTF238" s="2" t="n"/>
      <c r="VTG238" s="2" t="n"/>
      <c r="VTH238" s="2" t="n"/>
      <c r="VTI238" s="2" t="n"/>
      <c r="VTJ238" s="2" t="n"/>
      <c r="VTK238" s="2" t="n"/>
      <c r="VTL238" s="2" t="n"/>
      <c r="VTM238" s="2" t="n"/>
      <c r="VTN238" s="2" t="n"/>
      <c r="VTO238" s="2" t="n"/>
      <c r="VTP238" s="2" t="n"/>
      <c r="VTQ238" s="2" t="n"/>
      <c r="VTR238" s="2" t="n"/>
      <c r="VTS238" s="2" t="n"/>
      <c r="VTT238" s="2" t="n"/>
      <c r="VTU238" s="2" t="n"/>
      <c r="VTV238" s="2" t="n"/>
      <c r="VTW238" s="2" t="n"/>
      <c r="VTX238" s="2" t="n"/>
      <c r="VTY238" s="2" t="n"/>
      <c r="VTZ238" s="2" t="n"/>
      <c r="VUA238" s="2" t="n"/>
      <c r="VUB238" s="2" t="n"/>
      <c r="VUC238" s="2" t="n"/>
      <c r="VUD238" s="2" t="n"/>
      <c r="VUE238" s="2" t="n"/>
      <c r="VUF238" s="2" t="n"/>
      <c r="VUG238" s="2" t="n"/>
      <c r="VUH238" s="2" t="n"/>
      <c r="VUI238" s="2" t="n"/>
      <c r="VUJ238" s="2" t="n"/>
      <c r="VUK238" s="2" t="n"/>
      <c r="VUL238" s="2" t="n"/>
      <c r="VUM238" s="2" t="n"/>
      <c r="VUN238" s="2" t="n"/>
      <c r="VUO238" s="2" t="n"/>
      <c r="VUP238" s="2" t="n"/>
      <c r="VUQ238" s="2" t="n"/>
      <c r="VUR238" s="2" t="n"/>
      <c r="VUS238" s="2" t="n"/>
      <c r="VUT238" s="2" t="n"/>
      <c r="VUU238" s="2" t="n"/>
      <c r="VUV238" s="2" t="n"/>
      <c r="VUW238" s="2" t="n"/>
      <c r="VUX238" s="2" t="n"/>
      <c r="VUY238" s="2" t="n"/>
      <c r="VUZ238" s="2" t="n"/>
      <c r="VVA238" s="2" t="n"/>
      <c r="VVB238" s="2" t="n"/>
      <c r="VVC238" s="2" t="n"/>
      <c r="VVD238" s="2" t="n"/>
      <c r="VVE238" s="2" t="n"/>
      <c r="VVF238" s="2" t="n"/>
      <c r="VVG238" s="2" t="n"/>
      <c r="VVH238" s="2" t="n"/>
      <c r="VVI238" s="2" t="n"/>
      <c r="VVJ238" s="2" t="n"/>
      <c r="VVK238" s="2" t="n"/>
      <c r="VVL238" s="2" t="n"/>
      <c r="VVM238" s="2" t="n"/>
      <c r="VVN238" s="2" t="n"/>
      <c r="VVO238" s="2" t="n"/>
      <c r="VVP238" s="2" t="n"/>
      <c r="VVQ238" s="2" t="n"/>
      <c r="VVR238" s="2" t="n"/>
      <c r="VVS238" s="2" t="n"/>
      <c r="VVT238" s="2" t="n"/>
      <c r="VVU238" s="2" t="n"/>
      <c r="VVV238" s="2" t="n"/>
      <c r="VVW238" s="2" t="n"/>
      <c r="VVX238" s="2" t="n"/>
      <c r="VVY238" s="2" t="n"/>
      <c r="VVZ238" s="2" t="n"/>
      <c r="VWA238" s="2" t="n"/>
      <c r="VWB238" s="2" t="n"/>
      <c r="VWC238" s="2" t="n"/>
      <c r="VWD238" s="2" t="n"/>
      <c r="VWE238" s="2" t="n"/>
      <c r="VWF238" s="2" t="n"/>
      <c r="VWG238" s="2" t="n"/>
      <c r="VWH238" s="2" t="n"/>
      <c r="VWI238" s="2" t="n"/>
      <c r="VWJ238" s="2" t="n"/>
      <c r="VWK238" s="2" t="n"/>
      <c r="VWL238" s="2" t="n"/>
      <c r="VWM238" s="2" t="n"/>
      <c r="VWN238" s="2" t="n"/>
      <c r="VWO238" s="2" t="n"/>
      <c r="VWP238" s="2" t="n"/>
      <c r="VWQ238" s="2" t="n"/>
      <c r="VWR238" s="2" t="n"/>
      <c r="VWS238" s="2" t="n"/>
      <c r="VWT238" s="2" t="n"/>
      <c r="VWU238" s="2" t="n"/>
      <c r="VWV238" s="2" t="n"/>
      <c r="VWW238" s="2" t="n"/>
      <c r="VWX238" s="2" t="n"/>
      <c r="VWY238" s="2" t="n"/>
      <c r="VWZ238" s="2" t="n"/>
      <c r="VXA238" s="2" t="n"/>
      <c r="VXB238" s="2" t="n"/>
      <c r="VXC238" s="2" t="n"/>
      <c r="VXD238" s="2" t="n"/>
      <c r="VXE238" s="2" t="n"/>
      <c r="VXF238" s="2" t="n"/>
      <c r="VXG238" s="2" t="n"/>
      <c r="VXH238" s="2" t="n"/>
      <c r="VXI238" s="2" t="n"/>
      <c r="VXJ238" s="2" t="n"/>
      <c r="VXK238" s="2" t="n"/>
      <c r="VXL238" s="2" t="n"/>
      <c r="VXM238" s="2" t="n"/>
      <c r="VXN238" s="2" t="n"/>
      <c r="VXO238" s="2" t="n"/>
      <c r="VXP238" s="2" t="n"/>
      <c r="VXQ238" s="2" t="n"/>
      <c r="VXR238" s="2" t="n"/>
      <c r="VXS238" s="2" t="n"/>
      <c r="VXT238" s="2" t="n"/>
      <c r="VXU238" s="2" t="n"/>
      <c r="VXV238" s="2" t="n"/>
      <c r="VXW238" s="2" t="n"/>
      <c r="VXX238" s="2" t="n"/>
      <c r="VXY238" s="2" t="n"/>
      <c r="VXZ238" s="2" t="n"/>
      <c r="VYA238" s="2" t="n"/>
      <c r="VYB238" s="2" t="n"/>
      <c r="VYC238" s="2" t="n"/>
      <c r="VYD238" s="2" t="n"/>
      <c r="VYE238" s="2" t="n"/>
      <c r="VYF238" s="2" t="n"/>
      <c r="VYG238" s="2" t="n"/>
      <c r="VYH238" s="2" t="n"/>
      <c r="VYI238" s="2" t="n"/>
      <c r="VYJ238" s="2" t="n"/>
      <c r="VYK238" s="2" t="n"/>
      <c r="VYL238" s="2" t="n"/>
      <c r="VYM238" s="2" t="n"/>
      <c r="VYN238" s="2" t="n"/>
      <c r="VYO238" s="2" t="n"/>
      <c r="VYP238" s="2" t="n"/>
      <c r="VYQ238" s="2" t="n"/>
      <c r="VYR238" s="2" t="n"/>
      <c r="VYS238" s="2" t="n"/>
      <c r="VYT238" s="2" t="n"/>
      <c r="VYU238" s="2" t="n"/>
      <c r="VYV238" s="2" t="n"/>
      <c r="VYW238" s="2" t="n"/>
      <c r="VYX238" s="2" t="n"/>
      <c r="VYY238" s="2" t="n"/>
      <c r="VYZ238" s="2" t="n"/>
      <c r="VZA238" s="2" t="n"/>
      <c r="VZB238" s="2" t="n"/>
      <c r="VZC238" s="2" t="n"/>
      <c r="VZD238" s="2" t="n"/>
      <c r="VZE238" s="2" t="n"/>
      <c r="VZF238" s="2" t="n"/>
      <c r="VZG238" s="2" t="n"/>
      <c r="VZH238" s="2" t="n"/>
      <c r="VZI238" s="2" t="n"/>
      <c r="VZJ238" s="2" t="n"/>
      <c r="VZK238" s="2" t="n"/>
      <c r="VZL238" s="2" t="n"/>
      <c r="VZM238" s="2" t="n"/>
      <c r="VZN238" s="2" t="n"/>
      <c r="VZO238" s="2" t="n"/>
      <c r="VZP238" s="2" t="n"/>
      <c r="VZQ238" s="2" t="n"/>
      <c r="VZR238" s="2" t="n"/>
      <c r="VZS238" s="2" t="n"/>
      <c r="VZT238" s="2" t="n"/>
      <c r="VZU238" s="2" t="n"/>
      <c r="VZV238" s="2" t="n"/>
      <c r="VZW238" s="2" t="n"/>
      <c r="VZX238" s="2" t="n"/>
      <c r="VZY238" s="2" t="n"/>
      <c r="VZZ238" s="2" t="n"/>
      <c r="WAA238" s="2" t="n"/>
      <c r="WAB238" s="2" t="n"/>
      <c r="WAC238" s="2" t="n"/>
      <c r="WAD238" s="2" t="n"/>
      <c r="WAE238" s="2" t="n"/>
      <c r="WAF238" s="2" t="n"/>
      <c r="WAG238" s="2" t="n"/>
      <c r="WAH238" s="2" t="n"/>
      <c r="WAI238" s="2" t="n"/>
      <c r="WAJ238" s="2" t="n"/>
      <c r="WAK238" s="2" t="n"/>
      <c r="WAL238" s="2" t="n"/>
      <c r="WAM238" s="2" t="n"/>
      <c r="WAN238" s="2" t="n"/>
      <c r="WAO238" s="2" t="n"/>
      <c r="WAP238" s="2" t="n"/>
      <c r="WAQ238" s="2" t="n"/>
      <c r="WAR238" s="2" t="n"/>
      <c r="WAS238" s="2" t="n"/>
      <c r="WAT238" s="2" t="n"/>
      <c r="WAU238" s="2" t="n"/>
      <c r="WAV238" s="2" t="n"/>
      <c r="WAW238" s="2" t="n"/>
      <c r="WAX238" s="2" t="n"/>
      <c r="WAY238" s="2" t="n"/>
      <c r="WAZ238" s="2" t="n"/>
      <c r="WBA238" s="2" t="n"/>
      <c r="WBB238" s="2" t="n"/>
      <c r="WBC238" s="2" t="n"/>
      <c r="WBD238" s="2" t="n"/>
      <c r="WBE238" s="2" t="n"/>
      <c r="WBF238" s="2" t="n"/>
      <c r="WBG238" s="2" t="n"/>
      <c r="WBH238" s="2" t="n"/>
      <c r="WBI238" s="2" t="n"/>
      <c r="WBJ238" s="2" t="n"/>
      <c r="WBK238" s="2" t="n"/>
      <c r="WBL238" s="2" t="n"/>
      <c r="WBM238" s="2" t="n"/>
      <c r="WBN238" s="2" t="n"/>
      <c r="WBO238" s="2" t="n"/>
      <c r="WBP238" s="2" t="n"/>
      <c r="WBQ238" s="2" t="n"/>
      <c r="WBR238" s="2" t="n"/>
      <c r="WBS238" s="2" t="n"/>
      <c r="WBT238" s="2" t="n"/>
      <c r="WBU238" s="2" t="n"/>
      <c r="WBV238" s="2" t="n"/>
      <c r="WBW238" s="2" t="n"/>
      <c r="WBX238" s="2" t="n"/>
      <c r="WBY238" s="2" t="n"/>
      <c r="WBZ238" s="2" t="n"/>
      <c r="WCA238" s="2" t="n"/>
      <c r="WCB238" s="2" t="n"/>
      <c r="WCC238" s="2" t="n"/>
      <c r="WCD238" s="2" t="n"/>
      <c r="WCE238" s="2" t="n"/>
      <c r="WCF238" s="2" t="n"/>
      <c r="WCG238" s="2" t="n"/>
      <c r="WCH238" s="2" t="n"/>
      <c r="WCI238" s="2" t="n"/>
      <c r="WCJ238" s="2" t="n"/>
      <c r="WCK238" s="2" t="n"/>
      <c r="WCL238" s="2" t="n"/>
      <c r="WCM238" s="2" t="n"/>
      <c r="WCN238" s="2" t="n"/>
      <c r="WCO238" s="2" t="n"/>
      <c r="WCP238" s="2" t="n"/>
      <c r="WCQ238" s="2" t="n"/>
      <c r="WCR238" s="2" t="n"/>
      <c r="WCS238" s="2" t="n"/>
      <c r="WCT238" s="2" t="n"/>
      <c r="WCU238" s="2" t="n"/>
      <c r="WCV238" s="2" t="n"/>
      <c r="WCW238" s="2" t="n"/>
      <c r="WCX238" s="2" t="n"/>
      <c r="WCY238" s="2" t="n"/>
      <c r="WCZ238" s="2" t="n"/>
      <c r="WDA238" s="2" t="n"/>
      <c r="WDB238" s="2" t="n"/>
      <c r="WDC238" s="2" t="n"/>
      <c r="WDD238" s="2" t="n"/>
      <c r="WDE238" s="2" t="n"/>
      <c r="WDF238" s="2" t="n"/>
      <c r="WDG238" s="2" t="n"/>
      <c r="WDH238" s="2" t="n"/>
      <c r="WDI238" s="2" t="n"/>
      <c r="WDJ238" s="2" t="n"/>
      <c r="WDK238" s="2" t="n"/>
      <c r="WDL238" s="2" t="n"/>
      <c r="WDM238" s="2" t="n"/>
      <c r="WDN238" s="2" t="n"/>
      <c r="WDO238" s="2" t="n"/>
      <c r="WDP238" s="2" t="n"/>
      <c r="WDQ238" s="2" t="n"/>
      <c r="WDR238" s="2" t="n"/>
      <c r="WDS238" s="2" t="n"/>
      <c r="WDT238" s="2" t="n"/>
      <c r="WDU238" s="2" t="n"/>
      <c r="WDV238" s="2" t="n"/>
      <c r="WDW238" s="2" t="n"/>
      <c r="WDX238" s="2" t="n"/>
      <c r="WDY238" s="2" t="n"/>
      <c r="WDZ238" s="2" t="n"/>
      <c r="WEA238" s="2" t="n"/>
      <c r="WEB238" s="2" t="n"/>
      <c r="WEC238" s="2" t="n"/>
      <c r="WED238" s="2" t="n"/>
      <c r="WEE238" s="2" t="n"/>
      <c r="WEF238" s="2" t="n"/>
      <c r="WEG238" s="2" t="n"/>
      <c r="WEH238" s="2" t="n"/>
      <c r="WEI238" s="2" t="n"/>
      <c r="WEJ238" s="2" t="n"/>
      <c r="WEK238" s="2" t="n"/>
      <c r="WEL238" s="2" t="n"/>
      <c r="WEM238" s="2" t="n"/>
      <c r="WEN238" s="2" t="n"/>
      <c r="WEO238" s="2" t="n"/>
      <c r="WEP238" s="2" t="n"/>
      <c r="WEQ238" s="2" t="n"/>
      <c r="WER238" s="2" t="n"/>
      <c r="WES238" s="2" t="n"/>
      <c r="WET238" s="2" t="n"/>
      <c r="WEU238" s="2" t="n"/>
      <c r="WEV238" s="2" t="n"/>
      <c r="WEW238" s="2" t="n"/>
      <c r="WEX238" s="2" t="n"/>
      <c r="WEY238" s="2" t="n"/>
      <c r="WEZ238" s="2" t="n"/>
      <c r="WFA238" s="2" t="n"/>
      <c r="WFB238" s="2" t="n"/>
      <c r="WFC238" s="2" t="n"/>
      <c r="WFD238" s="2" t="n"/>
      <c r="WFE238" s="2" t="n"/>
      <c r="WFF238" s="2" t="n"/>
      <c r="WFG238" s="2" t="n"/>
      <c r="WFH238" s="2" t="n"/>
      <c r="WFI238" s="2" t="n"/>
      <c r="WFJ238" s="2" t="n"/>
      <c r="WFK238" s="2" t="n"/>
      <c r="WFL238" s="2" t="n"/>
      <c r="WFM238" s="2" t="n"/>
      <c r="WFN238" s="2" t="n"/>
      <c r="WFO238" s="2" t="n"/>
      <c r="WFP238" s="2" t="n"/>
      <c r="WFQ238" s="2" t="n"/>
      <c r="WFR238" s="2" t="n"/>
      <c r="WFS238" s="2" t="n"/>
      <c r="WFT238" s="2" t="n"/>
      <c r="WFU238" s="2" t="n"/>
      <c r="WFV238" s="2" t="n"/>
      <c r="WFW238" s="2" t="n"/>
      <c r="WFX238" s="2" t="n"/>
      <c r="WFY238" s="2" t="n"/>
      <c r="WFZ238" s="2" t="n"/>
      <c r="WGA238" s="2" t="n"/>
      <c r="WGB238" s="2" t="n"/>
      <c r="WGC238" s="2" t="n"/>
      <c r="WGD238" s="2" t="n"/>
      <c r="WGE238" s="2" t="n"/>
      <c r="WGF238" s="2" t="n"/>
      <c r="WGG238" s="2" t="n"/>
      <c r="WGH238" s="2" t="n"/>
      <c r="WGI238" s="2" t="n"/>
      <c r="WGJ238" s="2" t="n"/>
      <c r="WGK238" s="2" t="n"/>
      <c r="WGL238" s="2" t="n"/>
      <c r="WGM238" s="2" t="n"/>
      <c r="WGN238" s="2" t="n"/>
      <c r="WGO238" s="2" t="n"/>
      <c r="WGP238" s="2" t="n"/>
      <c r="WGQ238" s="2" t="n"/>
      <c r="WGR238" s="2" t="n"/>
      <c r="WGS238" s="2" t="n"/>
      <c r="WGT238" s="2" t="n"/>
      <c r="WGU238" s="2" t="n"/>
      <c r="WGV238" s="2" t="n"/>
      <c r="WGW238" s="2" t="n"/>
      <c r="WGX238" s="2" t="n"/>
      <c r="WGY238" s="2" t="n"/>
      <c r="WGZ238" s="2" t="n"/>
      <c r="WHA238" s="2" t="n"/>
      <c r="WHB238" s="2" t="n"/>
      <c r="WHC238" s="2" t="n"/>
      <c r="WHD238" s="2" t="n"/>
      <c r="WHE238" s="2" t="n"/>
      <c r="WHF238" s="2" t="n"/>
      <c r="WHG238" s="2" t="n"/>
      <c r="WHH238" s="2" t="n"/>
      <c r="WHI238" s="2" t="n"/>
      <c r="WHJ238" s="2" t="n"/>
      <c r="WHK238" s="2" t="n"/>
      <c r="WHL238" s="2" t="n"/>
      <c r="WHM238" s="2" t="n"/>
      <c r="WHN238" s="2" t="n"/>
      <c r="WHO238" s="2" t="n"/>
      <c r="WHP238" s="2" t="n"/>
      <c r="WHQ238" s="2" t="n"/>
      <c r="WHR238" s="2" t="n"/>
      <c r="WHS238" s="2" t="n"/>
      <c r="WHT238" s="2" t="n"/>
      <c r="WHU238" s="2" t="n"/>
      <c r="WHV238" s="2" t="n"/>
      <c r="WHW238" s="2" t="n"/>
      <c r="WHX238" s="2" t="n"/>
      <c r="WHY238" s="2" t="n"/>
      <c r="WHZ238" s="2" t="n"/>
      <c r="WIA238" s="2" t="n"/>
      <c r="WIB238" s="2" t="n"/>
      <c r="WIC238" s="2" t="n"/>
      <c r="WID238" s="2" t="n"/>
      <c r="WIE238" s="2" t="n"/>
      <c r="WIF238" s="2" t="n"/>
      <c r="WIG238" s="2" t="n"/>
      <c r="WIH238" s="2" t="n"/>
      <c r="WII238" s="2" t="n"/>
      <c r="WIJ238" s="2" t="n"/>
      <c r="WIK238" s="2" t="n"/>
      <c r="WIL238" s="2" t="n"/>
      <c r="WIM238" s="2" t="n"/>
      <c r="WIN238" s="2" t="n"/>
      <c r="WIO238" s="2" t="n"/>
      <c r="WIP238" s="2" t="n"/>
      <c r="WIQ238" s="2" t="n"/>
      <c r="WIR238" s="2" t="n"/>
      <c r="WIS238" s="2" t="n"/>
      <c r="WIT238" s="2" t="n"/>
      <c r="WIU238" s="2" t="n"/>
      <c r="WIV238" s="2" t="n"/>
      <c r="WIW238" s="2" t="n"/>
      <c r="WIX238" s="2" t="n"/>
      <c r="WIY238" s="2" t="n"/>
      <c r="WIZ238" s="2" t="n"/>
      <c r="WJA238" s="2" t="n"/>
      <c r="WJB238" s="2" t="n"/>
      <c r="WJC238" s="2" t="n"/>
      <c r="WJD238" s="2" t="n"/>
      <c r="WJE238" s="2" t="n"/>
      <c r="WJF238" s="2" t="n"/>
      <c r="WJG238" s="2" t="n"/>
      <c r="WJH238" s="2" t="n"/>
      <c r="WJI238" s="2" t="n"/>
      <c r="WJJ238" s="2" t="n"/>
      <c r="WJK238" s="2" t="n"/>
      <c r="WJL238" s="2" t="n"/>
      <c r="WJM238" s="2" t="n"/>
      <c r="WJN238" s="2" t="n"/>
      <c r="WJO238" s="2" t="n"/>
      <c r="WJP238" s="2" t="n"/>
      <c r="WJQ238" s="2" t="n"/>
      <c r="WJR238" s="2" t="n"/>
      <c r="WJS238" s="2" t="n"/>
      <c r="WJT238" s="2" t="n"/>
      <c r="WJU238" s="2" t="n"/>
      <c r="WJV238" s="2" t="n"/>
      <c r="WJW238" s="2" t="n"/>
      <c r="WJX238" s="2" t="n"/>
      <c r="WJY238" s="2" t="n"/>
      <c r="WJZ238" s="2" t="n"/>
      <c r="WKA238" s="2" t="n"/>
      <c r="WKB238" s="2" t="n"/>
      <c r="WKC238" s="2" t="n"/>
      <c r="WKD238" s="2" t="n"/>
      <c r="WKE238" s="2" t="n"/>
      <c r="WKF238" s="2" t="n"/>
      <c r="WKG238" s="2" t="n"/>
      <c r="WKH238" s="2" t="n"/>
      <c r="WKI238" s="2" t="n"/>
      <c r="WKJ238" s="2" t="n"/>
      <c r="WKK238" s="2" t="n"/>
      <c r="WKL238" s="2" t="n"/>
      <c r="WKM238" s="2" t="n"/>
      <c r="WKN238" s="2" t="n"/>
      <c r="WKO238" s="2" t="n"/>
      <c r="WKP238" s="2" t="n"/>
      <c r="WKQ238" s="2" t="n"/>
      <c r="WKR238" s="2" t="n"/>
      <c r="WKS238" s="2" t="n"/>
      <c r="WKT238" s="2" t="n"/>
      <c r="WKU238" s="2" t="n"/>
      <c r="WKV238" s="2" t="n"/>
      <c r="WKW238" s="2" t="n"/>
      <c r="WKX238" s="2" t="n"/>
      <c r="WKY238" s="2" t="n"/>
      <c r="WKZ238" s="2" t="n"/>
      <c r="WLA238" s="2" t="n"/>
      <c r="WLB238" s="2" t="n"/>
      <c r="WLC238" s="2" t="n"/>
      <c r="WLD238" s="2" t="n"/>
      <c r="WLE238" s="2" t="n"/>
      <c r="WLF238" s="2" t="n"/>
      <c r="WLG238" s="2" t="n"/>
      <c r="WLH238" s="2" t="n"/>
      <c r="WLI238" s="2" t="n"/>
      <c r="WLJ238" s="2" t="n"/>
      <c r="WLK238" s="2" t="n"/>
      <c r="WLL238" s="2" t="n"/>
      <c r="WLM238" s="2" t="n"/>
      <c r="WLN238" s="2" t="n"/>
      <c r="WLO238" s="2" t="n"/>
      <c r="WLP238" s="2" t="n"/>
      <c r="WLQ238" s="2" t="n"/>
      <c r="WLR238" s="2" t="n"/>
      <c r="WLS238" s="2" t="n"/>
      <c r="WLT238" s="2" t="n"/>
      <c r="WLU238" s="2" t="n"/>
      <c r="WLV238" s="2" t="n"/>
      <c r="WLW238" s="2" t="n"/>
      <c r="WLX238" s="2" t="n"/>
      <c r="WLY238" s="2" t="n"/>
      <c r="WLZ238" s="2" t="n"/>
      <c r="WMA238" s="2" t="n"/>
      <c r="WMB238" s="2" t="n"/>
      <c r="WMC238" s="2" t="n"/>
      <c r="WMD238" s="2" t="n"/>
      <c r="WME238" s="2" t="n"/>
      <c r="WMF238" s="2" t="n"/>
      <c r="WMG238" s="2" t="n"/>
      <c r="WMH238" s="2" t="n"/>
      <c r="WMI238" s="2" t="n"/>
      <c r="WMJ238" s="2" t="n"/>
      <c r="WMK238" s="2" t="n"/>
      <c r="WML238" s="2" t="n"/>
      <c r="WMM238" s="2" t="n"/>
      <c r="WMN238" s="2" t="n"/>
      <c r="WMO238" s="2" t="n"/>
      <c r="WMP238" s="2" t="n"/>
      <c r="WMQ238" s="2" t="n"/>
      <c r="WMR238" s="2" t="n"/>
      <c r="WMS238" s="2" t="n"/>
      <c r="WMT238" s="2" t="n"/>
      <c r="WMU238" s="2" t="n"/>
      <c r="WMV238" s="2" t="n"/>
      <c r="WMW238" s="2" t="n"/>
      <c r="WMX238" s="2" t="n"/>
      <c r="WMY238" s="2" t="n"/>
      <c r="WMZ238" s="2" t="n"/>
      <c r="WNA238" s="2" t="n"/>
      <c r="WNB238" s="2" t="n"/>
      <c r="WNC238" s="2" t="n"/>
      <c r="WND238" s="2" t="n"/>
      <c r="WNE238" s="2" t="n"/>
      <c r="WNF238" s="2" t="n"/>
      <c r="WNG238" s="2" t="n"/>
      <c r="WNH238" s="2" t="n"/>
      <c r="WNI238" s="2" t="n"/>
      <c r="WNJ238" s="2" t="n"/>
      <c r="WNK238" s="2" t="n"/>
      <c r="WNL238" s="2" t="n"/>
      <c r="WNM238" s="2" t="n"/>
      <c r="WNN238" s="2" t="n"/>
      <c r="WNO238" s="2" t="n"/>
      <c r="WNP238" s="2" t="n"/>
      <c r="WNQ238" s="2" t="n"/>
      <c r="WNR238" s="2" t="n"/>
      <c r="WNS238" s="2" t="n"/>
      <c r="WNT238" s="2" t="n"/>
      <c r="WNU238" s="2" t="n"/>
      <c r="WNV238" s="2" t="n"/>
      <c r="WNW238" s="2" t="n"/>
      <c r="WNX238" s="2" t="n"/>
      <c r="WNY238" s="2" t="n"/>
      <c r="WNZ238" s="2" t="n"/>
      <c r="WOA238" s="2" t="n"/>
      <c r="WOB238" s="2" t="n"/>
      <c r="WOC238" s="2" t="n"/>
      <c r="WOD238" s="2" t="n"/>
      <c r="WOE238" s="2" t="n"/>
      <c r="WOF238" s="2" t="n"/>
      <c r="WOG238" s="2" t="n"/>
      <c r="WOH238" s="2" t="n"/>
      <c r="WOI238" s="2" t="n"/>
      <c r="WOJ238" s="2" t="n"/>
      <c r="WOK238" s="2" t="n"/>
      <c r="WOL238" s="2" t="n"/>
      <c r="WOM238" s="2" t="n"/>
      <c r="WON238" s="2" t="n"/>
      <c r="WOO238" s="2" t="n"/>
      <c r="WOP238" s="2" t="n"/>
      <c r="WOQ238" s="2" t="n"/>
      <c r="WOR238" s="2" t="n"/>
      <c r="WOS238" s="2" t="n"/>
      <c r="WOT238" s="2" t="n"/>
      <c r="WOU238" s="2" t="n"/>
      <c r="WOV238" s="2" t="n"/>
      <c r="WOW238" s="2" t="n"/>
      <c r="WOX238" s="2" t="n"/>
      <c r="WOY238" s="2" t="n"/>
      <c r="WOZ238" s="2" t="n"/>
      <c r="WPA238" s="2" t="n"/>
      <c r="WPB238" s="2" t="n"/>
      <c r="WPC238" s="2" t="n"/>
      <c r="WPD238" s="2" t="n"/>
      <c r="WPE238" s="2" t="n"/>
      <c r="WPF238" s="2" t="n"/>
      <c r="WPG238" s="2" t="n"/>
      <c r="WPH238" s="2" t="n"/>
      <c r="WPI238" s="2" t="n"/>
      <c r="WPJ238" s="2" t="n"/>
      <c r="WPK238" s="2" t="n"/>
      <c r="WPL238" s="2" t="n"/>
      <c r="WPM238" s="2" t="n"/>
      <c r="WPN238" s="2" t="n"/>
      <c r="WPO238" s="2" t="n"/>
      <c r="WPP238" s="2" t="n"/>
      <c r="WPQ238" s="2" t="n"/>
      <c r="WPR238" s="2" t="n"/>
      <c r="WPS238" s="2" t="n"/>
      <c r="WPT238" s="2" t="n"/>
      <c r="WPU238" s="2" t="n"/>
      <c r="WPV238" s="2" t="n"/>
      <c r="WPW238" s="2" t="n"/>
      <c r="WPX238" s="2" t="n"/>
      <c r="WPY238" s="2" t="n"/>
      <c r="WPZ238" s="2" t="n"/>
      <c r="WQA238" s="2" t="n"/>
      <c r="WQB238" s="2" t="n"/>
      <c r="WQC238" s="2" t="n"/>
      <c r="WQD238" s="2" t="n"/>
      <c r="WQE238" s="2" t="n"/>
      <c r="WQF238" s="2" t="n"/>
      <c r="WQG238" s="2" t="n"/>
      <c r="WQH238" s="2" t="n"/>
      <c r="WQI238" s="2" t="n"/>
      <c r="WQJ238" s="2" t="n"/>
      <c r="WQK238" s="2" t="n"/>
      <c r="WQL238" s="2" t="n"/>
      <c r="WQM238" s="2" t="n"/>
      <c r="WQN238" s="2" t="n"/>
      <c r="WQO238" s="2" t="n"/>
      <c r="WQP238" s="2" t="n"/>
      <c r="WQQ238" s="2" t="n"/>
      <c r="WQR238" s="2" t="n"/>
      <c r="WQS238" s="2" t="n"/>
      <c r="WQT238" s="2" t="n"/>
      <c r="WQU238" s="2" t="n"/>
      <c r="WQV238" s="2" t="n"/>
      <c r="WQW238" s="2" t="n"/>
      <c r="WQX238" s="2" t="n"/>
      <c r="WQY238" s="2" t="n"/>
      <c r="WQZ238" s="2" t="n"/>
      <c r="WRA238" s="2" t="n"/>
      <c r="WRB238" s="2" t="n"/>
      <c r="WRC238" s="2" t="n"/>
      <c r="WRD238" s="2" t="n"/>
      <c r="WRE238" s="2" t="n"/>
      <c r="WRF238" s="2" t="n"/>
      <c r="WRG238" s="2" t="n"/>
      <c r="WRH238" s="2" t="n"/>
      <c r="WRI238" s="2" t="n"/>
      <c r="WRJ238" s="2" t="n"/>
      <c r="WRK238" s="2" t="n"/>
      <c r="WRL238" s="2" t="n"/>
      <c r="WRM238" s="2" t="n"/>
      <c r="WRN238" s="2" t="n"/>
      <c r="WRO238" s="2" t="n"/>
      <c r="WRP238" s="2" t="n"/>
      <c r="WRQ238" s="2" t="n"/>
      <c r="WRR238" s="2" t="n"/>
      <c r="WRS238" s="2" t="n"/>
      <c r="WRT238" s="2" t="n"/>
      <c r="WRU238" s="2" t="n"/>
      <c r="WRV238" s="2" t="n"/>
      <c r="WRW238" s="2" t="n"/>
      <c r="WRX238" s="2" t="n"/>
      <c r="WRY238" s="2" t="n"/>
      <c r="WRZ238" s="2" t="n"/>
      <c r="WSA238" s="2" t="n"/>
      <c r="WSB238" s="2" t="n"/>
      <c r="WSC238" s="2" t="n"/>
      <c r="WSD238" s="2" t="n"/>
      <c r="WSE238" s="2" t="n"/>
      <c r="WSF238" s="2" t="n"/>
      <c r="WSG238" s="2" t="n"/>
      <c r="WSH238" s="2" t="n"/>
      <c r="WSI238" s="2" t="n"/>
      <c r="WSJ238" s="2" t="n"/>
      <c r="WSK238" s="2" t="n"/>
      <c r="WSL238" s="2" t="n"/>
      <c r="WSM238" s="2" t="n"/>
      <c r="WSN238" s="2" t="n"/>
      <c r="WSO238" s="2" t="n"/>
      <c r="WSP238" s="2" t="n"/>
      <c r="WSQ238" s="2" t="n"/>
      <c r="WSR238" s="2" t="n"/>
      <c r="WSS238" s="2" t="n"/>
      <c r="WST238" s="2" t="n"/>
      <c r="WSU238" s="2" t="n"/>
      <c r="WSV238" s="2" t="n"/>
      <c r="WSW238" s="2" t="n"/>
      <c r="WSX238" s="2" t="n"/>
      <c r="WSY238" s="2" t="n"/>
      <c r="WSZ238" s="2" t="n"/>
      <c r="WTA238" s="2" t="n"/>
      <c r="WTB238" s="2" t="n"/>
      <c r="WTC238" s="2" t="n"/>
      <c r="WTD238" s="2" t="n"/>
      <c r="WTE238" s="2" t="n"/>
      <c r="WTF238" s="2" t="n"/>
      <c r="WTG238" s="2" t="n"/>
      <c r="WTH238" s="2" t="n"/>
      <c r="WTI238" s="2" t="n"/>
      <c r="WTJ238" s="2" t="n"/>
      <c r="WTK238" s="2" t="n"/>
      <c r="WTL238" s="2" t="n"/>
      <c r="WTM238" s="2" t="n"/>
      <c r="WTN238" s="2" t="n"/>
      <c r="WTO238" s="2" t="n"/>
      <c r="WTP238" s="2" t="n"/>
      <c r="WTQ238" s="2" t="n"/>
      <c r="WTR238" s="2" t="n"/>
      <c r="WTS238" s="2" t="n"/>
      <c r="WTT238" s="2" t="n"/>
      <c r="WTU238" s="2" t="n"/>
      <c r="WTV238" s="2" t="n"/>
      <c r="WTW238" s="2" t="n"/>
      <c r="WTX238" s="2" t="n"/>
      <c r="WTY238" s="2" t="n"/>
      <c r="WTZ238" s="2" t="n"/>
      <c r="WUA238" s="2" t="n"/>
      <c r="WUB238" s="2" t="n"/>
      <c r="WUC238" s="2" t="n"/>
      <c r="WUD238" s="2" t="n"/>
      <c r="WUE238" s="2" t="n"/>
      <c r="WUF238" s="2" t="n"/>
      <c r="WUG238" s="2" t="n"/>
      <c r="WUH238" s="2" t="n"/>
      <c r="WUI238" s="2" t="n"/>
      <c r="WUJ238" s="2" t="n"/>
      <c r="WUK238" s="2" t="n"/>
      <c r="WUL238" s="2" t="n"/>
      <c r="WUM238" s="2" t="n"/>
      <c r="WUN238" s="2" t="n"/>
      <c r="WUO238" s="2" t="n"/>
      <c r="WUP238" s="2" t="n"/>
      <c r="WUQ238" s="2" t="n"/>
      <c r="WUR238" s="2" t="n"/>
      <c r="WUS238" s="2" t="n"/>
      <c r="WUT238" s="2" t="n"/>
      <c r="WUU238" s="2" t="n"/>
      <c r="WUV238" s="2" t="n"/>
      <c r="WUW238" s="2" t="n"/>
      <c r="WUX238" s="2" t="n"/>
      <c r="WUY238" s="2" t="n"/>
      <c r="WUZ238" s="2" t="n"/>
      <c r="WVA238" s="2" t="n"/>
      <c r="WVB238" s="2" t="n"/>
      <c r="WVC238" s="2" t="n"/>
      <c r="WVD238" s="2" t="n"/>
      <c r="WVE238" s="2" t="n"/>
      <c r="WVF238" s="2" t="n"/>
      <c r="WVG238" s="2" t="n"/>
      <c r="WVH238" s="2" t="n"/>
      <c r="WVI238" s="2" t="n"/>
      <c r="WVJ238" s="2" t="n"/>
      <c r="WVK238" s="2" t="n"/>
      <c r="WVL238" s="2" t="n"/>
      <c r="WVM238" s="2" t="n"/>
      <c r="WVN238" s="2" t="n"/>
      <c r="WVO238" s="2" t="n"/>
      <c r="WVP238" s="2" t="n"/>
      <c r="WVQ238" s="2" t="n"/>
      <c r="WVR238" s="2" t="n"/>
      <c r="WVS238" s="2" t="n"/>
      <c r="WVT238" s="2" t="n"/>
      <c r="WVU238" s="2" t="n"/>
      <c r="WVV238" s="2" t="n"/>
      <c r="WVW238" s="2" t="n"/>
      <c r="WVX238" s="2" t="n"/>
      <c r="WVY238" s="2" t="n"/>
      <c r="WVZ238" s="2" t="n"/>
      <c r="WWA238" s="2" t="n"/>
      <c r="WWB238" s="2" t="n"/>
      <c r="WWC238" s="2" t="n"/>
      <c r="WWD238" s="2" t="n"/>
      <c r="WWE238" s="2" t="n"/>
      <c r="WWF238" s="2" t="n"/>
      <c r="WWG238" s="2" t="n"/>
      <c r="WWH238" s="2" t="n"/>
      <c r="WWI238" s="2" t="n"/>
      <c r="WWJ238" s="2" t="n"/>
      <c r="WWK238" s="2" t="n"/>
      <c r="WWL238" s="2" t="n"/>
      <c r="WWM238" s="2" t="n"/>
      <c r="WWN238" s="2" t="n"/>
      <c r="WWO238" s="2" t="n"/>
      <c r="WWP238" s="2" t="n"/>
      <c r="WWQ238" s="2" t="n"/>
      <c r="WWR238" s="2" t="n"/>
      <c r="WWS238" s="2" t="n"/>
      <c r="WWT238" s="2" t="n"/>
      <c r="WWU238" s="2" t="n"/>
      <c r="WWV238" s="2" t="n"/>
      <c r="WWW238" s="2" t="n"/>
      <c r="WWX238" s="2" t="n"/>
      <c r="WWY238" s="2" t="n"/>
      <c r="WWZ238" s="2" t="n"/>
      <c r="WXA238" s="2" t="n"/>
      <c r="WXB238" s="2" t="n"/>
      <c r="WXC238" s="2" t="n"/>
      <c r="WXD238" s="2" t="n"/>
      <c r="WXE238" s="2" t="n"/>
      <c r="WXF238" s="2" t="n"/>
      <c r="WXG238" s="2" t="n"/>
      <c r="WXH238" s="2" t="n"/>
      <c r="WXI238" s="2" t="n"/>
      <c r="WXJ238" s="2" t="n"/>
      <c r="WXK238" s="2" t="n"/>
      <c r="WXL238" s="2" t="n"/>
      <c r="WXM238" s="2" t="n"/>
      <c r="WXN238" s="2" t="n"/>
      <c r="WXO238" s="2" t="n"/>
      <c r="WXP238" s="2" t="n"/>
      <c r="WXQ238" s="2" t="n"/>
      <c r="WXR238" s="2" t="n"/>
      <c r="WXS238" s="2" t="n"/>
      <c r="WXT238" s="2" t="n"/>
      <c r="WXU238" s="2" t="n"/>
      <c r="WXV238" s="2" t="n"/>
      <c r="WXW238" s="2" t="n"/>
      <c r="WXX238" s="2" t="n"/>
      <c r="WXY238" s="2" t="n"/>
      <c r="WXZ238" s="2" t="n"/>
      <c r="WYA238" s="2" t="n"/>
      <c r="WYB238" s="2" t="n"/>
      <c r="WYC238" s="2" t="n"/>
      <c r="WYD238" s="2" t="n"/>
      <c r="WYE238" s="2" t="n"/>
      <c r="WYF238" s="2" t="n"/>
      <c r="WYG238" s="2" t="n"/>
      <c r="WYH238" s="2" t="n"/>
      <c r="WYI238" s="2" t="n"/>
      <c r="WYJ238" s="2" t="n"/>
      <c r="WYK238" s="2" t="n"/>
      <c r="WYL238" s="2" t="n"/>
      <c r="WYM238" s="2" t="n"/>
      <c r="WYN238" s="2" t="n"/>
      <c r="WYO238" s="2" t="n"/>
      <c r="WYP238" s="2" t="n"/>
      <c r="WYQ238" s="2" t="n"/>
      <c r="WYR238" s="2" t="n"/>
      <c r="WYS238" s="2" t="n"/>
      <c r="WYT238" s="2" t="n"/>
      <c r="WYU238" s="2" t="n"/>
      <c r="WYV238" s="2" t="n"/>
      <c r="WYW238" s="2" t="n"/>
      <c r="WYX238" s="2" t="n"/>
      <c r="WYY238" s="2" t="n"/>
      <c r="WYZ238" s="2" t="n"/>
      <c r="WZA238" s="2" t="n"/>
      <c r="WZB238" s="2" t="n"/>
      <c r="WZC238" s="2" t="n"/>
      <c r="WZD238" s="2" t="n"/>
      <c r="WZE238" s="2" t="n"/>
      <c r="WZF238" s="2" t="n"/>
      <c r="WZG238" s="2" t="n"/>
      <c r="WZH238" s="2" t="n"/>
      <c r="WZI238" s="2" t="n"/>
      <c r="WZJ238" s="2" t="n"/>
      <c r="WZK238" s="2" t="n"/>
      <c r="WZL238" s="2" t="n"/>
      <c r="WZM238" s="2" t="n"/>
      <c r="WZN238" s="2" t="n"/>
      <c r="WZO238" s="2" t="n"/>
      <c r="WZP238" s="2" t="n"/>
      <c r="WZQ238" s="2" t="n"/>
      <c r="WZR238" s="2" t="n"/>
      <c r="WZS238" s="2" t="n"/>
      <c r="WZT238" s="2" t="n"/>
      <c r="WZU238" s="2" t="n"/>
      <c r="WZV238" s="2" t="n"/>
      <c r="WZW238" s="2" t="n"/>
      <c r="WZX238" s="2" t="n"/>
      <c r="WZY238" s="2" t="n"/>
      <c r="WZZ238" s="2" t="n"/>
      <c r="XAA238" s="2" t="n"/>
      <c r="XAB238" s="2" t="n"/>
      <c r="XAC238" s="2" t="n"/>
      <c r="XAD238" s="2" t="n"/>
      <c r="XAE238" s="2" t="n"/>
      <c r="XAF238" s="2" t="n"/>
      <c r="XAG238" s="2" t="n"/>
      <c r="XAH238" s="2" t="n"/>
      <c r="XAI238" s="2" t="n"/>
      <c r="XAJ238" s="2" t="n"/>
      <c r="XAK238" s="2" t="n"/>
      <c r="XAL238" s="2" t="n"/>
      <c r="XAM238" s="2" t="n"/>
      <c r="XAN238" s="2" t="n"/>
      <c r="XAO238" s="2" t="n"/>
      <c r="XAP238" s="2" t="n"/>
      <c r="XAQ238" s="2" t="n"/>
      <c r="XAR238" s="2" t="n"/>
      <c r="XAS238" s="2" t="n"/>
      <c r="XAT238" s="2" t="n"/>
      <c r="XAU238" s="2" t="n"/>
      <c r="XAV238" s="2" t="n"/>
      <c r="XAW238" s="2" t="n"/>
      <c r="XAX238" s="2" t="n"/>
      <c r="XAY238" s="2" t="n"/>
      <c r="XAZ238" s="2" t="n"/>
      <c r="XBA238" s="2" t="n"/>
      <c r="XBB238" s="2" t="n"/>
      <c r="XBC238" s="2" t="n"/>
      <c r="XBD238" s="2" t="n"/>
      <c r="XBE238" s="2" t="n"/>
      <c r="XBF238" s="2" t="n"/>
      <c r="XBG238" s="2" t="n"/>
      <c r="XBH238" s="2" t="n"/>
      <c r="XBI238" s="2" t="n"/>
      <c r="XBJ238" s="2" t="n"/>
      <c r="XBK238" s="2" t="n"/>
      <c r="XBL238" s="2" t="n"/>
      <c r="XBM238" s="2" t="n"/>
      <c r="XBN238" s="2" t="n"/>
      <c r="XBO238" s="2" t="n"/>
      <c r="XBP238" s="2" t="n"/>
      <c r="XBQ238" s="2" t="n"/>
      <c r="XBR238" s="2" t="n"/>
      <c r="XBS238" s="2" t="n"/>
      <c r="XBT238" s="2" t="n"/>
      <c r="XBU238" s="2" t="n"/>
      <c r="XBV238" s="2" t="n"/>
      <c r="XBW238" s="2" t="n"/>
      <c r="XBX238" s="2" t="n"/>
      <c r="XBY238" s="2" t="n"/>
      <c r="XBZ238" s="2" t="n"/>
      <c r="XCA238" s="2" t="n"/>
      <c r="XCB238" s="2" t="n"/>
      <c r="XCC238" s="2" t="n"/>
      <c r="XCD238" s="2" t="n"/>
      <c r="XCE238" s="2" t="n"/>
      <c r="XCF238" s="2" t="n"/>
      <c r="XCG238" s="2" t="n"/>
      <c r="XCH238" s="2" t="n"/>
      <c r="XCI238" s="2" t="n"/>
      <c r="XCJ238" s="2" t="n"/>
      <c r="XCK238" s="2" t="n"/>
      <c r="XCL238" s="2" t="n"/>
      <c r="XCM238" s="2" t="n"/>
      <c r="XCN238" s="2" t="n"/>
      <c r="XCO238" s="2" t="n"/>
      <c r="XCP238" s="2" t="n"/>
      <c r="XCQ238" s="2" t="n"/>
      <c r="XCR238" s="2" t="n"/>
      <c r="XCS238" s="2" t="n"/>
      <c r="XCT238" s="2" t="n"/>
      <c r="XCU238" s="2" t="n"/>
      <c r="XCV238" s="2" t="n"/>
      <c r="XCW238" s="2" t="n"/>
      <c r="XCX238" s="2" t="n"/>
      <c r="XCY238" s="2" t="n"/>
      <c r="XCZ238" s="2" t="n"/>
      <c r="XDA238" s="2" t="n"/>
      <c r="XDB238" s="2" t="n"/>
      <c r="XDC238" s="2" t="n"/>
      <c r="XDD238" s="2" t="n"/>
      <c r="XDE238" s="2" t="n"/>
      <c r="XDF238" s="2" t="n"/>
      <c r="XDG238" s="2" t="n"/>
      <c r="XDH238" s="2" t="n"/>
      <c r="XDI238" s="2" t="n"/>
      <c r="XDJ238" s="2" t="n"/>
      <c r="XDK238" s="2" t="n"/>
      <c r="XDL238" s="2" t="n"/>
      <c r="XDM238" s="2" t="n"/>
      <c r="XDN238" s="2" t="n"/>
      <c r="XDO238" s="2" t="n"/>
      <c r="XDP238" s="2" t="n"/>
      <c r="XDQ238" s="2" t="n"/>
      <c r="XDR238" s="2" t="n"/>
      <c r="XDS238" s="2" t="n"/>
      <c r="XDT238" s="2" t="n"/>
      <c r="XDU238" s="2" t="n"/>
      <c r="XDV238" s="2" t="n"/>
      <c r="XDW238" s="2" t="n"/>
      <c r="XDX238" s="2" t="n"/>
      <c r="XDY238" s="14" t="n"/>
      <c r="XDZ238" s="14" t="n"/>
      <c r="XEA238" s="14" t="n"/>
      <c r="XEB238" s="14" t="n"/>
      <c r="XEC238" s="14" t="n"/>
      <c r="XED238" s="14" t="n"/>
      <c r="XEE238" s="14" t="n"/>
      <c r="XEF238" s="14" t="n"/>
      <c r="XEG238" s="14" t="n"/>
      <c r="XEH238" s="14" t="n"/>
      <c r="XEI238" s="14" t="n"/>
      <c r="XEJ238" s="14" t="n"/>
      <c r="XEK238" s="14" t="n"/>
      <c r="XEL238" s="14" t="n"/>
      <c r="XEM238" s="14" t="n"/>
      <c r="XEN238" s="14" t="n"/>
      <c r="XEO238" s="14" t="n"/>
      <c r="XEP238" s="14" t="n"/>
      <c r="XEQ238" s="14" t="n"/>
      <c r="XER238" s="14" t="n"/>
      <c r="XES238" s="14" t="n"/>
      <c r="XET238" s="14" t="n"/>
      <c r="XEU238" s="14" t="n"/>
      <c r="XEV238" s="14" t="n"/>
      <c r="XEW238" s="14" t="n"/>
      <c r="XEX238" s="14" t="n"/>
      <c r="XEY238" s="14" t="n"/>
      <c r="XEZ238" s="14" t="n"/>
      <c r="XFA238" s="14" t="n"/>
      <c r="XFB238" s="14" t="n"/>
      <c r="XFC238" s="14" t="n"/>
      <c r="XFD238" s="14" t="n"/>
    </row>
    <row r="239" ht="18.75" customFormat="1" customHeight="1" s="1">
      <c r="A239" s="30" t="n">
        <v>240</v>
      </c>
      <c r="B239" s="31" t="inlineStr">
        <is>
          <t>重庆</t>
        </is>
      </c>
      <c r="C239" s="31" t="inlineStr">
        <is>
          <t>綦江</t>
        </is>
      </c>
      <c r="D239" s="31" t="inlineStr">
        <is>
          <t>萧登财</t>
        </is>
      </c>
      <c r="E239" s="89" t="n"/>
      <c r="F239" s="27" t="n"/>
      <c r="G239" s="27" t="n"/>
      <c r="H239" s="91" t="n"/>
      <c r="I239" s="91" t="n"/>
      <c r="J239" s="91" t="n"/>
      <c r="K239" s="91">
        <f>+H239+I239+J239</f>
        <v/>
      </c>
      <c r="L239" s="91" t="n"/>
      <c r="M239" s="91" t="inlineStr"/>
      <c r="N239" s="91" t="n"/>
      <c r="O239" s="91" t="n"/>
      <c r="P239" s="91" t="n"/>
      <c r="Q239" s="91" t="n"/>
      <c r="R239" s="91" t="n"/>
      <c r="S239" s="91" t="n"/>
      <c r="T239" s="91" t="n"/>
      <c r="U239" s="91" t="n"/>
      <c r="V239" s="91" t="n"/>
      <c r="W239" s="91" t="n"/>
      <c r="X239" s="91" t="n"/>
      <c r="Y239" s="91" t="n"/>
      <c r="Z239" s="91" t="n"/>
      <c r="AA239" s="91" t="n"/>
      <c r="AB239" s="91" t="n"/>
      <c r="AC239" s="91" t="n"/>
      <c r="AD239" s="91" t="n"/>
      <c r="AE239" s="91" t="n"/>
      <c r="AF239" s="91" t="n"/>
      <c r="AG239" s="30" t="n"/>
      <c r="AH239" s="30" t="n"/>
      <c r="AI239" s="30" t="n"/>
      <c r="AJ239" s="30" t="n"/>
      <c r="AK239" s="30" t="n"/>
      <c r="AL239" s="30" t="n"/>
      <c r="AM239" s="91" t="n"/>
      <c r="AN239" s="91" t="n"/>
      <c r="AO239" s="91" t="n"/>
      <c r="AP239" s="91" t="n"/>
      <c r="AQ239" s="91" t="n"/>
      <c r="AR239" s="91" t="n"/>
      <c r="AS239" s="91" t="n"/>
      <c r="AT239" s="91" t="n"/>
      <c r="AU239" s="91" t="n"/>
      <c r="AV239" s="31" t="n"/>
      <c r="AW239" s="36" t="n"/>
      <c r="AX239" s="16" t="n"/>
      <c r="AY239" s="31" t="n"/>
      <c r="AZ239" s="92" t="n"/>
      <c r="BA239" s="91" t="n"/>
      <c r="BB239" s="91" t="n"/>
      <c r="BC239" s="91" t="n"/>
      <c r="BD239" s="91" t="n"/>
      <c r="BE239" s="91" t="n"/>
      <c r="BF239" s="91" t="n"/>
      <c r="BG239" s="91" t="n"/>
      <c r="BH239" s="91" t="n"/>
      <c r="BI239" s="91" t="n"/>
      <c r="BJ239" s="91" t="n"/>
      <c r="BK239" s="91" t="n"/>
      <c r="BL239" s="91" t="n"/>
      <c r="BM239" s="91" t="n"/>
      <c r="BN239" s="91" t="n"/>
      <c r="BO239" s="91" t="n"/>
      <c r="BP239" s="91" t="n"/>
      <c r="BQ239" s="91" t="n"/>
      <c r="BR239" s="91" t="n"/>
      <c r="BS239" s="91" t="n"/>
      <c r="BT239" s="91" t="n"/>
      <c r="BU239" s="91" t="n"/>
      <c r="BV239" s="91" t="n"/>
      <c r="BW239" s="91" t="n"/>
      <c r="BX239" s="91" t="n"/>
      <c r="BY239" s="91" t="n"/>
      <c r="BZ239" s="91">
        <f>SUM(BN239:BY239)</f>
        <v/>
      </c>
      <c r="CA239" s="91" t="n"/>
      <c r="CB239" s="91" t="n"/>
      <c r="CC239" s="91" t="n"/>
      <c r="CD239" s="91" t="n"/>
      <c r="CE239" s="91" t="n"/>
      <c r="CF239" s="91" t="n"/>
      <c r="CG239" s="91" t="n"/>
      <c r="CH239" s="91" t="inlineStr"/>
      <c r="CI239" s="91" t="n"/>
      <c r="CJ239" s="91" t="inlineStr"/>
      <c r="CK239" s="91" t="n">
        <v>45944.93</v>
      </c>
      <c r="CL239" s="91" t="n">
        <v>7971</v>
      </c>
      <c r="CM239" s="91">
        <f>SUM(CA239:CL239)</f>
        <v/>
      </c>
      <c r="CN239" s="91" t="n"/>
      <c r="CO239" s="91" t="n"/>
      <c r="CP239" s="91" t="n"/>
      <c r="CQ239" s="93" t="n"/>
      <c r="CR239" s="94" t="n"/>
      <c r="CS239" s="94" t="n"/>
      <c r="CT239" s="91" t="n"/>
      <c r="CU239" s="91" t="n"/>
      <c r="CV239" s="91" t="n"/>
      <c r="CW239" s="91" t="n"/>
      <c r="CX239" s="91" t="n"/>
      <c r="CY239" s="91" t="n"/>
      <c r="CZ239" s="91">
        <f>SUM(CN239:CY239)</f>
        <v/>
      </c>
      <c r="DA239" s="35" t="n"/>
    </row>
    <row r="240" ht="18.75" customFormat="1" customHeight="1" s="1">
      <c r="A240" s="30" t="n">
        <v>241</v>
      </c>
      <c r="B240" s="31" t="inlineStr">
        <is>
          <t>重庆</t>
        </is>
      </c>
      <c r="C240" s="31" t="inlineStr">
        <is>
          <t>国际电商</t>
        </is>
      </c>
      <c r="D240" s="31" t="inlineStr">
        <is>
          <t>国际电商部</t>
        </is>
      </c>
      <c r="E240" s="89" t="n"/>
      <c r="F240" s="27" t="inlineStr">
        <is>
          <t>2025/2026</t>
        </is>
      </c>
      <c r="G240" s="27" t="inlineStr">
        <is>
          <t>12/1/5</t>
        </is>
      </c>
      <c r="H240" s="107">
        <f>6845+11870+3197</f>
        <v/>
      </c>
      <c r="I240" s="91" t="n"/>
      <c r="J240" s="91" t="n"/>
      <c r="K240" s="91">
        <f>+H240+I240+J240</f>
        <v/>
      </c>
      <c r="L240" s="91" t="n"/>
      <c r="M240" s="91" t="n"/>
      <c r="N240" s="91" t="n"/>
      <c r="O240" s="91" t="n"/>
      <c r="P240" s="91" t="n"/>
      <c r="Q240" s="91" t="n"/>
      <c r="R240" s="91" t="n"/>
      <c r="S240" s="91" t="n"/>
      <c r="T240" s="91" t="n"/>
      <c r="U240" s="91" t="n"/>
      <c r="V240" s="91" t="n"/>
      <c r="W240" s="91" t="n"/>
      <c r="X240" s="91" t="n"/>
      <c r="Y240" s="91" t="n"/>
      <c r="Z240" s="91" t="n"/>
      <c r="AA240" s="91" t="n"/>
      <c r="AB240" s="91" t="n"/>
      <c r="AC240" s="91" t="n"/>
      <c r="AD240" s="91" t="n"/>
      <c r="AE240" s="91" t="n"/>
      <c r="AF240" s="91" t="n"/>
      <c r="AG240" s="30" t="n"/>
      <c r="AH240" s="30" t="n"/>
      <c r="AI240" s="30" t="n"/>
      <c r="AJ240" s="30" t="n"/>
      <c r="AK240" s="30" t="n"/>
      <c r="AL240" s="30" t="n"/>
      <c r="AM240" s="91" t="n"/>
      <c r="AN240" s="91" t="n"/>
      <c r="AO240" s="91" t="n"/>
      <c r="AP240" s="91" t="n"/>
      <c r="AQ240" s="91" t="n"/>
      <c r="AR240" s="91" t="n"/>
      <c r="AS240" s="91" t="n"/>
      <c r="AT240" s="91" t="n"/>
      <c r="AU240" s="91" t="n"/>
      <c r="AV240" s="31" t="n"/>
      <c r="AW240" s="36" t="n"/>
      <c r="AX240" s="16" t="n"/>
      <c r="AY240" s="31" t="n"/>
      <c r="AZ240" s="92" t="n"/>
      <c r="BA240" s="91" t="n"/>
      <c r="BB240" s="91" t="n"/>
      <c r="BC240" s="91" t="n"/>
      <c r="BD240" s="91" t="n"/>
      <c r="BE240" s="91" t="n"/>
      <c r="BF240" s="91" t="n"/>
      <c r="BG240" s="91" t="n"/>
      <c r="BH240" s="91" t="n"/>
      <c r="BI240" s="91" t="n"/>
      <c r="BJ240" s="91" t="n"/>
      <c r="BK240" s="91" t="n"/>
      <c r="BL240" s="91" t="n"/>
      <c r="BM240" s="91" t="n"/>
      <c r="BN240" s="91" t="n"/>
      <c r="BO240" s="91" t="n"/>
      <c r="BP240" s="91" t="n"/>
      <c r="BQ240" s="91" t="n"/>
      <c r="BR240" s="91" t="n"/>
      <c r="BS240" s="91" t="n"/>
      <c r="BT240" s="91" t="n"/>
      <c r="BU240" s="91" t="n"/>
      <c r="BV240" s="91" t="n"/>
      <c r="BW240" s="91" t="n"/>
      <c r="BX240" s="91" t="n"/>
      <c r="BY240" s="91" t="n"/>
      <c r="BZ240" s="91">
        <f>SUM(BN240:BY240)</f>
        <v/>
      </c>
      <c r="CA240" s="91" t="n"/>
      <c r="CB240" s="91" t="n"/>
      <c r="CC240" s="91" t="n"/>
      <c r="CD240" s="91" t="n"/>
      <c r="CE240" s="91" t="n"/>
      <c r="CF240" s="91" t="n"/>
      <c r="CG240" s="91" t="n"/>
      <c r="CH240" s="91" t="inlineStr"/>
      <c r="CI240" s="91" t="n"/>
      <c r="CJ240" s="91" t="inlineStr"/>
      <c r="CK240" s="91" t="n"/>
      <c r="CL240" s="91" t="inlineStr"/>
      <c r="CM240" s="91">
        <f>SUM(CA240:CL240)</f>
        <v/>
      </c>
      <c r="CN240" s="91" t="n"/>
      <c r="CO240" s="91" t="n"/>
      <c r="CP240" s="91" t="n"/>
      <c r="CQ240" s="93" t="n"/>
      <c r="CR240" s="94" t="n"/>
      <c r="CS240" s="94">
        <f>102339.55+2284+45145</f>
        <v/>
      </c>
      <c r="CT240" s="91" t="n"/>
      <c r="CU240" s="91" t="n"/>
      <c r="CV240" s="91" t="n"/>
      <c r="CW240" s="91" t="n"/>
      <c r="CX240" s="91" t="n"/>
      <c r="CY240" s="91" t="n"/>
      <c r="CZ240" s="91">
        <f>SUM(CN240:CY240)</f>
        <v/>
      </c>
      <c r="DA240" s="35" t="n"/>
    </row>
    <row r="241" ht="18.75" customFormat="1" customHeight="1" s="1">
      <c r="A241" s="30" t="n">
        <v>242</v>
      </c>
      <c r="B241" s="31" t="inlineStr">
        <is>
          <t>河北</t>
        </is>
      </c>
      <c r="C241" s="31" t="inlineStr">
        <is>
          <t>廊坊大城</t>
        </is>
      </c>
      <c r="D241" s="31" t="inlineStr">
        <is>
          <t>汤钊</t>
        </is>
      </c>
      <c r="E241" s="89" t="n"/>
      <c r="F241" s="27" t="n"/>
      <c r="G241" s="27" t="n"/>
      <c r="H241" s="91" t="n"/>
      <c r="I241" s="91" t="n"/>
      <c r="J241" s="91" t="n"/>
      <c r="K241" s="91">
        <f>+H241+I241+J241</f>
        <v/>
      </c>
      <c r="L241" s="91" t="n"/>
      <c r="M241" s="91" t="inlineStr"/>
      <c r="N241" s="91" t="n"/>
      <c r="O241" s="91" t="n"/>
      <c r="P241" s="91" t="n"/>
      <c r="Q241" s="91" t="n"/>
      <c r="R241" s="91" t="n"/>
      <c r="S241" s="91" t="n"/>
      <c r="T241" s="91" t="n"/>
      <c r="U241" s="91" t="n"/>
      <c r="V241" s="91" t="n"/>
      <c r="W241" s="91" t="n"/>
      <c r="X241" s="91" t="n"/>
      <c r="Y241" s="91" t="n"/>
      <c r="Z241" s="91" t="n"/>
      <c r="AA241" s="91" t="n"/>
      <c r="AB241" s="91" t="n"/>
      <c r="AC241" s="91" t="n"/>
      <c r="AD241" s="91" t="n"/>
      <c r="AE241" s="91" t="n"/>
      <c r="AF241" s="91" t="n"/>
      <c r="AG241" s="30" t="n"/>
      <c r="AH241" s="30" t="n"/>
      <c r="AI241" s="30" t="n"/>
      <c r="AJ241" s="30" t="n"/>
      <c r="AK241" s="30" t="n"/>
      <c r="AL241" s="30" t="n"/>
      <c r="AM241" s="91" t="n"/>
      <c r="AN241" s="91" t="n"/>
      <c r="AO241" s="91" t="n"/>
      <c r="AP241" s="91" t="n"/>
      <c r="AQ241" s="91" t="n"/>
      <c r="AR241" s="91" t="n"/>
      <c r="AS241" s="91" t="n"/>
      <c r="AT241" s="91" t="n"/>
      <c r="AU241" s="91" t="n"/>
      <c r="AV241" s="31" t="n"/>
      <c r="AW241" s="36" t="n"/>
      <c r="AX241" s="16" t="n"/>
      <c r="AY241" s="31" t="n"/>
      <c r="AZ241" s="92" t="n"/>
      <c r="BA241" s="91" t="n"/>
      <c r="BB241" s="91" t="n"/>
      <c r="BC241" s="91" t="n"/>
      <c r="BD241" s="91" t="n"/>
      <c r="BE241" s="91" t="n"/>
      <c r="BF241" s="91" t="n"/>
      <c r="BG241" s="91" t="n"/>
      <c r="BH241" s="91" t="n"/>
      <c r="BI241" s="91" t="n"/>
      <c r="BJ241" s="91" t="n"/>
      <c r="BK241" s="91" t="n"/>
      <c r="BL241" s="91" t="n"/>
      <c r="BM241" s="91" t="n"/>
      <c r="BN241" s="91" t="n"/>
      <c r="BO241" s="91" t="n"/>
      <c r="BP241" s="91" t="n"/>
      <c r="BQ241" s="91" t="n"/>
      <c r="BR241" s="91" t="n"/>
      <c r="BS241" s="91" t="n"/>
      <c r="BT241" s="91" t="n"/>
      <c r="BU241" s="91" t="n"/>
      <c r="BV241" s="91" t="n"/>
      <c r="BW241" s="91" t="n"/>
      <c r="BX241" s="91" t="n"/>
      <c r="BY241" s="91" t="n"/>
      <c r="BZ241" s="91">
        <f>SUM(BN241:BY241)</f>
        <v/>
      </c>
      <c r="CA241" s="91" t="n"/>
      <c r="CB241" s="91" t="n"/>
      <c r="CC241" s="91" t="n"/>
      <c r="CD241" s="91" t="n"/>
      <c r="CE241" s="91" t="n"/>
      <c r="CF241" s="91" t="n"/>
      <c r="CG241" s="91" t="n"/>
      <c r="CH241" s="91" t="inlineStr"/>
      <c r="CI241" s="91" t="n"/>
      <c r="CJ241" s="91" t="inlineStr"/>
      <c r="CK241" s="91" t="n"/>
      <c r="CL241" s="91" t="n">
        <v>44485</v>
      </c>
      <c r="CM241" s="91">
        <f>SUM(CA241:CL241)</f>
        <v/>
      </c>
      <c r="CN241" s="91" t="n"/>
      <c r="CO241" s="91" t="n"/>
      <c r="CP241" s="91" t="n"/>
      <c r="CQ241" s="93" t="n"/>
      <c r="CR241" s="94" t="n"/>
      <c r="CS241" s="94" t="n"/>
      <c r="CT241" s="91" t="n"/>
      <c r="CU241" s="91" t="n"/>
      <c r="CV241" s="91" t="n"/>
      <c r="CW241" s="91" t="n"/>
      <c r="CX241" s="91" t="n"/>
      <c r="CY241" s="91" t="n"/>
      <c r="CZ241" s="91">
        <f>SUM(CN241:CY241)</f>
        <v/>
      </c>
      <c r="DA241" s="35" t="n"/>
    </row>
    <row r="242" ht="18.75" customFormat="1" customHeight="1" s="1">
      <c r="A242" s="30" t="n">
        <v>243</v>
      </c>
      <c r="B242" s="31" t="inlineStr">
        <is>
          <t>四川省</t>
        </is>
      </c>
      <c r="C242" s="31" t="inlineStr">
        <is>
          <t>宜宾市</t>
        </is>
      </c>
      <c r="D242" s="31" t="inlineStr">
        <is>
          <t>吴安兵</t>
        </is>
      </c>
      <c r="E242" s="89" t="n"/>
      <c r="F242" s="27" t="n"/>
      <c r="G242" s="27" t="n"/>
      <c r="H242" s="91" t="n"/>
      <c r="I242" s="91" t="n"/>
      <c r="J242" s="91" t="n"/>
      <c r="K242" s="91">
        <f>+H242+I242+J242</f>
        <v/>
      </c>
      <c r="L242" s="91" t="n"/>
      <c r="M242" s="91" t="inlineStr"/>
      <c r="N242" s="91" t="n"/>
      <c r="O242" s="91" t="n"/>
      <c r="P242" s="91" t="n"/>
      <c r="Q242" s="91" t="n"/>
      <c r="R242" s="91" t="n"/>
      <c r="S242" s="91" t="n"/>
      <c r="T242" s="91" t="n"/>
      <c r="U242" s="91" t="n"/>
      <c r="V242" s="91" t="n"/>
      <c r="W242" s="91" t="n"/>
      <c r="X242" s="91" t="n"/>
      <c r="Y242" s="91" t="n"/>
      <c r="Z242" s="91" t="n"/>
      <c r="AA242" s="91" t="n"/>
      <c r="AB242" s="91" t="n"/>
      <c r="AC242" s="91" t="n"/>
      <c r="AD242" s="91" t="n"/>
      <c r="AE242" s="91" t="n"/>
      <c r="AF242" s="91" t="n"/>
      <c r="AG242" s="30" t="n"/>
      <c r="AH242" s="30" t="n"/>
      <c r="AI242" s="30" t="n"/>
      <c r="AJ242" s="30" t="n"/>
      <c r="AK242" s="30" t="n"/>
      <c r="AL242" s="30" t="n"/>
      <c r="AM242" s="91" t="n"/>
      <c r="AN242" s="91" t="n"/>
      <c r="AO242" s="91" t="n"/>
      <c r="AP242" s="91" t="n"/>
      <c r="AQ242" s="91" t="n"/>
      <c r="AR242" s="91" t="n"/>
      <c r="AS242" s="91" t="n"/>
      <c r="AT242" s="91" t="n"/>
      <c r="AU242" s="91" t="n"/>
      <c r="AV242" s="31" t="n"/>
      <c r="AW242" s="36" t="n"/>
      <c r="AX242" s="16" t="n"/>
      <c r="AY242" s="31" t="n"/>
      <c r="AZ242" s="92" t="n"/>
      <c r="BA242" s="91" t="n"/>
      <c r="BB242" s="91" t="n"/>
      <c r="BC242" s="91" t="n"/>
      <c r="BD242" s="91" t="n"/>
      <c r="BE242" s="91" t="n"/>
      <c r="BF242" s="91" t="n"/>
      <c r="BG242" s="91" t="n"/>
      <c r="BH242" s="91" t="n"/>
      <c r="BI242" s="91" t="n"/>
      <c r="BJ242" s="91" t="n"/>
      <c r="BK242" s="91" t="n"/>
      <c r="BL242" s="91" t="n"/>
      <c r="BM242" s="91" t="n"/>
      <c r="BN242" s="91" t="n"/>
      <c r="BO242" s="91" t="n"/>
      <c r="BP242" s="91" t="n"/>
      <c r="BQ242" s="91" t="n"/>
      <c r="BR242" s="91" t="n"/>
      <c r="BS242" s="91" t="n"/>
      <c r="BT242" s="91" t="n"/>
      <c r="BU242" s="91" t="n"/>
      <c r="BV242" s="91" t="n"/>
      <c r="BW242" s="91" t="n"/>
      <c r="BX242" s="91" t="n"/>
      <c r="BY242" s="91" t="n"/>
      <c r="BZ242" s="91">
        <f>SUM(BN242:BY242)</f>
        <v/>
      </c>
      <c r="CA242" s="91" t="n"/>
      <c r="CB242" s="91" t="n"/>
      <c r="CC242" s="91" t="n"/>
      <c r="CD242" s="91" t="n"/>
      <c r="CE242" s="91" t="n"/>
      <c r="CF242" s="91" t="n"/>
      <c r="CG242" s="91" t="n"/>
      <c r="CH242" s="91" t="inlineStr"/>
      <c r="CI242" s="91" t="n"/>
      <c r="CJ242" s="91" t="inlineStr"/>
      <c r="CK242" s="91" t="n"/>
      <c r="CL242" s="91" t="n">
        <v>43024.28</v>
      </c>
      <c r="CM242" s="91">
        <f>SUM(CA242:CL242)</f>
        <v/>
      </c>
      <c r="CN242" s="91" t="n"/>
      <c r="CO242" s="91" t="n"/>
      <c r="CP242" s="91" t="n"/>
      <c r="CQ242" s="93" t="n"/>
      <c r="CR242" s="94" t="n"/>
      <c r="CS242" s="94" t="n"/>
      <c r="CT242" s="91" t="n"/>
      <c r="CU242" s="91" t="n"/>
      <c r="CV242" s="91" t="n"/>
      <c r="CW242" s="91" t="n"/>
      <c r="CX242" s="91" t="n"/>
      <c r="CY242" s="91" t="n"/>
      <c r="CZ242" s="91">
        <f>SUM(CN242:CY242)</f>
        <v/>
      </c>
      <c r="DA242" s="35" t="n"/>
    </row>
    <row r="243" ht="18.75" customFormat="1" customHeight="1" s="1">
      <c r="A243" s="30" t="n">
        <v>244</v>
      </c>
      <c r="B243" s="31" t="inlineStr">
        <is>
          <t>广东省</t>
        </is>
      </c>
      <c r="C243" s="31" t="inlineStr">
        <is>
          <t>深圳市</t>
        </is>
      </c>
      <c r="D243" s="31" t="inlineStr">
        <is>
          <t>钟家明</t>
        </is>
      </c>
      <c r="E243" s="89" t="n"/>
      <c r="F243" s="27" t="inlineStr">
        <is>
          <t>2026</t>
        </is>
      </c>
      <c r="G243" s="27" t="inlineStr">
        <is>
          <t>3</t>
        </is>
      </c>
      <c r="H243" s="91" t="n">
        <v>200</v>
      </c>
      <c r="I243" s="91" t="n"/>
      <c r="J243" s="91" t="n"/>
      <c r="K243" s="91">
        <f>+H243+I243+J243</f>
        <v/>
      </c>
      <c r="L243" s="91" t="n"/>
      <c r="M243" s="91" t="inlineStr"/>
      <c r="N243" s="91" t="n"/>
      <c r="O243" s="91" t="n"/>
      <c r="P243" s="91" t="n"/>
      <c r="Q243" s="91" t="n"/>
      <c r="R243" s="91" t="n"/>
      <c r="S243" s="91" t="n"/>
      <c r="T243" s="91" t="n"/>
      <c r="U243" s="91" t="n"/>
      <c r="V243" s="91" t="n"/>
      <c r="W243" s="91" t="n"/>
      <c r="X243" s="91" t="n"/>
      <c r="Y243" s="91" t="n"/>
      <c r="Z243" s="91" t="n"/>
      <c r="AA243" s="91" t="n"/>
      <c r="AB243" s="91" t="n"/>
      <c r="AC243" s="91" t="n"/>
      <c r="AD243" s="91" t="n"/>
      <c r="AE243" s="91" t="n"/>
      <c r="AF243" s="91" t="n"/>
      <c r="AG243" s="30" t="n"/>
      <c r="AH243" s="30" t="n"/>
      <c r="AI243" s="30" t="n"/>
      <c r="AJ243" s="30" t="n"/>
      <c r="AK243" s="30" t="n"/>
      <c r="AL243" s="30" t="n"/>
      <c r="AM243" s="91" t="n"/>
      <c r="AN243" s="91" t="n"/>
      <c r="AO243" s="91" t="n"/>
      <c r="AP243" s="91" t="n"/>
      <c r="AQ243" s="91" t="n"/>
      <c r="AR243" s="91" t="n"/>
      <c r="AS243" s="91" t="n"/>
      <c r="AT243" s="91" t="n"/>
      <c r="AU243" s="91" t="n"/>
      <c r="AV243" s="31" t="n"/>
      <c r="AW243" s="36" t="n"/>
      <c r="AX243" s="16" t="n"/>
      <c r="AY243" s="31" t="n"/>
      <c r="AZ243" s="92" t="n"/>
      <c r="BA243" s="91" t="n"/>
      <c r="BB243" s="91" t="n"/>
      <c r="BC243" s="91" t="n"/>
      <c r="BD243" s="91" t="n"/>
      <c r="BE243" s="91" t="n"/>
      <c r="BF243" s="91" t="n"/>
      <c r="BG243" s="91" t="n"/>
      <c r="BH243" s="91" t="n"/>
      <c r="BI243" s="91" t="n"/>
      <c r="BJ243" s="91" t="n"/>
      <c r="BK243" s="91" t="n"/>
      <c r="BL243" s="91" t="n"/>
      <c r="BM243" s="91" t="n"/>
      <c r="BN243" s="91" t="n"/>
      <c r="BO243" s="91" t="n"/>
      <c r="BP243" s="91" t="n"/>
      <c r="BQ243" s="91" t="n"/>
      <c r="BR243" s="91" t="n"/>
      <c r="BS243" s="91" t="n"/>
      <c r="BT243" s="91" t="n"/>
      <c r="BU243" s="91" t="n"/>
      <c r="BV243" s="91" t="n"/>
      <c r="BW243" s="91" t="n"/>
      <c r="BX243" s="91" t="n"/>
      <c r="BY243" s="91" t="n"/>
      <c r="BZ243" s="91">
        <f>SUM(BN243:BY243)</f>
        <v/>
      </c>
      <c r="CA243" s="91" t="n"/>
      <c r="CB243" s="91" t="n"/>
      <c r="CC243" s="91" t="n"/>
      <c r="CD243" s="91" t="n"/>
      <c r="CE243" s="91" t="n"/>
      <c r="CF243" s="91" t="n"/>
      <c r="CG243" s="91" t="n"/>
      <c r="CH243" s="91" t="inlineStr"/>
      <c r="CI243" s="91" t="n"/>
      <c r="CJ243" s="91" t="inlineStr"/>
      <c r="CK243" s="91" t="n"/>
      <c r="CL243" s="91" t="n">
        <v>39167.19</v>
      </c>
      <c r="CM243" s="91">
        <f>SUM(CA243:CL243)</f>
        <v/>
      </c>
      <c r="CN243" s="91" t="n"/>
      <c r="CO243" s="91" t="n"/>
      <c r="CP243" s="91" t="n"/>
      <c r="CQ243" s="93" t="n"/>
      <c r="CR243" s="94" t="n"/>
      <c r="CS243" s="94" t="n"/>
      <c r="CT243" s="91" t="n"/>
      <c r="CU243" s="91" t="n"/>
      <c r="CV243" s="91" t="n"/>
      <c r="CW243" s="91" t="n"/>
      <c r="CX243" s="91" t="n"/>
      <c r="CY243" s="91" t="n"/>
      <c r="CZ243" s="91">
        <f>SUM(CN243:CY243)</f>
        <v/>
      </c>
      <c r="DA243" s="35" t="n"/>
    </row>
    <row r="244" ht="18.75" customFormat="1" customHeight="1" s="1">
      <c r="A244" s="30" t="n">
        <v>245</v>
      </c>
      <c r="B244" s="31" t="inlineStr">
        <is>
          <t>湖南省</t>
        </is>
      </c>
      <c r="C244" s="31" t="inlineStr">
        <is>
          <t>长沙市</t>
        </is>
      </c>
      <c r="D244" s="31" t="inlineStr">
        <is>
          <t>崔佳</t>
        </is>
      </c>
      <c r="E244" s="89" t="n"/>
      <c r="F244" s="27" t="n"/>
      <c r="G244" s="27" t="n"/>
      <c r="H244" s="91" t="n"/>
      <c r="I244" s="91" t="n"/>
      <c r="J244" s="91" t="n"/>
      <c r="K244" s="91">
        <f>+H244+I244+J244</f>
        <v/>
      </c>
      <c r="L244" s="91" t="n"/>
      <c r="M244" s="91" t="inlineStr"/>
      <c r="N244" s="91" t="n"/>
      <c r="O244" s="91" t="n"/>
      <c r="P244" s="91" t="n"/>
      <c r="Q244" s="91" t="n"/>
      <c r="R244" s="91" t="n"/>
      <c r="S244" s="91" t="n"/>
      <c r="T244" s="91" t="n"/>
      <c r="U244" s="91" t="n"/>
      <c r="V244" s="91" t="n"/>
      <c r="W244" s="91" t="n"/>
      <c r="X244" s="91" t="n"/>
      <c r="Y244" s="91" t="n"/>
      <c r="Z244" s="91" t="n"/>
      <c r="AA244" s="91" t="n"/>
      <c r="AB244" s="91" t="n"/>
      <c r="AC244" s="91" t="n"/>
      <c r="AD244" s="91" t="n"/>
      <c r="AE244" s="91" t="n"/>
      <c r="AF244" s="91" t="n"/>
      <c r="AG244" s="30" t="n"/>
      <c r="AH244" s="30" t="n"/>
      <c r="AI244" s="30" t="n"/>
      <c r="AJ244" s="30" t="n"/>
      <c r="AK244" s="30" t="n"/>
      <c r="AL244" s="30" t="n"/>
      <c r="AM244" s="91" t="n"/>
      <c r="AN244" s="91" t="n"/>
      <c r="AO244" s="91" t="n"/>
      <c r="AP244" s="91" t="n"/>
      <c r="AQ244" s="91" t="n"/>
      <c r="AR244" s="91" t="n"/>
      <c r="AS244" s="91" t="n"/>
      <c r="AT244" s="91" t="n"/>
      <c r="AU244" s="91" t="n"/>
      <c r="AV244" s="31" t="n"/>
      <c r="AW244" s="36" t="n"/>
      <c r="AX244" s="16" t="n"/>
      <c r="AY244" s="31" t="n"/>
      <c r="AZ244" s="92" t="n"/>
      <c r="BA244" s="91" t="n"/>
      <c r="BB244" s="91" t="n"/>
      <c r="BC244" s="91" t="n"/>
      <c r="BD244" s="91" t="n"/>
      <c r="BE244" s="91" t="n"/>
      <c r="BF244" s="91" t="n"/>
      <c r="BG244" s="91" t="n"/>
      <c r="BH244" s="91" t="n"/>
      <c r="BI244" s="91" t="n"/>
      <c r="BJ244" s="91" t="n"/>
      <c r="BK244" s="91" t="n"/>
      <c r="BL244" s="91" t="n"/>
      <c r="BM244" s="91" t="n"/>
      <c r="BN244" s="91" t="n"/>
      <c r="BO244" s="91" t="n"/>
      <c r="BP244" s="91" t="n"/>
      <c r="BQ244" s="91" t="n"/>
      <c r="BR244" s="91" t="n"/>
      <c r="BS244" s="91" t="n"/>
      <c r="BT244" s="91" t="n"/>
      <c r="BU244" s="91" t="n"/>
      <c r="BV244" s="91" t="n"/>
      <c r="BW244" s="91" t="n"/>
      <c r="BX244" s="91" t="n"/>
      <c r="BY244" s="91" t="n"/>
      <c r="BZ244" s="91">
        <f>SUM(BN244:BY244)</f>
        <v/>
      </c>
      <c r="CA244" s="91" t="n"/>
      <c r="CB244" s="91" t="n"/>
      <c r="CC244" s="91" t="n"/>
      <c r="CD244" s="91" t="n"/>
      <c r="CE244" s="91" t="n"/>
      <c r="CF244" s="91" t="n"/>
      <c r="CG244" s="91" t="n"/>
      <c r="CH244" s="91" t="inlineStr"/>
      <c r="CI244" s="91" t="n"/>
      <c r="CJ244" s="91" t="inlineStr"/>
      <c r="CK244" s="91" t="n"/>
      <c r="CL244" s="91" t="n">
        <v>12074</v>
      </c>
      <c r="CM244" s="91">
        <f>SUM(CA244:CL244)</f>
        <v/>
      </c>
      <c r="CN244" s="91" t="n"/>
      <c r="CO244" s="91" t="n"/>
      <c r="CP244" s="91" t="n"/>
      <c r="CQ244" s="93" t="n"/>
      <c r="CR244" s="94" t="n"/>
      <c r="CS244" s="94" t="n"/>
      <c r="CT244" s="91" t="n"/>
      <c r="CU244" s="91" t="n"/>
      <c r="CV244" s="91" t="n"/>
      <c r="CW244" s="91" t="n"/>
      <c r="CX244" s="91" t="n"/>
      <c r="CY244" s="91" t="n"/>
      <c r="CZ244" s="91">
        <f>SUM(CN244:CY244)</f>
        <v/>
      </c>
      <c r="DA244" s="35" t="n"/>
    </row>
    <row r="245" ht="18.75" customFormat="1" customHeight="1" s="1">
      <c r="A245" s="30" t="n">
        <v>247</v>
      </c>
      <c r="B245" s="31" t="inlineStr">
        <is>
          <t>宁夏</t>
        </is>
      </c>
      <c r="C245" s="31" t="inlineStr">
        <is>
          <t>吴忠同心县</t>
        </is>
      </c>
      <c r="D245" s="31" t="inlineStr">
        <is>
          <t>马成龙</t>
        </is>
      </c>
      <c r="E245" s="89" t="n"/>
      <c r="F245" s="27" t="inlineStr">
        <is>
          <t>2025/2026</t>
        </is>
      </c>
      <c r="G245" s="27" t="inlineStr">
        <is>
          <t>12/1</t>
        </is>
      </c>
      <c r="H245" s="98">
        <f>28907.11+114459</f>
        <v/>
      </c>
      <c r="I245" s="91">
        <f>27112+2823</f>
        <v/>
      </c>
      <c r="J245" s="91" t="n">
        <v>11569</v>
      </c>
      <c r="K245" s="91">
        <f>+H245+I245+J245</f>
        <v/>
      </c>
      <c r="L245" s="91" t="inlineStr">
        <is>
          <t>7折</t>
        </is>
      </c>
      <c r="M245" s="91" t="n">
        <v>50324</v>
      </c>
      <c r="N245" s="91" t="n"/>
      <c r="O245" s="91" t="n"/>
      <c r="P245" s="91" t="n"/>
      <c r="Q245" s="91" t="n"/>
      <c r="R245" s="91" t="n"/>
      <c r="S245" s="91" t="n"/>
      <c r="T245" s="91" t="n"/>
      <c r="U245" s="91" t="n"/>
      <c r="V245" s="91" t="n"/>
      <c r="W245" s="91" t="n"/>
      <c r="X245" s="91" t="n"/>
      <c r="Y245" s="91" t="n"/>
      <c r="Z245" s="91" t="n"/>
      <c r="AA245" s="91" t="n"/>
      <c r="AB245" s="91" t="n"/>
      <c r="AC245" s="91" t="n"/>
      <c r="AD245" s="91" t="n"/>
      <c r="AE245" s="91" t="n"/>
      <c r="AF245" s="91" t="n"/>
      <c r="AG245" s="30" t="n"/>
      <c r="AH245" s="30" t="n"/>
      <c r="AI245" s="30" t="n"/>
      <c r="AJ245" s="30" t="n"/>
      <c r="AK245" s="30" t="n"/>
      <c r="AL245" s="30" t="n"/>
      <c r="AM245" s="91" t="n"/>
      <c r="AN245" s="91" t="n"/>
      <c r="AO245" s="91" t="n"/>
      <c r="AP245" s="91" t="n"/>
      <c r="AQ245" s="91" t="n"/>
      <c r="AR245" s="91" t="n"/>
      <c r="AS245" s="91" t="n"/>
      <c r="AT245" s="91" t="n"/>
      <c r="AU245" s="91" t="n"/>
      <c r="AV245" s="31" t="n"/>
      <c r="AW245" s="36" t="n"/>
      <c r="AX245" s="16" t="n"/>
      <c r="AY245" s="31" t="n"/>
      <c r="AZ245" s="92" t="n"/>
      <c r="BA245" s="91" t="n"/>
      <c r="BB245" s="91" t="n"/>
      <c r="BC245" s="91" t="n"/>
      <c r="BD245" s="91" t="n"/>
      <c r="BE245" s="91" t="n"/>
      <c r="BF245" s="91" t="n"/>
      <c r="BG245" s="91" t="n"/>
      <c r="BH245" s="91" t="n"/>
      <c r="BI245" s="91" t="n"/>
      <c r="BJ245" s="91" t="n"/>
      <c r="BK245" s="91" t="n"/>
      <c r="BL245" s="91" t="n"/>
      <c r="BM245" s="91" t="n"/>
      <c r="BN245" s="91" t="n"/>
      <c r="BO245" s="91" t="n"/>
      <c r="BP245" s="91" t="n"/>
      <c r="BQ245" s="91" t="n"/>
      <c r="BR245" s="91" t="n"/>
      <c r="BS245" s="91" t="n"/>
      <c r="BT245" s="91" t="n"/>
      <c r="BU245" s="91" t="n"/>
      <c r="BV245" s="91" t="n"/>
      <c r="BW245" s="91" t="n"/>
      <c r="BX245" s="91" t="n"/>
      <c r="BY245" s="91" t="n"/>
      <c r="BZ245" s="91">
        <f>SUM(BN245:BY245)</f>
        <v/>
      </c>
      <c r="CA245" s="91" t="n"/>
      <c r="CB245" s="91" t="n"/>
      <c r="CC245" s="91" t="n"/>
      <c r="CD245" s="91" t="n"/>
      <c r="CE245" s="91" t="n"/>
      <c r="CF245" s="91" t="n"/>
      <c r="CG245" s="91" t="n"/>
      <c r="CH245" s="91" t="inlineStr"/>
      <c r="CI245" s="91" t="n"/>
      <c r="CJ245" s="91" t="inlineStr"/>
      <c r="CK245" s="91" t="n"/>
      <c r="CL245" s="91" t="inlineStr"/>
      <c r="CM245" s="91">
        <f>SUM(CA245:CL245)</f>
        <v/>
      </c>
      <c r="CN245" s="91" t="n"/>
      <c r="CO245" s="91" t="n"/>
      <c r="CP245" s="91" t="n"/>
      <c r="CQ245" s="93" t="n"/>
      <c r="CR245" s="94" t="n"/>
      <c r="CS245" s="94" t="n"/>
      <c r="CT245" s="91" t="n"/>
      <c r="CU245" s="91" t="n"/>
      <c r="CV245" s="91" t="n"/>
      <c r="CW245" s="91" t="n"/>
      <c r="CX245" s="91" t="n"/>
      <c r="CY245" s="91" t="n"/>
      <c r="CZ245" s="91">
        <f>SUM(CN245:CY245)</f>
        <v/>
      </c>
      <c r="DA245" s="35" t="n"/>
    </row>
    <row r="246" ht="18.75" customFormat="1" customHeight="1" s="1">
      <c r="A246" s="30" t="n">
        <v>248</v>
      </c>
      <c r="B246" s="69" t="inlineStr">
        <is>
          <t>陕西</t>
        </is>
      </c>
      <c r="C246" s="69" t="inlineStr">
        <is>
          <t>西安未央</t>
        </is>
      </c>
      <c r="D246" s="69" t="inlineStr">
        <is>
          <t>何小祎</t>
        </is>
      </c>
      <c r="E246" s="89" t="n"/>
      <c r="F246" s="27" t="inlineStr">
        <is>
          <t>2026</t>
        </is>
      </c>
      <c r="G246" s="27" t="inlineStr">
        <is>
          <t>1</t>
        </is>
      </c>
      <c r="H246" s="91" t="n">
        <v>4208</v>
      </c>
      <c r="I246" s="91" t="n">
        <v>6143</v>
      </c>
      <c r="J246" s="91" t="n"/>
      <c r="K246" s="91">
        <f>+H246+I246+J246</f>
        <v/>
      </c>
      <c r="L246" s="91" t="n"/>
      <c r="M246" s="91" t="n">
        <v>10350</v>
      </c>
      <c r="N246" s="91" t="n"/>
      <c r="O246" s="91" t="n"/>
      <c r="P246" s="91" t="n"/>
      <c r="Q246" s="91" t="n"/>
      <c r="R246" s="91" t="n"/>
      <c r="S246" s="91" t="n"/>
      <c r="T246" s="91" t="n"/>
      <c r="U246" s="91" t="n"/>
      <c r="V246" s="91" t="n"/>
      <c r="W246" s="91" t="n"/>
      <c r="X246" s="91" t="n"/>
      <c r="Y246" s="91" t="n"/>
      <c r="Z246" s="91" t="n"/>
      <c r="AA246" s="91" t="n"/>
      <c r="AB246" s="91" t="n"/>
      <c r="AC246" s="91" t="n"/>
      <c r="AD246" s="91" t="n"/>
      <c r="AE246" s="91" t="n"/>
      <c r="AF246" s="91" t="n"/>
      <c r="AG246" s="30" t="n"/>
      <c r="AH246" s="30" t="n"/>
      <c r="AI246" s="30" t="n"/>
      <c r="AJ246" s="30" t="n"/>
      <c r="AK246" s="30" t="n"/>
      <c r="AL246" s="30" t="n"/>
      <c r="AM246" s="91" t="n"/>
      <c r="AN246" s="91" t="n"/>
      <c r="AO246" s="91" t="n"/>
      <c r="AP246" s="91" t="n"/>
      <c r="AQ246" s="91" t="n"/>
      <c r="AR246" s="91" t="n"/>
      <c r="AS246" s="91" t="n"/>
      <c r="AT246" s="91" t="n"/>
      <c r="AU246" s="91" t="n"/>
      <c r="AV246" s="31" t="n"/>
      <c r="AW246" s="36" t="n"/>
      <c r="AX246" s="16" t="n"/>
      <c r="AY246" s="31" t="n"/>
      <c r="AZ246" s="92" t="n"/>
      <c r="BA246" s="91" t="n"/>
      <c r="BB246" s="91" t="n"/>
      <c r="BC246" s="91" t="n"/>
      <c r="BD246" s="91" t="n"/>
      <c r="BE246" s="91" t="n"/>
      <c r="BF246" s="91" t="n"/>
      <c r="BG246" s="91" t="n"/>
      <c r="BH246" s="91" t="n"/>
      <c r="BI246" s="91" t="n"/>
      <c r="BJ246" s="91" t="n"/>
      <c r="BK246" s="91" t="n"/>
      <c r="BL246" s="91" t="n"/>
      <c r="BM246" s="91" t="n"/>
      <c r="BN246" s="91" t="n"/>
      <c r="BO246" s="91" t="n"/>
      <c r="BP246" s="91" t="n"/>
      <c r="BQ246" s="91" t="n"/>
      <c r="BR246" s="91" t="n"/>
      <c r="BS246" s="91" t="n"/>
      <c r="BT246" s="91" t="n"/>
      <c r="BU246" s="91" t="n"/>
      <c r="BV246" s="91" t="n"/>
      <c r="BW246" s="91" t="n"/>
      <c r="BX246" s="91" t="n"/>
      <c r="BY246" s="91" t="n"/>
      <c r="BZ246" s="91">
        <f>SUM(BN246:BY246)</f>
        <v/>
      </c>
      <c r="CA246" s="91" t="n"/>
      <c r="CB246" s="91" t="n"/>
      <c r="CC246" s="91" t="n"/>
      <c r="CD246" s="91" t="n"/>
      <c r="CE246" s="91" t="n"/>
      <c r="CF246" s="91" t="n"/>
      <c r="CG246" s="91" t="n"/>
      <c r="CH246" s="91" t="inlineStr"/>
      <c r="CI246" s="91" t="n"/>
      <c r="CJ246" s="91" t="inlineStr"/>
      <c r="CK246" s="91" t="n"/>
      <c r="CL246" s="91" t="inlineStr"/>
      <c r="CM246" s="91">
        <f>SUM(CA246:CL246)</f>
        <v/>
      </c>
      <c r="CN246" s="91" t="n"/>
      <c r="CO246" s="91" t="n"/>
      <c r="CP246" s="91" t="n"/>
      <c r="CQ246" s="93" t="n"/>
      <c r="CR246" s="94" t="n"/>
      <c r="CS246" s="94" t="n"/>
      <c r="CT246" s="91" t="n"/>
      <c r="CU246" s="91" t="n"/>
      <c r="CV246" s="91" t="n"/>
      <c r="CW246" s="91" t="n"/>
      <c r="CX246" s="91" t="n"/>
      <c r="CY246" s="91" t="n"/>
      <c r="CZ246" s="91">
        <f>SUM(CN246:CY246)</f>
        <v/>
      </c>
      <c r="DA246" s="35" t="n"/>
    </row>
    <row r="247" ht="18.75" customFormat="1" customHeight="1" s="1">
      <c r="A247" s="30" t="n">
        <v>249</v>
      </c>
      <c r="B247" s="69" t="inlineStr">
        <is>
          <t>河南</t>
        </is>
      </c>
      <c r="C247" s="69" t="inlineStr">
        <is>
          <t>长垣</t>
        </is>
      </c>
      <c r="D247" s="69" t="inlineStr">
        <is>
          <t>秦国全</t>
        </is>
      </c>
      <c r="E247" s="89" t="n"/>
      <c r="F247" s="27" t="inlineStr">
        <is>
          <t>2026</t>
        </is>
      </c>
      <c r="G247" s="27" t="inlineStr">
        <is>
          <t>1</t>
        </is>
      </c>
      <c r="H247" s="91" t="n">
        <v>84739.31</v>
      </c>
      <c r="I247" s="91" t="n">
        <v>15796</v>
      </c>
      <c r="J247" s="91" t="n">
        <v>4095</v>
      </c>
      <c r="K247" s="91">
        <f>+H247+I247+J247</f>
        <v/>
      </c>
      <c r="L247" s="91" t="inlineStr">
        <is>
          <t>7折</t>
        </is>
      </c>
      <c r="M247" s="91" t="n">
        <v>83392</v>
      </c>
      <c r="N247" s="91" t="n"/>
      <c r="O247" s="91" t="n"/>
      <c r="P247" s="91" t="n"/>
      <c r="Q247" s="91" t="n"/>
      <c r="R247" s="91" t="n"/>
      <c r="S247" s="91" t="n"/>
      <c r="T247" s="91" t="n"/>
      <c r="U247" s="91" t="n"/>
      <c r="V247" s="91" t="n"/>
      <c r="W247" s="91" t="n"/>
      <c r="X247" s="91" t="n"/>
      <c r="Y247" s="91" t="n"/>
      <c r="Z247" s="91" t="n"/>
      <c r="AA247" s="91" t="n"/>
      <c r="AB247" s="91" t="n"/>
      <c r="AC247" s="91" t="n"/>
      <c r="AD247" s="91" t="n"/>
      <c r="AE247" s="91" t="n"/>
      <c r="AF247" s="91" t="n"/>
      <c r="AG247" s="30" t="n"/>
      <c r="AH247" s="30" t="n"/>
      <c r="AI247" s="30" t="n"/>
      <c r="AJ247" s="30" t="n"/>
      <c r="AK247" s="30" t="n"/>
      <c r="AL247" s="30" t="n"/>
      <c r="AM247" s="91" t="n"/>
      <c r="AN247" s="91" t="n"/>
      <c r="AO247" s="91" t="n"/>
      <c r="AP247" s="91" t="n"/>
      <c r="AQ247" s="91" t="n"/>
      <c r="AR247" s="91" t="n"/>
      <c r="AS247" s="91" t="n"/>
      <c r="AT247" s="91" t="n"/>
      <c r="AU247" s="91" t="n"/>
      <c r="AV247" s="31" t="n"/>
      <c r="AW247" s="36" t="n"/>
      <c r="AX247" s="16" t="n"/>
      <c r="AY247" s="31" t="n"/>
      <c r="AZ247" s="92" t="n"/>
      <c r="BA247" s="91" t="n"/>
      <c r="BB247" s="91" t="n"/>
      <c r="BC247" s="91" t="n"/>
      <c r="BD247" s="91" t="n"/>
      <c r="BE247" s="91" t="n"/>
      <c r="BF247" s="91" t="n"/>
      <c r="BG247" s="91" t="n"/>
      <c r="BH247" s="91" t="n"/>
      <c r="BI247" s="91" t="n"/>
      <c r="BJ247" s="91" t="n"/>
      <c r="BK247" s="91" t="n"/>
      <c r="BL247" s="91" t="n"/>
      <c r="BM247" s="91" t="n"/>
      <c r="BN247" s="91" t="n"/>
      <c r="BO247" s="91" t="n"/>
      <c r="BP247" s="91" t="n"/>
      <c r="BQ247" s="91" t="n"/>
      <c r="BR247" s="91" t="n"/>
      <c r="BS247" s="91" t="n"/>
      <c r="BT247" s="91" t="n"/>
      <c r="BU247" s="91" t="n"/>
      <c r="BV247" s="91" t="n"/>
      <c r="BW247" s="91" t="n"/>
      <c r="BX247" s="91" t="n"/>
      <c r="BY247" s="91" t="n"/>
      <c r="BZ247" s="91">
        <f>SUM(BN247:BY247)</f>
        <v/>
      </c>
      <c r="CA247" s="91" t="n"/>
      <c r="CB247" s="91" t="n"/>
      <c r="CC247" s="91" t="n"/>
      <c r="CD247" s="91" t="n"/>
      <c r="CE247" s="91" t="n"/>
      <c r="CF247" s="91" t="n"/>
      <c r="CG247" s="91" t="n"/>
      <c r="CH247" s="91" t="inlineStr"/>
      <c r="CI247" s="91" t="n"/>
      <c r="CJ247" s="91" t="inlineStr"/>
      <c r="CK247" s="91" t="n"/>
      <c r="CL247" s="91" t="inlineStr"/>
      <c r="CM247" s="91">
        <f>SUM(CA247:CL247)</f>
        <v/>
      </c>
      <c r="CN247" s="91" t="n"/>
      <c r="CO247" s="91" t="n"/>
      <c r="CP247" s="91" t="n"/>
      <c r="CQ247" s="93" t="n"/>
      <c r="CR247" s="94" t="n"/>
      <c r="CS247" s="94" t="n"/>
      <c r="CT247" s="91" t="n"/>
      <c r="CU247" s="91" t="n"/>
      <c r="CV247" s="91" t="n"/>
      <c r="CW247" s="91" t="n"/>
      <c r="CX247" s="91" t="n"/>
      <c r="CY247" s="91" t="n"/>
      <c r="CZ247" s="91">
        <f>SUM(CN247:CY247)</f>
        <v/>
      </c>
      <c r="DA247" s="35" t="n"/>
    </row>
    <row r="248" ht="18.75" customFormat="1" customHeight="1" s="1">
      <c r="A248" s="30" t="n">
        <v>250</v>
      </c>
      <c r="B248" s="69" t="inlineStr">
        <is>
          <t>山西</t>
        </is>
      </c>
      <c r="C248" s="69" t="inlineStr">
        <is>
          <t>临汾尧都区</t>
        </is>
      </c>
      <c r="D248" s="69" t="inlineStr">
        <is>
          <t>陈军伟</t>
        </is>
      </c>
      <c r="E248" s="89" t="n"/>
      <c r="F248" s="27" t="inlineStr">
        <is>
          <t>2026</t>
        </is>
      </c>
      <c r="G248" s="27" t="inlineStr">
        <is>
          <t>1/3/4</t>
        </is>
      </c>
      <c r="H248" s="91">
        <f>98132.67+5756+6245</f>
        <v/>
      </c>
      <c r="I248" s="91" t="n">
        <v>32980</v>
      </c>
      <c r="J248" s="91" t="n"/>
      <c r="K248" s="91">
        <f>+H248+I248+J248</f>
        <v/>
      </c>
      <c r="L248" s="91" t="inlineStr">
        <is>
          <t>8折</t>
        </is>
      </c>
      <c r="M248" s="91" t="n">
        <v>108086</v>
      </c>
      <c r="N248" s="91" t="n"/>
      <c r="O248" s="91" t="n"/>
      <c r="P248" s="91" t="n"/>
      <c r="Q248" s="91" t="n"/>
      <c r="R248" s="91" t="n"/>
      <c r="S248" s="91" t="n"/>
      <c r="T248" s="91" t="n"/>
      <c r="U248" s="91" t="n"/>
      <c r="V248" s="91" t="n"/>
      <c r="W248" s="91" t="n"/>
      <c r="X248" s="91" t="n"/>
      <c r="Y248" s="91" t="n"/>
      <c r="Z248" s="91" t="n"/>
      <c r="AA248" s="91" t="n"/>
      <c r="AB248" s="91" t="n"/>
      <c r="AC248" s="91" t="n"/>
      <c r="AD248" s="91" t="n"/>
      <c r="AE248" s="91" t="n"/>
      <c r="AF248" s="91" t="n"/>
      <c r="AG248" s="30" t="n"/>
      <c r="AH248" s="30" t="n"/>
      <c r="AI248" s="30" t="n"/>
      <c r="AJ248" s="30" t="n"/>
      <c r="AK248" s="30" t="n"/>
      <c r="AL248" s="30" t="n"/>
      <c r="AM248" s="91" t="n"/>
      <c r="AN248" s="91" t="n"/>
      <c r="AO248" s="91" t="n"/>
      <c r="AP248" s="91" t="n"/>
      <c r="AQ248" s="91" t="n"/>
      <c r="AR248" s="91" t="n"/>
      <c r="AS248" s="91" t="n"/>
      <c r="AT248" s="91" t="n"/>
      <c r="AU248" s="91" t="n"/>
      <c r="AV248" s="31" t="n"/>
      <c r="AW248" s="36" t="n"/>
      <c r="AX248" s="16" t="n"/>
      <c r="AY248" s="31" t="n"/>
      <c r="AZ248" s="92" t="n"/>
      <c r="BA248" s="91" t="n"/>
      <c r="BB248" s="91" t="n"/>
      <c r="BC248" s="91" t="n"/>
      <c r="BD248" s="91" t="n"/>
      <c r="BE248" s="91" t="n"/>
      <c r="BF248" s="91" t="n"/>
      <c r="BG248" s="91" t="n"/>
      <c r="BH248" s="91" t="n"/>
      <c r="BI248" s="91" t="n"/>
      <c r="BJ248" s="91" t="n"/>
      <c r="BK248" s="91" t="n"/>
      <c r="BL248" s="91" t="n"/>
      <c r="BM248" s="91" t="n"/>
      <c r="BN248" s="91" t="n"/>
      <c r="BO248" s="91" t="n"/>
      <c r="BP248" s="91" t="n"/>
      <c r="BQ248" s="91" t="n"/>
      <c r="BR248" s="91" t="n"/>
      <c r="BS248" s="91" t="n"/>
      <c r="BT248" s="91" t="n"/>
      <c r="BU248" s="91" t="n"/>
      <c r="BV248" s="91" t="n"/>
      <c r="BW248" s="91" t="n"/>
      <c r="BX248" s="91" t="n"/>
      <c r="BY248" s="91" t="n"/>
      <c r="BZ248" s="91">
        <f>SUM(BN248:BY248)</f>
        <v/>
      </c>
      <c r="CA248" s="91" t="n"/>
      <c r="CB248" s="91" t="n"/>
      <c r="CC248" s="91" t="n"/>
      <c r="CD248" s="91" t="n"/>
      <c r="CE248" s="91" t="n"/>
      <c r="CF248" s="91" t="n"/>
      <c r="CG248" s="91" t="n"/>
      <c r="CH248" s="91" t="inlineStr"/>
      <c r="CI248" s="91" t="n"/>
      <c r="CJ248" s="91" t="inlineStr"/>
      <c r="CK248" s="91" t="n"/>
      <c r="CL248" s="91" t="inlineStr"/>
      <c r="CM248" s="91">
        <f>SUM(CA248:CL248)</f>
        <v/>
      </c>
      <c r="CN248" s="91" t="n"/>
      <c r="CO248" s="91" t="n"/>
      <c r="CP248" s="91" t="n"/>
      <c r="CQ248" s="93" t="n"/>
      <c r="CR248" s="94" t="n"/>
      <c r="CS248" s="94" t="n"/>
      <c r="CT248" s="91" t="n"/>
      <c r="CU248" s="91" t="n"/>
      <c r="CV248" s="91" t="n"/>
      <c r="CW248" s="91" t="n"/>
      <c r="CX248" s="91" t="n"/>
      <c r="CY248" s="91" t="n"/>
      <c r="CZ248" s="91">
        <f>SUM(CN248:CY248)</f>
        <v/>
      </c>
      <c r="DA248" s="35" t="n"/>
    </row>
    <row r="249" ht="18.75" customFormat="1" customHeight="1" s="1">
      <c r="A249" s="30" t="n">
        <v>251</v>
      </c>
      <c r="B249" s="69" t="inlineStr">
        <is>
          <t>陕西</t>
        </is>
      </c>
      <c r="C249" s="69" t="inlineStr">
        <is>
          <t>西安市雁塔区</t>
        </is>
      </c>
      <c r="D249" s="69" t="inlineStr">
        <is>
          <t>洪平荣</t>
        </is>
      </c>
      <c r="E249" s="89" t="n"/>
      <c r="F249" s="27" t="inlineStr">
        <is>
          <t>2026</t>
        </is>
      </c>
      <c r="G249" s="27" t="inlineStr">
        <is>
          <t>1</t>
        </is>
      </c>
      <c r="H249" s="70" t="n"/>
      <c r="I249" s="91" t="n"/>
      <c r="J249" s="91" t="n">
        <v>3702</v>
      </c>
      <c r="K249" s="91">
        <f>+H249+I249+J249</f>
        <v/>
      </c>
      <c r="L249" s="91" t="n"/>
      <c r="M249" s="91" t="n">
        <v>3702</v>
      </c>
      <c r="N249" s="91" t="n"/>
      <c r="O249" s="91" t="n"/>
      <c r="P249" s="91" t="n"/>
      <c r="Q249" s="91" t="n"/>
      <c r="R249" s="91" t="n"/>
      <c r="S249" s="91" t="n"/>
      <c r="T249" s="91" t="n"/>
      <c r="U249" s="91" t="n"/>
      <c r="V249" s="91" t="n"/>
      <c r="W249" s="91" t="n"/>
      <c r="X249" s="91" t="n"/>
      <c r="Y249" s="91" t="n"/>
      <c r="Z249" s="91" t="n"/>
      <c r="AA249" s="91" t="n"/>
      <c r="AB249" s="91" t="n"/>
      <c r="AC249" s="91" t="n"/>
      <c r="AD249" s="91" t="n"/>
      <c r="AE249" s="91" t="n"/>
      <c r="AF249" s="91" t="n"/>
      <c r="AG249" s="30" t="n"/>
      <c r="AH249" s="30" t="n"/>
      <c r="AI249" s="30" t="n"/>
      <c r="AJ249" s="30" t="n"/>
      <c r="AK249" s="30" t="n"/>
      <c r="AL249" s="30" t="n"/>
      <c r="AM249" s="91" t="n"/>
      <c r="AN249" s="91" t="n"/>
      <c r="AO249" s="91" t="n"/>
      <c r="AP249" s="91" t="n"/>
      <c r="AQ249" s="91" t="n"/>
      <c r="AR249" s="91" t="n"/>
      <c r="AS249" s="91" t="n"/>
      <c r="AT249" s="91" t="n"/>
      <c r="AU249" s="91" t="n"/>
      <c r="AV249" s="31" t="n"/>
      <c r="AW249" s="36" t="n"/>
      <c r="AX249" s="16" t="n"/>
      <c r="AY249" s="31" t="n"/>
      <c r="AZ249" s="92" t="n"/>
      <c r="BA249" s="91" t="n"/>
      <c r="BB249" s="91" t="n"/>
      <c r="BC249" s="91" t="n"/>
      <c r="BD249" s="91" t="n"/>
      <c r="BE249" s="91" t="n"/>
      <c r="BF249" s="91" t="n"/>
      <c r="BG249" s="91" t="n"/>
      <c r="BH249" s="91" t="n"/>
      <c r="BI249" s="91" t="n"/>
      <c r="BJ249" s="91" t="n"/>
      <c r="BK249" s="91" t="n"/>
      <c r="BL249" s="91" t="n"/>
      <c r="BM249" s="91" t="n"/>
      <c r="BN249" s="91" t="n"/>
      <c r="BO249" s="91" t="n"/>
      <c r="BP249" s="91" t="n"/>
      <c r="BQ249" s="91" t="n"/>
      <c r="BR249" s="91" t="n"/>
      <c r="BS249" s="91" t="n"/>
      <c r="BT249" s="91" t="n"/>
      <c r="BU249" s="91" t="n"/>
      <c r="BV249" s="91" t="n"/>
      <c r="BW249" s="91" t="n"/>
      <c r="BX249" s="91" t="n"/>
      <c r="BY249" s="91" t="n"/>
      <c r="BZ249" s="91">
        <f>SUM(BN249:BY249)</f>
        <v/>
      </c>
      <c r="CA249" s="91" t="n"/>
      <c r="CB249" s="91" t="n"/>
      <c r="CC249" s="91" t="n"/>
      <c r="CD249" s="91" t="n"/>
      <c r="CE249" s="91" t="n"/>
      <c r="CF249" s="91" t="n"/>
      <c r="CG249" s="91" t="n"/>
      <c r="CH249" s="91" t="inlineStr"/>
      <c r="CI249" s="91" t="n"/>
      <c r="CJ249" s="91" t="inlineStr"/>
      <c r="CK249" s="91" t="n"/>
      <c r="CL249" s="91" t="inlineStr"/>
      <c r="CM249" s="91">
        <f>SUM(CA249:CL249)</f>
        <v/>
      </c>
      <c r="CN249" s="91" t="n"/>
      <c r="CO249" s="91" t="n"/>
      <c r="CP249" s="91" t="n"/>
      <c r="CQ249" s="93" t="n"/>
      <c r="CR249" s="94" t="n"/>
      <c r="CS249" s="94" t="n"/>
      <c r="CT249" s="91" t="n"/>
      <c r="CU249" s="91" t="n"/>
      <c r="CV249" s="91" t="n"/>
      <c r="CW249" s="91" t="n"/>
      <c r="CX249" s="91" t="n"/>
      <c r="CY249" s="91" t="n"/>
      <c r="CZ249" s="91">
        <f>SUM(CN249:CY249)</f>
        <v/>
      </c>
      <c r="DA249" s="35" t="n"/>
    </row>
    <row r="250" ht="18.75" customFormat="1" customHeight="1" s="1">
      <c r="A250" s="30" t="n">
        <v>252</v>
      </c>
      <c r="B250" s="69" t="inlineStr">
        <is>
          <t>重庆</t>
        </is>
      </c>
      <c r="C250" s="69" t="inlineStr">
        <is>
          <t>江北</t>
        </is>
      </c>
      <c r="D250" s="69" t="inlineStr">
        <is>
          <t>代欢</t>
        </is>
      </c>
      <c r="E250" s="89" t="n"/>
      <c r="F250" s="27" t="n"/>
      <c r="G250" s="27" t="n"/>
      <c r="H250" s="91" t="n"/>
      <c r="I250" s="91" t="n"/>
      <c r="J250" s="91" t="n"/>
      <c r="K250" s="91">
        <f>+H250+I250+J250</f>
        <v/>
      </c>
      <c r="L250" s="91" t="n"/>
      <c r="M250" s="91" t="inlineStr"/>
      <c r="N250" s="91" t="n"/>
      <c r="O250" s="91" t="n"/>
      <c r="P250" s="91" t="n"/>
      <c r="Q250" s="91" t="n"/>
      <c r="R250" s="91" t="n"/>
      <c r="S250" s="91" t="n"/>
      <c r="T250" s="91" t="n"/>
      <c r="U250" s="91" t="n"/>
      <c r="V250" s="91" t="n"/>
      <c r="W250" s="91" t="n"/>
      <c r="X250" s="91" t="n"/>
      <c r="Y250" s="91" t="n"/>
      <c r="Z250" s="91" t="n"/>
      <c r="AA250" s="91" t="n"/>
      <c r="AB250" s="91" t="n"/>
      <c r="AC250" s="91" t="n"/>
      <c r="AD250" s="91" t="n"/>
      <c r="AE250" s="91" t="n"/>
      <c r="AF250" s="91" t="n"/>
      <c r="AG250" s="30" t="n"/>
      <c r="AH250" s="30" t="n"/>
      <c r="AI250" s="30" t="n"/>
      <c r="AJ250" s="30" t="n"/>
      <c r="AK250" s="30" t="n"/>
      <c r="AL250" s="30" t="n"/>
      <c r="AM250" s="91" t="n"/>
      <c r="AN250" s="91" t="n"/>
      <c r="AO250" s="91" t="n"/>
      <c r="AP250" s="91" t="n"/>
      <c r="AQ250" s="91" t="n"/>
      <c r="AR250" s="91" t="n"/>
      <c r="AS250" s="91" t="n"/>
      <c r="AT250" s="91" t="n"/>
      <c r="AU250" s="91" t="n"/>
      <c r="AV250" s="31" t="n"/>
      <c r="AW250" s="36" t="n"/>
      <c r="AX250" s="16" t="n"/>
      <c r="AY250" s="31" t="n"/>
      <c r="AZ250" s="92" t="n"/>
      <c r="BA250" s="91" t="n"/>
      <c r="BB250" s="91" t="n"/>
      <c r="BC250" s="91" t="n"/>
      <c r="BD250" s="91" t="n"/>
      <c r="BE250" s="91" t="n"/>
      <c r="BF250" s="91" t="n"/>
      <c r="BG250" s="91" t="n"/>
      <c r="BH250" s="91" t="n"/>
      <c r="BI250" s="91" t="n"/>
      <c r="BJ250" s="91" t="n"/>
      <c r="BK250" s="91" t="n"/>
      <c r="BL250" s="91" t="n"/>
      <c r="BM250" s="91" t="n"/>
      <c r="BN250" s="91" t="n"/>
      <c r="BO250" s="91" t="n"/>
      <c r="BP250" s="91" t="n"/>
      <c r="BQ250" s="91" t="n"/>
      <c r="BR250" s="91" t="n"/>
      <c r="BS250" s="91" t="n"/>
      <c r="BT250" s="91" t="n"/>
      <c r="BU250" s="91" t="n"/>
      <c r="BV250" s="91" t="n"/>
      <c r="BW250" s="91" t="n"/>
      <c r="BX250" s="91" t="n"/>
      <c r="BY250" s="91" t="n"/>
      <c r="BZ250" s="91">
        <f>SUM(BN250:BY250)</f>
        <v/>
      </c>
      <c r="CA250" s="91" t="n"/>
      <c r="CB250" s="91" t="n"/>
      <c r="CC250" s="91" t="n"/>
      <c r="CD250" s="91" t="n"/>
      <c r="CE250" s="91" t="n"/>
      <c r="CF250" s="91" t="n"/>
      <c r="CG250" s="91" t="n"/>
      <c r="CH250" s="91" t="inlineStr"/>
      <c r="CI250" s="91" t="n"/>
      <c r="CJ250" s="91" t="inlineStr"/>
      <c r="CK250" s="91" t="n"/>
      <c r="CL250" s="91" t="inlineStr"/>
      <c r="CM250" s="91">
        <f>SUM(CA250:CL250)</f>
        <v/>
      </c>
      <c r="CN250" s="91" t="n"/>
      <c r="CO250" s="91" t="n"/>
      <c r="CP250" s="91" t="n"/>
      <c r="CQ250" s="93" t="n"/>
      <c r="CR250" s="94" t="n"/>
      <c r="CS250" s="94" t="n"/>
      <c r="CT250" s="91" t="n"/>
      <c r="CU250" s="91" t="n"/>
      <c r="CV250" s="91" t="n"/>
      <c r="CW250" s="91" t="n"/>
      <c r="CX250" s="91" t="n"/>
      <c r="CY250" s="91" t="n"/>
      <c r="CZ250" s="91">
        <f>SUM(CN250:CY250)</f>
        <v/>
      </c>
      <c r="DA250" s="35" t="n"/>
    </row>
    <row r="251" ht="20.25" customFormat="1" customHeight="1" s="1">
      <c r="A251" s="30" t="n">
        <v>253</v>
      </c>
      <c r="B251" s="69" t="inlineStr">
        <is>
          <t>甘肃</t>
        </is>
      </c>
      <c r="C251" s="69" t="inlineStr">
        <is>
          <t>兰州</t>
        </is>
      </c>
      <c r="D251" s="69" t="inlineStr">
        <is>
          <t>廖敏江</t>
        </is>
      </c>
      <c r="E251" s="89" t="n"/>
      <c r="F251" s="27" t="n"/>
      <c r="G251" s="27" t="n"/>
      <c r="H251" s="91" t="n"/>
      <c r="I251" s="91" t="n"/>
      <c r="J251" s="91" t="n"/>
      <c r="K251" s="91">
        <f>+H251+I251+J251</f>
        <v/>
      </c>
      <c r="L251" s="91" t="n"/>
      <c r="M251" s="91" t="inlineStr"/>
      <c r="N251" s="91" t="n"/>
      <c r="O251" s="91" t="n"/>
      <c r="P251" s="91" t="n"/>
      <c r="Q251" s="91" t="n"/>
      <c r="R251" s="91" t="n"/>
      <c r="S251" s="91" t="n"/>
      <c r="T251" s="91" t="n"/>
      <c r="U251" s="91" t="n"/>
      <c r="V251" s="91" t="n"/>
      <c r="W251" s="91" t="n"/>
      <c r="X251" s="91" t="n"/>
      <c r="Y251" s="91" t="n"/>
      <c r="Z251" s="91" t="n"/>
      <c r="AA251" s="91" t="n"/>
      <c r="AB251" s="91" t="n"/>
      <c r="AC251" s="91" t="n"/>
      <c r="AD251" s="91" t="n"/>
      <c r="AE251" s="91" t="n"/>
      <c r="AF251" s="91" t="n"/>
      <c r="AG251" s="30" t="n"/>
      <c r="AH251" s="30" t="n"/>
      <c r="AI251" s="30" t="n"/>
      <c r="AJ251" s="30" t="n"/>
      <c r="AK251" s="30" t="n"/>
      <c r="AL251" s="30" t="n"/>
      <c r="AM251" s="91" t="n"/>
      <c r="AN251" s="91" t="n"/>
      <c r="AO251" s="91" t="n"/>
      <c r="AP251" s="91" t="n"/>
      <c r="AQ251" s="91" t="n"/>
      <c r="AR251" s="91" t="n"/>
      <c r="AS251" s="91" t="n"/>
      <c r="AT251" s="91" t="n"/>
      <c r="AU251" s="91" t="n"/>
      <c r="AV251" s="31" t="n"/>
      <c r="AW251" s="36" t="n"/>
      <c r="AX251" s="16" t="n"/>
      <c r="AY251" s="31" t="n"/>
      <c r="AZ251" s="92" t="n"/>
      <c r="BA251" s="91" t="n"/>
      <c r="BB251" s="91" t="n"/>
      <c r="BC251" s="91" t="n"/>
      <c r="BD251" s="91" t="n"/>
      <c r="BE251" s="91" t="n"/>
      <c r="BF251" s="91" t="n"/>
      <c r="BG251" s="91" t="n"/>
      <c r="BH251" s="91" t="n"/>
      <c r="BI251" s="91" t="n"/>
      <c r="BJ251" s="91" t="n"/>
      <c r="BK251" s="91" t="n"/>
      <c r="BL251" s="91" t="n"/>
      <c r="BM251" s="91" t="n"/>
      <c r="BN251" s="91" t="n"/>
      <c r="BO251" s="91" t="n"/>
      <c r="BP251" s="91" t="n"/>
      <c r="BQ251" s="91" t="n"/>
      <c r="BR251" s="91" t="n"/>
      <c r="BS251" s="91" t="n"/>
      <c r="BT251" s="91" t="n"/>
      <c r="BU251" s="91" t="n"/>
      <c r="BV251" s="91" t="n"/>
      <c r="BW251" s="91" t="n"/>
      <c r="BX251" s="91" t="n"/>
      <c r="BY251" s="91" t="n"/>
      <c r="BZ251" s="91">
        <f>SUM(BN251:BY251)</f>
        <v/>
      </c>
      <c r="CA251" s="91" t="n"/>
      <c r="CB251" s="91" t="n"/>
      <c r="CC251" s="91" t="n"/>
      <c r="CD251" s="91" t="n"/>
      <c r="CE251" s="91" t="n"/>
      <c r="CF251" s="91" t="n"/>
      <c r="CG251" s="91" t="n"/>
      <c r="CH251" s="91" t="inlineStr"/>
      <c r="CI251" s="91" t="n"/>
      <c r="CJ251" s="91" t="inlineStr"/>
      <c r="CK251" s="91" t="n"/>
      <c r="CL251" s="91" t="inlineStr"/>
      <c r="CM251" s="91">
        <f>SUM(CA251:CL251)</f>
        <v/>
      </c>
      <c r="CN251" s="91" t="n"/>
      <c r="CO251" s="108" t="n"/>
      <c r="CP251" s="91" t="n"/>
      <c r="CQ251" s="93" t="n"/>
      <c r="CR251" s="94" t="n"/>
      <c r="CS251" s="94" t="n"/>
      <c r="CT251" s="91" t="n"/>
      <c r="CU251" s="91" t="n"/>
      <c r="CV251" s="91" t="n"/>
      <c r="CW251" s="91" t="n"/>
      <c r="CX251" s="91" t="n"/>
      <c r="CY251" s="91" t="n"/>
      <c r="CZ251" s="91">
        <f>SUM(CN251:CY251)</f>
        <v/>
      </c>
      <c r="DA251" s="35" t="n"/>
    </row>
    <row r="252" ht="20.25" customFormat="1" customHeight="1" s="1">
      <c r="A252" s="30" t="n">
        <v>254</v>
      </c>
      <c r="B252" s="69" t="inlineStr">
        <is>
          <t>安徽</t>
        </is>
      </c>
      <c r="C252" s="69" t="inlineStr">
        <is>
          <t>天长</t>
        </is>
      </c>
      <c r="D252" s="69" t="inlineStr">
        <is>
          <t>董文琢</t>
        </is>
      </c>
      <c r="E252" s="89" t="n"/>
      <c r="F252" s="27" t="inlineStr">
        <is>
          <t>2026</t>
        </is>
      </c>
      <c r="G252" s="27" t="inlineStr">
        <is>
          <t>3/4</t>
        </is>
      </c>
      <c r="H252" s="91">
        <f>199336+141215</f>
        <v/>
      </c>
      <c r="I252" s="91" t="n">
        <v>75508</v>
      </c>
      <c r="J252" s="91" t="n">
        <v>5857</v>
      </c>
      <c r="K252" s="91">
        <f>+H252+I252+J252</f>
        <v/>
      </c>
      <c r="L252" s="91" t="n"/>
      <c r="M252" s="91" t="inlineStr"/>
      <c r="N252" s="91" t="n"/>
      <c r="O252" s="91" t="n"/>
      <c r="P252" s="91" t="n"/>
      <c r="Q252" s="91" t="n"/>
      <c r="R252" s="91" t="n"/>
      <c r="S252" s="91" t="n"/>
      <c r="T252" s="91" t="n"/>
      <c r="U252" s="91" t="n"/>
      <c r="V252" s="91" t="n"/>
      <c r="W252" s="91" t="n"/>
      <c r="X252" s="91" t="n"/>
      <c r="Y252" s="91" t="n"/>
      <c r="Z252" s="91" t="n"/>
      <c r="AA252" s="91" t="n"/>
      <c r="AB252" s="91" t="n"/>
      <c r="AC252" s="91" t="n"/>
      <c r="AD252" s="91" t="n"/>
      <c r="AE252" s="91" t="n"/>
      <c r="AF252" s="91" t="n"/>
      <c r="AG252" s="30" t="n"/>
      <c r="AH252" s="30" t="n"/>
      <c r="AI252" s="30" t="n"/>
      <c r="AJ252" s="30" t="n"/>
      <c r="AK252" s="30" t="n"/>
      <c r="AL252" s="30" t="n"/>
      <c r="AM252" s="91" t="n"/>
      <c r="AN252" s="91" t="n"/>
      <c r="AO252" s="91" t="n"/>
      <c r="AP252" s="91" t="n"/>
      <c r="AQ252" s="91" t="n"/>
      <c r="AR252" s="91" t="n"/>
      <c r="AS252" s="91" t="n"/>
      <c r="AT252" s="91" t="n"/>
      <c r="AU252" s="91" t="n"/>
      <c r="AV252" s="31" t="n"/>
      <c r="AW252" s="36" t="n"/>
      <c r="AX252" s="16" t="n"/>
      <c r="AY252" s="31" t="n"/>
      <c r="AZ252" s="92" t="n"/>
      <c r="BA252" s="91" t="n"/>
      <c r="BB252" s="91" t="n"/>
      <c r="BC252" s="91" t="n"/>
      <c r="BD252" s="91" t="n"/>
      <c r="BE252" s="91" t="n"/>
      <c r="BF252" s="91" t="n"/>
      <c r="BG252" s="91" t="n"/>
      <c r="BH252" s="91" t="n"/>
      <c r="BI252" s="91" t="n"/>
      <c r="BJ252" s="91" t="n"/>
      <c r="BK252" s="91" t="n"/>
      <c r="BL252" s="91" t="n"/>
      <c r="BM252" s="91" t="n"/>
      <c r="BN252" s="91" t="n"/>
      <c r="BO252" s="91" t="n"/>
      <c r="BP252" s="91" t="n"/>
      <c r="BQ252" s="91" t="n"/>
      <c r="BR252" s="91" t="n"/>
      <c r="BS252" s="91" t="n"/>
      <c r="BT252" s="91" t="n"/>
      <c r="BU252" s="91" t="n"/>
      <c r="BV252" s="91" t="n"/>
      <c r="BW252" s="91" t="n"/>
      <c r="BX252" s="91" t="n"/>
      <c r="BY252" s="91" t="n"/>
      <c r="BZ252" s="91">
        <f>SUM(BN252:BY252)</f>
        <v/>
      </c>
      <c r="CA252" s="91" t="n"/>
      <c r="CB252" s="91" t="n"/>
      <c r="CC252" s="91" t="n"/>
      <c r="CD252" s="91" t="n"/>
      <c r="CE252" s="91" t="n"/>
      <c r="CF252" s="91" t="n"/>
      <c r="CG252" s="91" t="n"/>
      <c r="CH252" s="91" t="inlineStr"/>
      <c r="CI252" s="91" t="n"/>
      <c r="CJ252" s="91" t="inlineStr"/>
      <c r="CK252" s="91" t="n"/>
      <c r="CL252" s="91" t="inlineStr"/>
      <c r="CM252" s="91">
        <f>SUM(CA252:CL252)</f>
        <v/>
      </c>
      <c r="CN252" s="91" t="n"/>
      <c r="CO252" s="108" t="n"/>
      <c r="CP252" s="91" t="n"/>
      <c r="CQ252" s="93" t="n"/>
      <c r="CR252" s="94" t="n"/>
      <c r="CS252" s="94" t="n"/>
      <c r="CT252" s="91" t="n"/>
      <c r="CU252" s="91" t="n"/>
      <c r="CV252" s="91" t="n"/>
      <c r="CW252" s="91" t="n"/>
      <c r="CX252" s="91" t="n"/>
      <c r="CY252" s="91" t="n"/>
      <c r="CZ252" s="91">
        <f>SUM(CN252:CY252)</f>
        <v/>
      </c>
      <c r="DA252" s="35" t="n"/>
    </row>
    <row r="253" ht="20.25" customFormat="1" customHeight="1" s="1">
      <c r="A253" s="30" t="n">
        <v>255</v>
      </c>
      <c r="B253" s="69" t="inlineStr">
        <is>
          <t>湖南</t>
        </is>
      </c>
      <c r="C253" s="69" t="inlineStr">
        <is>
          <t>溆浦</t>
        </is>
      </c>
      <c r="D253" s="69" t="inlineStr">
        <is>
          <t>刘爱华</t>
        </is>
      </c>
      <c r="E253" s="89" t="n"/>
      <c r="F253" s="27" t="inlineStr">
        <is>
          <t>2026</t>
        </is>
      </c>
      <c r="G253" s="27" t="inlineStr">
        <is>
          <t>3/4</t>
        </is>
      </c>
      <c r="H253" s="91" t="n">
        <v>175331.3</v>
      </c>
      <c r="I253" s="91" t="n">
        <v>138868.56</v>
      </c>
      <c r="J253" s="91" t="n"/>
      <c r="K253" s="91">
        <f>+H253+I253+J253</f>
        <v/>
      </c>
      <c r="L253" s="91" t="n"/>
      <c r="M253" s="91" t="inlineStr"/>
      <c r="N253" s="91" t="n"/>
      <c r="O253" s="91" t="n"/>
      <c r="P253" s="91" t="n"/>
      <c r="Q253" s="91" t="n"/>
      <c r="R253" s="91" t="n"/>
      <c r="S253" s="91" t="n"/>
      <c r="T253" s="91" t="n"/>
      <c r="U253" s="91" t="n"/>
      <c r="V253" s="91" t="n"/>
      <c r="W253" s="91" t="n"/>
      <c r="X253" s="91" t="n"/>
      <c r="Y253" s="91" t="n"/>
      <c r="Z253" s="91" t="n"/>
      <c r="AA253" s="91" t="n"/>
      <c r="AB253" s="91" t="n"/>
      <c r="AC253" s="91" t="n"/>
      <c r="AD253" s="91" t="n"/>
      <c r="AE253" s="91" t="n"/>
      <c r="AF253" s="91" t="n"/>
      <c r="AG253" s="30" t="n"/>
      <c r="AH253" s="30" t="n"/>
      <c r="AI253" s="30" t="n"/>
      <c r="AJ253" s="30" t="n"/>
      <c r="AK253" s="30" t="n"/>
      <c r="AL253" s="30" t="n"/>
      <c r="AM253" s="91" t="n"/>
      <c r="AN253" s="91" t="n"/>
      <c r="AO253" s="91" t="n"/>
      <c r="AP253" s="91" t="n"/>
      <c r="AQ253" s="91" t="n"/>
      <c r="AR253" s="91" t="n"/>
      <c r="AS253" s="91" t="n"/>
      <c r="AT253" s="91" t="n"/>
      <c r="AU253" s="91" t="n"/>
      <c r="AV253" s="31" t="n"/>
      <c r="AW253" s="36" t="n"/>
      <c r="AX253" s="16" t="n"/>
      <c r="AY253" s="31" t="n"/>
      <c r="AZ253" s="92" t="n"/>
      <c r="BA253" s="91" t="n"/>
      <c r="BB253" s="91" t="n"/>
      <c r="BC253" s="91" t="n"/>
      <c r="BD253" s="91" t="n"/>
      <c r="BE253" s="91" t="n"/>
      <c r="BF253" s="91" t="n"/>
      <c r="BG253" s="91" t="n"/>
      <c r="BH253" s="91" t="n"/>
      <c r="BI253" s="91" t="n"/>
      <c r="BJ253" s="91" t="n"/>
      <c r="BK253" s="91" t="n"/>
      <c r="BL253" s="91" t="n"/>
      <c r="BM253" s="91" t="n"/>
      <c r="BN253" s="91" t="n"/>
      <c r="BO253" s="91" t="n"/>
      <c r="BP253" s="91" t="n"/>
      <c r="BQ253" s="91" t="n"/>
      <c r="BR253" s="91" t="n"/>
      <c r="BS253" s="91" t="n"/>
      <c r="BT253" s="91" t="n"/>
      <c r="BU253" s="91" t="n"/>
      <c r="BV253" s="91" t="n"/>
      <c r="BW253" s="91" t="n"/>
      <c r="BX253" s="91" t="n"/>
      <c r="BY253" s="91" t="n"/>
      <c r="BZ253" s="91">
        <f>SUM(BN253:BY253)</f>
        <v/>
      </c>
      <c r="CA253" s="91" t="n"/>
      <c r="CB253" s="91" t="n"/>
      <c r="CC253" s="91" t="n"/>
      <c r="CD253" s="91" t="n"/>
      <c r="CE253" s="91" t="n"/>
      <c r="CF253" s="91" t="n"/>
      <c r="CG253" s="91" t="n"/>
      <c r="CH253" s="91" t="inlineStr"/>
      <c r="CI253" s="91" t="n"/>
      <c r="CJ253" s="91" t="inlineStr"/>
      <c r="CK253" s="91" t="n"/>
      <c r="CL253" s="91" t="inlineStr"/>
      <c r="CM253" s="91">
        <f>SUM(CA253:CL253)</f>
        <v/>
      </c>
      <c r="CN253" s="91" t="n"/>
      <c r="CO253" s="108" t="n"/>
      <c r="CP253" s="91" t="n"/>
      <c r="CQ253" s="93" t="n"/>
      <c r="CR253" s="94" t="n"/>
      <c r="CS253" s="94" t="n"/>
      <c r="CT253" s="91" t="n"/>
      <c r="CU253" s="91" t="n"/>
      <c r="CV253" s="91" t="n"/>
      <c r="CW253" s="91" t="n"/>
      <c r="CX253" s="91" t="n"/>
      <c r="CY253" s="91" t="n"/>
      <c r="CZ253" s="91">
        <f>SUM(CN253:CY253)</f>
        <v/>
      </c>
      <c r="DA253" s="35" t="n"/>
    </row>
    <row r="254" ht="20.25" customFormat="1" customHeight="1" s="1">
      <c r="A254" s="30" t="n">
        <v>256</v>
      </c>
      <c r="B254" s="69" t="inlineStr">
        <is>
          <t>甘肃</t>
        </is>
      </c>
      <c r="C254" s="69" t="inlineStr">
        <is>
          <t>庆阳</t>
        </is>
      </c>
      <c r="D254" s="69" t="inlineStr">
        <is>
          <t>佟广会</t>
        </is>
      </c>
      <c r="E254" s="89" t="n"/>
      <c r="F254" s="27" t="inlineStr">
        <is>
          <t>2026</t>
        </is>
      </c>
      <c r="G254" s="27" t="inlineStr">
        <is>
          <t>3/4/5</t>
        </is>
      </c>
      <c r="H254" s="91" t="n">
        <v>356202.7</v>
      </c>
      <c r="I254" s="91" t="n">
        <v>111863.7</v>
      </c>
      <c r="J254" s="91" t="n"/>
      <c r="K254" s="91">
        <f>+H254+I254+J254</f>
        <v/>
      </c>
      <c r="L254" s="91" t="n"/>
      <c r="M254" s="91" t="inlineStr"/>
      <c r="N254" s="91" t="n"/>
      <c r="O254" s="91" t="n"/>
      <c r="P254" s="91" t="n"/>
      <c r="Q254" s="91" t="n"/>
      <c r="R254" s="91" t="n"/>
      <c r="S254" s="91" t="n"/>
      <c r="T254" s="91" t="n"/>
      <c r="U254" s="91" t="n"/>
      <c r="V254" s="91" t="n"/>
      <c r="W254" s="91" t="n"/>
      <c r="X254" s="91" t="n"/>
      <c r="Y254" s="91" t="n"/>
      <c r="Z254" s="91" t="n"/>
      <c r="AA254" s="91" t="n"/>
      <c r="AB254" s="91" t="n"/>
      <c r="AC254" s="91" t="n"/>
      <c r="AD254" s="91" t="n"/>
      <c r="AE254" s="91" t="n"/>
      <c r="AF254" s="91" t="n"/>
      <c r="AG254" s="30" t="n"/>
      <c r="AH254" s="30" t="n"/>
      <c r="AI254" s="30" t="n"/>
      <c r="AJ254" s="30" t="n"/>
      <c r="AK254" s="30" t="n"/>
      <c r="AL254" s="30" t="n"/>
      <c r="AM254" s="91" t="n"/>
      <c r="AN254" s="91" t="n"/>
      <c r="AO254" s="91" t="n"/>
      <c r="AP254" s="91" t="n"/>
      <c r="AQ254" s="91" t="n"/>
      <c r="AR254" s="91" t="n"/>
      <c r="AS254" s="91" t="n"/>
      <c r="AT254" s="91" t="n"/>
      <c r="AU254" s="91" t="n"/>
      <c r="AV254" s="31" t="n"/>
      <c r="AW254" s="36" t="n"/>
      <c r="AX254" s="16" t="n"/>
      <c r="AY254" s="31" t="n"/>
      <c r="AZ254" s="92" t="n"/>
      <c r="BA254" s="91" t="n"/>
      <c r="BB254" s="91" t="n"/>
      <c r="BC254" s="91" t="n"/>
      <c r="BD254" s="91" t="n"/>
      <c r="BE254" s="91" t="n"/>
      <c r="BF254" s="91" t="n"/>
      <c r="BG254" s="91" t="n"/>
      <c r="BH254" s="91" t="n"/>
      <c r="BI254" s="91" t="n"/>
      <c r="BJ254" s="91" t="n"/>
      <c r="BK254" s="91" t="n"/>
      <c r="BL254" s="91" t="n"/>
      <c r="BM254" s="91" t="n"/>
      <c r="BN254" s="91" t="n"/>
      <c r="BO254" s="91" t="n"/>
      <c r="BP254" s="91" t="n"/>
      <c r="BQ254" s="91" t="n"/>
      <c r="BR254" s="91" t="n"/>
      <c r="BS254" s="91" t="n"/>
      <c r="BT254" s="91" t="n"/>
      <c r="BU254" s="91" t="n"/>
      <c r="BV254" s="91" t="n"/>
      <c r="BW254" s="91" t="n"/>
      <c r="BX254" s="91" t="n"/>
      <c r="BY254" s="91" t="n"/>
      <c r="BZ254" s="91">
        <f>SUM(BN254:BY254)</f>
        <v/>
      </c>
      <c r="CA254" s="91" t="n"/>
      <c r="CB254" s="91" t="n"/>
      <c r="CC254" s="91" t="n"/>
      <c r="CD254" s="91" t="n"/>
      <c r="CE254" s="91" t="n"/>
      <c r="CF254" s="91" t="n"/>
      <c r="CG254" s="91" t="n"/>
      <c r="CH254" s="91" t="inlineStr"/>
      <c r="CI254" s="91" t="n"/>
      <c r="CJ254" s="91" t="inlineStr"/>
      <c r="CK254" s="91" t="n"/>
      <c r="CL254" s="91" t="inlineStr"/>
      <c r="CM254" s="91">
        <f>SUM(CA254:CL254)</f>
        <v/>
      </c>
      <c r="CN254" s="91" t="n"/>
      <c r="CO254" s="108" t="n"/>
      <c r="CP254" s="91" t="n"/>
      <c r="CQ254" s="93" t="n"/>
      <c r="CR254" s="94" t="n"/>
      <c r="CS254" s="94" t="n"/>
      <c r="CT254" s="91" t="n"/>
      <c r="CU254" s="91" t="n"/>
      <c r="CV254" s="91" t="n"/>
      <c r="CW254" s="91" t="n"/>
      <c r="CX254" s="91" t="n"/>
      <c r="CY254" s="91" t="n"/>
      <c r="CZ254" s="91">
        <f>SUM(CN254:CY254)</f>
        <v/>
      </c>
      <c r="DA254" s="35" t="n"/>
    </row>
    <row r="255" ht="20.25" customFormat="1" customHeight="1" s="1">
      <c r="A255" s="30" t="n">
        <v>257</v>
      </c>
      <c r="B255" s="69" t="inlineStr">
        <is>
          <t>山西</t>
        </is>
      </c>
      <c r="C255" s="69" t="inlineStr">
        <is>
          <t>太原</t>
        </is>
      </c>
      <c r="D255" s="69" t="inlineStr">
        <is>
          <t>薛晓刚</t>
        </is>
      </c>
      <c r="E255" s="89" t="n"/>
      <c r="F255" s="27" t="inlineStr">
        <is>
          <t>2026</t>
        </is>
      </c>
      <c r="G255" s="27" t="inlineStr">
        <is>
          <t>3/4</t>
        </is>
      </c>
      <c r="H255" s="91" t="n">
        <v>11545</v>
      </c>
      <c r="I255" s="91">
        <f>127491+225169</f>
        <v/>
      </c>
      <c r="J255" s="91" t="n"/>
      <c r="K255" s="91">
        <f>+H255+I255+J255</f>
        <v/>
      </c>
      <c r="L255" s="91" t="n"/>
      <c r="M255" s="91" t="inlineStr"/>
      <c r="N255" s="91" t="n"/>
      <c r="O255" s="91" t="n"/>
      <c r="P255" s="91" t="n"/>
      <c r="Q255" s="91" t="n"/>
      <c r="R255" s="91" t="n"/>
      <c r="S255" s="91" t="n"/>
      <c r="T255" s="91" t="n"/>
      <c r="U255" s="91" t="n"/>
      <c r="V255" s="91" t="n"/>
      <c r="W255" s="91" t="n"/>
      <c r="X255" s="91" t="n"/>
      <c r="Y255" s="91" t="n"/>
      <c r="Z255" s="91" t="n"/>
      <c r="AA255" s="91" t="n"/>
      <c r="AB255" s="91" t="n"/>
      <c r="AC255" s="91" t="n"/>
      <c r="AD255" s="91" t="n"/>
      <c r="AE255" s="91" t="n"/>
      <c r="AF255" s="91" t="n"/>
      <c r="AG255" s="30" t="n"/>
      <c r="AH255" s="30" t="n"/>
      <c r="AI255" s="30" t="n"/>
      <c r="AJ255" s="30" t="n"/>
      <c r="AK255" s="30" t="n"/>
      <c r="AL255" s="30" t="n"/>
      <c r="AM255" s="91" t="n"/>
      <c r="AN255" s="91" t="n"/>
      <c r="AO255" s="91" t="n"/>
      <c r="AP255" s="91" t="n"/>
      <c r="AQ255" s="91" t="n"/>
      <c r="AR255" s="91" t="n"/>
      <c r="AS255" s="91" t="n"/>
      <c r="AT255" s="91" t="n"/>
      <c r="AU255" s="91" t="n"/>
      <c r="AV255" s="31" t="n"/>
      <c r="AW255" s="36" t="n"/>
      <c r="AX255" s="16" t="n"/>
      <c r="AY255" s="31" t="n"/>
      <c r="AZ255" s="92" t="n"/>
      <c r="BA255" s="91" t="n"/>
      <c r="BB255" s="91" t="n"/>
      <c r="BC255" s="91" t="n"/>
      <c r="BD255" s="91" t="n"/>
      <c r="BE255" s="91" t="n"/>
      <c r="BF255" s="91" t="n"/>
      <c r="BG255" s="91" t="n"/>
      <c r="BH255" s="91" t="n"/>
      <c r="BI255" s="91" t="n"/>
      <c r="BJ255" s="91" t="n"/>
      <c r="BK255" s="91" t="n"/>
      <c r="BL255" s="91" t="n"/>
      <c r="BM255" s="91" t="n"/>
      <c r="BN255" s="91" t="n"/>
      <c r="BO255" s="91" t="n"/>
      <c r="BP255" s="91" t="n"/>
      <c r="BQ255" s="91" t="n"/>
      <c r="BR255" s="91" t="n"/>
      <c r="BS255" s="91" t="n"/>
      <c r="BT255" s="91" t="n"/>
      <c r="BU255" s="91" t="n"/>
      <c r="BV255" s="91" t="n"/>
      <c r="BW255" s="91" t="n"/>
      <c r="BX255" s="91" t="n"/>
      <c r="BY255" s="91" t="n"/>
      <c r="BZ255" s="91">
        <f>SUM(BN255:BY255)</f>
        <v/>
      </c>
      <c r="CA255" s="91" t="n"/>
      <c r="CB255" s="91" t="n"/>
      <c r="CC255" s="91" t="n"/>
      <c r="CD255" s="91" t="n"/>
      <c r="CE255" s="91" t="n"/>
      <c r="CF255" s="91" t="n"/>
      <c r="CG255" s="91" t="n"/>
      <c r="CH255" s="91" t="inlineStr"/>
      <c r="CI255" s="91" t="n"/>
      <c r="CJ255" s="91" t="inlineStr"/>
      <c r="CK255" s="91" t="n"/>
      <c r="CL255" s="91" t="inlineStr"/>
      <c r="CM255" s="91">
        <f>SUM(CA255:CL255)</f>
        <v/>
      </c>
      <c r="CN255" s="91" t="n"/>
      <c r="CO255" s="108" t="n"/>
      <c r="CP255" s="91" t="n"/>
      <c r="CQ255" s="93" t="n"/>
      <c r="CR255" s="94" t="n"/>
      <c r="CS255" s="94" t="n"/>
      <c r="CT255" s="91" t="n"/>
      <c r="CU255" s="91" t="n"/>
      <c r="CV255" s="91" t="n"/>
      <c r="CW255" s="91" t="n"/>
      <c r="CX255" s="91" t="n"/>
      <c r="CY255" s="91" t="n"/>
      <c r="CZ255" s="91">
        <f>SUM(CN255:CY255)</f>
        <v/>
      </c>
      <c r="DA255" s="35" t="n"/>
    </row>
    <row r="256" ht="20.25" customFormat="1" customHeight="1" s="1">
      <c r="A256" s="30" t="n">
        <v>258</v>
      </c>
      <c r="B256" s="69" t="inlineStr">
        <is>
          <t>贵州</t>
        </is>
      </c>
      <c r="C256" s="69" t="inlineStr">
        <is>
          <t>遵义</t>
        </is>
      </c>
      <c r="D256" s="69" t="inlineStr">
        <is>
          <t>张洪</t>
        </is>
      </c>
      <c r="E256" s="89" t="n"/>
      <c r="F256" s="27" t="inlineStr">
        <is>
          <t>2026</t>
        </is>
      </c>
      <c r="G256" s="27" t="inlineStr">
        <is>
          <t>3</t>
        </is>
      </c>
      <c r="H256" s="91" t="n"/>
      <c r="I256" s="91" t="n"/>
      <c r="J256" s="91" t="n"/>
      <c r="K256" s="91" t="n">
        <v>8661</v>
      </c>
      <c r="L256" s="91" t="n"/>
      <c r="M256" s="91" t="inlineStr"/>
      <c r="N256" s="91" t="n"/>
      <c r="O256" s="91" t="n"/>
      <c r="P256" s="91" t="n"/>
      <c r="Q256" s="91" t="n"/>
      <c r="R256" s="91" t="n"/>
      <c r="S256" s="91" t="n"/>
      <c r="T256" s="91" t="n"/>
      <c r="U256" s="91" t="n"/>
      <c r="V256" s="91" t="n"/>
      <c r="W256" s="91" t="n"/>
      <c r="X256" s="91" t="n"/>
      <c r="Y256" s="91" t="n"/>
      <c r="Z256" s="91" t="n"/>
      <c r="AA256" s="91" t="n"/>
      <c r="AB256" s="91" t="n"/>
      <c r="AC256" s="91" t="n"/>
      <c r="AD256" s="91" t="n"/>
      <c r="AE256" s="91" t="n"/>
      <c r="AF256" s="91" t="n"/>
      <c r="AG256" s="30" t="n"/>
      <c r="AH256" s="30" t="n"/>
      <c r="AI256" s="30" t="n"/>
      <c r="AJ256" s="30" t="n"/>
      <c r="AK256" s="30" t="n"/>
      <c r="AL256" s="30" t="n"/>
      <c r="AM256" s="91" t="n"/>
      <c r="AN256" s="91" t="n"/>
      <c r="AO256" s="91" t="n"/>
      <c r="AP256" s="91" t="n"/>
      <c r="AQ256" s="91" t="n"/>
      <c r="AR256" s="91" t="n"/>
      <c r="AS256" s="91" t="n"/>
      <c r="AT256" s="91" t="n"/>
      <c r="AU256" s="91" t="n"/>
      <c r="AV256" s="31" t="n"/>
      <c r="AW256" s="36" t="n"/>
      <c r="AX256" s="16" t="n"/>
      <c r="AY256" s="31" t="n"/>
      <c r="AZ256" s="92" t="n"/>
      <c r="BA256" s="91" t="n"/>
      <c r="BB256" s="91" t="n"/>
      <c r="BC256" s="91" t="n"/>
      <c r="BD256" s="91" t="n"/>
      <c r="BE256" s="91" t="n"/>
      <c r="BF256" s="91" t="n"/>
      <c r="BG256" s="91" t="n"/>
      <c r="BH256" s="91" t="n"/>
      <c r="BI256" s="91" t="n"/>
      <c r="BJ256" s="91" t="n"/>
      <c r="BK256" s="91" t="n"/>
      <c r="BL256" s="91" t="n"/>
      <c r="BM256" s="91" t="n"/>
      <c r="BN256" s="91" t="n"/>
      <c r="BO256" s="91" t="n"/>
      <c r="BP256" s="91" t="n"/>
      <c r="BQ256" s="91" t="n"/>
      <c r="BR256" s="91" t="n"/>
      <c r="BS256" s="91" t="n"/>
      <c r="BT256" s="91" t="n"/>
      <c r="BU256" s="91" t="n"/>
      <c r="BV256" s="91" t="n"/>
      <c r="BW256" s="91" t="n"/>
      <c r="BX256" s="91" t="n"/>
      <c r="BY256" s="91" t="n"/>
      <c r="BZ256" s="91">
        <f>SUM(BN256:BY256)</f>
        <v/>
      </c>
      <c r="CA256" s="91" t="n"/>
      <c r="CB256" s="91" t="n"/>
      <c r="CC256" s="91" t="n"/>
      <c r="CD256" s="91" t="n"/>
      <c r="CE256" s="91" t="n"/>
      <c r="CF256" s="91" t="n"/>
      <c r="CG256" s="91" t="n"/>
      <c r="CH256" s="91" t="inlineStr"/>
      <c r="CI256" s="91" t="n"/>
      <c r="CJ256" s="91" t="inlineStr"/>
      <c r="CK256" s="91" t="n"/>
      <c r="CL256" s="91" t="inlineStr"/>
      <c r="CM256" s="91">
        <f>SUM(CA256:CL256)</f>
        <v/>
      </c>
      <c r="CN256" s="91" t="n"/>
      <c r="CO256" s="108" t="n"/>
      <c r="CP256" s="91" t="n"/>
      <c r="CQ256" s="93" t="n"/>
      <c r="CR256" s="94" t="n"/>
      <c r="CS256" s="94" t="n"/>
      <c r="CT256" s="91" t="n"/>
      <c r="CU256" s="91" t="n"/>
      <c r="CV256" s="91" t="n"/>
      <c r="CW256" s="91" t="n"/>
      <c r="CX256" s="91" t="n"/>
      <c r="CY256" s="91" t="n"/>
      <c r="CZ256" s="91">
        <f>SUM(CN256:CY256)</f>
        <v/>
      </c>
      <c r="DA256" s="35" t="n"/>
    </row>
    <row r="257" ht="20.25" customFormat="1" customHeight="1" s="1">
      <c r="A257" s="30" t="n">
        <v>259</v>
      </c>
      <c r="B257" s="69" t="inlineStr">
        <is>
          <t>贵州</t>
        </is>
      </c>
      <c r="C257" s="69" t="inlineStr">
        <is>
          <t>贵阳云岩</t>
        </is>
      </c>
      <c r="D257" s="69" t="inlineStr">
        <is>
          <t>李洪钟</t>
        </is>
      </c>
      <c r="E257" s="89" t="n"/>
      <c r="F257" s="27" t="inlineStr">
        <is>
          <t>2022/2023</t>
        </is>
      </c>
      <c r="G257" s="27" t="n"/>
      <c r="H257" s="91">
        <f>43167+49780</f>
        <v/>
      </c>
      <c r="I257" s="91" t="n"/>
      <c r="J257" s="91" t="n"/>
      <c r="K257" s="91">
        <f>+H257+I257+J257</f>
        <v/>
      </c>
      <c r="L257" s="91" t="n"/>
      <c r="M257" s="91" t="inlineStr"/>
      <c r="N257" s="91" t="n"/>
      <c r="O257" s="91" t="n"/>
      <c r="P257" s="91" t="n"/>
      <c r="Q257" s="91" t="n"/>
      <c r="R257" s="91" t="n"/>
      <c r="S257" s="91" t="n"/>
      <c r="T257" s="91" t="n"/>
      <c r="U257" s="91" t="n"/>
      <c r="V257" s="91" t="n"/>
      <c r="W257" s="91" t="n"/>
      <c r="X257" s="91" t="n"/>
      <c r="Y257" s="91" t="n"/>
      <c r="Z257" s="91" t="n"/>
      <c r="AA257" s="91" t="n"/>
      <c r="AB257" s="91" t="n"/>
      <c r="AC257" s="91" t="n"/>
      <c r="AD257" s="91" t="n"/>
      <c r="AE257" s="91" t="n"/>
      <c r="AF257" s="91" t="n"/>
      <c r="AG257" s="30" t="n"/>
      <c r="AH257" s="30" t="n"/>
      <c r="AI257" s="30" t="n"/>
      <c r="AJ257" s="30" t="n"/>
      <c r="AK257" s="30" t="n"/>
      <c r="AL257" s="30" t="n"/>
      <c r="AM257" s="91" t="n"/>
      <c r="AN257" s="91" t="n"/>
      <c r="AO257" s="91" t="n"/>
      <c r="AP257" s="91" t="n"/>
      <c r="AQ257" s="91" t="n"/>
      <c r="AR257" s="91" t="n"/>
      <c r="AS257" s="91" t="n"/>
      <c r="AT257" s="91" t="n"/>
      <c r="AU257" s="91" t="n"/>
      <c r="AV257" s="31" t="n"/>
      <c r="AW257" s="36" t="n"/>
      <c r="AX257" s="16" t="n"/>
      <c r="AY257" s="31">
        <f>8790+43989</f>
        <v/>
      </c>
      <c r="AZ257" s="92">
        <f>SUM(AO257:AY257)</f>
        <v/>
      </c>
      <c r="BA257" s="91" t="n"/>
      <c r="BB257" s="91" t="n">
        <v>14307</v>
      </c>
      <c r="BC257" s="91" t="n"/>
      <c r="BD257" s="91" t="n"/>
      <c r="BE257" s="91" t="n"/>
      <c r="BF257" s="91" t="n">
        <v>39489</v>
      </c>
      <c r="BG257" s="91" t="n"/>
      <c r="BH257" s="91" t="n"/>
      <c r="BI257" s="91" t="n"/>
      <c r="BJ257" s="91" t="n"/>
      <c r="BK257" s="91" t="n"/>
      <c r="BL257" s="91" t="n"/>
      <c r="BM257" s="91">
        <f>SUM(BA257:BL257)</f>
        <v/>
      </c>
      <c r="BN257" s="91" t="n"/>
      <c r="BO257" s="91" t="n"/>
      <c r="BP257" s="91" t="n"/>
      <c r="BQ257" s="91" t="n"/>
      <c r="BR257" s="91" t="n"/>
      <c r="BS257" s="91" t="n"/>
      <c r="BT257" s="91" t="n"/>
      <c r="BU257" s="91" t="n"/>
      <c r="BV257" s="91" t="n"/>
      <c r="BW257" s="91" t="n">
        <v>49001</v>
      </c>
      <c r="BX257" s="91" t="n"/>
      <c r="BY257" s="91" t="n"/>
      <c r="BZ257" s="91">
        <f>SUM(BN257:BY257)</f>
        <v/>
      </c>
      <c r="CA257" s="91" t="n"/>
      <c r="CB257" s="91" t="n"/>
      <c r="CC257" s="91" t="n"/>
      <c r="CD257" s="91" t="n"/>
      <c r="CE257" s="91" t="n"/>
      <c r="CF257" s="91" t="n"/>
      <c r="CG257" s="91" t="n"/>
      <c r="CH257" s="91" t="inlineStr"/>
      <c r="CI257" s="91" t="n"/>
      <c r="CJ257" s="91" t="inlineStr"/>
      <c r="CK257" s="91" t="n"/>
      <c r="CL257" s="91" t="inlineStr"/>
      <c r="CM257" s="91">
        <f>SUM(CA257:CL257)</f>
        <v/>
      </c>
      <c r="CN257" s="91" t="n"/>
      <c r="CO257" s="108" t="n"/>
      <c r="CP257" s="91" t="n"/>
      <c r="CQ257" s="93" t="n"/>
      <c r="CR257" s="94" t="n"/>
      <c r="CS257" s="94" t="n"/>
      <c r="CT257" s="91" t="n"/>
      <c r="CU257" s="91" t="n"/>
      <c r="CV257" s="91" t="n"/>
      <c r="CW257" s="91" t="n"/>
      <c r="CX257" s="91" t="n"/>
      <c r="CY257" s="91" t="n"/>
      <c r="CZ257" s="91">
        <f>SUM(CN257:CY257)</f>
        <v/>
      </c>
      <c r="DA257" s="35" t="n"/>
    </row>
    <row r="258" ht="20.25" customFormat="1" customHeight="1" s="1">
      <c r="A258" s="30" t="n">
        <v>260</v>
      </c>
      <c r="B258" s="69" t="inlineStr">
        <is>
          <t>江苏省</t>
        </is>
      </c>
      <c r="C258" s="69" t="inlineStr">
        <is>
          <t>南京市六合区</t>
        </is>
      </c>
      <c r="D258" s="69" t="inlineStr">
        <is>
          <t>刘莎莎</t>
        </is>
      </c>
      <c r="E258" s="89" t="n"/>
      <c r="F258" s="27" t="n"/>
      <c r="G258" s="27" t="n"/>
      <c r="H258" s="91" t="n"/>
      <c r="I258" s="91" t="n"/>
      <c r="J258" s="91" t="n"/>
      <c r="K258" s="91">
        <f>+H258+I258+J258</f>
        <v/>
      </c>
      <c r="L258" s="91" t="n"/>
      <c r="M258" s="91" t="inlineStr"/>
      <c r="N258" s="91" t="n"/>
      <c r="O258" s="91" t="n"/>
      <c r="P258" s="91" t="n"/>
      <c r="Q258" s="91" t="n"/>
      <c r="R258" s="91" t="n"/>
      <c r="S258" s="91" t="n"/>
      <c r="T258" s="91" t="n"/>
      <c r="U258" s="91" t="n"/>
      <c r="V258" s="91" t="n"/>
      <c r="W258" s="91" t="n"/>
      <c r="X258" s="91" t="n"/>
      <c r="Y258" s="91" t="n"/>
      <c r="Z258" s="91" t="n"/>
      <c r="AA258" s="91" t="n"/>
      <c r="AB258" s="91" t="n"/>
      <c r="AC258" s="91" t="n"/>
      <c r="AD258" s="91" t="n"/>
      <c r="AE258" s="91" t="n"/>
      <c r="AF258" s="91" t="n"/>
      <c r="AG258" s="30" t="n"/>
      <c r="AH258" s="30" t="n"/>
      <c r="AI258" s="30" t="n"/>
      <c r="AJ258" s="30" t="n"/>
      <c r="AK258" s="30" t="n"/>
      <c r="AL258" s="30" t="n"/>
      <c r="AM258" s="91" t="n"/>
      <c r="AN258" s="91" t="n"/>
      <c r="AO258" s="91" t="n"/>
      <c r="AP258" s="91" t="n"/>
      <c r="AQ258" s="91" t="n"/>
      <c r="AR258" s="91" t="n"/>
      <c r="AS258" s="91" t="n"/>
      <c r="AT258" s="91" t="n"/>
      <c r="AU258" s="91" t="n"/>
      <c r="AV258" s="31" t="n"/>
      <c r="AW258" s="36" t="n"/>
      <c r="AX258" s="16" t="n"/>
      <c r="AY258" s="31" t="n"/>
      <c r="AZ258" s="92" t="n"/>
      <c r="BA258" s="91" t="n"/>
      <c r="BB258" s="91" t="n"/>
      <c r="BC258" s="91" t="n"/>
      <c r="BD258" s="91" t="n"/>
      <c r="BE258" s="91" t="n"/>
      <c r="BF258" s="91" t="n"/>
      <c r="BG258" s="91" t="n"/>
      <c r="BH258" s="91" t="n"/>
      <c r="BI258" s="91" t="n"/>
      <c r="BJ258" s="91" t="n"/>
      <c r="BK258" s="91" t="n"/>
      <c r="BL258" s="91" t="n"/>
      <c r="BM258" s="91" t="n"/>
      <c r="BN258" s="91" t="n"/>
      <c r="BO258" s="91" t="n"/>
      <c r="BP258" s="91" t="n"/>
      <c r="BQ258" s="91" t="n"/>
      <c r="BR258" s="91" t="n"/>
      <c r="BS258" s="91" t="n"/>
      <c r="BT258" s="91" t="n"/>
      <c r="BU258" s="91" t="n"/>
      <c r="BV258" s="91" t="n"/>
      <c r="BW258" s="91" t="n"/>
      <c r="BX258" s="91" t="n"/>
      <c r="BY258" s="91" t="n"/>
      <c r="BZ258" s="91">
        <f>SUM(BN258:BY258)</f>
        <v/>
      </c>
      <c r="CA258" s="91" t="n"/>
      <c r="CB258" s="91" t="n"/>
      <c r="CC258" s="91" t="n"/>
      <c r="CD258" s="91" t="n"/>
      <c r="CE258" s="91" t="n"/>
      <c r="CF258" s="91" t="n"/>
      <c r="CG258" s="91" t="n"/>
      <c r="CH258" s="91" t="inlineStr"/>
      <c r="CI258" s="91" t="n"/>
      <c r="CJ258" s="91" t="inlineStr"/>
      <c r="CK258" s="91" t="n"/>
      <c r="CL258" s="91" t="inlineStr"/>
      <c r="CM258" s="91">
        <f>SUM(CA258:CL258)</f>
        <v/>
      </c>
      <c r="CN258" s="91" t="n"/>
      <c r="CO258" s="108" t="n"/>
      <c r="CP258" s="91" t="n"/>
      <c r="CQ258" s="93" t="n"/>
      <c r="CR258" s="94" t="n"/>
      <c r="CS258" s="94" t="n"/>
      <c r="CT258" s="91" t="n"/>
      <c r="CU258" s="91" t="n"/>
      <c r="CV258" s="91" t="n"/>
      <c r="CW258" s="91" t="n"/>
      <c r="CX258" s="91" t="n"/>
      <c r="CY258" s="91" t="n"/>
      <c r="CZ258" s="91">
        <f>SUM(CN258:CY258)</f>
        <v/>
      </c>
      <c r="DA258" s="35" t="n"/>
    </row>
    <row r="259" ht="20.25" customFormat="1" customHeight="1" s="1">
      <c r="A259" s="30" t="n">
        <v>261</v>
      </c>
      <c r="B259" s="69" t="inlineStr">
        <is>
          <t>甘肃省</t>
        </is>
      </c>
      <c r="C259" s="69" t="inlineStr">
        <is>
          <t>甘肃临夏</t>
        </is>
      </c>
      <c r="D259" s="69" t="inlineStr">
        <is>
          <t>马忠义</t>
        </is>
      </c>
      <c r="E259" s="89" t="n"/>
      <c r="F259" s="27" t="inlineStr">
        <is>
          <t>2026</t>
        </is>
      </c>
      <c r="G259" s="27" t="inlineStr">
        <is>
          <t>4</t>
        </is>
      </c>
      <c r="H259" s="83">
        <f>39370+3685</f>
        <v/>
      </c>
      <c r="I259" s="91" t="n">
        <v>65901.72</v>
      </c>
      <c r="J259" s="91" t="n">
        <v>567</v>
      </c>
      <c r="K259" s="91">
        <f>+H259+I259+J259</f>
        <v/>
      </c>
      <c r="L259" s="91" t="n"/>
      <c r="M259" s="91" t="n">
        <v>88564.63</v>
      </c>
      <c r="N259" s="91" t="n"/>
      <c r="O259" s="91" t="n"/>
      <c r="P259" s="91" t="n"/>
      <c r="Q259" s="91" t="n"/>
      <c r="R259" s="91" t="n"/>
      <c r="S259" s="91" t="n"/>
      <c r="T259" s="91" t="n"/>
      <c r="U259" s="91" t="n"/>
      <c r="V259" s="91" t="n"/>
      <c r="W259" s="91" t="n"/>
      <c r="X259" s="91" t="n"/>
      <c r="Y259" s="91" t="n"/>
      <c r="Z259" s="91" t="n"/>
      <c r="AA259" s="91" t="n"/>
      <c r="AB259" s="91" t="n"/>
      <c r="AC259" s="91" t="n"/>
      <c r="AD259" s="91" t="n"/>
      <c r="AE259" s="91" t="n"/>
      <c r="AF259" s="91" t="n"/>
      <c r="AG259" s="30" t="n"/>
      <c r="AH259" s="30" t="n"/>
      <c r="AI259" s="30" t="n"/>
      <c r="AJ259" s="30" t="n"/>
      <c r="AK259" s="30" t="n"/>
      <c r="AL259" s="30" t="n"/>
      <c r="AM259" s="91" t="n"/>
      <c r="AN259" s="91" t="n"/>
      <c r="AO259" s="91" t="n"/>
      <c r="AP259" s="91" t="n"/>
      <c r="AQ259" s="91" t="n"/>
      <c r="AR259" s="91" t="n"/>
      <c r="AS259" s="91" t="n"/>
      <c r="AT259" s="91" t="n"/>
      <c r="AU259" s="91" t="n"/>
      <c r="AV259" s="31" t="n"/>
      <c r="AW259" s="36" t="n"/>
      <c r="AX259" s="16" t="n"/>
      <c r="AY259" s="31" t="n"/>
      <c r="AZ259" s="92" t="n"/>
      <c r="BA259" s="91" t="n"/>
      <c r="BB259" s="91" t="n"/>
      <c r="BC259" s="91" t="n"/>
      <c r="BD259" s="91" t="n"/>
      <c r="BE259" s="91" t="n"/>
      <c r="BF259" s="91" t="n"/>
      <c r="BG259" s="91" t="n"/>
      <c r="BH259" s="91" t="n"/>
      <c r="BI259" s="91" t="n"/>
      <c r="BJ259" s="91" t="n"/>
      <c r="BK259" s="91" t="n"/>
      <c r="BL259" s="91" t="n"/>
      <c r="BM259" s="91" t="n"/>
      <c r="BN259" s="91" t="n"/>
      <c r="BO259" s="91" t="n"/>
      <c r="BP259" s="91" t="n"/>
      <c r="BQ259" s="91" t="n"/>
      <c r="BR259" s="91" t="n"/>
      <c r="BS259" s="91" t="n"/>
      <c r="BT259" s="91" t="n"/>
      <c r="BU259" s="91" t="n"/>
      <c r="BV259" s="91" t="n"/>
      <c r="BW259" s="91" t="n"/>
      <c r="BX259" s="91" t="n"/>
      <c r="BY259" s="91" t="n"/>
      <c r="BZ259" s="91">
        <f>SUM(BN259:BY259)</f>
        <v/>
      </c>
      <c r="CA259" s="91" t="n"/>
      <c r="CB259" s="91" t="n"/>
      <c r="CC259" s="91" t="n"/>
      <c r="CD259" s="91" t="n"/>
      <c r="CE259" s="91" t="n"/>
      <c r="CF259" s="91" t="n"/>
      <c r="CG259" s="91" t="n"/>
      <c r="CH259" s="91" t="inlineStr"/>
      <c r="CI259" s="91" t="n"/>
      <c r="CJ259" s="91" t="inlineStr"/>
      <c r="CK259" s="91" t="n"/>
      <c r="CL259" s="91" t="inlineStr"/>
      <c r="CM259" s="91">
        <f>SUM(CA259:CL259)</f>
        <v/>
      </c>
      <c r="CN259" s="91" t="n"/>
      <c r="CO259" s="108" t="n"/>
      <c r="CP259" s="91" t="n"/>
      <c r="CQ259" s="93" t="n"/>
      <c r="CR259" s="94" t="n"/>
      <c r="CS259" s="94" t="n"/>
      <c r="CT259" s="91" t="n"/>
      <c r="CU259" s="91" t="n"/>
      <c r="CV259" s="91" t="n"/>
      <c r="CW259" s="91" t="n"/>
      <c r="CX259" s="91" t="n"/>
      <c r="CY259" s="91" t="n"/>
      <c r="CZ259" s="91">
        <f>SUM(CN259:CY259)</f>
        <v/>
      </c>
      <c r="DA259" s="35" t="n"/>
    </row>
    <row r="260" ht="20.25" customFormat="1" customHeight="1" s="1">
      <c r="A260" s="30" t="n">
        <v>262</v>
      </c>
      <c r="B260" s="69" t="inlineStr">
        <is>
          <t>云南</t>
        </is>
      </c>
      <c r="C260" s="69" t="inlineStr">
        <is>
          <t>景洪</t>
        </is>
      </c>
      <c r="D260" s="69" t="inlineStr">
        <is>
          <t>裴忠</t>
        </is>
      </c>
      <c r="E260" s="89" t="n"/>
      <c r="F260" s="27" t="n"/>
      <c r="G260" s="27" t="n"/>
      <c r="H260" s="91" t="n"/>
      <c r="I260" s="91" t="n"/>
      <c r="J260" s="91" t="n"/>
      <c r="K260" s="91">
        <f>+H260+I260+J260</f>
        <v/>
      </c>
      <c r="L260" s="91" t="n"/>
      <c r="M260" s="91" t="inlineStr"/>
      <c r="N260" s="91" t="n"/>
      <c r="O260" s="91" t="n"/>
      <c r="P260" s="91" t="n"/>
      <c r="Q260" s="91" t="n"/>
      <c r="R260" s="91" t="n"/>
      <c r="S260" s="91" t="n"/>
      <c r="T260" s="91" t="n"/>
      <c r="U260" s="91" t="n"/>
      <c r="V260" s="91" t="n"/>
      <c r="W260" s="91" t="n"/>
      <c r="X260" s="91" t="n"/>
      <c r="Y260" s="91" t="n"/>
      <c r="Z260" s="91" t="n"/>
      <c r="AA260" s="91" t="n"/>
      <c r="AB260" s="91" t="n"/>
      <c r="AC260" s="91" t="n"/>
      <c r="AD260" s="91" t="n"/>
      <c r="AE260" s="91" t="n"/>
      <c r="AF260" s="91" t="n"/>
      <c r="AG260" s="30" t="n"/>
      <c r="AH260" s="30" t="n"/>
      <c r="AI260" s="30" t="n"/>
      <c r="AJ260" s="30" t="n"/>
      <c r="AK260" s="30" t="n"/>
      <c r="AL260" s="30" t="n"/>
      <c r="AM260" s="91" t="n"/>
      <c r="AN260" s="91" t="n"/>
      <c r="AO260" s="91" t="n"/>
      <c r="AP260" s="91" t="n"/>
      <c r="AQ260" s="91" t="n"/>
      <c r="AR260" s="91" t="n"/>
      <c r="AS260" s="91" t="n"/>
      <c r="AT260" s="91" t="n"/>
      <c r="AU260" s="91" t="n"/>
      <c r="AV260" s="31" t="n"/>
      <c r="AW260" s="36" t="n"/>
      <c r="AX260" s="16" t="n"/>
      <c r="AY260" s="31" t="n"/>
      <c r="AZ260" s="92" t="n"/>
      <c r="BA260" s="91" t="n"/>
      <c r="BB260" s="91" t="n"/>
      <c r="BC260" s="91" t="n"/>
      <c r="BD260" s="91" t="n"/>
      <c r="BE260" s="91" t="n"/>
      <c r="BF260" s="91" t="n"/>
      <c r="BG260" s="91" t="n"/>
      <c r="BH260" s="91" t="n"/>
      <c r="BI260" s="91" t="n"/>
      <c r="BJ260" s="91" t="n"/>
      <c r="BK260" s="91" t="n"/>
      <c r="BL260" s="91" t="n"/>
      <c r="BM260" s="91" t="n"/>
      <c r="BN260" s="91" t="n"/>
      <c r="BO260" s="91" t="n"/>
      <c r="BP260" s="91" t="n"/>
      <c r="BQ260" s="91" t="n"/>
      <c r="BR260" s="91" t="n"/>
      <c r="BS260" s="91" t="n"/>
      <c r="BT260" s="91" t="n"/>
      <c r="BU260" s="91" t="n"/>
      <c r="BV260" s="91" t="n"/>
      <c r="BW260" s="91" t="n"/>
      <c r="BX260" s="91" t="n"/>
      <c r="BY260" s="91" t="n"/>
      <c r="BZ260" s="91">
        <f>SUM(BN260:BY260)</f>
        <v/>
      </c>
      <c r="CA260" s="91" t="n"/>
      <c r="CB260" s="91" t="n"/>
      <c r="CC260" s="91" t="n"/>
      <c r="CD260" s="91" t="n"/>
      <c r="CE260" s="91" t="n"/>
      <c r="CF260" s="91" t="n"/>
      <c r="CG260" s="91" t="n"/>
      <c r="CH260" s="91" t="inlineStr"/>
      <c r="CI260" s="91" t="n"/>
      <c r="CJ260" s="91" t="inlineStr"/>
      <c r="CK260" s="91" t="n"/>
      <c r="CL260" s="91" t="inlineStr"/>
      <c r="CM260" s="91">
        <f>SUM(CA260:CL260)</f>
        <v/>
      </c>
      <c r="CN260" s="91" t="n"/>
      <c r="CO260" s="108" t="n"/>
      <c r="CP260" s="91" t="n"/>
      <c r="CQ260" s="93" t="n"/>
      <c r="CR260" s="94" t="n"/>
      <c r="CS260" s="94" t="n"/>
      <c r="CT260" s="91" t="n"/>
      <c r="CU260" s="91" t="n"/>
      <c r="CV260" s="91" t="n"/>
      <c r="CW260" s="91" t="n"/>
      <c r="CX260" s="91" t="n"/>
      <c r="CY260" s="91" t="n"/>
      <c r="CZ260" s="91">
        <f>SUM(CN260:CY260)</f>
        <v/>
      </c>
      <c r="DA260" s="35" t="n"/>
    </row>
    <row r="261" ht="20.25" customFormat="1" customHeight="1" s="1">
      <c r="A261" s="30" t="n">
        <v>263</v>
      </c>
      <c r="B261" s="69" t="inlineStr">
        <is>
          <t>湖南省</t>
        </is>
      </c>
      <c r="C261" s="69" t="inlineStr">
        <is>
          <t>洞口县</t>
        </is>
      </c>
      <c r="D261" s="69" t="inlineStr">
        <is>
          <t>袁朝辉</t>
        </is>
      </c>
      <c r="E261" s="89" t="n"/>
      <c r="F261" s="27" t="n"/>
      <c r="G261" s="27" t="n"/>
      <c r="H261" s="91" t="n"/>
      <c r="I261" s="91" t="n"/>
      <c r="J261" s="91" t="n"/>
      <c r="K261" s="91">
        <f>+H261+I261+J261</f>
        <v/>
      </c>
      <c r="L261" s="91" t="n"/>
      <c r="M261" s="91" t="inlineStr"/>
      <c r="N261" s="91" t="n"/>
      <c r="O261" s="91" t="n"/>
      <c r="P261" s="91" t="n"/>
      <c r="Q261" s="91" t="n"/>
      <c r="R261" s="91" t="n"/>
      <c r="S261" s="91" t="n"/>
      <c r="T261" s="91" t="n"/>
      <c r="U261" s="91" t="n"/>
      <c r="V261" s="91" t="n"/>
      <c r="W261" s="91" t="n"/>
      <c r="X261" s="91" t="n"/>
      <c r="Y261" s="91" t="n"/>
      <c r="Z261" s="91" t="n"/>
      <c r="AA261" s="91" t="n"/>
      <c r="AB261" s="91" t="n"/>
      <c r="AC261" s="91" t="n"/>
      <c r="AD261" s="91" t="n"/>
      <c r="AE261" s="91" t="n"/>
      <c r="AF261" s="91" t="n"/>
      <c r="AG261" s="30" t="n"/>
      <c r="AH261" s="30" t="n"/>
      <c r="AI261" s="30" t="n"/>
      <c r="AJ261" s="30" t="n"/>
      <c r="AK261" s="30" t="n"/>
      <c r="AL261" s="30" t="n"/>
      <c r="AM261" s="91" t="n"/>
      <c r="AN261" s="91" t="n"/>
      <c r="AO261" s="91" t="n"/>
      <c r="AP261" s="91" t="n"/>
      <c r="AQ261" s="91" t="n"/>
      <c r="AR261" s="91" t="n"/>
      <c r="AS261" s="91" t="n"/>
      <c r="AT261" s="91" t="n"/>
      <c r="AU261" s="91" t="n"/>
      <c r="AV261" s="31" t="n"/>
      <c r="AW261" s="36" t="n"/>
      <c r="AX261" s="16" t="n"/>
      <c r="AY261" s="31" t="n"/>
      <c r="AZ261" s="92" t="n"/>
      <c r="BA261" s="91" t="n"/>
      <c r="BB261" s="91" t="n"/>
      <c r="BC261" s="91" t="n"/>
      <c r="BD261" s="91" t="n"/>
      <c r="BE261" s="91" t="n"/>
      <c r="BF261" s="91" t="n"/>
      <c r="BG261" s="91" t="n"/>
      <c r="BH261" s="91" t="n"/>
      <c r="BI261" s="91" t="n"/>
      <c r="BJ261" s="91" t="n"/>
      <c r="BK261" s="91" t="n"/>
      <c r="BL261" s="91" t="n"/>
      <c r="BM261" s="91" t="n"/>
      <c r="BN261" s="91" t="n"/>
      <c r="BO261" s="91" t="n"/>
      <c r="BP261" s="91" t="n"/>
      <c r="BQ261" s="91" t="n"/>
      <c r="BR261" s="91" t="n"/>
      <c r="BS261" s="91" t="n"/>
      <c r="BT261" s="91" t="n"/>
      <c r="BU261" s="91" t="n"/>
      <c r="BV261" s="91" t="n"/>
      <c r="BW261" s="91" t="n"/>
      <c r="BX261" s="91" t="n"/>
      <c r="BY261" s="91" t="n"/>
      <c r="BZ261" s="91">
        <f>SUM(BN261:BY261)</f>
        <v/>
      </c>
      <c r="CA261" s="91" t="n"/>
      <c r="CB261" s="91" t="n"/>
      <c r="CC261" s="91" t="n"/>
      <c r="CD261" s="91" t="n"/>
      <c r="CE261" s="91" t="n"/>
      <c r="CF261" s="91" t="n"/>
      <c r="CG261" s="91" t="n"/>
      <c r="CH261" s="91" t="inlineStr"/>
      <c r="CI261" s="91" t="n"/>
      <c r="CJ261" s="91" t="inlineStr"/>
      <c r="CK261" s="91" t="n"/>
      <c r="CL261" s="91" t="inlineStr"/>
      <c r="CM261" s="91">
        <f>SUM(CA261:CL261)</f>
        <v/>
      </c>
      <c r="CN261" s="91" t="n"/>
      <c r="CO261" s="108" t="n"/>
      <c r="CP261" s="91" t="n"/>
      <c r="CQ261" s="93" t="n"/>
      <c r="CR261" s="94" t="n"/>
      <c r="CS261" s="94" t="n"/>
      <c r="CT261" s="91" t="n"/>
      <c r="CU261" s="91" t="n"/>
      <c r="CV261" s="91" t="n"/>
      <c r="CW261" s="91" t="n"/>
      <c r="CX261" s="91" t="n"/>
      <c r="CY261" s="91" t="n"/>
      <c r="CZ261" s="91">
        <f>SUM(CN261:CY261)</f>
        <v/>
      </c>
      <c r="DA261" s="35" t="n"/>
    </row>
    <row r="262" ht="20.25" customFormat="1" customHeight="1" s="1">
      <c r="A262" s="30" t="n">
        <v>264</v>
      </c>
      <c r="B262" s="69" t="inlineStr">
        <is>
          <t>内蒙古</t>
        </is>
      </c>
      <c r="C262" s="69" t="inlineStr">
        <is>
          <t>鄂尔多斯</t>
        </is>
      </c>
      <c r="D262" s="69" t="inlineStr">
        <is>
          <t>韩阳</t>
        </is>
      </c>
      <c r="E262" s="89" t="n"/>
      <c r="F262" s="27" t="inlineStr">
        <is>
          <t>2026</t>
        </is>
      </c>
      <c r="G262" s="27" t="inlineStr">
        <is>
          <t>5</t>
        </is>
      </c>
      <c r="H262" s="91" t="n"/>
      <c r="I262" s="91" t="n">
        <v>132272.47</v>
      </c>
      <c r="J262" s="91" t="n"/>
      <c r="K262" s="91">
        <f>+H262+I262+J262</f>
        <v/>
      </c>
      <c r="L262" s="91" t="n"/>
      <c r="M262" s="91" t="inlineStr"/>
      <c r="N262" s="91" t="n"/>
      <c r="O262" s="91" t="n"/>
      <c r="P262" s="91" t="n"/>
      <c r="Q262" s="91" t="n"/>
      <c r="R262" s="91" t="n"/>
      <c r="S262" s="91" t="n"/>
      <c r="T262" s="91" t="n"/>
      <c r="U262" s="91" t="n"/>
      <c r="V262" s="91" t="n"/>
      <c r="W262" s="91" t="n"/>
      <c r="X262" s="91" t="n"/>
      <c r="Y262" s="91" t="n"/>
      <c r="Z262" s="91" t="n"/>
      <c r="AA262" s="91" t="n"/>
      <c r="AB262" s="91" t="n"/>
      <c r="AC262" s="91" t="n"/>
      <c r="AD262" s="91" t="n"/>
      <c r="AE262" s="91" t="n"/>
      <c r="AF262" s="91" t="n"/>
      <c r="AG262" s="30" t="n"/>
      <c r="AH262" s="30" t="n"/>
      <c r="AI262" s="30" t="n"/>
      <c r="AJ262" s="30" t="n"/>
      <c r="AK262" s="30" t="n"/>
      <c r="AL262" s="30" t="n"/>
      <c r="AM262" s="91" t="n"/>
      <c r="AN262" s="91" t="n"/>
      <c r="AO262" s="91" t="n"/>
      <c r="AP262" s="91" t="n"/>
      <c r="AQ262" s="91" t="n"/>
      <c r="AR262" s="91" t="n"/>
      <c r="AS262" s="91" t="n"/>
      <c r="AT262" s="91" t="n"/>
      <c r="AU262" s="91" t="n"/>
      <c r="AV262" s="31" t="n"/>
      <c r="AW262" s="36" t="n"/>
      <c r="AX262" s="16" t="n"/>
      <c r="AY262" s="31" t="n"/>
      <c r="AZ262" s="92" t="n"/>
      <c r="BA262" s="91" t="n"/>
      <c r="BB262" s="91" t="n"/>
      <c r="BC262" s="91" t="n"/>
      <c r="BD262" s="91" t="n"/>
      <c r="BE262" s="91" t="n"/>
      <c r="BF262" s="91" t="n"/>
      <c r="BG262" s="91" t="n"/>
      <c r="BH262" s="91" t="n"/>
      <c r="BI262" s="91" t="n"/>
      <c r="BJ262" s="91" t="n"/>
      <c r="BK262" s="91" t="n"/>
      <c r="BL262" s="91" t="n"/>
      <c r="BM262" s="91" t="n"/>
      <c r="BN262" s="91" t="n"/>
      <c r="BO262" s="91" t="n"/>
      <c r="BP262" s="91" t="n"/>
      <c r="BQ262" s="91" t="n"/>
      <c r="BR262" s="91" t="n"/>
      <c r="BS262" s="91" t="n"/>
      <c r="BT262" s="91" t="n"/>
      <c r="BU262" s="91" t="n"/>
      <c r="BV262" s="91" t="n"/>
      <c r="BW262" s="91" t="n"/>
      <c r="BX262" s="91" t="n"/>
      <c r="BY262" s="91" t="n"/>
      <c r="BZ262" s="91">
        <f>SUM(BN262:BY262)</f>
        <v/>
      </c>
      <c r="CA262" s="91" t="n"/>
      <c r="CB262" s="91" t="n"/>
      <c r="CC262" s="91" t="n"/>
      <c r="CD262" s="91" t="n"/>
      <c r="CE262" s="91" t="n"/>
      <c r="CF262" s="91" t="n"/>
      <c r="CG262" s="91" t="n"/>
      <c r="CH262" s="91" t="inlineStr"/>
      <c r="CI262" s="91" t="n"/>
      <c r="CJ262" s="91" t="inlineStr"/>
      <c r="CK262" s="91" t="n"/>
      <c r="CL262" s="91" t="inlineStr"/>
      <c r="CM262" s="91">
        <f>SUM(CA262:CL262)</f>
        <v/>
      </c>
      <c r="CN262" s="91" t="n"/>
      <c r="CO262" s="108" t="n"/>
      <c r="CP262" s="91" t="n"/>
      <c r="CQ262" s="93" t="n"/>
      <c r="CR262" s="94" t="n"/>
      <c r="CS262" s="94" t="n"/>
      <c r="CT262" s="91" t="n"/>
      <c r="CU262" s="91" t="n"/>
      <c r="CV262" s="91" t="n"/>
      <c r="CW262" s="91" t="n"/>
      <c r="CX262" s="91" t="n"/>
      <c r="CY262" s="91" t="n"/>
      <c r="CZ262" s="91">
        <f>SUM(CN262:CY262)</f>
        <v/>
      </c>
      <c r="DA262" s="35" t="n"/>
    </row>
    <row r="263" ht="20.25" customFormat="1" customHeight="1" s="1">
      <c r="A263" s="30" t="n">
        <v>265</v>
      </c>
      <c r="B263" s="69" t="inlineStr">
        <is>
          <t>湖北</t>
        </is>
      </c>
      <c r="C263" s="69" t="inlineStr">
        <is>
          <t>利川</t>
        </is>
      </c>
      <c r="D263" s="69" t="inlineStr">
        <is>
          <t>温一超</t>
        </is>
      </c>
      <c r="E263" s="89" t="n"/>
      <c r="F263" s="27" t="inlineStr">
        <is>
          <t>2026</t>
        </is>
      </c>
      <c r="G263" s="27" t="inlineStr">
        <is>
          <t>5</t>
        </is>
      </c>
      <c r="H263" s="91" t="n"/>
      <c r="I263" s="91" t="n">
        <v>45769.78</v>
      </c>
      <c r="J263" s="91" t="n"/>
      <c r="K263" s="91">
        <f>+H263+I263+J263</f>
        <v/>
      </c>
      <c r="L263" s="91" t="n"/>
      <c r="M263" s="91" t="inlineStr"/>
      <c r="N263" s="91" t="n"/>
      <c r="O263" s="91" t="n"/>
      <c r="P263" s="91" t="n"/>
      <c r="Q263" s="91" t="n"/>
      <c r="R263" s="91" t="n"/>
      <c r="S263" s="91" t="n"/>
      <c r="T263" s="91" t="n"/>
      <c r="U263" s="91" t="n"/>
      <c r="V263" s="91" t="n"/>
      <c r="W263" s="91" t="n"/>
      <c r="X263" s="91" t="n"/>
      <c r="Y263" s="91" t="n"/>
      <c r="Z263" s="91" t="n"/>
      <c r="AA263" s="91" t="n"/>
      <c r="AB263" s="91" t="n"/>
      <c r="AC263" s="91" t="n"/>
      <c r="AD263" s="91" t="n"/>
      <c r="AE263" s="91" t="n"/>
      <c r="AF263" s="91" t="n"/>
      <c r="AG263" s="30" t="n"/>
      <c r="AH263" s="30" t="n"/>
      <c r="AI263" s="30" t="n"/>
      <c r="AJ263" s="30" t="n"/>
      <c r="AK263" s="30" t="n"/>
      <c r="AL263" s="30" t="n"/>
      <c r="AM263" s="91" t="n"/>
      <c r="AN263" s="91" t="n"/>
      <c r="AO263" s="91" t="n"/>
      <c r="AP263" s="91" t="n"/>
      <c r="AQ263" s="91" t="n"/>
      <c r="AR263" s="91" t="n"/>
      <c r="AS263" s="91" t="n"/>
      <c r="AT263" s="91" t="n"/>
      <c r="AU263" s="91" t="n"/>
      <c r="AV263" s="31" t="n"/>
      <c r="AW263" s="36" t="n"/>
      <c r="AX263" s="16" t="n"/>
      <c r="AY263" s="31" t="n"/>
      <c r="AZ263" s="92" t="n"/>
      <c r="BA263" s="91" t="n"/>
      <c r="BB263" s="91" t="n"/>
      <c r="BC263" s="91" t="n"/>
      <c r="BD263" s="91" t="n"/>
      <c r="BE263" s="91" t="n"/>
      <c r="BF263" s="91" t="n"/>
      <c r="BG263" s="91" t="n"/>
      <c r="BH263" s="91" t="n"/>
      <c r="BI263" s="91" t="n"/>
      <c r="BJ263" s="91" t="n"/>
      <c r="BK263" s="91" t="n"/>
      <c r="BL263" s="91" t="n"/>
      <c r="BM263" s="91" t="n"/>
      <c r="BN263" s="91" t="n"/>
      <c r="BO263" s="91" t="n"/>
      <c r="BP263" s="91" t="n"/>
      <c r="BQ263" s="91" t="n"/>
      <c r="BR263" s="91" t="n"/>
      <c r="BS263" s="91" t="n"/>
      <c r="BT263" s="91" t="n"/>
      <c r="BU263" s="91" t="n"/>
      <c r="BV263" s="91" t="n"/>
      <c r="BW263" s="91" t="n"/>
      <c r="BX263" s="91" t="n"/>
      <c r="BY263" s="91" t="n"/>
      <c r="BZ263" s="91">
        <f>SUM(BN263:BY263)</f>
        <v/>
      </c>
      <c r="CA263" s="91" t="n"/>
      <c r="CB263" s="91" t="n"/>
      <c r="CC263" s="91" t="n"/>
      <c r="CD263" s="91" t="n"/>
      <c r="CE263" s="91" t="n"/>
      <c r="CF263" s="91" t="n"/>
      <c r="CG263" s="91" t="n"/>
      <c r="CH263" s="91" t="inlineStr"/>
      <c r="CI263" s="91" t="n"/>
      <c r="CJ263" s="91" t="inlineStr"/>
      <c r="CK263" s="91" t="n"/>
      <c r="CL263" s="91" t="inlineStr"/>
      <c r="CM263" s="91">
        <f>SUM(CA263:CL263)</f>
        <v/>
      </c>
      <c r="CN263" s="91" t="n"/>
      <c r="CO263" s="108" t="n"/>
      <c r="CP263" s="91" t="n"/>
      <c r="CQ263" s="93" t="n"/>
      <c r="CR263" s="94" t="n"/>
      <c r="CS263" s="94" t="n"/>
      <c r="CT263" s="91" t="n"/>
      <c r="CU263" s="91" t="n"/>
      <c r="CV263" s="91" t="n"/>
      <c r="CW263" s="91" t="n"/>
      <c r="CX263" s="91" t="n"/>
      <c r="CY263" s="91" t="n"/>
      <c r="CZ263" s="91">
        <f>SUM(CN263:CY263)</f>
        <v/>
      </c>
      <c r="DA263" s="35" t="n"/>
    </row>
    <row r="264" ht="20.25" customFormat="1" customHeight="1" s="1">
      <c r="A264" s="30" t="n">
        <v>266</v>
      </c>
      <c r="B264" s="69" t="inlineStr">
        <is>
          <t>重庆</t>
        </is>
      </c>
      <c r="C264" s="69" t="inlineStr">
        <is>
          <t>渝北</t>
        </is>
      </c>
      <c r="D264" s="69" t="inlineStr">
        <is>
          <t>苗厚康</t>
        </is>
      </c>
      <c r="E264" s="89" t="n"/>
      <c r="F264" s="27" t="n"/>
      <c r="G264" s="27" t="n"/>
      <c r="H264" s="91" t="n"/>
      <c r="I264" s="91" t="n"/>
      <c r="J264" s="91" t="n"/>
      <c r="K264" s="91">
        <f>+H264+I264+J264</f>
        <v/>
      </c>
      <c r="L264" s="91" t="n"/>
      <c r="M264" s="91" t="inlineStr"/>
      <c r="N264" s="91" t="n"/>
      <c r="O264" s="91" t="n"/>
      <c r="P264" s="91" t="n"/>
      <c r="Q264" s="91" t="n"/>
      <c r="R264" s="91" t="n"/>
      <c r="S264" s="91" t="n"/>
      <c r="T264" s="91" t="n"/>
      <c r="U264" s="91" t="n"/>
      <c r="V264" s="91" t="n"/>
      <c r="W264" s="91" t="n"/>
      <c r="X264" s="91" t="n"/>
      <c r="Y264" s="91" t="n"/>
      <c r="Z264" s="91" t="n"/>
      <c r="AA264" s="91" t="n"/>
      <c r="AB264" s="91" t="n"/>
      <c r="AC264" s="91" t="n"/>
      <c r="AD264" s="91" t="n"/>
      <c r="AE264" s="91" t="n"/>
      <c r="AF264" s="91" t="n"/>
      <c r="AG264" s="30" t="n"/>
      <c r="AH264" s="30" t="n"/>
      <c r="AI264" s="30" t="n"/>
      <c r="AJ264" s="30" t="n"/>
      <c r="AK264" s="30" t="n"/>
      <c r="AL264" s="30" t="n"/>
      <c r="AM264" s="91" t="n"/>
      <c r="AN264" s="91" t="n"/>
      <c r="AO264" s="91" t="n"/>
      <c r="AP264" s="91" t="n"/>
      <c r="AQ264" s="91" t="n"/>
      <c r="AR264" s="91" t="n"/>
      <c r="AS264" s="91" t="n"/>
      <c r="AT264" s="91" t="n"/>
      <c r="AU264" s="91" t="n"/>
      <c r="AV264" s="31" t="n"/>
      <c r="AW264" s="36" t="n"/>
      <c r="AX264" s="16" t="n"/>
      <c r="AY264" s="31" t="n"/>
      <c r="AZ264" s="92" t="n"/>
      <c r="BA264" s="91" t="n"/>
      <c r="BB264" s="91" t="n"/>
      <c r="BC264" s="91" t="n"/>
      <c r="BD264" s="91" t="n"/>
      <c r="BE264" s="91" t="n"/>
      <c r="BF264" s="91" t="n"/>
      <c r="BG264" s="91" t="n"/>
      <c r="BH264" s="91" t="n"/>
      <c r="BI264" s="91" t="n"/>
      <c r="BJ264" s="91" t="n"/>
      <c r="BK264" s="91" t="n"/>
      <c r="BL264" s="91" t="n"/>
      <c r="BM264" s="91" t="n"/>
      <c r="BN264" s="91" t="n"/>
      <c r="BO264" s="91" t="n"/>
      <c r="BP264" s="91" t="n"/>
      <c r="BQ264" s="91" t="n"/>
      <c r="BR264" s="91" t="n"/>
      <c r="BS264" s="91" t="n"/>
      <c r="BT264" s="91" t="n"/>
      <c r="BU264" s="91" t="n"/>
      <c r="BV264" s="91" t="n"/>
      <c r="BW264" s="91" t="n"/>
      <c r="BX264" s="91" t="n"/>
      <c r="BY264" s="91" t="n"/>
      <c r="BZ264" s="91" t="n"/>
      <c r="CA264" s="91" t="n"/>
      <c r="CB264" s="91" t="n"/>
      <c r="CC264" s="91" t="n"/>
      <c r="CD264" s="91" t="n"/>
      <c r="CE264" s="91" t="n"/>
      <c r="CF264" s="91" t="n"/>
      <c r="CG264" s="91" t="n"/>
      <c r="CH264" s="91" t="inlineStr"/>
      <c r="CI264" s="91" t="n"/>
      <c r="CJ264" s="91" t="inlineStr"/>
      <c r="CK264" s="91" t="n"/>
      <c r="CL264" s="91" t="inlineStr"/>
      <c r="CM264" s="91">
        <f>SUM(CA264:CL264)</f>
        <v/>
      </c>
      <c r="CN264" s="91" t="n"/>
      <c r="CO264" s="108" t="n"/>
      <c r="CP264" s="91" t="n"/>
      <c r="CQ264" s="93" t="n"/>
      <c r="CR264" s="94" t="n"/>
      <c r="CS264" s="94" t="n"/>
      <c r="CT264" s="91" t="n"/>
      <c r="CU264" s="91" t="n"/>
      <c r="CV264" s="91" t="n"/>
      <c r="CW264" s="91" t="n"/>
      <c r="CX264" s="91" t="n"/>
      <c r="CY264" s="91" t="n"/>
      <c r="CZ264" s="91">
        <f>SUM(CN264:CY264)</f>
        <v/>
      </c>
      <c r="DA264" s="35" t="n"/>
    </row>
    <row r="265" ht="20.25" customFormat="1" customHeight="1" s="1">
      <c r="A265" s="30" t="n">
        <v>267</v>
      </c>
      <c r="B265" s="69" t="inlineStr">
        <is>
          <t>湖南</t>
        </is>
      </c>
      <c r="C265" s="69" t="inlineStr">
        <is>
          <t>溆浦</t>
        </is>
      </c>
      <c r="D265" s="69" t="inlineStr">
        <is>
          <t>罗小玉</t>
        </is>
      </c>
      <c r="E265" s="89" t="n"/>
      <c r="F265" s="27" t="inlineStr">
        <is>
          <t>2026</t>
        </is>
      </c>
      <c r="G265" s="27" t="inlineStr">
        <is>
          <t>6</t>
        </is>
      </c>
      <c r="H265" s="91" t="n">
        <v>3363</v>
      </c>
      <c r="I265" s="91" t="n"/>
      <c r="J265" s="91" t="n"/>
      <c r="K265" s="91">
        <f>+H265+I265+J265</f>
        <v/>
      </c>
      <c r="L265" s="91" t="n"/>
      <c r="M265" s="91" t="inlineStr"/>
      <c r="N265" s="91" t="n"/>
      <c r="O265" s="91" t="n"/>
      <c r="P265" s="91" t="n"/>
      <c r="Q265" s="91" t="n"/>
      <c r="R265" s="91" t="n"/>
      <c r="S265" s="91" t="n"/>
      <c r="T265" s="91" t="n"/>
      <c r="U265" s="91" t="n"/>
      <c r="V265" s="91" t="n"/>
      <c r="W265" s="91" t="n"/>
      <c r="X265" s="91" t="n"/>
      <c r="Y265" s="91" t="n"/>
      <c r="Z265" s="91" t="n"/>
      <c r="AA265" s="91" t="n"/>
      <c r="AB265" s="91" t="n"/>
      <c r="AC265" s="91" t="n"/>
      <c r="AD265" s="91" t="n"/>
      <c r="AE265" s="91" t="n"/>
      <c r="AF265" s="91" t="n"/>
      <c r="AG265" s="30" t="n"/>
      <c r="AH265" s="30" t="n"/>
      <c r="AI265" s="30" t="n"/>
      <c r="AJ265" s="30" t="n"/>
      <c r="AK265" s="30" t="n"/>
      <c r="AL265" s="30" t="n"/>
      <c r="AM265" s="91" t="n"/>
      <c r="AN265" s="91" t="n"/>
      <c r="AO265" s="91" t="n"/>
      <c r="AP265" s="91" t="n"/>
      <c r="AQ265" s="91" t="n"/>
      <c r="AR265" s="91" t="n"/>
      <c r="AS265" s="91" t="n"/>
      <c r="AT265" s="91" t="n"/>
      <c r="AU265" s="91" t="n"/>
      <c r="AV265" s="31" t="n"/>
      <c r="AW265" s="36" t="n"/>
      <c r="AX265" s="16" t="n"/>
      <c r="AY265" s="31" t="n"/>
      <c r="AZ265" s="92" t="n"/>
      <c r="BA265" s="91" t="n"/>
      <c r="BB265" s="91" t="n"/>
      <c r="BC265" s="91" t="n"/>
      <c r="BD265" s="91" t="n"/>
      <c r="BE265" s="91" t="n"/>
      <c r="BF265" s="91" t="n"/>
      <c r="BG265" s="91" t="n"/>
      <c r="BH265" s="91" t="n"/>
      <c r="BI265" s="91" t="n"/>
      <c r="BJ265" s="91" t="n"/>
      <c r="BK265" s="91" t="n"/>
      <c r="BL265" s="91" t="n"/>
      <c r="BM265" s="91" t="n"/>
      <c r="BN265" s="91" t="n"/>
      <c r="BO265" s="91" t="n"/>
      <c r="BP265" s="91" t="n"/>
      <c r="BQ265" s="91" t="n"/>
      <c r="BR265" s="91" t="n"/>
      <c r="BS265" s="91" t="n"/>
      <c r="BT265" s="91" t="n"/>
      <c r="BU265" s="91" t="n"/>
      <c r="BV265" s="91" t="n"/>
      <c r="BW265" s="91" t="n"/>
      <c r="BX265" s="91" t="n"/>
      <c r="BY265" s="91" t="n"/>
      <c r="BZ265" s="91" t="n"/>
      <c r="CA265" s="91" t="n"/>
      <c r="CB265" s="91" t="n"/>
      <c r="CC265" s="91" t="n"/>
      <c r="CD265" s="91" t="n"/>
      <c r="CE265" s="91" t="n"/>
      <c r="CF265" s="91" t="n"/>
      <c r="CG265" s="91" t="n"/>
      <c r="CH265" s="91" t="inlineStr"/>
      <c r="CI265" s="91" t="n"/>
      <c r="CJ265" s="91" t="inlineStr"/>
      <c r="CK265" s="91" t="n"/>
      <c r="CL265" s="91" t="inlineStr"/>
      <c r="CM265" s="91">
        <f>SUM(CA265:CL265)</f>
        <v/>
      </c>
      <c r="CN265" s="91" t="n"/>
      <c r="CO265" s="72" t="n"/>
      <c r="CP265" s="91" t="n"/>
      <c r="CQ265" s="93" t="n"/>
      <c r="CR265" s="94" t="n"/>
      <c r="CS265" s="94" t="n"/>
      <c r="CT265" s="91" t="n"/>
      <c r="CU265" s="91" t="n"/>
      <c r="CV265" s="91" t="n"/>
      <c r="CW265" s="91" t="n"/>
      <c r="CX265" s="91" t="n"/>
      <c r="CY265" s="91" t="n"/>
      <c r="CZ265" s="91">
        <f>SUM(CN265:CY265)</f>
        <v/>
      </c>
      <c r="DA265" s="35" t="n"/>
    </row>
    <row r="266" ht="20.25" customFormat="1" customHeight="1" s="1">
      <c r="A266" s="30" t="n">
        <v>268</v>
      </c>
      <c r="B266" s="69" t="inlineStr">
        <is>
          <t>湖南</t>
        </is>
      </c>
      <c r="C266" s="69" t="inlineStr">
        <is>
          <t>湘西龙山县</t>
        </is>
      </c>
      <c r="D266" s="69" t="inlineStr">
        <is>
          <t>冉娇</t>
        </is>
      </c>
      <c r="E266" s="89" t="n"/>
      <c r="F266" s="27" t="inlineStr">
        <is>
          <t>2026</t>
        </is>
      </c>
      <c r="G266" s="27" t="inlineStr">
        <is>
          <t>6</t>
        </is>
      </c>
      <c r="H266" s="91" t="n">
        <v>85948.39999999999</v>
      </c>
      <c r="I266" s="91" t="n"/>
      <c r="J266" s="91" t="n"/>
      <c r="K266" s="91">
        <f>+H266+I266+J266</f>
        <v/>
      </c>
      <c r="L266" s="91" t="n"/>
      <c r="M266" s="91" t="inlineStr"/>
      <c r="N266" s="91" t="n"/>
      <c r="O266" s="91" t="n"/>
      <c r="P266" s="91" t="n"/>
      <c r="Q266" s="91" t="n"/>
      <c r="R266" s="91" t="n"/>
      <c r="S266" s="91" t="n"/>
      <c r="T266" s="91" t="n"/>
      <c r="U266" s="91" t="n"/>
      <c r="V266" s="91" t="n"/>
      <c r="W266" s="91" t="n"/>
      <c r="X266" s="91" t="n"/>
      <c r="Y266" s="91" t="n"/>
      <c r="Z266" s="91" t="n"/>
      <c r="AA266" s="91" t="n"/>
      <c r="AB266" s="91" t="n"/>
      <c r="AC266" s="91" t="n"/>
      <c r="AD266" s="91" t="n"/>
      <c r="AE266" s="91" t="n"/>
      <c r="AF266" s="91" t="n"/>
      <c r="AG266" s="30" t="n"/>
      <c r="AH266" s="30" t="n"/>
      <c r="AI266" s="30" t="n"/>
      <c r="AJ266" s="30" t="n"/>
      <c r="AK266" s="30" t="n"/>
      <c r="AL266" s="30" t="n"/>
      <c r="AM266" s="91" t="n"/>
      <c r="AN266" s="91" t="n"/>
      <c r="AO266" s="91" t="n"/>
      <c r="AP266" s="91" t="n"/>
      <c r="AQ266" s="91" t="n"/>
      <c r="AR266" s="91" t="n"/>
      <c r="AS266" s="91" t="n"/>
      <c r="AT266" s="91" t="n"/>
      <c r="AU266" s="91" t="n"/>
      <c r="AV266" s="31" t="n"/>
      <c r="AW266" s="36" t="n"/>
      <c r="AX266" s="16" t="n"/>
      <c r="AY266" s="31" t="n"/>
      <c r="AZ266" s="92" t="n"/>
      <c r="BA266" s="91" t="n"/>
      <c r="BB266" s="91" t="n"/>
      <c r="BC266" s="91" t="n"/>
      <c r="BD266" s="91" t="n"/>
      <c r="BE266" s="91" t="n"/>
      <c r="BF266" s="91" t="n"/>
      <c r="BG266" s="91" t="n"/>
      <c r="BH266" s="91" t="n"/>
      <c r="BI266" s="91" t="n"/>
      <c r="BJ266" s="91" t="n"/>
      <c r="BK266" s="91" t="n"/>
      <c r="BL266" s="91" t="n"/>
      <c r="BM266" s="91" t="n"/>
      <c r="BN266" s="91" t="n"/>
      <c r="BO266" s="91" t="n"/>
      <c r="BP266" s="91" t="n"/>
      <c r="BQ266" s="91" t="n"/>
      <c r="BR266" s="91" t="n"/>
      <c r="BS266" s="91" t="n"/>
      <c r="BT266" s="91" t="n"/>
      <c r="BU266" s="91" t="n"/>
      <c r="BV266" s="91" t="n"/>
      <c r="BW266" s="91" t="n"/>
      <c r="BX266" s="91" t="n"/>
      <c r="BY266" s="91" t="n"/>
      <c r="BZ266" s="91" t="n"/>
      <c r="CA266" s="91" t="n"/>
      <c r="CB266" s="91" t="n"/>
      <c r="CC266" s="91" t="n"/>
      <c r="CD266" s="91" t="n"/>
      <c r="CE266" s="91" t="n"/>
      <c r="CF266" s="91" t="n"/>
      <c r="CG266" s="91" t="n"/>
      <c r="CH266" s="91" t="inlineStr"/>
      <c r="CI266" s="91" t="n"/>
      <c r="CJ266" s="91" t="inlineStr"/>
      <c r="CK266" s="91" t="n"/>
      <c r="CL266" s="91" t="inlineStr"/>
      <c r="CM266" s="91">
        <f>SUM(CA266:CL266)</f>
        <v/>
      </c>
      <c r="CN266" s="91" t="n"/>
      <c r="CO266" s="72" t="n"/>
      <c r="CP266" s="91" t="n"/>
      <c r="CQ266" s="93" t="n"/>
      <c r="CR266" s="94" t="n"/>
      <c r="CS266" s="94" t="n"/>
      <c r="CT266" s="91" t="n"/>
      <c r="CU266" s="91" t="n"/>
      <c r="CV266" s="91" t="n"/>
      <c r="CW266" s="91" t="n"/>
      <c r="CX266" s="91" t="n"/>
      <c r="CY266" s="91" t="n"/>
      <c r="CZ266" s="91">
        <f>SUM(CN266:CY266)</f>
        <v/>
      </c>
      <c r="DA266" s="35" t="n"/>
    </row>
    <row r="267" ht="20.25" customFormat="1" customHeight="1" s="1">
      <c r="A267" s="30" t="n">
        <v>269</v>
      </c>
      <c r="B267" s="69" t="inlineStr">
        <is>
          <t>河南</t>
        </is>
      </c>
      <c r="C267" s="69" t="inlineStr">
        <is>
          <t>商丘</t>
        </is>
      </c>
      <c r="D267" s="69" t="inlineStr">
        <is>
          <t>王先莉</t>
        </is>
      </c>
      <c r="E267" s="89" t="n"/>
      <c r="F267" s="27" t="inlineStr">
        <is>
          <t>2026</t>
        </is>
      </c>
      <c r="G267" s="27" t="inlineStr">
        <is>
          <t>6</t>
        </is>
      </c>
      <c r="H267" s="91" t="n">
        <v>803</v>
      </c>
      <c r="I267" s="91" t="n"/>
      <c r="J267" s="91" t="n"/>
      <c r="K267" s="91">
        <f>+H267+I267+J267</f>
        <v/>
      </c>
      <c r="L267" s="91" t="n"/>
      <c r="M267" s="91" t="inlineStr"/>
      <c r="N267" s="91" t="n"/>
      <c r="O267" s="91" t="n"/>
      <c r="P267" s="91" t="n"/>
      <c r="Q267" s="91" t="n"/>
      <c r="R267" s="91" t="n"/>
      <c r="S267" s="91" t="n"/>
      <c r="T267" s="91" t="n"/>
      <c r="U267" s="91" t="n"/>
      <c r="V267" s="91" t="n"/>
      <c r="W267" s="91" t="n"/>
      <c r="X267" s="91" t="n"/>
      <c r="Y267" s="91" t="n"/>
      <c r="Z267" s="91" t="n"/>
      <c r="AA267" s="91" t="n"/>
      <c r="AB267" s="91" t="n"/>
      <c r="AC267" s="91" t="n"/>
      <c r="AD267" s="91" t="n"/>
      <c r="AE267" s="91" t="n"/>
      <c r="AF267" s="91" t="n"/>
      <c r="AG267" s="30" t="n"/>
      <c r="AH267" s="30" t="n"/>
      <c r="AI267" s="30" t="n"/>
      <c r="AJ267" s="30" t="n"/>
      <c r="AK267" s="30" t="n"/>
      <c r="AL267" s="30" t="n"/>
      <c r="AM267" s="91" t="n"/>
      <c r="AN267" s="91" t="n"/>
      <c r="AO267" s="91" t="n"/>
      <c r="AP267" s="91" t="n"/>
      <c r="AQ267" s="91" t="n"/>
      <c r="AR267" s="91" t="n"/>
      <c r="AS267" s="91" t="n"/>
      <c r="AT267" s="91" t="n"/>
      <c r="AU267" s="91" t="n"/>
      <c r="AV267" s="31" t="n"/>
      <c r="AW267" s="36" t="n"/>
      <c r="AX267" s="16" t="n"/>
      <c r="AY267" s="31" t="n"/>
      <c r="AZ267" s="92" t="n"/>
      <c r="BA267" s="91" t="n"/>
      <c r="BB267" s="91" t="n"/>
      <c r="BC267" s="91" t="n"/>
      <c r="BD267" s="91" t="n"/>
      <c r="BE267" s="91" t="n"/>
      <c r="BF267" s="91" t="n"/>
      <c r="BG267" s="91" t="n"/>
      <c r="BH267" s="91" t="n"/>
      <c r="BI267" s="91" t="n"/>
      <c r="BJ267" s="91" t="n"/>
      <c r="BK267" s="91" t="n"/>
      <c r="BL267" s="91" t="n"/>
      <c r="BM267" s="91" t="n"/>
      <c r="BN267" s="91" t="n"/>
      <c r="BO267" s="91" t="n"/>
      <c r="BP267" s="91" t="n"/>
      <c r="BQ267" s="91" t="n"/>
      <c r="BR267" s="91" t="n"/>
      <c r="BS267" s="91" t="n"/>
      <c r="BT267" s="91" t="n"/>
      <c r="BU267" s="91" t="n"/>
      <c r="BV267" s="91" t="n"/>
      <c r="BW267" s="91" t="n"/>
      <c r="BX267" s="91" t="n"/>
      <c r="BY267" s="91" t="n"/>
      <c r="BZ267" s="91" t="n"/>
      <c r="CA267" s="91" t="n"/>
      <c r="CB267" s="91" t="n"/>
      <c r="CC267" s="91" t="n"/>
      <c r="CD267" s="91" t="n"/>
      <c r="CE267" s="91" t="n"/>
      <c r="CF267" s="91" t="n"/>
      <c r="CG267" s="91" t="n"/>
      <c r="CH267" s="91" t="inlineStr"/>
      <c r="CI267" s="91" t="n"/>
      <c r="CJ267" s="91" t="inlineStr"/>
      <c r="CK267" s="91" t="n"/>
      <c r="CL267" s="91" t="inlineStr"/>
      <c r="CM267" s="91">
        <f>SUM(CA267:CL267)</f>
        <v/>
      </c>
      <c r="CN267" s="91" t="n"/>
      <c r="CO267" s="72" t="n"/>
      <c r="CP267" s="91" t="n"/>
      <c r="CQ267" s="93" t="n"/>
      <c r="CR267" s="94" t="n"/>
      <c r="CS267" s="94" t="n"/>
      <c r="CT267" s="91" t="n"/>
      <c r="CU267" s="91" t="n"/>
      <c r="CV267" s="91" t="n"/>
      <c r="CW267" s="91" t="n"/>
      <c r="CX267" s="91" t="n"/>
      <c r="CY267" s="91" t="n"/>
      <c r="CZ267" s="91">
        <f>SUM(CN267:CY267)</f>
        <v/>
      </c>
      <c r="DA267" s="35" t="n"/>
    </row>
    <row r="268" ht="20.25" customFormat="1" customHeight="1" s="1">
      <c r="A268" s="30" t="n">
        <v>270</v>
      </c>
      <c r="B268" s="69" t="inlineStr">
        <is>
          <t>河北</t>
        </is>
      </c>
      <c r="C268" s="69" t="inlineStr">
        <is>
          <t>张家口</t>
        </is>
      </c>
      <c r="D268" s="69" t="inlineStr">
        <is>
          <t>夏海兵</t>
        </is>
      </c>
      <c r="E268" s="89" t="n"/>
      <c r="F268" s="27" t="inlineStr">
        <is>
          <t>2026</t>
        </is>
      </c>
      <c r="G268" s="27" t="inlineStr">
        <is>
          <t>6</t>
        </is>
      </c>
      <c r="H268" s="91" t="n">
        <v>1147</v>
      </c>
      <c r="I268" s="91" t="n"/>
      <c r="J268" s="91" t="n"/>
      <c r="K268" s="91">
        <f>+H268+I268+J268</f>
        <v/>
      </c>
      <c r="L268" s="91" t="n"/>
      <c r="M268" s="91" t="inlineStr"/>
      <c r="N268" s="91" t="n"/>
      <c r="O268" s="91" t="n"/>
      <c r="P268" s="91" t="n"/>
      <c r="Q268" s="91" t="n"/>
      <c r="R268" s="91" t="n"/>
      <c r="S268" s="91" t="n"/>
      <c r="T268" s="91" t="n"/>
      <c r="U268" s="91" t="n"/>
      <c r="V268" s="91" t="n"/>
      <c r="W268" s="91" t="n"/>
      <c r="X268" s="91" t="n"/>
      <c r="Y268" s="91" t="n"/>
      <c r="Z268" s="91" t="n"/>
      <c r="AA268" s="91" t="n"/>
      <c r="AB268" s="91" t="n"/>
      <c r="AC268" s="91" t="n"/>
      <c r="AD268" s="91" t="n"/>
      <c r="AE268" s="91" t="n"/>
      <c r="AF268" s="91" t="n"/>
      <c r="AG268" s="30" t="n"/>
      <c r="AH268" s="30" t="n"/>
      <c r="AI268" s="30" t="n"/>
      <c r="AJ268" s="30" t="n"/>
      <c r="AK268" s="30" t="n"/>
      <c r="AL268" s="30" t="n"/>
      <c r="AM268" s="91" t="n"/>
      <c r="AN268" s="91" t="n"/>
      <c r="AO268" s="91" t="n"/>
      <c r="AP268" s="91" t="n"/>
      <c r="AQ268" s="91" t="n"/>
      <c r="AR268" s="91" t="n"/>
      <c r="AS268" s="91" t="n"/>
      <c r="AT268" s="91" t="n"/>
      <c r="AU268" s="91" t="n"/>
      <c r="AV268" s="31" t="n"/>
      <c r="AW268" s="36" t="n"/>
      <c r="AX268" s="16" t="n"/>
      <c r="AY268" s="31" t="n"/>
      <c r="AZ268" s="92" t="n"/>
      <c r="BA268" s="91" t="n"/>
      <c r="BB268" s="91" t="n"/>
      <c r="BC268" s="91" t="n"/>
      <c r="BD268" s="91" t="n"/>
      <c r="BE268" s="91" t="n"/>
      <c r="BF268" s="91" t="n"/>
      <c r="BG268" s="91" t="n"/>
      <c r="BH268" s="91" t="n"/>
      <c r="BI268" s="91" t="n"/>
      <c r="BJ268" s="91" t="n"/>
      <c r="BK268" s="91" t="n"/>
      <c r="BL268" s="91" t="n"/>
      <c r="BM268" s="91" t="n"/>
      <c r="BN268" s="91" t="n"/>
      <c r="BO268" s="91" t="n"/>
      <c r="BP268" s="91" t="n"/>
      <c r="BQ268" s="91" t="n"/>
      <c r="BR268" s="91" t="n"/>
      <c r="BS268" s="91" t="n"/>
      <c r="BT268" s="91" t="n"/>
      <c r="BU268" s="91" t="n"/>
      <c r="BV268" s="91" t="n"/>
      <c r="BW268" s="91" t="n"/>
      <c r="BX268" s="91" t="n"/>
      <c r="BY268" s="91" t="n"/>
      <c r="BZ268" s="91" t="n"/>
      <c r="CA268" s="91" t="n"/>
      <c r="CB268" s="91" t="n"/>
      <c r="CC268" s="91" t="n"/>
      <c r="CD268" s="91" t="n"/>
      <c r="CE268" s="91" t="n"/>
      <c r="CF268" s="91" t="n"/>
      <c r="CG268" s="91" t="n"/>
      <c r="CH268" s="91" t="inlineStr"/>
      <c r="CI268" s="91" t="n"/>
      <c r="CJ268" s="91" t="inlineStr"/>
      <c r="CK268" s="91" t="n"/>
      <c r="CL268" s="91" t="inlineStr"/>
      <c r="CM268" s="91">
        <f>SUM(CA268:CL268)</f>
        <v/>
      </c>
      <c r="CN268" s="91" t="n"/>
      <c r="CO268" s="72" t="n"/>
      <c r="CP268" s="91" t="n"/>
      <c r="CQ268" s="93" t="n"/>
      <c r="CR268" s="94" t="n"/>
      <c r="CS268" s="73" t="n"/>
      <c r="CT268" s="91" t="n"/>
      <c r="CU268" s="91" t="n"/>
      <c r="CV268" s="91" t="n"/>
      <c r="CW268" s="91" t="n"/>
      <c r="CX268" s="91" t="n"/>
      <c r="CY268" s="91" t="n"/>
      <c r="CZ268" s="91">
        <f>SUM(CN268:CY268)</f>
        <v/>
      </c>
      <c r="DA268" s="35" t="n"/>
    </row>
    <row r="269" ht="20.25" customFormat="1" customHeight="1" s="1">
      <c r="A269" s="30" t="n"/>
      <c r="B269" s="74" t="n"/>
      <c r="C269" s="74" t="n"/>
      <c r="D269" s="74" t="n"/>
      <c r="E269" s="89" t="n"/>
      <c r="F269" s="27" t="n"/>
      <c r="G269" s="27" t="n"/>
      <c r="H269" s="91" t="n"/>
      <c r="I269" s="91" t="n"/>
      <c r="J269" s="91" t="n"/>
      <c r="K269" s="91">
        <f>+H269+I269+J269</f>
        <v/>
      </c>
      <c r="L269" s="91" t="n"/>
      <c r="M269" s="91" t="inlineStr"/>
      <c r="N269" s="91" t="n"/>
      <c r="O269" s="91" t="n"/>
      <c r="P269" s="91" t="n"/>
      <c r="Q269" s="91" t="n"/>
      <c r="R269" s="91" t="n"/>
      <c r="S269" s="91" t="n"/>
      <c r="T269" s="91" t="n"/>
      <c r="U269" s="91" t="n"/>
      <c r="V269" s="91" t="n"/>
      <c r="W269" s="91" t="n"/>
      <c r="X269" s="91" t="n"/>
      <c r="Y269" s="91" t="n"/>
      <c r="Z269" s="91" t="n"/>
      <c r="AA269" s="91" t="n"/>
      <c r="AB269" s="91" t="n"/>
      <c r="AC269" s="91" t="n"/>
      <c r="AD269" s="91" t="n"/>
      <c r="AE269" s="91" t="n"/>
      <c r="AF269" s="91" t="n"/>
      <c r="AG269" s="30" t="n"/>
      <c r="AH269" s="30" t="n"/>
      <c r="AI269" s="30" t="n"/>
      <c r="AJ269" s="30" t="n"/>
      <c r="AK269" s="30" t="n"/>
      <c r="AL269" s="30" t="n"/>
      <c r="AM269" s="91" t="n"/>
      <c r="AN269" s="91" t="n"/>
      <c r="AO269" s="91" t="n"/>
      <c r="AP269" s="91" t="n"/>
      <c r="AQ269" s="91" t="n"/>
      <c r="AR269" s="91" t="n"/>
      <c r="AS269" s="91" t="n"/>
      <c r="AT269" s="91" t="n"/>
      <c r="AU269" s="91" t="n"/>
      <c r="AV269" s="31" t="n"/>
      <c r="AW269" s="36" t="n"/>
      <c r="AX269" s="16" t="n"/>
      <c r="AY269" s="31" t="n"/>
      <c r="AZ269" s="92" t="n"/>
      <c r="BA269" s="91" t="n"/>
      <c r="BB269" s="91" t="n"/>
      <c r="BC269" s="91" t="n"/>
      <c r="BD269" s="91" t="n"/>
      <c r="BE269" s="91" t="n"/>
      <c r="BF269" s="91" t="n"/>
      <c r="BG269" s="91" t="n"/>
      <c r="BH269" s="91" t="n"/>
      <c r="BI269" s="91" t="n"/>
      <c r="BJ269" s="91" t="n"/>
      <c r="BK269" s="91" t="n"/>
      <c r="BL269" s="91" t="n"/>
      <c r="BM269" s="91" t="n"/>
      <c r="BN269" s="91" t="n"/>
      <c r="BO269" s="91" t="n"/>
      <c r="BP269" s="91" t="n"/>
      <c r="BQ269" s="91" t="n"/>
      <c r="BR269" s="91" t="n"/>
      <c r="BS269" s="91" t="n"/>
      <c r="BT269" s="91" t="n"/>
      <c r="BU269" s="91" t="n"/>
      <c r="BV269" s="91" t="n"/>
      <c r="BW269" s="91" t="n"/>
      <c r="BX269" s="91" t="n"/>
      <c r="BY269" s="91" t="n"/>
      <c r="BZ269" s="91" t="n"/>
      <c r="CA269" s="91" t="n"/>
      <c r="CB269" s="91" t="n"/>
      <c r="CC269" s="91" t="n"/>
      <c r="CD269" s="91" t="n"/>
      <c r="CE269" s="91" t="n"/>
      <c r="CF269" s="91" t="n"/>
      <c r="CG269" s="91" t="n"/>
      <c r="CH269" s="91" t="inlineStr"/>
      <c r="CI269" s="91" t="n"/>
      <c r="CJ269" s="91" t="inlineStr"/>
      <c r="CK269" s="91" t="n"/>
      <c r="CL269" s="91" t="inlineStr"/>
      <c r="CM269" s="91">
        <f>SUM(CA269:CL269)</f>
        <v/>
      </c>
      <c r="CN269" s="91" t="n"/>
      <c r="CO269" s="72" t="n"/>
      <c r="CP269" s="91" t="n"/>
      <c r="CQ269" s="93" t="n"/>
      <c r="CR269" s="94" t="n"/>
      <c r="CS269" s="94" t="n"/>
      <c r="CT269" s="91" t="n"/>
      <c r="CU269" s="91" t="n"/>
      <c r="CV269" s="91" t="n"/>
      <c r="CW269" s="91" t="n"/>
      <c r="CX269" s="91" t="n"/>
      <c r="CY269" s="91" t="n"/>
      <c r="CZ269" s="91">
        <f>SUM(CN269:CY269)</f>
        <v/>
      </c>
      <c r="DA269" s="35" t="n"/>
    </row>
    <row r="270" ht="20.25" customFormat="1" customHeight="1" s="1">
      <c r="A270" s="30" t="n"/>
      <c r="B270" s="74" t="n"/>
      <c r="C270" s="74" t="n"/>
      <c r="D270" s="74" t="n"/>
      <c r="E270" s="89" t="n"/>
      <c r="F270" s="27" t="n"/>
      <c r="G270" s="27" t="n"/>
      <c r="H270" s="91" t="n"/>
      <c r="I270" s="91" t="n"/>
      <c r="J270" s="91" t="n"/>
      <c r="K270" s="91">
        <f>+H270+I270+J270</f>
        <v/>
      </c>
      <c r="L270" s="91" t="n"/>
      <c r="M270" s="91" t="inlineStr"/>
      <c r="N270" s="91" t="n"/>
      <c r="O270" s="91" t="n"/>
      <c r="P270" s="91" t="n"/>
      <c r="Q270" s="91" t="n"/>
      <c r="R270" s="91" t="n"/>
      <c r="S270" s="91" t="n"/>
      <c r="T270" s="91" t="n"/>
      <c r="U270" s="91" t="n"/>
      <c r="V270" s="91" t="n"/>
      <c r="W270" s="91" t="n"/>
      <c r="X270" s="91" t="n"/>
      <c r="Y270" s="91" t="n"/>
      <c r="Z270" s="91" t="n"/>
      <c r="AA270" s="91" t="n"/>
      <c r="AB270" s="91" t="n"/>
      <c r="AC270" s="91" t="n"/>
      <c r="AD270" s="91" t="n"/>
      <c r="AE270" s="91" t="n"/>
      <c r="AF270" s="91" t="n"/>
      <c r="AG270" s="30" t="n"/>
      <c r="AH270" s="30" t="n"/>
      <c r="AI270" s="30" t="n"/>
      <c r="AJ270" s="30" t="n"/>
      <c r="AK270" s="30" t="n"/>
      <c r="AL270" s="30" t="n"/>
      <c r="AM270" s="91" t="n"/>
      <c r="AN270" s="91" t="n"/>
      <c r="AO270" s="91" t="n"/>
      <c r="AP270" s="91" t="n"/>
      <c r="AQ270" s="91" t="n"/>
      <c r="AR270" s="91" t="n"/>
      <c r="AS270" s="91" t="n"/>
      <c r="AT270" s="91" t="n"/>
      <c r="AU270" s="91" t="n"/>
      <c r="AV270" s="31" t="n"/>
      <c r="AW270" s="36" t="n"/>
      <c r="AX270" s="16" t="n"/>
      <c r="AY270" s="31" t="n"/>
      <c r="AZ270" s="92" t="n"/>
      <c r="BA270" s="91" t="n"/>
      <c r="BB270" s="91" t="n"/>
      <c r="BC270" s="91" t="n"/>
      <c r="BD270" s="91" t="n"/>
      <c r="BE270" s="91" t="n"/>
      <c r="BF270" s="91" t="n"/>
      <c r="BG270" s="91" t="n"/>
      <c r="BH270" s="91" t="n"/>
      <c r="BI270" s="91" t="n"/>
      <c r="BJ270" s="91" t="n"/>
      <c r="BK270" s="91" t="n"/>
      <c r="BL270" s="91" t="n"/>
      <c r="BM270" s="91" t="n"/>
      <c r="BN270" s="91" t="n"/>
      <c r="BO270" s="91" t="n"/>
      <c r="BP270" s="91" t="n"/>
      <c r="BQ270" s="91" t="n"/>
      <c r="BR270" s="91" t="n"/>
      <c r="BS270" s="91" t="n"/>
      <c r="BT270" s="91" t="n"/>
      <c r="BU270" s="91" t="n"/>
      <c r="BV270" s="91" t="n"/>
      <c r="BW270" s="91" t="n"/>
      <c r="BX270" s="91" t="n"/>
      <c r="BY270" s="91" t="n"/>
      <c r="BZ270" s="91" t="n"/>
      <c r="CA270" s="91" t="n"/>
      <c r="CB270" s="91" t="n"/>
      <c r="CC270" s="91" t="n"/>
      <c r="CD270" s="91" t="n"/>
      <c r="CE270" s="91" t="n"/>
      <c r="CF270" s="91" t="n"/>
      <c r="CG270" s="91" t="n"/>
      <c r="CH270" s="91" t="inlineStr"/>
      <c r="CI270" s="91" t="n"/>
      <c r="CJ270" s="91" t="inlineStr"/>
      <c r="CK270" s="91" t="n"/>
      <c r="CL270" s="91" t="inlineStr"/>
      <c r="CM270" s="91">
        <f>SUM(CA270:CL270)</f>
        <v/>
      </c>
      <c r="CN270" s="91" t="n"/>
      <c r="CO270" s="72" t="n"/>
      <c r="CP270" s="91" t="n"/>
      <c r="CQ270" s="93" t="n"/>
      <c r="CR270" s="94" t="n"/>
      <c r="CS270" s="94" t="n"/>
      <c r="CT270" s="91" t="n"/>
      <c r="CU270" s="91" t="n"/>
      <c r="CV270" s="91" t="n"/>
      <c r="CW270" s="91" t="n"/>
      <c r="CX270" s="91" t="n"/>
      <c r="CY270" s="91" t="n"/>
      <c r="CZ270" s="91">
        <f>SUM(CN270:CY270)</f>
        <v/>
      </c>
      <c r="DA270" s="35" t="n"/>
    </row>
    <row r="271" ht="20.25" customFormat="1" customHeight="1" s="1">
      <c r="A271" s="30" t="n"/>
      <c r="B271" s="74" t="n"/>
      <c r="C271" s="74" t="n"/>
      <c r="D271" s="74" t="n"/>
      <c r="E271" s="89" t="n"/>
      <c r="F271" s="27" t="n"/>
      <c r="G271" s="27" t="n"/>
      <c r="H271" s="91" t="n"/>
      <c r="I271" s="91" t="n"/>
      <c r="J271" s="91" t="n"/>
      <c r="K271" s="91">
        <f>+H271+I271+J271</f>
        <v/>
      </c>
      <c r="L271" s="91" t="n"/>
      <c r="M271" s="91" t="inlineStr"/>
      <c r="N271" s="91" t="n"/>
      <c r="O271" s="91" t="n"/>
      <c r="P271" s="91" t="n"/>
      <c r="Q271" s="91" t="n"/>
      <c r="R271" s="91" t="n"/>
      <c r="S271" s="91" t="n"/>
      <c r="T271" s="91" t="n"/>
      <c r="U271" s="91" t="n"/>
      <c r="V271" s="91" t="n"/>
      <c r="W271" s="91" t="n"/>
      <c r="X271" s="91" t="n"/>
      <c r="Y271" s="91" t="n"/>
      <c r="Z271" s="91" t="n"/>
      <c r="AA271" s="91" t="n"/>
      <c r="AB271" s="91" t="n"/>
      <c r="AC271" s="91" t="n"/>
      <c r="AD271" s="91" t="n"/>
      <c r="AE271" s="91" t="n"/>
      <c r="AF271" s="91" t="n"/>
      <c r="AG271" s="30" t="n"/>
      <c r="AH271" s="30" t="n"/>
      <c r="AI271" s="30" t="n"/>
      <c r="AJ271" s="30" t="n"/>
      <c r="AK271" s="30" t="n"/>
      <c r="AL271" s="30" t="n"/>
      <c r="AM271" s="91" t="n"/>
      <c r="AN271" s="91" t="n"/>
      <c r="AO271" s="91" t="n"/>
      <c r="AP271" s="91" t="n"/>
      <c r="AQ271" s="91" t="n"/>
      <c r="AR271" s="91" t="n"/>
      <c r="AS271" s="91" t="n"/>
      <c r="AT271" s="91" t="n"/>
      <c r="AU271" s="91" t="n"/>
      <c r="AV271" s="31" t="n"/>
      <c r="AW271" s="36" t="n"/>
      <c r="AX271" s="16" t="n"/>
      <c r="AY271" s="31" t="n"/>
      <c r="AZ271" s="92" t="n"/>
      <c r="BA271" s="91" t="n"/>
      <c r="BB271" s="91" t="n"/>
      <c r="BC271" s="91" t="n"/>
      <c r="BD271" s="91" t="n"/>
      <c r="BE271" s="91" t="n"/>
      <c r="BF271" s="91" t="n"/>
      <c r="BG271" s="91" t="n"/>
      <c r="BH271" s="91" t="n"/>
      <c r="BI271" s="91" t="n"/>
      <c r="BJ271" s="91" t="n"/>
      <c r="BK271" s="91" t="n"/>
      <c r="BL271" s="91" t="n"/>
      <c r="BM271" s="91" t="n"/>
      <c r="BN271" s="91" t="n"/>
      <c r="BO271" s="91" t="n"/>
      <c r="BP271" s="91" t="n"/>
      <c r="BQ271" s="91" t="n"/>
      <c r="BR271" s="91" t="n"/>
      <c r="BS271" s="91" t="n"/>
      <c r="BT271" s="91" t="n"/>
      <c r="BU271" s="91" t="n"/>
      <c r="BV271" s="91" t="n"/>
      <c r="BW271" s="91" t="n"/>
      <c r="BX271" s="91" t="n"/>
      <c r="BY271" s="91" t="n"/>
      <c r="BZ271" s="91" t="n"/>
      <c r="CA271" s="91" t="n"/>
      <c r="CB271" s="91" t="n"/>
      <c r="CC271" s="91" t="n"/>
      <c r="CD271" s="91" t="n"/>
      <c r="CE271" s="91" t="n"/>
      <c r="CF271" s="91" t="n"/>
      <c r="CG271" s="91" t="n"/>
      <c r="CH271" s="91" t="inlineStr"/>
      <c r="CI271" s="91" t="n"/>
      <c r="CJ271" s="91" t="inlineStr"/>
      <c r="CK271" s="91" t="n"/>
      <c r="CL271" s="91" t="inlineStr"/>
      <c r="CM271" s="91">
        <f>SUM(CA271:CL271)</f>
        <v/>
      </c>
      <c r="CN271" s="91" t="n"/>
      <c r="CO271" s="72" t="n"/>
      <c r="CP271" s="91" t="n"/>
      <c r="CQ271" s="93" t="n"/>
      <c r="CR271" s="94" t="n"/>
      <c r="CS271" s="94" t="n"/>
      <c r="CT271" s="91" t="n"/>
      <c r="CU271" s="91" t="n"/>
      <c r="CV271" s="91" t="n"/>
      <c r="CW271" s="91" t="n"/>
      <c r="CX271" s="91" t="n"/>
      <c r="CY271" s="91" t="n"/>
      <c r="CZ271" s="91">
        <f>SUM(CN271:CY271)</f>
        <v/>
      </c>
      <c r="DA271" s="35" t="n"/>
    </row>
    <row r="272" ht="20.25" customFormat="1" customHeight="1" s="1">
      <c r="A272" s="30" t="n"/>
      <c r="B272" s="74" t="n"/>
      <c r="C272" s="74" t="n"/>
      <c r="D272" s="74" t="n"/>
      <c r="E272" s="89" t="n"/>
      <c r="F272" s="27" t="n"/>
      <c r="G272" s="27" t="n"/>
      <c r="H272" s="91" t="n"/>
      <c r="I272" s="91" t="n"/>
      <c r="J272" s="91" t="n"/>
      <c r="K272" s="91">
        <f>+H272+I272+J272</f>
        <v/>
      </c>
      <c r="L272" s="91" t="n"/>
      <c r="M272" s="91" t="inlineStr"/>
      <c r="N272" s="91" t="n"/>
      <c r="O272" s="91" t="n"/>
      <c r="P272" s="91" t="n"/>
      <c r="Q272" s="91" t="n"/>
      <c r="R272" s="91" t="n"/>
      <c r="S272" s="91" t="n"/>
      <c r="T272" s="91" t="n"/>
      <c r="U272" s="91" t="n"/>
      <c r="V272" s="91" t="n"/>
      <c r="W272" s="91" t="n"/>
      <c r="X272" s="91" t="n"/>
      <c r="Y272" s="91" t="n"/>
      <c r="Z272" s="91" t="n"/>
      <c r="AA272" s="91" t="n"/>
      <c r="AB272" s="91" t="n"/>
      <c r="AC272" s="91" t="n"/>
      <c r="AD272" s="91" t="n"/>
      <c r="AE272" s="91" t="n"/>
      <c r="AF272" s="91" t="n"/>
      <c r="AG272" s="30" t="n"/>
      <c r="AH272" s="30" t="n"/>
      <c r="AI272" s="30" t="n"/>
      <c r="AJ272" s="30" t="n"/>
      <c r="AK272" s="30" t="n"/>
      <c r="AL272" s="30" t="n"/>
      <c r="AM272" s="91" t="n"/>
      <c r="AN272" s="91" t="n"/>
      <c r="AO272" s="91" t="n"/>
      <c r="AP272" s="91" t="n"/>
      <c r="AQ272" s="91" t="n"/>
      <c r="AR272" s="91" t="n"/>
      <c r="AS272" s="91" t="n"/>
      <c r="AT272" s="91" t="n"/>
      <c r="AU272" s="91" t="n"/>
      <c r="AV272" s="31" t="n"/>
      <c r="AW272" s="36" t="n"/>
      <c r="AX272" s="16" t="n"/>
      <c r="AY272" s="31" t="n"/>
      <c r="AZ272" s="92" t="n"/>
      <c r="BA272" s="91" t="n"/>
      <c r="BB272" s="91" t="n"/>
      <c r="BC272" s="91" t="n"/>
      <c r="BD272" s="91" t="n"/>
      <c r="BE272" s="91" t="n"/>
      <c r="BF272" s="91" t="n"/>
      <c r="BG272" s="91" t="n"/>
      <c r="BH272" s="91" t="n"/>
      <c r="BI272" s="91" t="n"/>
      <c r="BJ272" s="91" t="n"/>
      <c r="BK272" s="91" t="n"/>
      <c r="BL272" s="91" t="n"/>
      <c r="BM272" s="91" t="n"/>
      <c r="BN272" s="91" t="n"/>
      <c r="BO272" s="91" t="n"/>
      <c r="BP272" s="91" t="n"/>
      <c r="BQ272" s="91" t="n"/>
      <c r="BR272" s="91" t="n"/>
      <c r="BS272" s="91" t="n"/>
      <c r="BT272" s="91" t="n"/>
      <c r="BU272" s="91" t="n"/>
      <c r="BV272" s="91" t="n"/>
      <c r="BW272" s="91" t="n"/>
      <c r="BX272" s="91" t="n"/>
      <c r="BY272" s="91" t="n"/>
      <c r="BZ272" s="91" t="n"/>
      <c r="CA272" s="91" t="n"/>
      <c r="CB272" s="91" t="n"/>
      <c r="CC272" s="91" t="n"/>
      <c r="CD272" s="91" t="n"/>
      <c r="CE272" s="91" t="n"/>
      <c r="CF272" s="91" t="n"/>
      <c r="CG272" s="91" t="n"/>
      <c r="CH272" s="91" t="inlineStr"/>
      <c r="CI272" s="91" t="n"/>
      <c r="CJ272" s="91" t="inlineStr"/>
      <c r="CK272" s="91" t="n"/>
      <c r="CL272" s="91" t="inlineStr"/>
      <c r="CM272" s="91">
        <f>SUM(CA272:CL272)</f>
        <v/>
      </c>
      <c r="CN272" s="91" t="n"/>
      <c r="CO272" s="72" t="n"/>
      <c r="CP272" s="91" t="n"/>
      <c r="CQ272" s="93" t="n"/>
      <c r="CR272" s="94" t="n"/>
      <c r="CS272" s="94" t="n"/>
      <c r="CT272" s="91" t="n"/>
      <c r="CU272" s="91" t="n"/>
      <c r="CV272" s="91" t="n"/>
      <c r="CW272" s="91" t="n"/>
      <c r="CX272" s="91" t="n"/>
      <c r="CY272" s="91" t="n"/>
      <c r="CZ272" s="91">
        <f>SUM(CN272:CY272)</f>
        <v/>
      </c>
      <c r="DA272" s="35" t="n"/>
    </row>
    <row r="273" ht="20.25" customFormat="1" customHeight="1" s="1">
      <c r="A273" s="30" t="n"/>
      <c r="B273" s="74" t="n"/>
      <c r="C273" s="74" t="n"/>
      <c r="D273" s="74" t="n"/>
      <c r="E273" s="89" t="n"/>
      <c r="F273" s="27" t="n"/>
      <c r="G273" s="27" t="n"/>
      <c r="H273" s="91" t="n"/>
      <c r="I273" s="91" t="n"/>
      <c r="J273" s="91" t="n"/>
      <c r="K273" s="91">
        <f>+H273+I273+J273</f>
        <v/>
      </c>
      <c r="L273" s="91" t="n"/>
      <c r="M273" s="91" t="inlineStr"/>
      <c r="N273" s="91" t="n"/>
      <c r="O273" s="91" t="n"/>
      <c r="P273" s="91" t="n"/>
      <c r="Q273" s="91" t="n"/>
      <c r="R273" s="91" t="n"/>
      <c r="S273" s="91" t="n"/>
      <c r="T273" s="91" t="n"/>
      <c r="U273" s="91" t="n"/>
      <c r="V273" s="91" t="n"/>
      <c r="W273" s="91" t="n"/>
      <c r="X273" s="91" t="n"/>
      <c r="Y273" s="91" t="n"/>
      <c r="Z273" s="91" t="n"/>
      <c r="AA273" s="91" t="n"/>
      <c r="AB273" s="91" t="n"/>
      <c r="AC273" s="91" t="n"/>
      <c r="AD273" s="91" t="n"/>
      <c r="AE273" s="91" t="n"/>
      <c r="AF273" s="91" t="n"/>
      <c r="AG273" s="30" t="n"/>
      <c r="AH273" s="30" t="n"/>
      <c r="AI273" s="30" t="n"/>
      <c r="AJ273" s="30" t="n"/>
      <c r="AK273" s="30" t="n"/>
      <c r="AL273" s="30" t="n"/>
      <c r="AM273" s="91" t="n"/>
      <c r="AN273" s="91" t="n"/>
      <c r="AO273" s="91" t="n"/>
      <c r="AP273" s="91" t="n"/>
      <c r="AQ273" s="91" t="n"/>
      <c r="AR273" s="91" t="n"/>
      <c r="AS273" s="91" t="n"/>
      <c r="AT273" s="91" t="n"/>
      <c r="AU273" s="91" t="n"/>
      <c r="AV273" s="31" t="n"/>
      <c r="AW273" s="36" t="n"/>
      <c r="AX273" s="16" t="n"/>
      <c r="AY273" s="31" t="n"/>
      <c r="AZ273" s="92" t="n"/>
      <c r="BA273" s="91" t="n"/>
      <c r="BB273" s="91" t="n"/>
      <c r="BC273" s="91" t="n"/>
      <c r="BD273" s="91" t="n"/>
      <c r="BE273" s="91" t="n"/>
      <c r="BF273" s="91" t="n"/>
      <c r="BG273" s="91" t="n"/>
      <c r="BH273" s="91" t="n"/>
      <c r="BI273" s="91" t="n"/>
      <c r="BJ273" s="91" t="n"/>
      <c r="BK273" s="91" t="n"/>
      <c r="BL273" s="91" t="n"/>
      <c r="BM273" s="91" t="n"/>
      <c r="BN273" s="91" t="n"/>
      <c r="BO273" s="91" t="n"/>
      <c r="BP273" s="91" t="n"/>
      <c r="BQ273" s="91" t="n"/>
      <c r="BR273" s="91" t="n"/>
      <c r="BS273" s="91" t="n"/>
      <c r="BT273" s="91" t="n"/>
      <c r="BU273" s="91" t="n"/>
      <c r="BV273" s="91" t="n"/>
      <c r="BW273" s="91" t="n"/>
      <c r="BX273" s="91" t="n"/>
      <c r="BY273" s="91" t="n"/>
      <c r="BZ273" s="91" t="n"/>
      <c r="CA273" s="91" t="n"/>
      <c r="CB273" s="91" t="n"/>
      <c r="CC273" s="91" t="n"/>
      <c r="CD273" s="91" t="n"/>
      <c r="CE273" s="91" t="n"/>
      <c r="CF273" s="91" t="n"/>
      <c r="CG273" s="91" t="n"/>
      <c r="CH273" s="91" t="inlineStr"/>
      <c r="CI273" s="91" t="n"/>
      <c r="CJ273" s="91" t="inlineStr"/>
      <c r="CK273" s="91" t="n"/>
      <c r="CL273" s="91" t="inlineStr"/>
      <c r="CM273" s="91">
        <f>SUM(CA273:CL273)</f>
        <v/>
      </c>
      <c r="CN273" s="91" t="n"/>
      <c r="CO273" s="72" t="n"/>
      <c r="CP273" s="91" t="n"/>
      <c r="CQ273" s="93" t="n"/>
      <c r="CR273" s="94" t="n"/>
      <c r="CS273" s="94" t="n"/>
      <c r="CT273" s="91" t="n"/>
      <c r="CU273" s="91" t="n"/>
      <c r="CV273" s="91" t="n"/>
      <c r="CW273" s="91" t="n"/>
      <c r="CX273" s="91" t="n"/>
      <c r="CY273" s="91" t="n"/>
      <c r="CZ273" s="91">
        <f>SUM(CN273:CY273)</f>
        <v/>
      </c>
      <c r="DA273" s="35" t="n"/>
    </row>
    <row r="274" ht="20.25" customFormat="1" customHeight="1" s="1">
      <c r="A274" s="30" t="n"/>
      <c r="B274" s="74" t="n"/>
      <c r="C274" s="74" t="n"/>
      <c r="D274" s="74" t="n"/>
      <c r="E274" s="89" t="n"/>
      <c r="F274" s="27" t="n"/>
      <c r="G274" s="27" t="n"/>
      <c r="H274" s="91" t="n"/>
      <c r="I274" s="91" t="n"/>
      <c r="J274" s="91" t="n"/>
      <c r="K274" s="91">
        <f>+H274+I274+J274</f>
        <v/>
      </c>
      <c r="L274" s="91" t="n"/>
      <c r="M274" s="91" t="inlineStr"/>
      <c r="N274" s="91" t="n"/>
      <c r="O274" s="91" t="n"/>
      <c r="P274" s="91" t="n"/>
      <c r="Q274" s="91" t="n"/>
      <c r="R274" s="91" t="n"/>
      <c r="S274" s="91" t="n"/>
      <c r="T274" s="91" t="n"/>
      <c r="U274" s="91" t="n"/>
      <c r="V274" s="91" t="n"/>
      <c r="W274" s="91" t="n"/>
      <c r="X274" s="91" t="n"/>
      <c r="Y274" s="91" t="n"/>
      <c r="Z274" s="91" t="n"/>
      <c r="AA274" s="91" t="n"/>
      <c r="AB274" s="91" t="n"/>
      <c r="AC274" s="91" t="n"/>
      <c r="AD274" s="91" t="n"/>
      <c r="AE274" s="91" t="n"/>
      <c r="AF274" s="91" t="n"/>
      <c r="AG274" s="30" t="n"/>
      <c r="AH274" s="30" t="n"/>
      <c r="AI274" s="30" t="n"/>
      <c r="AJ274" s="30" t="n"/>
      <c r="AK274" s="30" t="n"/>
      <c r="AL274" s="30" t="n"/>
      <c r="AM274" s="91" t="n"/>
      <c r="AN274" s="91" t="n"/>
      <c r="AO274" s="91" t="n"/>
      <c r="AP274" s="91" t="n"/>
      <c r="AQ274" s="91" t="n"/>
      <c r="AR274" s="91" t="n"/>
      <c r="AS274" s="91" t="n"/>
      <c r="AT274" s="91" t="n"/>
      <c r="AU274" s="91" t="n"/>
      <c r="AV274" s="31" t="n"/>
      <c r="AW274" s="36" t="n"/>
      <c r="AX274" s="16" t="n"/>
      <c r="AY274" s="31" t="n"/>
      <c r="AZ274" s="92" t="n"/>
      <c r="BA274" s="91" t="n"/>
      <c r="BB274" s="91" t="n"/>
      <c r="BC274" s="91" t="n"/>
      <c r="BD274" s="91" t="n"/>
      <c r="BE274" s="91" t="n"/>
      <c r="BF274" s="91" t="n"/>
      <c r="BG274" s="91" t="n"/>
      <c r="BH274" s="91" t="n"/>
      <c r="BI274" s="91" t="n"/>
      <c r="BJ274" s="91" t="n"/>
      <c r="BK274" s="91" t="n"/>
      <c r="BL274" s="91" t="n"/>
      <c r="BM274" s="91" t="n"/>
      <c r="BN274" s="91" t="n"/>
      <c r="BO274" s="91" t="n"/>
      <c r="BP274" s="91" t="n"/>
      <c r="BQ274" s="91" t="n"/>
      <c r="BR274" s="91" t="n"/>
      <c r="BS274" s="91" t="n"/>
      <c r="BT274" s="91" t="n"/>
      <c r="BU274" s="91" t="n"/>
      <c r="BV274" s="91" t="n"/>
      <c r="BW274" s="91" t="n"/>
      <c r="BX274" s="91" t="n"/>
      <c r="BY274" s="91" t="n"/>
      <c r="BZ274" s="91" t="n"/>
      <c r="CA274" s="91" t="n"/>
      <c r="CB274" s="91" t="n"/>
      <c r="CC274" s="91" t="n"/>
      <c r="CD274" s="91" t="n"/>
      <c r="CE274" s="91" t="n"/>
      <c r="CF274" s="91" t="n"/>
      <c r="CG274" s="91" t="n"/>
      <c r="CH274" s="91" t="inlineStr"/>
      <c r="CI274" s="91" t="n"/>
      <c r="CJ274" s="91" t="inlineStr"/>
      <c r="CK274" s="91" t="n"/>
      <c r="CL274" s="91" t="inlineStr"/>
      <c r="CM274" s="91">
        <f>SUM(CA274:CL274)</f>
        <v/>
      </c>
      <c r="CN274" s="91" t="n"/>
      <c r="CO274" s="72" t="n"/>
      <c r="CP274" s="91" t="n"/>
      <c r="CQ274" s="93" t="n"/>
      <c r="CR274" s="94" t="n"/>
      <c r="CS274" s="94" t="n"/>
      <c r="CT274" s="91" t="n"/>
      <c r="CU274" s="91" t="n"/>
      <c r="CV274" s="91" t="n"/>
      <c r="CW274" s="91" t="n"/>
      <c r="CX274" s="91" t="n"/>
      <c r="CY274" s="91" t="n"/>
      <c r="CZ274" s="91">
        <f>SUM(CN274:CY274)</f>
        <v/>
      </c>
      <c r="DA274" s="35" t="n"/>
    </row>
    <row r="275" ht="20.25" customFormat="1" customHeight="1" s="1">
      <c r="A275" s="30" t="n"/>
      <c r="B275" s="74" t="n"/>
      <c r="C275" s="74" t="n"/>
      <c r="D275" s="74" t="n"/>
      <c r="E275" s="89" t="n"/>
      <c r="F275" s="27" t="n"/>
      <c r="G275" s="27" t="n"/>
      <c r="H275" s="91" t="n"/>
      <c r="I275" s="91" t="n"/>
      <c r="J275" s="91" t="n"/>
      <c r="K275" s="91">
        <f>+H275+I275+J275</f>
        <v/>
      </c>
      <c r="L275" s="91" t="n"/>
      <c r="M275" s="91" t="inlineStr"/>
      <c r="N275" s="91" t="n"/>
      <c r="O275" s="91" t="n"/>
      <c r="P275" s="91" t="n"/>
      <c r="Q275" s="91" t="n"/>
      <c r="R275" s="91" t="n"/>
      <c r="S275" s="91" t="n"/>
      <c r="T275" s="91" t="n"/>
      <c r="U275" s="91" t="n"/>
      <c r="V275" s="91" t="n"/>
      <c r="W275" s="91" t="n"/>
      <c r="X275" s="91" t="n"/>
      <c r="Y275" s="91" t="n"/>
      <c r="Z275" s="91" t="n"/>
      <c r="AA275" s="91" t="n"/>
      <c r="AB275" s="91" t="n"/>
      <c r="AC275" s="91" t="n"/>
      <c r="AD275" s="91" t="n"/>
      <c r="AE275" s="91" t="n"/>
      <c r="AF275" s="91" t="n"/>
      <c r="AG275" s="30" t="n"/>
      <c r="AH275" s="30" t="n"/>
      <c r="AI275" s="30" t="n"/>
      <c r="AJ275" s="30" t="n"/>
      <c r="AK275" s="30" t="n"/>
      <c r="AL275" s="30" t="n"/>
      <c r="AM275" s="91" t="n"/>
      <c r="AN275" s="91" t="n"/>
      <c r="AO275" s="91" t="n"/>
      <c r="AP275" s="91" t="n"/>
      <c r="AQ275" s="91" t="n"/>
      <c r="AR275" s="91" t="n"/>
      <c r="AS275" s="91" t="n"/>
      <c r="AT275" s="91" t="n"/>
      <c r="AU275" s="91" t="n"/>
      <c r="AV275" s="31" t="n"/>
      <c r="AW275" s="36" t="n"/>
      <c r="AX275" s="16" t="n"/>
      <c r="AY275" s="31" t="n"/>
      <c r="AZ275" s="92" t="n"/>
      <c r="BA275" s="91" t="n"/>
      <c r="BB275" s="91" t="n"/>
      <c r="BC275" s="91" t="n"/>
      <c r="BD275" s="91" t="n"/>
      <c r="BE275" s="91" t="n"/>
      <c r="BF275" s="91" t="n"/>
      <c r="BG275" s="91" t="n"/>
      <c r="BH275" s="91" t="n"/>
      <c r="BI275" s="91" t="n"/>
      <c r="BJ275" s="91" t="n"/>
      <c r="BK275" s="91" t="n"/>
      <c r="BL275" s="91" t="n"/>
      <c r="BM275" s="91" t="n"/>
      <c r="BN275" s="91" t="n"/>
      <c r="BO275" s="91" t="n"/>
      <c r="BP275" s="91" t="n"/>
      <c r="BQ275" s="91" t="n"/>
      <c r="BR275" s="91" t="n"/>
      <c r="BS275" s="91" t="n"/>
      <c r="BT275" s="91" t="n"/>
      <c r="BU275" s="91" t="n"/>
      <c r="BV275" s="91" t="n"/>
      <c r="BW275" s="91" t="n"/>
      <c r="BX275" s="91" t="n"/>
      <c r="BY275" s="91" t="n"/>
      <c r="BZ275" s="91" t="n"/>
      <c r="CA275" s="91" t="n"/>
      <c r="CB275" s="91" t="n"/>
      <c r="CC275" s="91" t="n"/>
      <c r="CD275" s="91" t="n"/>
      <c r="CE275" s="91" t="n"/>
      <c r="CF275" s="91" t="n"/>
      <c r="CG275" s="91" t="n"/>
      <c r="CH275" s="91" t="inlineStr"/>
      <c r="CI275" s="91" t="n"/>
      <c r="CJ275" s="91" t="inlineStr"/>
      <c r="CK275" s="91" t="n"/>
      <c r="CL275" s="91" t="inlineStr"/>
      <c r="CM275" s="91">
        <f>SUM(CA275:CL275)</f>
        <v/>
      </c>
      <c r="CN275" s="91" t="n"/>
      <c r="CO275" s="72" t="n"/>
      <c r="CP275" s="91" t="n"/>
      <c r="CQ275" s="93" t="n"/>
      <c r="CR275" s="94" t="n"/>
      <c r="CS275" s="94" t="n"/>
      <c r="CT275" s="91" t="n"/>
      <c r="CU275" s="91" t="n"/>
      <c r="CV275" s="91" t="n"/>
      <c r="CW275" s="91" t="n"/>
      <c r="CX275" s="91" t="n"/>
      <c r="CY275" s="91" t="n"/>
      <c r="CZ275" s="91">
        <f>SUM(CN275:CY275)</f>
        <v/>
      </c>
      <c r="DA275" s="35" t="n"/>
    </row>
    <row r="276" ht="20.25" customFormat="1" customHeight="1" s="1">
      <c r="A276" s="30" t="n"/>
      <c r="B276" s="74" t="n"/>
      <c r="C276" s="74" t="n"/>
      <c r="D276" s="74" t="n"/>
      <c r="E276" s="89" t="n"/>
      <c r="F276" s="27" t="n"/>
      <c r="G276" s="27" t="n"/>
      <c r="H276" s="91" t="n"/>
      <c r="I276" s="91" t="n"/>
      <c r="J276" s="91" t="n"/>
      <c r="K276" s="91">
        <f>+H276+I276+J276</f>
        <v/>
      </c>
      <c r="L276" s="91" t="n"/>
      <c r="M276" s="91" t="inlineStr"/>
      <c r="N276" s="91" t="n"/>
      <c r="O276" s="91" t="n"/>
      <c r="P276" s="91" t="n"/>
      <c r="Q276" s="91" t="n"/>
      <c r="R276" s="91" t="n"/>
      <c r="S276" s="91" t="n"/>
      <c r="T276" s="91" t="n"/>
      <c r="U276" s="91" t="n"/>
      <c r="V276" s="91" t="n"/>
      <c r="W276" s="91" t="n"/>
      <c r="X276" s="91" t="n"/>
      <c r="Y276" s="91" t="n"/>
      <c r="Z276" s="91" t="n"/>
      <c r="AA276" s="91" t="n"/>
      <c r="AB276" s="91" t="n"/>
      <c r="AC276" s="91" t="n"/>
      <c r="AD276" s="91" t="n"/>
      <c r="AE276" s="91" t="n"/>
      <c r="AF276" s="91" t="n"/>
      <c r="AG276" s="30" t="n"/>
      <c r="AH276" s="30" t="n"/>
      <c r="AI276" s="30" t="n"/>
      <c r="AJ276" s="30" t="n"/>
      <c r="AK276" s="30" t="n"/>
      <c r="AL276" s="30" t="n"/>
      <c r="AM276" s="91" t="n"/>
      <c r="AN276" s="91" t="n"/>
      <c r="AO276" s="91" t="n"/>
      <c r="AP276" s="91" t="n"/>
      <c r="AQ276" s="91" t="n"/>
      <c r="AR276" s="91" t="n"/>
      <c r="AS276" s="91" t="n"/>
      <c r="AT276" s="91" t="n"/>
      <c r="AU276" s="91" t="n"/>
      <c r="AV276" s="31" t="n"/>
      <c r="AW276" s="36" t="n"/>
      <c r="AX276" s="16" t="n"/>
      <c r="AY276" s="31" t="n"/>
      <c r="AZ276" s="92" t="n"/>
      <c r="BA276" s="91" t="n"/>
      <c r="BB276" s="91" t="n"/>
      <c r="BC276" s="91" t="n"/>
      <c r="BD276" s="91" t="n"/>
      <c r="BE276" s="91" t="n"/>
      <c r="BF276" s="91" t="n"/>
      <c r="BG276" s="91" t="n"/>
      <c r="BH276" s="91" t="n"/>
      <c r="BI276" s="91" t="n"/>
      <c r="BJ276" s="91" t="n"/>
      <c r="BK276" s="91" t="n"/>
      <c r="BL276" s="91" t="n"/>
      <c r="BM276" s="91" t="n"/>
      <c r="BN276" s="91" t="n"/>
      <c r="BO276" s="91" t="n"/>
      <c r="BP276" s="91" t="n"/>
      <c r="BQ276" s="91" t="n"/>
      <c r="BR276" s="91" t="n"/>
      <c r="BS276" s="91" t="n"/>
      <c r="BT276" s="91" t="n"/>
      <c r="BU276" s="91" t="n"/>
      <c r="BV276" s="91" t="n"/>
      <c r="BW276" s="91" t="n"/>
      <c r="BX276" s="91" t="n"/>
      <c r="BY276" s="91" t="n"/>
      <c r="BZ276" s="91" t="n"/>
      <c r="CA276" s="91" t="n"/>
      <c r="CB276" s="91" t="n"/>
      <c r="CC276" s="91" t="n"/>
      <c r="CD276" s="91" t="n"/>
      <c r="CE276" s="91" t="n"/>
      <c r="CF276" s="91" t="n"/>
      <c r="CG276" s="91" t="n"/>
      <c r="CH276" s="91" t="inlineStr"/>
      <c r="CI276" s="91" t="n"/>
      <c r="CJ276" s="91" t="inlineStr"/>
      <c r="CK276" s="91" t="n"/>
      <c r="CL276" s="91" t="inlineStr"/>
      <c r="CM276" s="91">
        <f>SUM(CA276:CL276)</f>
        <v/>
      </c>
      <c r="CN276" s="91" t="n"/>
      <c r="CO276" s="72" t="n"/>
      <c r="CP276" s="91" t="n"/>
      <c r="CQ276" s="93" t="n"/>
      <c r="CR276" s="94" t="n"/>
      <c r="CS276" s="94" t="n"/>
      <c r="CT276" s="91" t="n"/>
      <c r="CU276" s="91" t="n"/>
      <c r="CV276" s="91" t="n"/>
      <c r="CW276" s="91" t="n"/>
      <c r="CX276" s="91" t="n"/>
      <c r="CY276" s="91" t="n"/>
      <c r="CZ276" s="91">
        <f>SUM(CN276:CY276)</f>
        <v/>
      </c>
      <c r="DA276" s="35" t="n"/>
    </row>
    <row r="277" ht="20.25" customFormat="1" customHeight="1" s="1">
      <c r="A277" s="30" t="n"/>
      <c r="B277" s="74" t="n"/>
      <c r="C277" s="74" t="n"/>
      <c r="D277" s="74" t="n"/>
      <c r="E277" s="89" t="n"/>
      <c r="F277" s="27" t="n"/>
      <c r="G277" s="27" t="n"/>
      <c r="H277" s="91" t="n"/>
      <c r="I277" s="91" t="n"/>
      <c r="J277" s="91" t="n"/>
      <c r="K277" s="91">
        <f>+H277+I277+J277</f>
        <v/>
      </c>
      <c r="L277" s="91" t="n"/>
      <c r="M277" s="91" t="inlineStr"/>
      <c r="N277" s="91" t="n"/>
      <c r="O277" s="91" t="n"/>
      <c r="P277" s="91" t="n"/>
      <c r="Q277" s="91" t="n"/>
      <c r="R277" s="91" t="n"/>
      <c r="S277" s="91" t="n"/>
      <c r="T277" s="91" t="n"/>
      <c r="U277" s="91" t="n"/>
      <c r="V277" s="91" t="n"/>
      <c r="W277" s="91" t="n"/>
      <c r="X277" s="91" t="n"/>
      <c r="Y277" s="91" t="n"/>
      <c r="Z277" s="91" t="n"/>
      <c r="AA277" s="91" t="n"/>
      <c r="AB277" s="91" t="n"/>
      <c r="AC277" s="91" t="n"/>
      <c r="AD277" s="91" t="n"/>
      <c r="AE277" s="91" t="n"/>
      <c r="AF277" s="91" t="n"/>
      <c r="AG277" s="30" t="n"/>
      <c r="AH277" s="30" t="n"/>
      <c r="AI277" s="30" t="n"/>
      <c r="AJ277" s="30" t="n"/>
      <c r="AK277" s="30" t="n"/>
      <c r="AL277" s="30" t="n"/>
      <c r="AM277" s="91" t="n"/>
      <c r="AN277" s="91" t="n"/>
      <c r="AO277" s="91" t="n"/>
      <c r="AP277" s="91" t="n"/>
      <c r="AQ277" s="91" t="n"/>
      <c r="AR277" s="91" t="n"/>
      <c r="AS277" s="91" t="n"/>
      <c r="AT277" s="91" t="n"/>
      <c r="AU277" s="91" t="n"/>
      <c r="AV277" s="31" t="n"/>
      <c r="AW277" s="36" t="n"/>
      <c r="AX277" s="16" t="n"/>
      <c r="AY277" s="31" t="n"/>
      <c r="AZ277" s="92" t="n"/>
      <c r="BA277" s="91" t="n"/>
      <c r="BB277" s="91" t="n"/>
      <c r="BC277" s="91" t="n"/>
      <c r="BD277" s="91" t="n"/>
      <c r="BE277" s="91" t="n"/>
      <c r="BF277" s="91" t="n"/>
      <c r="BG277" s="91" t="n"/>
      <c r="BH277" s="91" t="n"/>
      <c r="BI277" s="91" t="n"/>
      <c r="BJ277" s="91" t="n"/>
      <c r="BK277" s="91" t="n"/>
      <c r="BL277" s="91" t="n"/>
      <c r="BM277" s="91" t="n"/>
      <c r="BN277" s="91" t="n"/>
      <c r="BO277" s="91" t="n"/>
      <c r="BP277" s="91" t="n"/>
      <c r="BQ277" s="91" t="n"/>
      <c r="BR277" s="91" t="n"/>
      <c r="BS277" s="91" t="n"/>
      <c r="BT277" s="91" t="n"/>
      <c r="BU277" s="91" t="n"/>
      <c r="BV277" s="91" t="n"/>
      <c r="BW277" s="91" t="n"/>
      <c r="BX277" s="91" t="n"/>
      <c r="BY277" s="91" t="n"/>
      <c r="BZ277" s="91" t="n"/>
      <c r="CA277" s="91" t="n"/>
      <c r="CB277" s="91" t="n"/>
      <c r="CC277" s="91" t="n"/>
      <c r="CD277" s="91" t="n"/>
      <c r="CE277" s="91" t="n"/>
      <c r="CF277" s="91" t="n"/>
      <c r="CG277" s="91" t="n"/>
      <c r="CH277" s="91" t="inlineStr"/>
      <c r="CI277" s="91" t="n"/>
      <c r="CJ277" s="91" t="inlineStr"/>
      <c r="CK277" s="91" t="n"/>
      <c r="CL277" s="91" t="inlineStr"/>
      <c r="CM277" s="91">
        <f>SUM(CA277:CL277)</f>
        <v/>
      </c>
      <c r="CN277" s="91" t="n"/>
      <c r="CO277" s="72" t="n"/>
      <c r="CP277" s="91" t="n"/>
      <c r="CQ277" s="93" t="n"/>
      <c r="CR277" s="94" t="n"/>
      <c r="CS277" s="94" t="n"/>
      <c r="CT277" s="91" t="n"/>
      <c r="CU277" s="91" t="n"/>
      <c r="CV277" s="91" t="n"/>
      <c r="CW277" s="91" t="n"/>
      <c r="CX277" s="91" t="n"/>
      <c r="CY277" s="91" t="n"/>
      <c r="CZ277" s="91">
        <f>SUM(CN277:CY277)</f>
        <v/>
      </c>
      <c r="DA277" s="35" t="n"/>
    </row>
    <row r="278" ht="20.25" customFormat="1" customHeight="1" s="1">
      <c r="A278" s="30" t="n"/>
      <c r="B278" s="74" t="n"/>
      <c r="C278" s="74" t="n"/>
      <c r="D278" s="74" t="n"/>
      <c r="E278" s="89" t="n"/>
      <c r="F278" s="27" t="n"/>
      <c r="G278" s="27" t="n"/>
      <c r="H278" s="91" t="n"/>
      <c r="I278" s="91" t="n"/>
      <c r="J278" s="91" t="n"/>
      <c r="K278" s="91">
        <f>+H278+I278+J278</f>
        <v/>
      </c>
      <c r="L278" s="91" t="n"/>
      <c r="M278" s="91" t="inlineStr"/>
      <c r="N278" s="91" t="n"/>
      <c r="O278" s="91" t="n"/>
      <c r="P278" s="91" t="n"/>
      <c r="Q278" s="91" t="n"/>
      <c r="R278" s="91" t="n"/>
      <c r="S278" s="91" t="n"/>
      <c r="T278" s="91" t="n"/>
      <c r="U278" s="91" t="n"/>
      <c r="V278" s="91" t="n"/>
      <c r="W278" s="91" t="n"/>
      <c r="X278" s="91" t="n"/>
      <c r="Y278" s="91" t="n"/>
      <c r="Z278" s="91" t="n"/>
      <c r="AA278" s="91" t="n"/>
      <c r="AB278" s="91" t="n"/>
      <c r="AC278" s="91" t="n"/>
      <c r="AD278" s="91" t="n"/>
      <c r="AE278" s="91" t="n"/>
      <c r="AF278" s="91" t="n"/>
      <c r="AG278" s="30" t="n"/>
      <c r="AH278" s="30" t="n"/>
      <c r="AI278" s="30" t="n"/>
      <c r="AJ278" s="30" t="n"/>
      <c r="AK278" s="30" t="n"/>
      <c r="AL278" s="30" t="n"/>
      <c r="AM278" s="91" t="n"/>
      <c r="AN278" s="91" t="n"/>
      <c r="AO278" s="91" t="n"/>
      <c r="AP278" s="91" t="n"/>
      <c r="AQ278" s="91" t="n"/>
      <c r="AR278" s="91" t="n"/>
      <c r="AS278" s="91" t="n"/>
      <c r="AT278" s="91" t="n"/>
      <c r="AU278" s="91" t="n"/>
      <c r="AV278" s="31" t="n"/>
      <c r="AW278" s="36" t="n"/>
      <c r="AX278" s="16" t="n"/>
      <c r="AY278" s="31" t="n"/>
      <c r="AZ278" s="92" t="n"/>
      <c r="BA278" s="91" t="n"/>
      <c r="BB278" s="91" t="n"/>
      <c r="BC278" s="91" t="n"/>
      <c r="BD278" s="91" t="n"/>
      <c r="BE278" s="91" t="n"/>
      <c r="BF278" s="91" t="n"/>
      <c r="BG278" s="91" t="n"/>
      <c r="BH278" s="91" t="n"/>
      <c r="BI278" s="91" t="n"/>
      <c r="BJ278" s="91" t="n"/>
      <c r="BK278" s="91" t="n"/>
      <c r="BL278" s="91" t="n"/>
      <c r="BM278" s="91" t="n"/>
      <c r="BN278" s="91" t="n"/>
      <c r="BO278" s="91" t="n"/>
      <c r="BP278" s="91" t="n"/>
      <c r="BQ278" s="91" t="n"/>
      <c r="BR278" s="91" t="n"/>
      <c r="BS278" s="91" t="n"/>
      <c r="BT278" s="91" t="n"/>
      <c r="BU278" s="91" t="n"/>
      <c r="BV278" s="91" t="n"/>
      <c r="BW278" s="91" t="n"/>
      <c r="BX278" s="91" t="n"/>
      <c r="BY278" s="91" t="n"/>
      <c r="BZ278" s="91" t="n"/>
      <c r="CA278" s="91" t="n"/>
      <c r="CB278" s="91" t="n"/>
      <c r="CC278" s="91" t="n"/>
      <c r="CD278" s="91" t="n"/>
      <c r="CE278" s="91" t="n"/>
      <c r="CF278" s="91" t="n"/>
      <c r="CG278" s="91" t="n"/>
      <c r="CH278" s="91" t="inlineStr"/>
      <c r="CI278" s="91" t="n"/>
      <c r="CJ278" s="91" t="inlineStr"/>
      <c r="CK278" s="91" t="n"/>
      <c r="CL278" s="91" t="inlineStr"/>
      <c r="CM278" s="91">
        <f>SUM(CA278:CL278)</f>
        <v/>
      </c>
      <c r="CN278" s="91" t="n"/>
      <c r="CO278" s="72" t="n"/>
      <c r="CP278" s="91" t="n"/>
      <c r="CQ278" s="93" t="n"/>
      <c r="CR278" s="94" t="n"/>
      <c r="CS278" s="94" t="n"/>
      <c r="CT278" s="91" t="n"/>
      <c r="CU278" s="91" t="n"/>
      <c r="CV278" s="91" t="n"/>
      <c r="CW278" s="91" t="n"/>
      <c r="CX278" s="91" t="n"/>
      <c r="CY278" s="91" t="n"/>
      <c r="CZ278" s="91">
        <f>SUM(CN278:CY278)</f>
        <v/>
      </c>
      <c r="DA278" s="35" t="n"/>
    </row>
    <row r="279" ht="20.25" customFormat="1" customHeight="1" s="1">
      <c r="A279" s="30" t="n"/>
      <c r="B279" s="75" t="n"/>
      <c r="C279" s="75" t="n"/>
      <c r="D279" s="31" t="n"/>
      <c r="E279" s="89" t="n"/>
      <c r="F279" s="76" t="inlineStr">
        <is>
          <t>合计</t>
        </is>
      </c>
      <c r="G279" s="76" t="n"/>
      <c r="H279" s="91">
        <f>SUM(H3:H278)</f>
        <v/>
      </c>
      <c r="I279" s="91">
        <f>SUM(I3:I278)</f>
        <v/>
      </c>
      <c r="J279" s="91">
        <f>SUM(J3:J278)</f>
        <v/>
      </c>
      <c r="K279" s="91">
        <f>SUM(K3:K278)</f>
        <v/>
      </c>
      <c r="L279" s="91" t="n"/>
      <c r="M279" s="91">
        <f>SUM(M3:M278)</f>
        <v/>
      </c>
      <c r="N279" s="91" t="n"/>
      <c r="O279" s="91" t="n"/>
      <c r="P279" s="91" t="n"/>
      <c r="Q279" s="91" t="n"/>
      <c r="R279" s="91" t="n"/>
      <c r="S279" s="91" t="n"/>
      <c r="T279" s="91" t="n"/>
      <c r="U279" s="91" t="n"/>
      <c r="V279" s="91" t="n"/>
      <c r="W279" s="91" t="n"/>
      <c r="X279" s="91" t="n"/>
      <c r="Y279" s="91" t="n"/>
      <c r="Z279" s="91" t="n"/>
      <c r="AA279" s="91">
        <f>SUM(AA3:AA165)</f>
        <v/>
      </c>
      <c r="AB279" s="91">
        <f>SUM(AB3:AB165)</f>
        <v/>
      </c>
      <c r="AC279" s="91">
        <f>SUM(AC3:AC165)</f>
        <v/>
      </c>
      <c r="AD279" s="91">
        <f>SUM(AD3:AD165)</f>
        <v/>
      </c>
      <c r="AE279" s="91">
        <f>SUM(AE3:AE165)</f>
        <v/>
      </c>
      <c r="AF279" s="91">
        <f>SUM(AF3:AF165)</f>
        <v/>
      </c>
      <c r="AG279" s="91">
        <f>SUM(AG3:AG165)</f>
        <v/>
      </c>
      <c r="AH279" s="91">
        <f>SUM(AH3:AH165)</f>
        <v/>
      </c>
      <c r="AI279" s="91">
        <f>SUM(AI3:AI165)</f>
        <v/>
      </c>
      <c r="AJ279" s="91">
        <f>SUM(AJ3:AJ165)</f>
        <v/>
      </c>
      <c r="AK279" s="91">
        <f>SUM(AK3:AK165)</f>
        <v/>
      </c>
      <c r="AL279" s="91">
        <f>SUM(AL3:AL165)</f>
        <v/>
      </c>
      <c r="AM279" s="91">
        <f>SUM(AM3:AM278)</f>
        <v/>
      </c>
      <c r="AN279" s="91">
        <f>SUM(AN3:AN165)</f>
        <v/>
      </c>
      <c r="AO279" s="91">
        <f>SUM(AO3:AO165)</f>
        <v/>
      </c>
      <c r="AP279" s="91">
        <f>SUM(AP3:AP165)</f>
        <v/>
      </c>
      <c r="AQ279" s="91">
        <f>SUM(AQ3:AQ165)</f>
        <v/>
      </c>
      <c r="AR279" s="91">
        <f>SUM(AR3:AR165)</f>
        <v/>
      </c>
      <c r="AS279" s="91">
        <f>SUM(AS3:AS165)</f>
        <v/>
      </c>
      <c r="AT279" s="91">
        <f>SUM(AT3:AT165)</f>
        <v/>
      </c>
      <c r="AU279" s="91">
        <f>SUM(AU3:AU165)</f>
        <v/>
      </c>
      <c r="AV279" s="91">
        <f>SUM(AV3:AV165)</f>
        <v/>
      </c>
      <c r="AW279" s="91">
        <f>SUM(AW3:AW165)</f>
        <v/>
      </c>
      <c r="AX279" s="91">
        <f>SUM(AX3:AX165)</f>
        <v/>
      </c>
      <c r="AY279" s="91">
        <f>SUM(AY3:AY165)</f>
        <v/>
      </c>
      <c r="AZ279" s="91">
        <f>SUM(AZ3:AZ278)</f>
        <v/>
      </c>
      <c r="BA279" s="91">
        <f>SUM(BA3:BA278)</f>
        <v/>
      </c>
      <c r="BB279" s="91">
        <f>SUM(BB3:BB278)</f>
        <v/>
      </c>
      <c r="BC279" s="91">
        <f>SUM(BC3:BC278)</f>
        <v/>
      </c>
      <c r="BD279" s="91">
        <f>SUM(BD3:BD278)</f>
        <v/>
      </c>
      <c r="BE279" s="91">
        <f>SUM(BE3:BE278)</f>
        <v/>
      </c>
      <c r="BF279" s="91">
        <f>SUM(BF3:BF278)</f>
        <v/>
      </c>
      <c r="BG279" s="91">
        <f>SUM(BG3:BG278)</f>
        <v/>
      </c>
      <c r="BH279" s="91">
        <f>SUM(BH3:BH278)</f>
        <v/>
      </c>
      <c r="BI279" s="91">
        <f>SUM(BI3:BI278)</f>
        <v/>
      </c>
      <c r="BJ279" s="91">
        <f>SUM(BJ3:BJ278)</f>
        <v/>
      </c>
      <c r="BK279" s="91">
        <f>SUM(BK3:BK278)</f>
        <v/>
      </c>
      <c r="BL279" s="91">
        <f>SUM(BL3:BL278)</f>
        <v/>
      </c>
      <c r="BM279" s="91">
        <f>SUM(BM3:BM278)</f>
        <v/>
      </c>
      <c r="BN279" s="91">
        <f>SUM(BN3:BN278)</f>
        <v/>
      </c>
      <c r="BO279" s="91">
        <f>SUM(BO3:BO278)</f>
        <v/>
      </c>
      <c r="BP279" s="91">
        <f>SUM(BP3:BP278)</f>
        <v/>
      </c>
      <c r="BQ279" s="91">
        <f>SUM(BQ3:BQ278)</f>
        <v/>
      </c>
      <c r="BR279" s="91">
        <f>SUM(BR3:BR278)</f>
        <v/>
      </c>
      <c r="BS279" s="91">
        <f>SUM(BS3:BS278)</f>
        <v/>
      </c>
      <c r="BT279" s="91">
        <f>SUM(BT3:BT278)</f>
        <v/>
      </c>
      <c r="BU279" s="91">
        <f>SUM(BU3:BU278)</f>
        <v/>
      </c>
      <c r="BV279" s="91">
        <f>SUM(BV3:BV278)</f>
        <v/>
      </c>
      <c r="BW279" s="91">
        <f>SUM(BW3:BW278)</f>
        <v/>
      </c>
      <c r="BX279" s="91">
        <f>SUM(BX3:BX278)</f>
        <v/>
      </c>
      <c r="BY279" s="91">
        <f>SUM(BY3:BY278)</f>
        <v/>
      </c>
      <c r="BZ279" s="91">
        <f>SUM(BZ3:BZ278)</f>
        <v/>
      </c>
      <c r="CA279" s="91">
        <f>SUM(CA3:CA278)</f>
        <v/>
      </c>
      <c r="CB279" s="91">
        <f>SUM(CB3:CB278)</f>
        <v/>
      </c>
      <c r="CC279" s="91">
        <f>SUM(CC3:CC278)</f>
        <v/>
      </c>
      <c r="CD279" s="91">
        <f>SUM(CD3:CD278)</f>
        <v/>
      </c>
      <c r="CE279" s="91">
        <f>SUM(CE3:CE278)</f>
        <v/>
      </c>
      <c r="CF279" s="91">
        <f>SUM(CF3:CF278)</f>
        <v/>
      </c>
      <c r="CG279" s="91">
        <f>SUM(CG3:CG278)</f>
        <v/>
      </c>
      <c r="CH279" s="91">
        <f>SUM(CH3:CH278)</f>
        <v/>
      </c>
      <c r="CI279" s="91">
        <f>SUM(CI3:CI278)</f>
        <v/>
      </c>
      <c r="CJ279" s="91">
        <f>SUM(CJ3:CJ278)</f>
        <v/>
      </c>
      <c r="CK279" s="91">
        <f>SUM(CK3:CK278)</f>
        <v/>
      </c>
      <c r="CL279" s="91">
        <f>SUM(CL3:CL278)</f>
        <v/>
      </c>
      <c r="CM279" s="91">
        <f>SUM(CM3:CM278)</f>
        <v/>
      </c>
      <c r="CN279" s="91">
        <f>SUM(CN3:CN278)</f>
        <v/>
      </c>
      <c r="CO279" s="91">
        <f>SUM(CO3:CO278)</f>
        <v/>
      </c>
      <c r="CP279" s="91">
        <f>SUM(CP3:CP278)</f>
        <v/>
      </c>
      <c r="CQ279" s="91">
        <f>SUM(CQ3:CQ278)</f>
        <v/>
      </c>
      <c r="CR279" s="94">
        <f>SUM(CR3:CR278)</f>
        <v/>
      </c>
      <c r="CS279" s="94" t="n"/>
      <c r="CT279" s="91">
        <f>SUM(CT3:CT278)</f>
        <v/>
      </c>
      <c r="CU279" s="91">
        <f>SUM(CU3:CU278)</f>
        <v/>
      </c>
      <c r="CV279" s="91">
        <f>SUM(CV3:CV278)</f>
        <v/>
      </c>
      <c r="CW279" s="91">
        <f>SUM(CW3:CW278)</f>
        <v/>
      </c>
      <c r="CX279" s="91">
        <f>SUM(CX3:CX278)</f>
        <v/>
      </c>
      <c r="CY279" s="91">
        <f>SUM(CY3:CY278)</f>
        <v/>
      </c>
      <c r="CZ279" s="91">
        <f>SUM(CZ3:CZ278)</f>
        <v/>
      </c>
      <c r="DA279" s="35" t="n"/>
    </row>
    <row r="280" s="85">
      <c r="D280" s="77" t="n"/>
      <c r="E280" s="109" t="n"/>
    </row>
    <row r="281" s="85">
      <c r="D281" s="77" t="n"/>
      <c r="E281" s="109" t="n"/>
    </row>
    <row r="282" s="85">
      <c r="D282" s="77" t="n"/>
      <c r="E282" s="109" t="n"/>
    </row>
    <row r="283" s="85">
      <c r="D283" s="77" t="n"/>
      <c r="E283" s="109" t="n"/>
    </row>
    <row r="284" s="85">
      <c r="D284" s="77" t="n"/>
      <c r="E284" s="109" t="n"/>
    </row>
    <row r="285" s="85">
      <c r="D285" s="77" t="n"/>
      <c r="E285" s="109" t="n"/>
    </row>
    <row r="286" s="85">
      <c r="D286" s="77" t="n"/>
      <c r="E286" s="109" t="n"/>
    </row>
    <row r="287" s="85">
      <c r="D287" s="77" t="n"/>
      <c r="E287" s="109" t="n"/>
    </row>
    <row r="288" s="85">
      <c r="D288" s="77" t="n"/>
      <c r="E288" s="109" t="n"/>
    </row>
    <row r="289" s="85">
      <c r="D289" s="77" t="n"/>
      <c r="E289" s="109" t="n"/>
    </row>
    <row r="290" s="85">
      <c r="D290" s="77" t="n"/>
      <c r="E290" s="109" t="n"/>
    </row>
    <row r="291" s="85">
      <c r="D291" s="77" t="n"/>
      <c r="E291" s="109" t="n"/>
    </row>
    <row r="292" s="85">
      <c r="D292" s="77" t="n"/>
      <c r="E292" s="109" t="n"/>
    </row>
    <row r="293" s="85">
      <c r="D293" s="77" t="n"/>
      <c r="E293" s="109" t="n"/>
    </row>
    <row r="294" s="85">
      <c r="D294" s="77" t="n"/>
      <c r="E294" s="109" t="n"/>
    </row>
    <row r="295" s="85">
      <c r="D295" s="77" t="n"/>
      <c r="E295" s="109" t="n"/>
    </row>
    <row r="296" s="85">
      <c r="D296" s="77" t="n"/>
      <c r="E296" s="109" t="n"/>
    </row>
    <row r="297" s="85">
      <c r="D297" s="77" t="n"/>
      <c r="E297" s="109" t="n"/>
    </row>
    <row r="298" s="85">
      <c r="D298" s="77" t="n"/>
      <c r="E298" s="109" t="n"/>
    </row>
    <row r="299" s="85">
      <c r="D299" s="77" t="n"/>
      <c r="E299" s="109" t="n"/>
    </row>
    <row r="300" s="85">
      <c r="D300" s="77" t="n"/>
      <c r="E300" s="109" t="n"/>
    </row>
    <row r="301" s="85">
      <c r="D301" s="77" t="n"/>
      <c r="E301" s="109" t="n"/>
    </row>
    <row r="302" s="85">
      <c r="D302" s="77" t="n"/>
      <c r="E302" s="109" t="n"/>
    </row>
    <row r="303" s="85">
      <c r="D303" s="77" t="n"/>
      <c r="E303" s="109" t="n"/>
    </row>
    <row r="304" s="85">
      <c r="D304" s="77" t="n"/>
      <c r="E304" s="109" t="n"/>
    </row>
    <row r="305" s="85">
      <c r="D305" s="77" t="n"/>
      <c r="E305" s="109" t="n"/>
    </row>
    <row r="306" s="85">
      <c r="D306" s="77" t="n"/>
      <c r="E306" s="109" t="n"/>
    </row>
    <row r="307" s="85">
      <c r="D307" s="77" t="n"/>
      <c r="E307" s="109" t="n"/>
    </row>
    <row r="308" s="85">
      <c r="D308" s="77" t="n"/>
      <c r="E308" s="109" t="n"/>
    </row>
    <row r="309" s="85">
      <c r="D309" s="77" t="n"/>
      <c r="E309" s="109" t="n"/>
    </row>
    <row r="310" s="85">
      <c r="D310" s="77" t="n"/>
      <c r="E310" s="109" t="n"/>
    </row>
    <row r="311" s="85">
      <c r="D311" s="77" t="n"/>
      <c r="E311" s="109" t="n"/>
    </row>
    <row r="312" s="85">
      <c r="D312" s="77" t="n"/>
      <c r="E312" s="109" t="n"/>
    </row>
    <row r="313" s="85">
      <c r="D313" s="77" t="n"/>
      <c r="E313" s="109" t="n"/>
    </row>
    <row r="314" s="85">
      <c r="D314" s="77" t="n"/>
      <c r="E314" s="109" t="n"/>
    </row>
    <row r="315" s="85">
      <c r="D315" s="77" t="n"/>
      <c r="E315" s="109" t="n"/>
    </row>
    <row r="316" s="85">
      <c r="D316" s="77" t="n"/>
      <c r="E316" s="109" t="n"/>
    </row>
    <row r="317" s="85">
      <c r="D317" s="77" t="n"/>
      <c r="E317" s="109" t="n"/>
    </row>
    <row r="318" s="85">
      <c r="D318" s="77" t="n"/>
      <c r="E318" s="109" t="n"/>
    </row>
    <row r="319" s="85">
      <c r="D319" s="77" t="n"/>
      <c r="E319" s="109" t="n"/>
    </row>
    <row r="320" s="85">
      <c r="D320" s="77" t="n"/>
      <c r="E320" s="109" t="n"/>
    </row>
    <row r="321" s="85">
      <c r="D321" s="77" t="n"/>
      <c r="E321" s="109" t="n"/>
    </row>
    <row r="322" s="85">
      <c r="D322" s="77" t="n"/>
      <c r="E322" s="109" t="n"/>
    </row>
    <row r="323" s="85">
      <c r="D323" s="77" t="n"/>
      <c r="E323" s="109" t="n"/>
    </row>
    <row r="324" s="85">
      <c r="D324" s="77" t="n"/>
      <c r="E324" s="109" t="n"/>
    </row>
    <row r="325" s="85">
      <c r="D325" s="77" t="n"/>
      <c r="E325" s="109" t="n"/>
    </row>
    <row r="326" s="85">
      <c r="D326" s="77" t="n"/>
      <c r="E326" s="109" t="n"/>
    </row>
    <row r="327" s="85">
      <c r="D327" s="77" t="n"/>
      <c r="E327" s="109" t="n"/>
    </row>
    <row r="328" s="85">
      <c r="D328" s="77" t="n"/>
      <c r="E328" s="109" t="n"/>
    </row>
    <row r="329" s="85">
      <c r="D329" s="77" t="n"/>
      <c r="E329" s="109" t="n"/>
    </row>
    <row r="330" s="85">
      <c r="D330" s="77" t="n"/>
      <c r="E330" s="109" t="n"/>
    </row>
    <row r="331" s="85">
      <c r="D331" s="77" t="n"/>
      <c r="E331" s="109" t="n"/>
    </row>
    <row r="332" s="85">
      <c r="D332" s="77" t="n"/>
      <c r="E332" s="109" t="n"/>
    </row>
    <row r="333" s="85">
      <c r="D333" s="77" t="n"/>
      <c r="E333" s="109" t="n"/>
    </row>
    <row r="334" s="85">
      <c r="D334" s="77" t="n"/>
      <c r="E334" s="109" t="n"/>
    </row>
    <row r="335" s="85">
      <c r="D335" s="77" t="n"/>
      <c r="E335" s="109" t="n"/>
    </row>
    <row r="336" s="85">
      <c r="D336" s="77" t="n"/>
      <c r="E336" s="109" t="n"/>
    </row>
    <row r="337" s="85">
      <c r="D337" s="77" t="n"/>
      <c r="E337" s="109" t="n"/>
    </row>
    <row r="338" s="85">
      <c r="D338" s="77" t="n"/>
      <c r="E338" s="109" t="n"/>
    </row>
    <row r="339" s="85">
      <c r="D339" s="77" t="n"/>
      <c r="E339" s="109" t="n"/>
    </row>
    <row r="340" s="85">
      <c r="D340" s="77" t="n"/>
      <c r="E340" s="109" t="n"/>
    </row>
    <row r="341" s="85">
      <c r="D341" s="77" t="n"/>
      <c r="E341" s="109" t="n"/>
    </row>
    <row r="342" s="85">
      <c r="D342" s="77" t="n"/>
      <c r="E342" s="109" t="n"/>
    </row>
    <row r="343" s="85">
      <c r="D343" s="77" t="n"/>
      <c r="E343" s="109" t="n"/>
    </row>
    <row r="344" s="85">
      <c r="D344" s="77" t="n"/>
      <c r="E344" s="109" t="n"/>
    </row>
    <row r="345" s="85">
      <c r="D345" s="77" t="n"/>
      <c r="E345" s="109" t="n"/>
    </row>
    <row r="346" s="85">
      <c r="D346" s="77" t="n"/>
      <c r="E346" s="109" t="n"/>
    </row>
    <row r="347" s="85">
      <c r="D347" s="77" t="n"/>
      <c r="E347" s="109" t="n"/>
    </row>
    <row r="348" s="85">
      <c r="D348" s="77" t="n"/>
      <c r="E348" s="109" t="n"/>
    </row>
    <row r="349" s="85">
      <c r="D349" s="77" t="n"/>
      <c r="E349" s="109" t="n"/>
    </row>
    <row r="350" s="85">
      <c r="D350" s="77" t="n"/>
      <c r="E350" s="109" t="n"/>
    </row>
    <row r="351" s="85">
      <c r="D351" s="77" t="n"/>
      <c r="E351" s="109" t="n"/>
    </row>
    <row r="352" s="85">
      <c r="D352" s="77" t="n"/>
      <c r="E352" s="109" t="n"/>
    </row>
    <row r="353" s="85">
      <c r="D353" s="77" t="n"/>
      <c r="E353" s="109" t="n"/>
    </row>
    <row r="354" s="85">
      <c r="D354" s="77" t="n"/>
      <c r="E354" s="109" t="n"/>
    </row>
    <row r="355" s="85">
      <c r="D355" s="77" t="n"/>
      <c r="E355" s="109" t="n"/>
    </row>
    <row r="356" s="85">
      <c r="D356" s="77" t="n"/>
      <c r="E356" s="109" t="n"/>
    </row>
    <row r="357" s="85">
      <c r="D357" s="77" t="n"/>
      <c r="E357" s="109" t="n"/>
    </row>
    <row r="358" s="85">
      <c r="D358" s="77" t="n"/>
      <c r="E358" s="109" t="n"/>
    </row>
    <row r="359" s="85">
      <c r="D359" s="77" t="n"/>
      <c r="E359" s="109" t="n"/>
    </row>
    <row r="360" s="85">
      <c r="D360" s="79" t="n"/>
      <c r="E360" s="110" t="n"/>
    </row>
    <row r="361" s="85">
      <c r="D361" s="77" t="n"/>
      <c r="E361" s="109" t="n"/>
    </row>
    <row r="362" s="85">
      <c r="D362" s="77" t="n"/>
      <c r="E362" s="109" t="n"/>
    </row>
    <row r="363" s="85">
      <c r="D363" s="77" t="n"/>
      <c r="E363" s="109" t="n"/>
    </row>
    <row r="364" s="85">
      <c r="D364" s="77" t="n"/>
      <c r="E364" s="109" t="n"/>
    </row>
    <row r="365" s="85">
      <c r="D365" s="77" t="n"/>
      <c r="E365" s="109" t="n"/>
    </row>
    <row r="366" s="85">
      <c r="D366" s="77" t="n"/>
      <c r="E366" s="109" t="n"/>
    </row>
    <row r="367" s="85">
      <c r="D367" s="77" t="n"/>
      <c r="E367" s="109" t="n"/>
    </row>
    <row r="368" s="85">
      <c r="D368" s="77" t="n"/>
      <c r="E368" s="109" t="n"/>
    </row>
    <row r="369" s="85">
      <c r="D369" s="77" t="n"/>
      <c r="E369" s="109" t="n"/>
    </row>
    <row r="370" s="85">
      <c r="D370" s="77" t="n"/>
      <c r="E370" s="109" t="n"/>
    </row>
    <row r="371" s="85">
      <c r="D371" s="77" t="n"/>
      <c r="E371" s="109" t="n"/>
    </row>
    <row r="372" s="85">
      <c r="D372" s="77" t="n"/>
      <c r="E372" s="109" t="n"/>
    </row>
    <row r="373" s="85">
      <c r="D373" s="77" t="n"/>
      <c r="E373" s="109" t="n"/>
    </row>
    <row r="374" s="85">
      <c r="D374" s="77" t="n"/>
      <c r="E374" s="109" t="n"/>
    </row>
    <row r="375" s="85">
      <c r="D375" s="77" t="n"/>
      <c r="E375" s="109" t="n"/>
    </row>
    <row r="376" s="85">
      <c r="D376" s="77" t="n"/>
      <c r="E376" s="109" t="n"/>
    </row>
    <row r="377" s="85">
      <c r="D377" s="77" t="n"/>
      <c r="E377" s="109" t="n"/>
    </row>
    <row r="378" s="85">
      <c r="D378" s="77" t="n"/>
      <c r="E378" s="109" t="n"/>
    </row>
    <row r="379" s="85">
      <c r="D379" s="77" t="n"/>
      <c r="E379" s="109" t="n"/>
    </row>
    <row r="380" s="85">
      <c r="D380" s="77" t="n"/>
      <c r="E380" s="109" t="n"/>
    </row>
    <row r="381" s="85">
      <c r="D381" s="77" t="n"/>
      <c r="E381" s="109" t="n"/>
    </row>
    <row r="382" s="85">
      <c r="D382" s="77" t="n"/>
      <c r="E382" s="109" t="n"/>
    </row>
    <row r="383" s="85">
      <c r="D383" s="77" t="n"/>
      <c r="E383" s="109" t="n"/>
    </row>
    <row r="384" s="85">
      <c r="D384" s="77" t="n"/>
      <c r="E384" s="109" t="n"/>
    </row>
    <row r="385" s="85">
      <c r="D385" s="77" t="n"/>
      <c r="E385" s="109" t="n"/>
    </row>
    <row r="386" s="85">
      <c r="D386" s="77" t="n"/>
      <c r="E386" s="109" t="n"/>
    </row>
    <row r="387" s="85">
      <c r="D387" s="77" t="n"/>
      <c r="E387" s="109" t="n"/>
    </row>
    <row r="388" s="85">
      <c r="D388" s="77" t="n"/>
      <c r="E388" s="109" t="n"/>
    </row>
    <row r="389" s="85">
      <c r="D389" s="77" t="n"/>
      <c r="E389" s="109" t="n"/>
    </row>
    <row r="390" s="85">
      <c r="D390" s="77" t="n"/>
      <c r="E390" s="109" t="n"/>
    </row>
    <row r="391" s="85">
      <c r="D391" s="77" t="n"/>
      <c r="E391" s="109" t="n"/>
    </row>
    <row r="392" s="85">
      <c r="D392" s="77" t="n"/>
      <c r="E392" s="109" t="n"/>
    </row>
    <row r="393" s="85">
      <c r="D393" s="77" t="n"/>
      <c r="E393" s="109" t="n"/>
    </row>
    <row r="394" s="85">
      <c r="D394" s="77" t="n"/>
      <c r="E394" s="109" t="n"/>
    </row>
    <row r="395" s="85">
      <c r="D395" s="77" t="n"/>
      <c r="E395" s="109" t="n"/>
    </row>
    <row r="396" s="85">
      <c r="D396" s="77" t="n"/>
      <c r="E396" s="109" t="n"/>
    </row>
    <row r="397" s="85">
      <c r="D397" s="77" t="n"/>
      <c r="E397" s="109" t="n"/>
    </row>
    <row r="398" s="85">
      <c r="D398" s="77" t="n"/>
      <c r="E398" s="109" t="n"/>
    </row>
    <row r="399" s="85">
      <c r="D399" s="77" t="n"/>
      <c r="E399" s="109" t="n"/>
    </row>
    <row r="400" s="85">
      <c r="D400" s="77" t="n"/>
      <c r="E400" s="109" t="n"/>
    </row>
    <row r="401" s="85">
      <c r="D401" s="77" t="n"/>
      <c r="E401" s="109" t="n"/>
    </row>
    <row r="402" s="85">
      <c r="D402" s="77" t="n"/>
      <c r="E402" s="109" t="n"/>
    </row>
    <row r="403" s="85">
      <c r="D403" s="77" t="n"/>
      <c r="E403" s="109" t="n"/>
    </row>
    <row r="404" s="85">
      <c r="D404" s="77" t="n"/>
      <c r="E404" s="109" t="n"/>
    </row>
    <row r="405" s="85">
      <c r="D405" s="77" t="n"/>
      <c r="E405" s="109" t="n"/>
    </row>
    <row r="406" s="85">
      <c r="D406" s="77" t="n"/>
      <c r="E406" s="109" t="n"/>
    </row>
    <row r="407" s="85">
      <c r="D407" s="77" t="n"/>
      <c r="E407" s="109" t="n"/>
    </row>
    <row r="408" s="85">
      <c r="D408" s="77" t="n"/>
      <c r="E408" s="109" t="n"/>
    </row>
    <row r="409" s="85">
      <c r="D409" s="77" t="n"/>
      <c r="E409" s="109" t="n"/>
    </row>
    <row r="410" s="85">
      <c r="D410" s="77" t="n"/>
      <c r="E410" s="109" t="n"/>
    </row>
    <row r="411" s="85">
      <c r="D411" s="77" t="n"/>
      <c r="E411" s="109" t="n"/>
    </row>
    <row r="412" s="85">
      <c r="D412" s="77" t="n"/>
      <c r="E412" s="109" t="n"/>
    </row>
    <row r="413" s="85">
      <c r="D413" s="77" t="n"/>
      <c r="E413" s="109" t="n"/>
    </row>
    <row r="414" s="85">
      <c r="D414" s="77" t="n"/>
      <c r="E414" s="109" t="n"/>
    </row>
    <row r="415" s="85">
      <c r="D415" s="77" t="n"/>
      <c r="E415" s="109" t="n"/>
    </row>
    <row r="416" s="85">
      <c r="D416" s="77" t="n"/>
      <c r="E416" s="109" t="n"/>
    </row>
    <row r="417" s="85">
      <c r="D417" s="77" t="n"/>
      <c r="E417" s="109" t="n"/>
    </row>
    <row r="418" s="85">
      <c r="D418" s="77" t="n"/>
      <c r="E418" s="109" t="n"/>
    </row>
    <row r="419" s="85">
      <c r="D419" s="77" t="n"/>
      <c r="E419" s="109" t="n"/>
    </row>
    <row r="420" s="85">
      <c r="D420" s="77" t="n"/>
      <c r="E420" s="109" t="n"/>
    </row>
    <row r="421" s="85">
      <c r="D421" s="77" t="n"/>
      <c r="E421" s="109" t="n"/>
    </row>
    <row r="422" s="85">
      <c r="D422" s="77" t="n"/>
      <c r="E422" s="109" t="n"/>
    </row>
    <row r="423" s="85">
      <c r="D423" s="77" t="n"/>
      <c r="E423" s="109" t="n"/>
    </row>
    <row r="424" s="85">
      <c r="D424" s="77" t="n"/>
      <c r="E424" s="109" t="n"/>
    </row>
    <row r="425" s="85">
      <c r="D425" s="77" t="n"/>
      <c r="E425" s="109" t="n"/>
    </row>
    <row r="426" s="85">
      <c r="D426" s="77" t="n"/>
      <c r="E426" s="109" t="n"/>
    </row>
    <row r="427" s="85">
      <c r="D427" s="77" t="n"/>
      <c r="E427" s="109" t="n"/>
    </row>
    <row r="428" s="85">
      <c r="D428" s="77" t="n"/>
      <c r="E428" s="109" t="n"/>
    </row>
    <row r="429" s="85">
      <c r="D429" s="77" t="n"/>
      <c r="E429" s="109" t="n"/>
    </row>
    <row r="430" s="85">
      <c r="D430" s="77" t="n"/>
      <c r="E430" s="109" t="n"/>
    </row>
    <row r="431" s="85">
      <c r="D431" s="77" t="n"/>
      <c r="E431" s="109" t="n"/>
    </row>
    <row r="432" s="85">
      <c r="D432" s="77" t="n"/>
      <c r="E432" s="109" t="n"/>
    </row>
    <row r="433" s="85">
      <c r="D433" s="77" t="n"/>
      <c r="E433" s="109" t="n"/>
    </row>
    <row r="434" s="85">
      <c r="D434" s="77" t="n"/>
      <c r="E434" s="109" t="n"/>
    </row>
    <row r="435" s="85">
      <c r="D435" s="77" t="n"/>
      <c r="E435" s="109" t="n"/>
    </row>
    <row r="436" s="85">
      <c r="D436" s="77" t="n"/>
      <c r="E436" s="109" t="n"/>
    </row>
    <row r="437" s="85">
      <c r="D437" s="77" t="n"/>
      <c r="E437" s="109" t="n"/>
    </row>
    <row r="438" s="85">
      <c r="D438" s="77" t="n"/>
      <c r="E438" s="109" t="n"/>
    </row>
  </sheetData>
  <autoFilter ref="A2:XFD279"/>
  <conditionalFormatting sqref="Z2">
    <cfRule type="duplicateValues" priority="30" dxfId="0"/>
  </conditionalFormatting>
  <conditionalFormatting sqref="AA2">
    <cfRule type="duplicateValues" priority="66" dxfId="0"/>
  </conditionalFormatting>
  <conditionalFormatting sqref="AB2:AC2">
    <cfRule type="duplicateValues" priority="64" dxfId="0"/>
  </conditionalFormatting>
  <conditionalFormatting sqref="AN2:AO2">
    <cfRule type="duplicateValues" priority="65" dxfId="0"/>
  </conditionalFormatting>
  <conditionalFormatting sqref="BA2:BB2">
    <cfRule type="duplicateValues" priority="63" dxfId="0"/>
  </conditionalFormatting>
  <conditionalFormatting sqref="D10">
    <cfRule type="duplicateValues" priority="60" dxfId="0"/>
  </conditionalFormatting>
  <conditionalFormatting sqref="I151">
    <cfRule type="duplicateValues" priority="16" dxfId="0"/>
  </conditionalFormatting>
  <conditionalFormatting sqref="D174">
    <cfRule type="duplicateValues" priority="1" dxfId="0"/>
  </conditionalFormatting>
  <conditionalFormatting sqref="I180">
    <cfRule type="duplicateValues" priority="17" dxfId="0"/>
  </conditionalFormatting>
  <conditionalFormatting sqref="D217">
    <cfRule type="duplicateValues" priority="59" dxfId="0"/>
  </conditionalFormatting>
  <conditionalFormatting sqref="D218">
    <cfRule type="duplicateValues" priority="58" dxfId="0"/>
  </conditionalFormatting>
  <conditionalFormatting sqref="D219">
    <cfRule type="duplicateValues" priority="57" dxfId="0"/>
  </conditionalFormatting>
  <conditionalFormatting sqref="D220">
    <cfRule type="duplicateValues" priority="56" dxfId="0"/>
  </conditionalFormatting>
  <conditionalFormatting sqref="D221">
    <cfRule type="duplicateValues" priority="55" dxfId="0"/>
  </conditionalFormatting>
  <conditionalFormatting sqref="D222">
    <cfRule type="duplicateValues" priority="54" dxfId="0"/>
  </conditionalFormatting>
  <conditionalFormatting sqref="D223">
    <cfRule type="duplicateValues" priority="53" dxfId="0"/>
  </conditionalFormatting>
  <conditionalFormatting sqref="D230">
    <cfRule type="duplicateValues" priority="51" dxfId="0"/>
  </conditionalFormatting>
  <conditionalFormatting sqref="D231">
    <cfRule type="duplicateValues" priority="50" dxfId="0"/>
  </conditionalFormatting>
  <conditionalFormatting sqref="D232">
    <cfRule type="duplicateValues" priority="49" dxfId="0"/>
  </conditionalFormatting>
  <conditionalFormatting sqref="D233">
    <cfRule type="duplicateValues" priority="48" dxfId="0"/>
  </conditionalFormatting>
  <conditionalFormatting sqref="D234">
    <cfRule type="duplicateValues" priority="47" dxfId="0"/>
  </conditionalFormatting>
  <conditionalFormatting sqref="D235">
    <cfRule type="duplicateValues" priority="46" dxfId="0"/>
  </conditionalFormatting>
  <conditionalFormatting sqref="D236">
    <cfRule type="duplicateValues" priority="45" dxfId="0"/>
  </conditionalFormatting>
  <conditionalFormatting sqref="D237">
    <cfRule type="duplicateValues" priority="42" dxfId="0"/>
  </conditionalFormatting>
  <conditionalFormatting sqref="C238">
    <cfRule type="duplicateValues" priority="43" dxfId="0"/>
  </conditionalFormatting>
  <conditionalFormatting sqref="D238">
    <cfRule type="duplicateValues" priority="44" dxfId="0"/>
  </conditionalFormatting>
  <conditionalFormatting sqref="D239">
    <cfRule type="duplicateValues" priority="52" dxfId="0"/>
  </conditionalFormatting>
  <conditionalFormatting sqref="D241">
    <cfRule type="duplicateValues" priority="36" dxfId="0"/>
  </conditionalFormatting>
  <conditionalFormatting sqref="D242">
    <cfRule type="duplicateValues" priority="35" dxfId="0"/>
  </conditionalFormatting>
  <conditionalFormatting sqref="D243">
    <cfRule type="duplicateValues" priority="34" dxfId="0"/>
  </conditionalFormatting>
  <conditionalFormatting sqref="D244">
    <cfRule type="duplicateValues" priority="33" dxfId="0"/>
  </conditionalFormatting>
  <conditionalFormatting sqref="D245">
    <cfRule type="duplicateValues" priority="32" dxfId="0"/>
  </conditionalFormatting>
  <conditionalFormatting sqref="C246">
    <cfRule type="duplicateValues" priority="37" dxfId="0"/>
  </conditionalFormatting>
  <conditionalFormatting sqref="D247">
    <cfRule type="duplicateValues" priority="38" dxfId="0"/>
  </conditionalFormatting>
  <conditionalFormatting sqref="C248">
    <cfRule type="duplicateValues" priority="39" dxfId="0"/>
  </conditionalFormatting>
  <conditionalFormatting sqref="C249">
    <cfRule type="duplicateValues" priority="31" dxfId="0"/>
  </conditionalFormatting>
  <conditionalFormatting sqref="D250">
    <cfRule type="duplicateValues" priority="40" dxfId="0"/>
  </conditionalFormatting>
  <conditionalFormatting sqref="C251">
    <cfRule type="duplicateValues" priority="41" dxfId="0"/>
  </conditionalFormatting>
  <conditionalFormatting sqref="C252">
    <cfRule type="duplicateValues" priority="29" dxfId="0"/>
  </conditionalFormatting>
  <conditionalFormatting sqref="C253">
    <cfRule type="duplicateValues" priority="28" dxfId="0"/>
  </conditionalFormatting>
  <conditionalFormatting sqref="C254">
    <cfRule type="duplicateValues" priority="27" dxfId="0"/>
  </conditionalFormatting>
  <conditionalFormatting sqref="C255">
    <cfRule type="duplicateValues" priority="26" dxfId="0"/>
  </conditionalFormatting>
  <conditionalFormatting sqref="C256">
    <cfRule type="duplicateValues" priority="25" dxfId="0"/>
  </conditionalFormatting>
  <conditionalFormatting sqref="C257">
    <cfRule type="duplicateValues" priority="24" dxfId="0"/>
  </conditionalFormatting>
  <conditionalFormatting sqref="C258">
    <cfRule type="duplicateValues" priority="23" dxfId="0"/>
  </conditionalFormatting>
  <conditionalFormatting sqref="C259">
    <cfRule type="duplicateValues" priority="22" dxfId="0"/>
  </conditionalFormatting>
  <conditionalFormatting sqref="C260">
    <cfRule type="duplicateValues" priority="21" dxfId="0"/>
  </conditionalFormatting>
  <conditionalFormatting sqref="C261">
    <cfRule type="duplicateValues" priority="20" dxfId="0"/>
  </conditionalFormatting>
  <conditionalFormatting sqref="C262">
    <cfRule type="duplicateValues" priority="19" dxfId="0"/>
  </conditionalFormatting>
  <conditionalFormatting sqref="C263">
    <cfRule type="duplicateValues" priority="18" dxfId="0"/>
  </conditionalFormatting>
  <conditionalFormatting sqref="C264">
    <cfRule type="duplicateValues" priority="6" dxfId="0"/>
  </conditionalFormatting>
  <conditionalFormatting sqref="C265">
    <cfRule type="duplicateValues" priority="5" dxfId="0"/>
  </conditionalFormatting>
  <conditionalFormatting sqref="C266">
    <cfRule type="duplicateValues" priority="4" dxfId="0"/>
  </conditionalFormatting>
  <conditionalFormatting sqref="C267">
    <cfRule type="duplicateValues" priority="3" dxfId="0"/>
  </conditionalFormatting>
  <conditionalFormatting sqref="C268">
    <cfRule type="duplicateValues" priority="2" dxfId="0"/>
  </conditionalFormatting>
  <conditionalFormatting sqref="D269:E269">
    <cfRule type="duplicateValues" priority="7" dxfId="0"/>
  </conditionalFormatting>
  <conditionalFormatting sqref="D270:E270">
    <cfRule type="duplicateValues" priority="8" dxfId="0"/>
  </conditionalFormatting>
  <conditionalFormatting sqref="D271:E271">
    <cfRule type="duplicateValues" priority="9" dxfId="0"/>
  </conditionalFormatting>
  <conditionalFormatting sqref="D272:E272">
    <cfRule type="duplicateValues" priority="10" dxfId="0"/>
  </conditionalFormatting>
  <conditionalFormatting sqref="D273:E273">
    <cfRule type="duplicateValues" priority="11" dxfId="0"/>
  </conditionalFormatting>
  <conditionalFormatting sqref="D274:E274">
    <cfRule type="duplicateValues" priority="12" dxfId="0"/>
  </conditionalFormatting>
  <conditionalFormatting sqref="D275:E275">
    <cfRule type="duplicateValues" priority="13" dxfId="0"/>
  </conditionalFormatting>
  <conditionalFormatting sqref="D276:E276">
    <cfRule type="duplicateValues" priority="14" dxfId="0"/>
  </conditionalFormatting>
  <conditionalFormatting sqref="D277:E277">
    <cfRule type="duplicateValues" priority="15" dxfId="0"/>
  </conditionalFormatting>
  <conditionalFormatting sqref="D225:D226">
    <cfRule type="duplicateValues" priority="61" dxfId="0"/>
  </conditionalFormatting>
  <conditionalFormatting sqref="D227:D229">
    <cfRule type="duplicateValues" priority="62" dxfId="0"/>
  </conditionalFormatting>
  <conditionalFormatting sqref="D2:E9 D11:E173 D175:E216 D224:E224 D278:E1048576 E10 E174 E217:E223 E225:E268">
    <cfRule type="duplicateValues" priority="67" dxfId="0"/>
  </conditionalFormatting>
  <dataValidations count="1">
    <dataValidation sqref="D2:E2" showDropDown="0" showInputMessage="0" showErrorMessage="1" allowBlank="1" errorTitle="拒绝重复输入" error="当前输入的内容，与本区域的其他单元格内容重复。" type="custom" errorStyle="warning">
      <formula1>COUNTIF($D:$D,D2)&lt;2</formula1>
    </dataValidation>
  </dataValidations>
  <printOptions horizontalCentered="1"/>
  <pageMargins left="0.196527777777778" right="0.196527777777778" top="0.472222222222222" bottom="0.314583333333333" header="0.196527777777778" footer="0.196527777777778"/>
  <pageSetup orientation="landscape" paperSize="8" scale="85" horizontalDpi="600" verticalDpi="300"/>
  <headerFooter>
    <oddHeader>&amp;R&amp;D/&amp;T</oddHeader>
    <oddFooter>&amp;C&amp;P/&amp;N</oddFooter>
    <evenHeader/>
    <evenFooter/>
    <firstHeader/>
    <firstFooter/>
  </headerFooter>
  <rowBreaks count="1" manualBreakCount="1">
    <brk id="279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2026-07-04T03:47:45Z</dcterms:created>
  <dcterms:modified xsi:type="dcterms:W3CDTF">2026-07-31T01:44:49Z</dcterms:modified>
  <cp:lastModifiedBy>飘飘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912CFB31D1D946D1A3A4F67196FE3237_11</vt:lpwstr>
  </property>
  <property name="KSOProductBuildVer" fmtid="{D5CDD505-2E9C-101B-9397-08002B2CF9AE}" pid="3">
    <vt:lpwstr>2052-12.1.0.26895</vt:lpwstr>
  </property>
  <property name="CalculationRule" fmtid="{D5CDD505-2E9C-101B-9397-08002B2CF9AE}" pid="4">
    <vt:i4>1</vt:i4>
  </property>
</Properties>
</file>